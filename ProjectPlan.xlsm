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PL16381\OneDrive - TATA PROJECTS LIMITED\Work\Planning\ProjectPlan\"/>
    </mc:Choice>
  </mc:AlternateContent>
  <xr:revisionPtr revIDLastSave="0" documentId="13_ncr:1_{E1172D32-6048-4CE7-AD5E-B0080FD0B52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ummary" sheetId="13" r:id="rId1"/>
    <sheet name="Main" sheetId="11" r:id="rId2"/>
    <sheet name="Equipments" sheetId="5" r:id="rId3"/>
    <sheet name="AG_PipingData" sheetId="14" r:id="rId4"/>
  </sheets>
  <definedNames>
    <definedName name="_xlnm._FilterDatabase" localSheetId="1" hidden="1">Main!$A$116:$Z$227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1" l="1"/>
  <c r="T16" i="11"/>
  <c r="S16" i="11"/>
  <c r="R16" i="11"/>
  <c r="Q16" i="11"/>
  <c r="P16" i="11"/>
  <c r="O16" i="11"/>
  <c r="N16" i="11"/>
  <c r="M16" i="11"/>
  <c r="L16" i="11"/>
  <c r="U15" i="11"/>
  <c r="T15" i="11"/>
  <c r="S15" i="11"/>
  <c r="R15" i="11"/>
  <c r="Q15" i="11"/>
  <c r="P15" i="11"/>
  <c r="O15" i="11"/>
  <c r="N15" i="11"/>
  <c r="M15" i="11"/>
  <c r="L15" i="11"/>
  <c r="U14" i="11"/>
  <c r="T14" i="11"/>
  <c r="S14" i="11"/>
  <c r="R14" i="11"/>
  <c r="Q14" i="11"/>
  <c r="P14" i="11"/>
  <c r="O14" i="11"/>
  <c r="N14" i="11"/>
  <c r="M14" i="11"/>
  <c r="L14" i="11"/>
  <c r="U13" i="11"/>
  <c r="T13" i="11"/>
  <c r="S13" i="11"/>
  <c r="R13" i="11"/>
  <c r="Q13" i="11"/>
  <c r="P13" i="11"/>
  <c r="O13" i="11"/>
  <c r="N13" i="11"/>
  <c r="M13" i="11"/>
  <c r="L13" i="11"/>
  <c r="U12" i="11"/>
  <c r="T12" i="11"/>
  <c r="S12" i="11"/>
  <c r="R12" i="11"/>
  <c r="Q12" i="11"/>
  <c r="P12" i="11"/>
  <c r="O12" i="11"/>
  <c r="N12" i="11"/>
  <c r="M12" i="11"/>
  <c r="L12" i="11"/>
  <c r="U11" i="11"/>
  <c r="T11" i="11"/>
  <c r="S11" i="11"/>
  <c r="R11" i="11"/>
  <c r="Q11" i="11"/>
  <c r="P11" i="11"/>
  <c r="O11" i="11"/>
  <c r="N11" i="11"/>
  <c r="M11" i="11"/>
  <c r="L11" i="11"/>
  <c r="U10" i="11"/>
  <c r="U22" i="11" s="1"/>
  <c r="T10" i="11"/>
  <c r="T22" i="11" s="1"/>
  <c r="S10" i="11"/>
  <c r="S22" i="11" s="1"/>
  <c r="R10" i="11"/>
  <c r="R22" i="11" s="1"/>
  <c r="Q10" i="11"/>
  <c r="Q22" i="11" s="1"/>
  <c r="P10" i="11"/>
  <c r="P22" i="11" s="1"/>
  <c r="O10" i="11"/>
  <c r="O22" i="11" s="1"/>
  <c r="N10" i="11"/>
  <c r="N22" i="11" s="1"/>
  <c r="M10" i="11"/>
  <c r="M22" i="11" s="1"/>
  <c r="L10" i="11"/>
  <c r="L22" i="11" s="1"/>
  <c r="U9" i="11"/>
  <c r="U21" i="11" s="1"/>
  <c r="T9" i="11"/>
  <c r="T21" i="11" s="1"/>
  <c r="S9" i="11"/>
  <c r="S21" i="11" s="1"/>
  <c r="R9" i="11"/>
  <c r="R21" i="11" s="1"/>
  <c r="Q9" i="11"/>
  <c r="Q21" i="11" s="1"/>
  <c r="P9" i="11"/>
  <c r="P21" i="11" s="1"/>
  <c r="O9" i="11"/>
  <c r="O21" i="11" s="1"/>
  <c r="N9" i="11"/>
  <c r="N21" i="11" s="1"/>
  <c r="M9" i="11"/>
  <c r="M21" i="11" s="1"/>
  <c r="L9" i="11"/>
  <c r="L21" i="11" s="1"/>
  <c r="U8" i="11"/>
  <c r="U20" i="11" s="1"/>
  <c r="T8" i="11"/>
  <c r="T20" i="11" s="1"/>
  <c r="S8" i="11"/>
  <c r="S20" i="11" s="1"/>
  <c r="R8" i="11"/>
  <c r="R20" i="11" s="1"/>
  <c r="Q8" i="11"/>
  <c r="Q20" i="11" s="1"/>
  <c r="P8" i="11"/>
  <c r="P20" i="11" s="1"/>
  <c r="O8" i="11"/>
  <c r="O20" i="11" s="1"/>
  <c r="N8" i="11"/>
  <c r="N20" i="11" s="1"/>
  <c r="M8" i="11"/>
  <c r="M20" i="11" s="1"/>
  <c r="L8" i="11"/>
  <c r="L20" i="11" s="1"/>
  <c r="U7" i="11"/>
  <c r="U19" i="11" s="1"/>
  <c r="T7" i="11"/>
  <c r="T19" i="11" s="1"/>
  <c r="S7" i="11"/>
  <c r="S19" i="11" s="1"/>
  <c r="R7" i="11"/>
  <c r="R19" i="11" s="1"/>
  <c r="Q7" i="11"/>
  <c r="Q19" i="11" s="1"/>
  <c r="P7" i="11"/>
  <c r="P19" i="11" s="1"/>
  <c r="O7" i="11"/>
  <c r="O19" i="11" s="1"/>
  <c r="N7" i="11"/>
  <c r="N19" i="11" s="1"/>
  <c r="M7" i="11"/>
  <c r="M19" i="11" s="1"/>
  <c r="L7" i="11"/>
  <c r="L19" i="11" s="1"/>
  <c r="U6" i="11"/>
  <c r="U18" i="11" s="1"/>
  <c r="T6" i="11"/>
  <c r="T18" i="11" s="1"/>
  <c r="S6" i="11"/>
  <c r="S18" i="11" s="1"/>
  <c r="R6" i="11"/>
  <c r="R18" i="11" s="1"/>
  <c r="Q6" i="11"/>
  <c r="Q18" i="11" s="1"/>
  <c r="P6" i="11"/>
  <c r="P18" i="11" s="1"/>
  <c r="O6" i="11"/>
  <c r="O18" i="11" s="1"/>
  <c r="N6" i="11"/>
  <c r="N18" i="11" s="1"/>
  <c r="M6" i="11"/>
  <c r="M18" i="11" s="1"/>
  <c r="L6" i="11"/>
  <c r="L18" i="11" s="1"/>
  <c r="U5" i="11"/>
  <c r="U17" i="11" s="1"/>
  <c r="T5" i="11"/>
  <c r="T17" i="11" s="1"/>
  <c r="S5" i="11"/>
  <c r="S17" i="11" s="1"/>
  <c r="R5" i="11"/>
  <c r="R17" i="11" s="1"/>
  <c r="Q5" i="11"/>
  <c r="Q17" i="11" s="1"/>
  <c r="P5" i="11"/>
  <c r="P17" i="11" s="1"/>
  <c r="O5" i="11"/>
  <c r="O17" i="11" s="1"/>
  <c r="N5" i="11"/>
  <c r="N17" i="11" s="1"/>
  <c r="M5" i="11"/>
  <c r="M17" i="11" s="1"/>
  <c r="L5" i="11"/>
  <c r="L17" i="11" s="1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M35" i="13"/>
  <c r="M34" i="13"/>
  <c r="M29" i="13"/>
  <c r="M28" i="13"/>
  <c r="M39" i="13"/>
  <c r="M38" i="13"/>
  <c r="M37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129" i="11"/>
  <c r="L123" i="11"/>
  <c r="L132" i="11"/>
  <c r="L128" i="11"/>
  <c r="L127" i="11"/>
  <c r="L125" i="11"/>
  <c r="L124" i="11"/>
  <c r="L122" i="11"/>
  <c r="L121" i="11"/>
  <c r="L119" i="11"/>
  <c r="L131" i="11" s="1"/>
  <c r="L118" i="11"/>
  <c r="N121" i="11"/>
  <c r="O121" i="11"/>
  <c r="P121" i="11"/>
  <c r="Q121" i="11"/>
  <c r="R121" i="11"/>
  <c r="S121" i="11"/>
  <c r="T121" i="11"/>
  <c r="U121" i="11"/>
  <c r="V121" i="11"/>
  <c r="W121" i="11"/>
  <c r="X121" i="11"/>
  <c r="Y121" i="11"/>
  <c r="M121" i="11"/>
  <c r="F34" i="13"/>
  <c r="F31" i="13"/>
  <c r="F28" i="13"/>
  <c r="F25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J33" i="13"/>
  <c r="Z32" i="13"/>
  <c r="Y32" i="13"/>
  <c r="X32" i="13"/>
  <c r="W32" i="13"/>
  <c r="V32" i="13"/>
  <c r="U32" i="13"/>
  <c r="T32" i="13"/>
  <c r="S32" i="13"/>
  <c r="R32" i="13"/>
  <c r="Q32" i="13"/>
  <c r="P32" i="13"/>
  <c r="O32" i="13"/>
  <c r="N32" i="13"/>
  <c r="Z31" i="13"/>
  <c r="Y31" i="13"/>
  <c r="X31" i="13"/>
  <c r="W31" i="13"/>
  <c r="V31" i="13"/>
  <c r="U31" i="13"/>
  <c r="T31" i="13"/>
  <c r="S31" i="13"/>
  <c r="R31" i="13"/>
  <c r="Q31" i="13"/>
  <c r="P31" i="13"/>
  <c r="O31" i="13"/>
  <c r="N31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S129" i="11"/>
  <c r="T129" i="11"/>
  <c r="U129" i="11"/>
  <c r="V129" i="11"/>
  <c r="W129" i="11"/>
  <c r="X129" i="11"/>
  <c r="Y129" i="11"/>
  <c r="R129" i="11"/>
  <c r="Q129" i="11"/>
  <c r="P129" i="11"/>
  <c r="O129" i="11"/>
  <c r="N129" i="11"/>
  <c r="M129" i="11"/>
  <c r="U123" i="11"/>
  <c r="V123" i="11"/>
  <c r="W123" i="11"/>
  <c r="X123" i="11"/>
  <c r="Y123" i="11"/>
  <c r="T123" i="11"/>
  <c r="S123" i="11"/>
  <c r="R123" i="11"/>
  <c r="Q123" i="11"/>
  <c r="P123" i="11"/>
  <c r="O123" i="11"/>
  <c r="N123" i="11"/>
  <c r="M123" i="11"/>
  <c r="I172" i="11"/>
  <c r="L133" i="11" l="1"/>
  <c r="I20" i="11"/>
  <c r="M42" i="13"/>
  <c r="L130" i="11"/>
  <c r="W40" i="13"/>
  <c r="I7" i="11"/>
  <c r="I11" i="11"/>
  <c r="I6" i="11"/>
  <c r="L134" i="11"/>
  <c r="I9" i="11"/>
  <c r="I5" i="11"/>
  <c r="I13" i="11"/>
  <c r="Q42" i="13"/>
  <c r="Y42" i="13"/>
  <c r="I22" i="11"/>
  <c r="I15" i="11"/>
  <c r="I8" i="11"/>
  <c r="I10" i="11"/>
  <c r="I12" i="11"/>
  <c r="I14" i="11"/>
  <c r="I16" i="11"/>
  <c r="U38" i="13"/>
  <c r="M41" i="13"/>
  <c r="N38" i="13"/>
  <c r="V38" i="13"/>
  <c r="O40" i="13"/>
  <c r="M40" i="13"/>
  <c r="J39" i="13"/>
  <c r="L135" i="11"/>
  <c r="M135" i="11"/>
  <c r="W41" i="13"/>
  <c r="O37" i="13"/>
  <c r="W37" i="13"/>
  <c r="U40" i="13"/>
  <c r="P41" i="13"/>
  <c r="X41" i="13"/>
  <c r="R42" i="13"/>
  <c r="Z42" i="13"/>
  <c r="U37" i="13"/>
  <c r="X38" i="13"/>
  <c r="I121" i="11"/>
  <c r="J34" i="13"/>
  <c r="K34" i="13" s="1"/>
  <c r="J35" i="13"/>
  <c r="K35" i="13" s="1"/>
  <c r="O41" i="13"/>
  <c r="T37" i="13"/>
  <c r="P37" i="13"/>
  <c r="X37" i="13"/>
  <c r="N40" i="13"/>
  <c r="V40" i="13"/>
  <c r="Q41" i="13"/>
  <c r="Y41" i="13"/>
  <c r="S42" i="13"/>
  <c r="Q38" i="13"/>
  <c r="Y38" i="13"/>
  <c r="J36" i="13"/>
  <c r="K36" i="13" s="1"/>
  <c r="P40" i="13"/>
  <c r="J30" i="13"/>
  <c r="K30" i="13" s="1"/>
  <c r="Q40" i="13"/>
  <c r="Y40" i="13"/>
  <c r="T41" i="13"/>
  <c r="U42" i="13"/>
  <c r="S38" i="13"/>
  <c r="R41" i="13"/>
  <c r="T42" i="13"/>
  <c r="R38" i="13"/>
  <c r="R40" i="13"/>
  <c r="Z40" i="13"/>
  <c r="U41" i="13"/>
  <c r="N42" i="13"/>
  <c r="V42" i="13"/>
  <c r="J31" i="13"/>
  <c r="K31" i="13" s="1"/>
  <c r="Y37" i="13"/>
  <c r="T38" i="13"/>
  <c r="J32" i="13"/>
  <c r="K32" i="13" s="1"/>
  <c r="Z41" i="13"/>
  <c r="S41" i="13"/>
  <c r="W38" i="13"/>
  <c r="P38" i="13"/>
  <c r="S40" i="13"/>
  <c r="N41" i="13"/>
  <c r="V41" i="13"/>
  <c r="O42" i="13"/>
  <c r="W42" i="13"/>
  <c r="R37" i="13"/>
  <c r="Z37" i="13"/>
  <c r="K33" i="13"/>
  <c r="X40" i="13"/>
  <c r="Z38" i="13"/>
  <c r="O38" i="13"/>
  <c r="N37" i="13"/>
  <c r="V37" i="13"/>
  <c r="T40" i="13"/>
  <c r="P42" i="13"/>
  <c r="X42" i="13"/>
  <c r="S37" i="13"/>
  <c r="F40" i="13"/>
  <c r="J28" i="13"/>
  <c r="K28" i="13" s="1"/>
  <c r="F37" i="13"/>
  <c r="J25" i="13"/>
  <c r="K25" i="13" s="1"/>
  <c r="J26" i="13"/>
  <c r="K26" i="13" s="1"/>
  <c r="J29" i="13"/>
  <c r="K29" i="13" s="1"/>
  <c r="Q37" i="13"/>
  <c r="I18" i="11" l="1"/>
  <c r="I19" i="11"/>
  <c r="I17" i="11"/>
  <c r="I21" i="11"/>
  <c r="J42" i="13"/>
  <c r="K42" i="13" s="1"/>
  <c r="J40" i="13"/>
  <c r="K40" i="13" s="1"/>
  <c r="J41" i="13"/>
  <c r="K41" i="13" s="1"/>
  <c r="J38" i="13"/>
  <c r="K38" i="13" s="1"/>
  <c r="J37" i="13"/>
  <c r="K37" i="13" s="1"/>
  <c r="K39" i="13"/>
  <c r="V15" i="13" l="1"/>
  <c r="U15" i="13"/>
  <c r="T15" i="13"/>
  <c r="T21" i="13" s="1"/>
  <c r="S15" i="13"/>
  <c r="R15" i="13"/>
  <c r="Q15" i="13"/>
  <c r="P15" i="13"/>
  <c r="O15" i="13"/>
  <c r="N15" i="13"/>
  <c r="M15" i="13"/>
  <c r="V12" i="13"/>
  <c r="U12" i="13"/>
  <c r="T12" i="13"/>
  <c r="S12" i="13"/>
  <c r="R12" i="13"/>
  <c r="Q12" i="13"/>
  <c r="P12" i="13"/>
  <c r="O12" i="13"/>
  <c r="N12" i="13"/>
  <c r="M12" i="13"/>
  <c r="V9" i="13"/>
  <c r="U9" i="13"/>
  <c r="T9" i="13"/>
  <c r="S9" i="13"/>
  <c r="R9" i="13"/>
  <c r="Q9" i="13"/>
  <c r="P9" i="13"/>
  <c r="O9" i="13"/>
  <c r="N9" i="13"/>
  <c r="M9" i="13"/>
  <c r="U6" i="13"/>
  <c r="V6" i="13"/>
  <c r="N4" i="13"/>
  <c r="O4" i="13"/>
  <c r="P4" i="13"/>
  <c r="Q4" i="13"/>
  <c r="R4" i="13"/>
  <c r="S4" i="13"/>
  <c r="T4" i="13"/>
  <c r="U4" i="13"/>
  <c r="V4" i="13"/>
  <c r="N5" i="13"/>
  <c r="O5" i="13"/>
  <c r="P5" i="13"/>
  <c r="Q5" i="13"/>
  <c r="R5" i="13"/>
  <c r="S5" i="13"/>
  <c r="T5" i="13"/>
  <c r="U5" i="13"/>
  <c r="V5" i="13"/>
  <c r="N13" i="13"/>
  <c r="O13" i="13"/>
  <c r="P13" i="13"/>
  <c r="Q13" i="13"/>
  <c r="R13" i="13"/>
  <c r="S13" i="13"/>
  <c r="T13" i="13"/>
  <c r="U13" i="13"/>
  <c r="V13" i="13"/>
  <c r="N14" i="13"/>
  <c r="O14" i="13"/>
  <c r="P14" i="13"/>
  <c r="Q14" i="13"/>
  <c r="R14" i="13"/>
  <c r="S14" i="13"/>
  <c r="T14" i="13"/>
  <c r="U14" i="13"/>
  <c r="V14" i="13"/>
  <c r="M14" i="13"/>
  <c r="M13" i="13"/>
  <c r="N10" i="13"/>
  <c r="O10" i="13"/>
  <c r="P10" i="13"/>
  <c r="Q10" i="13"/>
  <c r="R10" i="13"/>
  <c r="S10" i="13"/>
  <c r="T10" i="13"/>
  <c r="U10" i="13"/>
  <c r="V10" i="13"/>
  <c r="N11" i="13"/>
  <c r="O11" i="13"/>
  <c r="P11" i="13"/>
  <c r="Q11" i="13"/>
  <c r="R11" i="13"/>
  <c r="S11" i="13"/>
  <c r="T11" i="13"/>
  <c r="U11" i="13"/>
  <c r="V11" i="13"/>
  <c r="M11" i="13"/>
  <c r="M10" i="13"/>
  <c r="V7" i="13"/>
  <c r="V8" i="13"/>
  <c r="N7" i="13"/>
  <c r="O7" i="13"/>
  <c r="P7" i="13"/>
  <c r="Q7" i="13"/>
  <c r="R7" i="13"/>
  <c r="S7" i="13"/>
  <c r="T7" i="13"/>
  <c r="U7" i="13"/>
  <c r="N8" i="13"/>
  <c r="O8" i="13"/>
  <c r="P8" i="13"/>
  <c r="Q8" i="13"/>
  <c r="R8" i="13"/>
  <c r="S8" i="13"/>
  <c r="T8" i="13"/>
  <c r="U8" i="13"/>
  <c r="M8" i="13"/>
  <c r="M20" i="13" s="1"/>
  <c r="M7" i="13"/>
  <c r="M6" i="13"/>
  <c r="T6" i="13"/>
  <c r="S6" i="13"/>
  <c r="R6" i="13"/>
  <c r="Q6" i="13"/>
  <c r="P6" i="13"/>
  <c r="O6" i="13"/>
  <c r="N6" i="13"/>
  <c r="M5" i="13"/>
  <c r="M17" i="13" s="1"/>
  <c r="M4" i="13"/>
  <c r="M16" i="13" s="1"/>
  <c r="U21" i="13" l="1"/>
  <c r="N20" i="13"/>
  <c r="N19" i="13"/>
  <c r="U20" i="13"/>
  <c r="V20" i="13"/>
  <c r="V19" i="13"/>
  <c r="Q17" i="13"/>
  <c r="R16" i="13"/>
  <c r="S17" i="13"/>
  <c r="T16" i="13"/>
  <c r="U19" i="13"/>
  <c r="R17" i="13"/>
  <c r="S16" i="13"/>
  <c r="M18" i="13"/>
  <c r="T20" i="13"/>
  <c r="S20" i="13"/>
  <c r="S19" i="13"/>
  <c r="T19" i="13"/>
  <c r="R20" i="13"/>
  <c r="O17" i="13"/>
  <c r="P16" i="13"/>
  <c r="N21" i="13"/>
  <c r="V21" i="13"/>
  <c r="P17" i="13"/>
  <c r="Q16" i="13"/>
  <c r="R18" i="13"/>
  <c r="P21" i="13"/>
  <c r="P19" i="13"/>
  <c r="S18" i="13"/>
  <c r="Q21" i="13"/>
  <c r="Q18" i="13"/>
  <c r="N18" i="13"/>
  <c r="V18" i="13"/>
  <c r="T18" i="13"/>
  <c r="R19" i="13"/>
  <c r="Q20" i="13"/>
  <c r="Q19" i="13"/>
  <c r="V17" i="13"/>
  <c r="N17" i="13"/>
  <c r="O16" i="13"/>
  <c r="P20" i="13"/>
  <c r="U17" i="13"/>
  <c r="V16" i="13"/>
  <c r="N16" i="13"/>
  <c r="M19" i="13"/>
  <c r="O20" i="13"/>
  <c r="O19" i="13"/>
  <c r="T17" i="13"/>
  <c r="J4" i="13"/>
  <c r="U16" i="13"/>
  <c r="U18" i="13"/>
  <c r="O18" i="13"/>
  <c r="M21" i="13"/>
  <c r="S21" i="13"/>
  <c r="P18" i="13"/>
  <c r="O21" i="13"/>
  <c r="R21" i="13"/>
  <c r="I59" i="11" l="1"/>
  <c r="I58" i="11"/>
  <c r="I57" i="11"/>
  <c r="I56" i="11"/>
  <c r="E87" i="11"/>
  <c r="E113" i="11"/>
  <c r="E109" i="11"/>
  <c r="E105" i="11"/>
  <c r="E101" i="11"/>
  <c r="E97" i="11"/>
  <c r="E93" i="11"/>
  <c r="E89" i="11"/>
  <c r="E111" i="11"/>
  <c r="E107" i="11"/>
  <c r="E103" i="11"/>
  <c r="E99" i="11"/>
  <c r="E95" i="11"/>
  <c r="E91" i="11"/>
  <c r="E84" i="11"/>
  <c r="E79" i="11"/>
  <c r="E75" i="11"/>
  <c r="E71" i="11"/>
  <c r="E67" i="11"/>
  <c r="E63" i="11"/>
  <c r="E58" i="11"/>
  <c r="E54" i="11"/>
  <c r="E50" i="11"/>
  <c r="E46" i="11"/>
  <c r="E42" i="11"/>
  <c r="E38" i="11"/>
  <c r="E34" i="11"/>
  <c r="E30" i="11"/>
  <c r="E26" i="11"/>
  <c r="E82" i="11"/>
  <c r="E77" i="11"/>
  <c r="E73" i="11"/>
  <c r="E69" i="11"/>
  <c r="E65" i="11"/>
  <c r="E61" i="11"/>
  <c r="E56" i="11"/>
  <c r="E52" i="11"/>
  <c r="E48" i="11"/>
  <c r="E44" i="11"/>
  <c r="E40" i="11"/>
  <c r="E36" i="11"/>
  <c r="E32" i="11"/>
  <c r="E28" i="11"/>
  <c r="E24" i="11"/>
  <c r="E11" i="11" l="1"/>
  <c r="E8" i="11"/>
  <c r="E14" i="11"/>
  <c r="E5" i="11"/>
  <c r="E17" i="11" s="1"/>
  <c r="J6" i="11"/>
  <c r="F4" i="13"/>
  <c r="J56" i="11"/>
  <c r="J58" i="11"/>
  <c r="J57" i="11"/>
  <c r="J59" i="11"/>
  <c r="E20" i="11" l="1"/>
  <c r="J7" i="11"/>
  <c r="J5" i="11"/>
  <c r="J17" i="11"/>
  <c r="J19" i="11"/>
  <c r="J18" i="11"/>
  <c r="J14" i="11"/>
  <c r="J15" i="11"/>
  <c r="J16" i="11"/>
  <c r="J11" i="11"/>
  <c r="J13" i="11"/>
  <c r="J12" i="11"/>
  <c r="J9" i="11"/>
  <c r="J10" i="11"/>
  <c r="J8" i="11"/>
  <c r="J22" i="11" l="1"/>
  <c r="J20" i="11"/>
  <c r="J21" i="11"/>
  <c r="J21" i="13" l="1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F13" i="13"/>
  <c r="F10" i="13"/>
  <c r="F7" i="13"/>
  <c r="R127" i="11"/>
  <c r="T135" i="11"/>
  <c r="I141" i="11"/>
  <c r="J141" i="11" s="1"/>
  <c r="AD161" i="11"/>
  <c r="V135" i="11"/>
  <c r="W135" i="11"/>
  <c r="X135" i="11"/>
  <c r="Y135" i="11"/>
  <c r="M132" i="11"/>
  <c r="N132" i="11"/>
  <c r="O132" i="11"/>
  <c r="P132" i="11"/>
  <c r="Q132" i="11"/>
  <c r="R132" i="11"/>
  <c r="S132" i="11"/>
  <c r="T132" i="11"/>
  <c r="U132" i="11"/>
  <c r="V132" i="11"/>
  <c r="W132" i="11"/>
  <c r="X132" i="11"/>
  <c r="Y132" i="11"/>
  <c r="I126" i="11"/>
  <c r="U135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Y127" i="11"/>
  <c r="X127" i="11"/>
  <c r="W127" i="11"/>
  <c r="V127" i="11"/>
  <c r="U127" i="11"/>
  <c r="T127" i="11"/>
  <c r="S127" i="11"/>
  <c r="Q127" i="11"/>
  <c r="P127" i="11"/>
  <c r="O127" i="11"/>
  <c r="N127" i="11"/>
  <c r="M127" i="11"/>
  <c r="E127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E124" i="11"/>
  <c r="I227" i="11"/>
  <c r="J227" i="11" s="1"/>
  <c r="I226" i="11"/>
  <c r="J226" i="11" s="1"/>
  <c r="I225" i="11"/>
  <c r="J225" i="11" s="1"/>
  <c r="I224" i="11"/>
  <c r="J224" i="11" s="1"/>
  <c r="I223" i="11"/>
  <c r="J223" i="11" s="1"/>
  <c r="I222" i="11"/>
  <c r="J222" i="11" s="1"/>
  <c r="I221" i="11"/>
  <c r="J221" i="11" s="1"/>
  <c r="I220" i="11"/>
  <c r="J220" i="11" s="1"/>
  <c r="I219" i="11"/>
  <c r="J219" i="11" s="1"/>
  <c r="I218" i="11"/>
  <c r="J218" i="11" s="1"/>
  <c r="I217" i="11"/>
  <c r="J217" i="11" s="1"/>
  <c r="I216" i="11"/>
  <c r="J216" i="11" s="1"/>
  <c r="I215" i="11"/>
  <c r="J215" i="11" s="1"/>
  <c r="I214" i="11"/>
  <c r="J214" i="11" s="1"/>
  <c r="I213" i="11"/>
  <c r="J213" i="11" s="1"/>
  <c r="I212" i="11"/>
  <c r="J212" i="11" s="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E121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E118" i="11"/>
  <c r="I210" i="11"/>
  <c r="J210" i="11" s="1"/>
  <c r="I209" i="11"/>
  <c r="J209" i="11" s="1"/>
  <c r="I208" i="11"/>
  <c r="J208" i="11" s="1"/>
  <c r="I207" i="11"/>
  <c r="J207" i="11" s="1"/>
  <c r="I205" i="11"/>
  <c r="J205" i="11" s="1"/>
  <c r="I204" i="11"/>
  <c r="J204" i="11" s="1"/>
  <c r="I203" i="11"/>
  <c r="J203" i="11" s="1"/>
  <c r="I202" i="11"/>
  <c r="J202" i="11" s="1"/>
  <c r="I201" i="11"/>
  <c r="J201" i="11" s="1"/>
  <c r="I200" i="11"/>
  <c r="J200" i="11" s="1"/>
  <c r="I199" i="11"/>
  <c r="J199" i="11" s="1"/>
  <c r="I198" i="11"/>
  <c r="J198" i="11" s="1"/>
  <c r="I197" i="11"/>
  <c r="J197" i="11" s="1"/>
  <c r="I196" i="11"/>
  <c r="J196" i="11" s="1"/>
  <c r="I195" i="11"/>
  <c r="J195" i="11" s="1"/>
  <c r="I194" i="11"/>
  <c r="J194" i="11" s="1"/>
  <c r="I193" i="11"/>
  <c r="J193" i="11" s="1"/>
  <c r="I192" i="11"/>
  <c r="J192" i="11" s="1"/>
  <c r="I191" i="11"/>
  <c r="J191" i="11" s="1"/>
  <c r="I190" i="11"/>
  <c r="J190" i="11" s="1"/>
  <c r="I189" i="11"/>
  <c r="J189" i="11" s="1"/>
  <c r="I188" i="11"/>
  <c r="J188" i="11" s="1"/>
  <c r="I187" i="11"/>
  <c r="J187" i="11" s="1"/>
  <c r="I186" i="11"/>
  <c r="J186" i="11" s="1"/>
  <c r="I185" i="11"/>
  <c r="J185" i="11" s="1"/>
  <c r="I184" i="11"/>
  <c r="J184" i="11" s="1"/>
  <c r="I183" i="11"/>
  <c r="J183" i="11" s="1"/>
  <c r="I182" i="11"/>
  <c r="J182" i="11" s="1"/>
  <c r="I181" i="11"/>
  <c r="J181" i="11" s="1"/>
  <c r="I180" i="11"/>
  <c r="J180" i="11" s="1"/>
  <c r="I179" i="11"/>
  <c r="J179" i="11" s="1"/>
  <c r="I178" i="11"/>
  <c r="J178" i="11" s="1"/>
  <c r="I177" i="11"/>
  <c r="J177" i="11" s="1"/>
  <c r="I176" i="11"/>
  <c r="J176" i="11" s="1"/>
  <c r="I175" i="11"/>
  <c r="J175" i="11" s="1"/>
  <c r="I174" i="11"/>
  <c r="J174" i="11" s="1"/>
  <c r="I173" i="11"/>
  <c r="J173" i="11" s="1"/>
  <c r="J172" i="11"/>
  <c r="I171" i="11"/>
  <c r="J171" i="11" s="1"/>
  <c r="I170" i="11"/>
  <c r="J170" i="11" s="1"/>
  <c r="I169" i="11"/>
  <c r="J169" i="11" s="1"/>
  <c r="I168" i="11"/>
  <c r="J168" i="11" s="1"/>
  <c r="I167" i="11"/>
  <c r="J167" i="11" s="1"/>
  <c r="I166" i="11"/>
  <c r="J166" i="11" s="1"/>
  <c r="I165" i="11"/>
  <c r="J165" i="11" s="1"/>
  <c r="I164" i="11"/>
  <c r="J164" i="11" s="1"/>
  <c r="I163" i="11"/>
  <c r="J163" i="11" s="1"/>
  <c r="I162" i="11"/>
  <c r="J162" i="11" s="1"/>
  <c r="I160" i="11"/>
  <c r="J160" i="11" s="1"/>
  <c r="I159" i="11"/>
  <c r="J159" i="11" s="1"/>
  <c r="I158" i="11"/>
  <c r="J158" i="11" s="1"/>
  <c r="I157" i="11"/>
  <c r="J157" i="11" s="1"/>
  <c r="I156" i="11"/>
  <c r="J156" i="11" s="1"/>
  <c r="I155" i="11"/>
  <c r="J155" i="11" s="1"/>
  <c r="I154" i="11"/>
  <c r="J154" i="11" s="1"/>
  <c r="I153" i="11"/>
  <c r="J153" i="11" s="1"/>
  <c r="I152" i="11"/>
  <c r="J152" i="11" s="1"/>
  <c r="I151" i="11"/>
  <c r="J151" i="11" s="1"/>
  <c r="I150" i="11"/>
  <c r="J150" i="11" s="1"/>
  <c r="I149" i="11"/>
  <c r="J149" i="11" s="1"/>
  <c r="I148" i="11"/>
  <c r="J148" i="11" s="1"/>
  <c r="I147" i="11"/>
  <c r="J147" i="11" s="1"/>
  <c r="I146" i="11"/>
  <c r="J146" i="11" s="1"/>
  <c r="I145" i="11"/>
  <c r="J145" i="11" s="1"/>
  <c r="I144" i="11"/>
  <c r="J144" i="11" s="1"/>
  <c r="I143" i="11"/>
  <c r="J143" i="11" s="1"/>
  <c r="I142" i="11"/>
  <c r="J142" i="11" s="1"/>
  <c r="I140" i="11"/>
  <c r="J140" i="11" s="1"/>
  <c r="I139" i="11"/>
  <c r="J139" i="11" s="1"/>
  <c r="I138" i="11"/>
  <c r="J138" i="11" s="1"/>
  <c r="I137" i="11"/>
  <c r="J137" i="11" s="1"/>
  <c r="I114" i="11"/>
  <c r="J114" i="11" s="1"/>
  <c r="I113" i="11"/>
  <c r="J113" i="11" s="1"/>
  <c r="I112" i="11"/>
  <c r="J112" i="11" s="1"/>
  <c r="I111" i="11"/>
  <c r="J111" i="11" s="1"/>
  <c r="I110" i="11"/>
  <c r="J110" i="11" s="1"/>
  <c r="I109" i="11"/>
  <c r="J109" i="11" s="1"/>
  <c r="I108" i="11"/>
  <c r="J108" i="11" s="1"/>
  <c r="I107" i="11"/>
  <c r="J107" i="11" s="1"/>
  <c r="I106" i="11"/>
  <c r="J106" i="11" s="1"/>
  <c r="I105" i="11"/>
  <c r="J105" i="11" s="1"/>
  <c r="I104" i="11"/>
  <c r="J104" i="11" s="1"/>
  <c r="I103" i="11"/>
  <c r="J103" i="11" s="1"/>
  <c r="I102" i="11"/>
  <c r="J102" i="11" s="1"/>
  <c r="I101" i="11"/>
  <c r="J101" i="11" s="1"/>
  <c r="I100" i="11"/>
  <c r="J100" i="11" s="1"/>
  <c r="I99" i="11"/>
  <c r="J99" i="11" s="1"/>
  <c r="I98" i="11"/>
  <c r="J98" i="11" s="1"/>
  <c r="I97" i="11"/>
  <c r="J97" i="11" s="1"/>
  <c r="I96" i="11"/>
  <c r="J96" i="11" s="1"/>
  <c r="I95" i="11"/>
  <c r="J95" i="11" s="1"/>
  <c r="I94" i="11"/>
  <c r="J94" i="11" s="1"/>
  <c r="I93" i="11"/>
  <c r="J93" i="11" s="1"/>
  <c r="I92" i="11"/>
  <c r="J92" i="11" s="1"/>
  <c r="I91" i="11"/>
  <c r="J91" i="11" s="1"/>
  <c r="I90" i="11"/>
  <c r="J90" i="11" s="1"/>
  <c r="I89" i="11"/>
  <c r="J89" i="11" s="1"/>
  <c r="I88" i="11"/>
  <c r="J88" i="11" s="1"/>
  <c r="I87" i="11"/>
  <c r="J87" i="11" s="1"/>
  <c r="J86" i="11"/>
  <c r="I85" i="11"/>
  <c r="J85" i="11" s="1"/>
  <c r="I84" i="11"/>
  <c r="J84" i="11" s="1"/>
  <c r="I83" i="11"/>
  <c r="J83" i="11" s="1"/>
  <c r="I82" i="11"/>
  <c r="J82" i="11" s="1"/>
  <c r="J81" i="11"/>
  <c r="I80" i="11"/>
  <c r="J80" i="11" s="1"/>
  <c r="I79" i="11"/>
  <c r="J79" i="11" s="1"/>
  <c r="I78" i="11"/>
  <c r="J78" i="11" s="1"/>
  <c r="I77" i="11"/>
  <c r="J77" i="11" s="1"/>
  <c r="I76" i="11"/>
  <c r="J76" i="11" s="1"/>
  <c r="I75" i="11"/>
  <c r="J75" i="11" s="1"/>
  <c r="I74" i="11"/>
  <c r="J74" i="11" s="1"/>
  <c r="I73" i="11"/>
  <c r="J73" i="11" s="1"/>
  <c r="I72" i="11"/>
  <c r="J72" i="11" s="1"/>
  <c r="I71" i="11"/>
  <c r="J71" i="11" s="1"/>
  <c r="I70" i="11"/>
  <c r="J70" i="11" s="1"/>
  <c r="I69" i="11"/>
  <c r="J69" i="11" s="1"/>
  <c r="I68" i="11"/>
  <c r="J68" i="11" s="1"/>
  <c r="I67" i="11"/>
  <c r="J67" i="11" s="1"/>
  <c r="I66" i="11"/>
  <c r="J66" i="11" s="1"/>
  <c r="I65" i="11"/>
  <c r="J65" i="11" s="1"/>
  <c r="I64" i="11"/>
  <c r="J64" i="11" s="1"/>
  <c r="I63" i="11"/>
  <c r="J63" i="11" s="1"/>
  <c r="I62" i="11"/>
  <c r="J62" i="11" s="1"/>
  <c r="I61" i="11"/>
  <c r="J61" i="11" s="1"/>
  <c r="I55" i="11"/>
  <c r="J55" i="11" s="1"/>
  <c r="I54" i="11"/>
  <c r="J54" i="11" s="1"/>
  <c r="I53" i="11"/>
  <c r="J53" i="11" s="1"/>
  <c r="I52" i="11"/>
  <c r="J52" i="11" s="1"/>
  <c r="I51" i="11"/>
  <c r="J51" i="11" s="1"/>
  <c r="I50" i="11"/>
  <c r="J50" i="11" s="1"/>
  <c r="I49" i="11"/>
  <c r="J49" i="11" s="1"/>
  <c r="I48" i="11"/>
  <c r="J48" i="11" s="1"/>
  <c r="I47" i="11"/>
  <c r="J47" i="11" s="1"/>
  <c r="I46" i="11"/>
  <c r="J46" i="11" s="1"/>
  <c r="I45" i="11"/>
  <c r="J45" i="11" s="1"/>
  <c r="I44" i="11"/>
  <c r="J44" i="11" s="1"/>
  <c r="I43" i="11"/>
  <c r="J43" i="11" s="1"/>
  <c r="I42" i="11"/>
  <c r="J42" i="11" s="1"/>
  <c r="I41" i="11"/>
  <c r="J41" i="11" s="1"/>
  <c r="I40" i="11"/>
  <c r="J40" i="11" s="1"/>
  <c r="I39" i="11"/>
  <c r="J39" i="11" s="1"/>
  <c r="I38" i="11"/>
  <c r="J38" i="11" s="1"/>
  <c r="I37" i="11"/>
  <c r="J37" i="11" s="1"/>
  <c r="I36" i="11"/>
  <c r="J36" i="11" s="1"/>
  <c r="I35" i="11"/>
  <c r="J35" i="11" s="1"/>
  <c r="I34" i="11"/>
  <c r="J34" i="11" s="1"/>
  <c r="I33" i="11"/>
  <c r="J33" i="11" s="1"/>
  <c r="I32" i="11"/>
  <c r="J32" i="11" s="1"/>
  <c r="I31" i="11"/>
  <c r="J31" i="11" s="1"/>
  <c r="I30" i="11"/>
  <c r="J30" i="11" s="1"/>
  <c r="I29" i="11"/>
  <c r="J29" i="11" s="1"/>
  <c r="I28" i="11"/>
  <c r="J28" i="11" s="1"/>
  <c r="I27" i="11"/>
  <c r="J27" i="11" s="1"/>
  <c r="I26" i="11"/>
  <c r="J26" i="11" s="1"/>
  <c r="I25" i="11"/>
  <c r="J25" i="11" s="1"/>
  <c r="I24" i="11"/>
  <c r="J24" i="11" s="1"/>
  <c r="S135" i="11" l="1"/>
  <c r="K8" i="13"/>
  <c r="Q135" i="11"/>
  <c r="K5" i="13"/>
  <c r="K6" i="13"/>
  <c r="K14" i="13"/>
  <c r="K7" i="13"/>
  <c r="K15" i="13"/>
  <c r="K9" i="13"/>
  <c r="K10" i="13"/>
  <c r="K11" i="13"/>
  <c r="K4" i="13"/>
  <c r="K12" i="13"/>
  <c r="K13" i="13"/>
  <c r="F16" i="13"/>
  <c r="K18" i="13" s="1"/>
  <c r="F19" i="13"/>
  <c r="K21" i="13" s="1"/>
  <c r="R135" i="11"/>
  <c r="J126" i="11"/>
  <c r="I129" i="11"/>
  <c r="J129" i="11" s="1"/>
  <c r="N133" i="11"/>
  <c r="V133" i="11"/>
  <c r="O135" i="11"/>
  <c r="P135" i="11"/>
  <c r="I123" i="11"/>
  <c r="J123" i="11" s="1"/>
  <c r="X133" i="11"/>
  <c r="Q133" i="11"/>
  <c r="Y133" i="11"/>
  <c r="N135" i="11"/>
  <c r="P133" i="11"/>
  <c r="I132" i="11"/>
  <c r="P134" i="11"/>
  <c r="X134" i="11"/>
  <c r="E130" i="11"/>
  <c r="R130" i="11"/>
  <c r="AD149" i="11"/>
  <c r="AD148" i="11"/>
  <c r="AD159" i="11"/>
  <c r="AD160" i="11"/>
  <c r="N134" i="11"/>
  <c r="V134" i="11"/>
  <c r="AD155" i="11"/>
  <c r="AD166" i="11"/>
  <c r="AD154" i="11"/>
  <c r="AD165" i="11"/>
  <c r="AD153" i="11"/>
  <c r="AD164" i="11"/>
  <c r="Q134" i="11"/>
  <c r="Y134" i="11"/>
  <c r="AD152" i="11"/>
  <c r="AD163" i="11"/>
  <c r="AD151" i="11"/>
  <c r="AD162" i="11"/>
  <c r="R131" i="11"/>
  <c r="AD150" i="11"/>
  <c r="O131" i="11"/>
  <c r="W131" i="11"/>
  <c r="O130" i="11"/>
  <c r="W130" i="11"/>
  <c r="M130" i="11"/>
  <c r="U130" i="11"/>
  <c r="X131" i="11"/>
  <c r="Q131" i="11"/>
  <c r="Y131" i="11"/>
  <c r="P131" i="11"/>
  <c r="Q130" i="11"/>
  <c r="Y130" i="11"/>
  <c r="N131" i="11"/>
  <c r="V131" i="11"/>
  <c r="N130" i="11"/>
  <c r="O134" i="11"/>
  <c r="W134" i="11"/>
  <c r="V130" i="11"/>
  <c r="O133" i="11"/>
  <c r="W133" i="11"/>
  <c r="P130" i="11"/>
  <c r="X130" i="11"/>
  <c r="M134" i="11"/>
  <c r="U134" i="11"/>
  <c r="M133" i="11"/>
  <c r="U133" i="11"/>
  <c r="I124" i="11"/>
  <c r="J124" i="11" s="1"/>
  <c r="R134" i="11"/>
  <c r="I128" i="11"/>
  <c r="J128" i="11" s="1"/>
  <c r="I125" i="11"/>
  <c r="J125" i="11" s="1"/>
  <c r="R133" i="11"/>
  <c r="S134" i="11"/>
  <c r="S131" i="11"/>
  <c r="S133" i="11"/>
  <c r="T134" i="11"/>
  <c r="S130" i="11"/>
  <c r="T131" i="11"/>
  <c r="T133" i="11"/>
  <c r="I118" i="11"/>
  <c r="T130" i="11"/>
  <c r="M131" i="11"/>
  <c r="U131" i="11"/>
  <c r="I127" i="11"/>
  <c r="J127" i="11" s="1"/>
  <c r="I119" i="11"/>
  <c r="J119" i="11" s="1"/>
  <c r="J121" i="11"/>
  <c r="I122" i="11"/>
  <c r="J122" i="11" s="1"/>
  <c r="E133" i="11"/>
  <c r="I135" i="11" l="1"/>
  <c r="J135" i="11" s="1"/>
  <c r="K20" i="13"/>
  <c r="K17" i="13"/>
  <c r="K19" i="13"/>
  <c r="K16" i="13"/>
  <c r="J118" i="11"/>
  <c r="J132" i="11"/>
  <c r="I131" i="11"/>
  <c r="J131" i="11" s="1"/>
  <c r="I133" i="11"/>
  <c r="J133" i="11" s="1"/>
  <c r="I134" i="11"/>
  <c r="J134" i="11" s="1"/>
  <c r="I130" i="11"/>
  <c r="J130" i="11" s="1"/>
</calcChain>
</file>

<file path=xl/sharedStrings.xml><?xml version="1.0" encoding="utf-8"?>
<sst xmlns="http://schemas.openxmlformats.org/spreadsheetml/2006/main" count="2401" uniqueCount="637">
  <si>
    <t xml:space="preserve">FACILITY </t>
  </si>
  <si>
    <t>MT</t>
  </si>
  <si>
    <t xml:space="preserve">SCOPE </t>
  </si>
  <si>
    <t>NSU/NHT</t>
  </si>
  <si>
    <t>NHP1</t>
  </si>
  <si>
    <t>1833-PR-01</t>
  </si>
  <si>
    <t xml:space="preserve">PREFAB </t>
  </si>
  <si>
    <t>EREC</t>
  </si>
  <si>
    <t>NHP2</t>
  </si>
  <si>
    <t>1833-PR-02</t>
  </si>
  <si>
    <t>NHP3</t>
  </si>
  <si>
    <t>1833-PR-03</t>
  </si>
  <si>
    <t>NHA1</t>
  </si>
  <si>
    <t>1833-TS-01</t>
  </si>
  <si>
    <t>NHA2</t>
  </si>
  <si>
    <t>1833-SH-01</t>
  </si>
  <si>
    <t>NHA3</t>
  </si>
  <si>
    <t>ABD CBD Pit</t>
  </si>
  <si>
    <t>NHA4</t>
  </si>
  <si>
    <t>Heater Area</t>
  </si>
  <si>
    <t>NSA1</t>
  </si>
  <si>
    <t>1834-TS-01</t>
  </si>
  <si>
    <t>PENEX</t>
  </si>
  <si>
    <t>PXP1</t>
  </si>
  <si>
    <t>1835-PR-01</t>
  </si>
  <si>
    <t>PXA1</t>
  </si>
  <si>
    <t>1835-TS-05</t>
  </si>
  <si>
    <t>1835-TS-06</t>
  </si>
  <si>
    <t>1835-SH-02</t>
  </si>
  <si>
    <t>PXA2</t>
  </si>
  <si>
    <t>1835-SH-01</t>
  </si>
  <si>
    <t>1835-PLT-04</t>
  </si>
  <si>
    <t>PXA3</t>
  </si>
  <si>
    <t>1835-TS-01</t>
  </si>
  <si>
    <t>1835-TS-03</t>
  </si>
  <si>
    <t>1835-TS-04</t>
  </si>
  <si>
    <t>PXA4</t>
  </si>
  <si>
    <t>1835-TS-02</t>
  </si>
  <si>
    <t>1835-PLT-02 &amp; 03</t>
  </si>
  <si>
    <t>FUEL GAS</t>
  </si>
  <si>
    <t>FGA1</t>
  </si>
  <si>
    <t>1825-FG1</t>
  </si>
  <si>
    <t>1825-TS-01</t>
  </si>
  <si>
    <t xml:space="preserve">REMARKS </t>
  </si>
  <si>
    <t>FOUNDATION 
READINESS</t>
  </si>
  <si>
    <t xml:space="preserve">AVAILABLE </t>
  </si>
  <si>
    <t xml:space="preserve">KEY WBS/ WORK PACK </t>
  </si>
  <si>
    <t>OMP1</t>
  </si>
  <si>
    <t>1836-PR-01</t>
  </si>
  <si>
    <t>OMA1</t>
  </si>
  <si>
    <t>1836-TS-03</t>
  </si>
  <si>
    <t>OMA2</t>
  </si>
  <si>
    <t>1836-TS-02</t>
  </si>
  <si>
    <t>OMA3</t>
  </si>
  <si>
    <t>Equipments</t>
  </si>
  <si>
    <t>OMA4</t>
  </si>
  <si>
    <t>OMA5</t>
  </si>
  <si>
    <t>1836-TS-01</t>
  </si>
  <si>
    <t>OMA6</t>
  </si>
  <si>
    <t>CRWS Pit</t>
  </si>
  <si>
    <t xml:space="preserve">OCTAMAX </t>
  </si>
  <si>
    <t>READINESS BY
30-09-2023</t>
  </si>
  <si>
    <t>READINESS BY
 15-08-2023</t>
  </si>
  <si>
    <t>READINESS BY
25-09-2023</t>
  </si>
  <si>
    <t>READINESS BY
 03-11-2023</t>
  </si>
  <si>
    <t>READINESS BY
11-09-2023</t>
  </si>
  <si>
    <t>READINESS BY
13-09-2023</t>
  </si>
  <si>
    <t>READINESS BY
30-08-2023</t>
  </si>
  <si>
    <t>READINESS BY
18-08-2023</t>
  </si>
  <si>
    <t>READINESS BY
24-08-2023</t>
  </si>
  <si>
    <t xml:space="preserve">SUMMARY OCTAMAX </t>
  </si>
  <si>
    <t xml:space="preserve">OVERALL STRUCTURAL </t>
  </si>
  <si>
    <t xml:space="preserve">SUMMARY MS BLOCK </t>
  </si>
  <si>
    <t xml:space="preserve">SHOP </t>
  </si>
  <si>
    <t xml:space="preserve">FIELD </t>
  </si>
  <si>
    <t xml:space="preserve">PIPING </t>
  </si>
  <si>
    <t>UOM</t>
  </si>
  <si>
    <t>STRUCTURE</t>
  </si>
  <si>
    <t xml:space="preserve">PARTICULARS </t>
  </si>
  <si>
    <t xml:space="preserve">AREA TYPE </t>
  </si>
  <si>
    <t>ID</t>
  </si>
  <si>
    <t xml:space="preserve">PIPE RACK </t>
  </si>
  <si>
    <t xml:space="preserve">COMPRESSOR SHED </t>
  </si>
  <si>
    <t xml:space="preserve">DEEP PIT </t>
  </si>
  <si>
    <t>TECH. STRUC + EQP</t>
  </si>
  <si>
    <t xml:space="preserve">TECH. STRUC + EQP+ PIT </t>
  </si>
  <si>
    <t>1835-TS-05 + 1835-TS-06 + 1835-SH-02</t>
  </si>
  <si>
    <t xml:space="preserve"> 1835-SH-01 + 1835-PLT-04</t>
  </si>
  <si>
    <t>1835-TS-01 + 1835-TS-03 + 1835-TS-04</t>
  </si>
  <si>
    <t xml:space="preserve">1835-TS-02 </t>
  </si>
  <si>
    <t>EQP</t>
  </si>
  <si>
    <t xml:space="preserve"> SUMAMRY MS BLOCK  - AG PIPNG </t>
  </si>
  <si>
    <t xml:space="preserve">SUMAMRY OCTAMAX  - AG PIPNG </t>
  </si>
  <si>
    <t xml:space="preserve">OVERALL  - AG PIPNG </t>
  </si>
  <si>
    <t>NOs</t>
  </si>
  <si>
    <t>NOS</t>
  </si>
  <si>
    <t>MC</t>
  </si>
  <si>
    <t>Commisioning</t>
  </si>
  <si>
    <t>P</t>
  </si>
  <si>
    <t>A</t>
  </si>
  <si>
    <t>Commissioning</t>
  </si>
  <si>
    <t>Ramarks</t>
  </si>
  <si>
    <t>MS Block</t>
  </si>
  <si>
    <t>shop done</t>
  </si>
  <si>
    <t>Octamax</t>
  </si>
  <si>
    <t>hydro test</t>
  </si>
  <si>
    <t>complete</t>
  </si>
  <si>
    <t>field done,
erection</t>
  </si>
  <si>
    <t>MSA1</t>
  </si>
  <si>
    <t>Per Day Per Weldor ID</t>
  </si>
  <si>
    <t>Shop</t>
  </si>
  <si>
    <t>Field</t>
  </si>
  <si>
    <t>Per month Days</t>
  </si>
  <si>
    <t>Months</t>
  </si>
  <si>
    <t>Nov</t>
  </si>
  <si>
    <t>Dec</t>
  </si>
  <si>
    <t>Jan</t>
  </si>
  <si>
    <t>Mar</t>
  </si>
  <si>
    <t>Feb</t>
  </si>
  <si>
    <t>Apr</t>
  </si>
  <si>
    <t>May</t>
  </si>
  <si>
    <t>Jun</t>
  </si>
  <si>
    <t>Jul</t>
  </si>
  <si>
    <t>Shop Weldor Nos</t>
  </si>
  <si>
    <t>Field Weldor Nos</t>
  </si>
  <si>
    <t>OCTAMAX</t>
  </si>
  <si>
    <t>Equipment Tag</t>
  </si>
  <si>
    <t>Description</t>
  </si>
  <si>
    <t>Quantity</t>
  </si>
  <si>
    <t>MR</t>
  </si>
  <si>
    <t>Discipline</t>
  </si>
  <si>
    <t>Sub-Discipline</t>
  </si>
  <si>
    <t>Area</t>
  </si>
  <si>
    <t>Vendor Finalised</t>
  </si>
  <si>
    <t>Responsibility</t>
  </si>
  <si>
    <t>Delivery Date
(PO)</t>
  </si>
  <si>
    <t>Package Owner Delivery Date</t>
  </si>
  <si>
    <t>1833-AC-001</t>
  </si>
  <si>
    <t>Products Condenser</t>
  </si>
  <si>
    <t>AFC - CS &amp; SS</t>
  </si>
  <si>
    <t>Static</t>
  </si>
  <si>
    <t>AIR FIN COOLER</t>
  </si>
  <si>
    <t>NHT</t>
  </si>
  <si>
    <t>Aniruddha</t>
  </si>
  <si>
    <t>Enginemates</t>
  </si>
  <si>
    <t>1833-AC-002</t>
  </si>
  <si>
    <t>Stripper Condenser</t>
  </si>
  <si>
    <t>1834-AC-001</t>
  </si>
  <si>
    <t>Splitter Condenser</t>
  </si>
  <si>
    <t>NSU</t>
  </si>
  <si>
    <t>1835-AC-001</t>
  </si>
  <si>
    <t>Feed Cooler</t>
  </si>
  <si>
    <t>1835-AC-002</t>
  </si>
  <si>
    <t>Regenerant Condenser</t>
  </si>
  <si>
    <t>1835-AC-003</t>
  </si>
  <si>
    <t>Deisohexanizer Condenser</t>
  </si>
  <si>
    <t>1835-AC-501</t>
  </si>
  <si>
    <t>Vent Steam Condenser 1</t>
  </si>
  <si>
    <t>1835-AC-502</t>
  </si>
  <si>
    <t>Vent Steam Condenser 2</t>
  </si>
  <si>
    <t>1836-AC-001</t>
  </si>
  <si>
    <t>Air Cooler</t>
  </si>
  <si>
    <t>1836-AC-501</t>
  </si>
  <si>
    <t>Vent Steam Condenser</t>
  </si>
  <si>
    <t>1836-AC-502</t>
  </si>
  <si>
    <t>Slop Cooler</t>
  </si>
  <si>
    <t>1835-X-001</t>
  </si>
  <si>
    <t>Refrigeration Equipment Chiller Package</t>
  </si>
  <si>
    <t>Chiller Package</t>
  </si>
  <si>
    <t>Package</t>
  </si>
  <si>
    <t>CHILLER</t>
  </si>
  <si>
    <t>Vishal Raut</t>
  </si>
  <si>
    <t>Kirloskar Pneumatic Co.</t>
  </si>
  <si>
    <t>1833-C-001</t>
  </si>
  <si>
    <t>Stripper</t>
  </si>
  <si>
    <t>CS</t>
  </si>
  <si>
    <t>COLUMN</t>
  </si>
  <si>
    <t>Pranoti</t>
  </si>
  <si>
    <t>Walchandnagar</t>
  </si>
  <si>
    <t>1833-C-002</t>
  </si>
  <si>
    <t>Offgas Scrubber</t>
  </si>
  <si>
    <t>1834-C-001</t>
  </si>
  <si>
    <t>Naphtha Splitter</t>
  </si>
  <si>
    <t>Vinod</t>
  </si>
  <si>
    <t>VTV</t>
  </si>
  <si>
    <t>1835-C-001</t>
  </si>
  <si>
    <t>Stabilizer</t>
  </si>
  <si>
    <t>1835-C-002</t>
  </si>
  <si>
    <t>LPG Stripper</t>
  </si>
  <si>
    <t>1835-C-003</t>
  </si>
  <si>
    <t>Net Gas Scrubber</t>
  </si>
  <si>
    <t>1835-C-004</t>
  </si>
  <si>
    <t>DeIsohexanizer</t>
  </si>
  <si>
    <t>1836-C-001</t>
  </si>
  <si>
    <t>Feed Preparation Column</t>
  </si>
  <si>
    <t>1836-C-002</t>
  </si>
  <si>
    <t>Wash Water Column</t>
  </si>
  <si>
    <t>1836-C-003</t>
  </si>
  <si>
    <t>TBA Splitter Column</t>
  </si>
  <si>
    <t>1836-C-004</t>
  </si>
  <si>
    <t>Product Separation Column</t>
  </si>
  <si>
    <t>1833-K-001 A/B</t>
  </si>
  <si>
    <t>Recycle Compressors</t>
  </si>
  <si>
    <t>Reciprocating Compressors- API 618</t>
  </si>
  <si>
    <t>Rotary</t>
  </si>
  <si>
    <t>COMPRESSOR</t>
  </si>
  <si>
    <t>Mohit</t>
  </si>
  <si>
    <t>Siemens (DR)</t>
  </si>
  <si>
    <t>15-Oct-23 (Amd1 - 30-Nov-23)</t>
  </si>
  <si>
    <t>1835-K-001 A/B</t>
  </si>
  <si>
    <t>Makeup Compressors</t>
  </si>
  <si>
    <t>30-Nov-23 (except HT Motor whose EDD is 30-May-24)</t>
  </si>
  <si>
    <t>1835-DR-001 A/B</t>
  </si>
  <si>
    <t>Makeup Gas Driers  (Vessel)</t>
  </si>
  <si>
    <t>CS&gt;25 to 50 mm</t>
  </si>
  <si>
    <t>DRIERS</t>
  </si>
  <si>
    <t>Ajay Sharma</t>
  </si>
  <si>
    <t>Artson</t>
  </si>
  <si>
    <t>1835-DR-002 A/B</t>
  </si>
  <si>
    <t>Feed Driers (Vessel)</t>
  </si>
  <si>
    <t>1833-J-001</t>
  </si>
  <si>
    <t>Ejector</t>
  </si>
  <si>
    <t>Ejector Package</t>
  </si>
  <si>
    <t>EJECTOR</t>
  </si>
  <si>
    <t>Chem Process</t>
  </si>
  <si>
    <t>1835-J-001</t>
  </si>
  <si>
    <t>1833-E-001 A/B</t>
  </si>
  <si>
    <t>Combined Feed Exchanger</t>
  </si>
  <si>
    <t>Alloy 625 &amp; DSS</t>
  </si>
  <si>
    <t>EXCHANGER</t>
  </si>
  <si>
    <t>Titanium Equipment</t>
  </si>
  <si>
    <t>1833-E-004</t>
  </si>
  <si>
    <t>Stripper Net Bottoms Cooler</t>
  </si>
  <si>
    <t>Patel Airtemp</t>
  </si>
  <si>
    <t>1833-E-005</t>
  </si>
  <si>
    <t>Stripper Trim Condenser</t>
  </si>
  <si>
    <t>1834-E-006</t>
  </si>
  <si>
    <t>HEAVY NAPHTHA TRIM COOLER</t>
  </si>
  <si>
    <t>1835-E-001A/B</t>
  </si>
  <si>
    <t>Makeup Gas Cooler</t>
  </si>
  <si>
    <t>1835-E-002 A/B</t>
  </si>
  <si>
    <t>Makeup Compressor Discharge Cooler</t>
  </si>
  <si>
    <t>1835-E-004</t>
  </si>
  <si>
    <t>Methanator Effluent Cooler</t>
  </si>
  <si>
    <t>1835-E-014 A/B</t>
  </si>
  <si>
    <t>Stabilizer Condenser</t>
  </si>
  <si>
    <t>1836-E-008A/B</t>
  </si>
  <si>
    <t>Product Trim Cooler</t>
  </si>
  <si>
    <t>1836-E-009A/B</t>
  </si>
  <si>
    <t>C4 Raffinate Cooler</t>
  </si>
  <si>
    <t>1836-E-010A/B/C/D</t>
  </si>
  <si>
    <t>Product Separation Column Overhead Condenser</t>
  </si>
  <si>
    <t>1833-E-001 C/D/E/F</t>
  </si>
  <si>
    <t>CS, CS/LAS + SS Clad, LTCS &amp;LAS</t>
  </si>
  <si>
    <t>Aero Engineering</t>
  </si>
  <si>
    <t>1833-E-001 G</t>
  </si>
  <si>
    <t>1833-E-001 H</t>
  </si>
  <si>
    <t>1833-E-003 A/B</t>
  </si>
  <si>
    <t>Stripper Feed - Bottoms Exchanger</t>
  </si>
  <si>
    <t>1834-E-001 A/B</t>
  </si>
  <si>
    <t>NS FEED – OVERHEAD EXCHANGER</t>
  </si>
  <si>
    <t>1834-E-002 A/B</t>
  </si>
  <si>
    <t>NS FEED - SIDE CUT EXCHANGER</t>
  </si>
  <si>
    <t>1834-E-003 A/B/C</t>
  </si>
  <si>
    <t>NS FEED – BOTTOMS EXCHANGER</t>
  </si>
  <si>
    <t>1835-E-008</t>
  </si>
  <si>
    <t>Intermediate Combined Feed Exchanger</t>
  </si>
  <si>
    <t>1835-E-009 A/B</t>
  </si>
  <si>
    <t>Hot Combined Feed Exchanger</t>
  </si>
  <si>
    <t>1835-E-006</t>
  </si>
  <si>
    <t>Regenerant Trim Cooler</t>
  </si>
  <si>
    <t>NF (Brass/Cu-Ni)</t>
  </si>
  <si>
    <t>1835-E-007</t>
  </si>
  <si>
    <t>Regenerant Vaporizer</t>
  </si>
  <si>
    <t>Bayonet</t>
  </si>
  <si>
    <t>L&amp;T HED</t>
  </si>
  <si>
    <t>1835-E-010</t>
  </si>
  <si>
    <t>Charge Heater</t>
  </si>
  <si>
    <t>1835-E-011</t>
  </si>
  <si>
    <t>Lead - Lag Reactor Effluent Exchanger</t>
  </si>
  <si>
    <t>1835-E-012</t>
  </si>
  <si>
    <t>Stabilizer Feed Bottoms Exchanger</t>
  </si>
  <si>
    <t>1835-E-013</t>
  </si>
  <si>
    <t>Stabilizer Reboiler</t>
  </si>
  <si>
    <t>1835-E-015</t>
  </si>
  <si>
    <t>Stabilizer Net Gas Chiller</t>
  </si>
  <si>
    <t>1835-E-017</t>
  </si>
  <si>
    <t>LPG Stripper Reboiler</t>
  </si>
  <si>
    <t>1835-E-019</t>
  </si>
  <si>
    <t>Caustic Heater</t>
  </si>
  <si>
    <t>1835-E-020</t>
  </si>
  <si>
    <t>Deisohexanizer Sidedraw Reboiler</t>
  </si>
  <si>
    <t>1835-E-021 A/B</t>
  </si>
  <si>
    <t>Deisohexanizer Reboilers</t>
  </si>
  <si>
    <t>1836-E-001</t>
  </si>
  <si>
    <t>Feed Preparation Column Reboiler</t>
  </si>
  <si>
    <t>1836-E-005</t>
  </si>
  <si>
    <t>TBA Splitter Reboiler</t>
  </si>
  <si>
    <t>1836-E-006</t>
  </si>
  <si>
    <t>Dimerization Feed/ Octamax Product Heat Exchange</t>
  </si>
  <si>
    <t>1836-E-007</t>
  </si>
  <si>
    <t>Dimerization Feed Preheater</t>
  </si>
  <si>
    <t>1836-E-011A/B</t>
  </si>
  <si>
    <t>Product Separation Column Reboiler</t>
  </si>
  <si>
    <t>1836-E-012</t>
  </si>
  <si>
    <t>Dimerization Reactor Effluent/ Octamax Product Exchanger</t>
  </si>
  <si>
    <t>1833-E-006</t>
  </si>
  <si>
    <t>Lean Amine Heater</t>
  </si>
  <si>
    <t>Double Pipe</t>
  </si>
  <si>
    <t>Industrial Manufacturer</t>
  </si>
  <si>
    <t>1835-E-003</t>
  </si>
  <si>
    <t>Methanator Feed - Effluent Exchanger</t>
  </si>
  <si>
    <t>Hairpin</t>
  </si>
  <si>
    <t>1835-E-016</t>
  </si>
  <si>
    <t>Net Gas Heater</t>
  </si>
  <si>
    <t>1836-E-002A/B</t>
  </si>
  <si>
    <t>Feed Preparation Column Overhead Condenser</t>
  </si>
  <si>
    <t>1835-E-501</t>
  </si>
  <si>
    <t>Condensate Cooler</t>
  </si>
  <si>
    <t>1836-E-004</t>
  </si>
  <si>
    <t>TBA Splitter Overhead Condenser</t>
  </si>
  <si>
    <t>1836-E-003</t>
  </si>
  <si>
    <t>Hydration Feed/ Octamax Product Heat Exchanger</t>
  </si>
  <si>
    <t>1833-E-002</t>
  </si>
  <si>
    <t>Wash Water Cooler</t>
  </si>
  <si>
    <t>Patel</t>
  </si>
  <si>
    <t>1834-E-004</t>
  </si>
  <si>
    <t>LIGHT NAPHTHA TRIM COOLER</t>
  </si>
  <si>
    <t>1834-E-005</t>
  </si>
  <si>
    <t>SIDE – CUT NAPHTHA TRIM COOLER</t>
  </si>
  <si>
    <t>1835-E-005</t>
  </si>
  <si>
    <t>Feed Trim Cooler</t>
  </si>
  <si>
    <t>1835-E-018A/B</t>
  </si>
  <si>
    <t>LPG Cooler</t>
  </si>
  <si>
    <t>1835-E-022</t>
  </si>
  <si>
    <t>Isomerate Cooler</t>
  </si>
  <si>
    <t>1835-E-023</t>
  </si>
  <si>
    <t>Deisohexanizer Bottoms Cooler</t>
  </si>
  <si>
    <t>1836-E-013</t>
  </si>
  <si>
    <t>Trim Cooler</t>
  </si>
  <si>
    <t>1833-G-001 A/B</t>
  </si>
  <si>
    <t>Feed Filters</t>
  </si>
  <si>
    <t>NHT Filter</t>
  </si>
  <si>
    <t>FILTER</t>
  </si>
  <si>
    <t>Pall</t>
  </si>
  <si>
    <t>1834-G-001 A/B</t>
  </si>
  <si>
    <t>NAPHTHA FEED STRAINER</t>
  </si>
  <si>
    <t>Filters &amp; Coalescers</t>
  </si>
  <si>
    <t>Petromar</t>
  </si>
  <si>
    <t>1836-G-001A/B</t>
  </si>
  <si>
    <t>Feed Filter</t>
  </si>
  <si>
    <t>1833-F-001</t>
  </si>
  <si>
    <t>Heater Package</t>
  </si>
  <si>
    <t>FIRED HEATERS</t>
  </si>
  <si>
    <t>JNK</t>
  </si>
  <si>
    <t>1833-F-002</t>
  </si>
  <si>
    <t>Stripper Reboiler Heater</t>
  </si>
  <si>
    <t>1834-F-001</t>
  </si>
  <si>
    <t>SPLITTER REBOILER</t>
  </si>
  <si>
    <t>1835-EE-001</t>
  </si>
  <si>
    <t>Methanator Heater</t>
  </si>
  <si>
    <t>Electric Heater</t>
  </si>
  <si>
    <t>ELECTRIC HEATER</t>
  </si>
  <si>
    <t>Watlow</t>
  </si>
  <si>
    <t>1835-EE-002</t>
  </si>
  <si>
    <t>Regenerant Superheater</t>
  </si>
  <si>
    <t>1836-M-001</t>
  </si>
  <si>
    <t>Static Mixer</t>
  </si>
  <si>
    <t>Mixer</t>
  </si>
  <si>
    <t>MIXER</t>
  </si>
  <si>
    <t>Sulzer</t>
  </si>
  <si>
    <t>1833-X-003</t>
  </si>
  <si>
    <t>Anti Foam Injection System</t>
  </si>
  <si>
    <t>PACKAGE</t>
  </si>
  <si>
    <t>1833-P-002 A/B</t>
  </si>
  <si>
    <t>Wash Water Injection Pumps</t>
  </si>
  <si>
    <t>Positive Displacement – Controlled Volume Pumps (API 675)</t>
  </si>
  <si>
    <t>PUMP</t>
  </si>
  <si>
    <t>Swelore</t>
  </si>
  <si>
    <t>1833-P-005 A/B</t>
  </si>
  <si>
    <t>Stripper Reflux Pumps</t>
  </si>
  <si>
    <t xml:space="preserve"> Horizontal Centrifugal Pumps API 610 – Single and Two Stages</t>
  </si>
  <si>
    <t>KSB</t>
  </si>
  <si>
    <t>1833-P-006 A/B</t>
  </si>
  <si>
    <t>Lean Amine Pumps</t>
  </si>
  <si>
    <t>1833-P-007 A/B</t>
  </si>
  <si>
    <t>Sulfiding Pumps</t>
  </si>
  <si>
    <t>1833-P-008A/S</t>
  </si>
  <si>
    <t>DMDS Unloading Pumps</t>
  </si>
  <si>
    <t>Moniba</t>
  </si>
  <si>
    <t>1833-P-501 A/S</t>
  </si>
  <si>
    <t>Closed Blowdown Pumps</t>
  </si>
  <si>
    <t>Centrifugal Vertical Pumps API 610 – VS4</t>
  </si>
  <si>
    <t>KEPL</t>
  </si>
  <si>
    <t>1833-P-502 A/B</t>
  </si>
  <si>
    <t>Flare Knockout Drum Pumps</t>
  </si>
  <si>
    <t>1833-P-503 A/S</t>
  </si>
  <si>
    <t>Amine Blowdown Pumps</t>
  </si>
  <si>
    <t>1833-P-504 A/S</t>
  </si>
  <si>
    <t>Oily Water Sewer Pumps</t>
  </si>
  <si>
    <t>1833-P-505 A/B</t>
  </si>
  <si>
    <t>Contaminated Rain Water Sewer Pumps</t>
  </si>
  <si>
    <t>1833-P-001 A/B</t>
  </si>
  <si>
    <t>Charge Pumps</t>
  </si>
  <si>
    <t>Horizontal Multistage Centrifugal Pumps – API 610 BB5</t>
  </si>
  <si>
    <t>Flowserve</t>
  </si>
  <si>
    <t>1834-P-002 A/B</t>
  </si>
  <si>
    <t>NS REFLUX PUMPS</t>
  </si>
  <si>
    <t>Ruhrpumpen</t>
  </si>
  <si>
    <t>1834-P-003 A/B/C</t>
  </si>
  <si>
    <t>SIDE-CUT NAPHTHA PUMPS</t>
  </si>
  <si>
    <t>1834-P-004 A/B</t>
  </si>
  <si>
    <t>HEAVY NAPHTHA PUMPS</t>
  </si>
  <si>
    <t>1834-P-005 A/B</t>
  </si>
  <si>
    <t>NS REBOILER PUMPS</t>
  </si>
  <si>
    <t>1835-P-001 A/B</t>
  </si>
  <si>
    <t>1835-P-002 A/B</t>
  </si>
  <si>
    <t>Chloride Transfer Pumps</t>
  </si>
  <si>
    <t>1835-P-003 A/B</t>
  </si>
  <si>
    <t>Chloride Injection Pumps</t>
  </si>
  <si>
    <t>1835-P-004 A/B</t>
  </si>
  <si>
    <t>Stabilizer Overhead Pumps</t>
  </si>
  <si>
    <t>1835-P-005 A/B</t>
  </si>
  <si>
    <t>Water Circulation Pumps</t>
  </si>
  <si>
    <t>1835-P-006 A/B</t>
  </si>
  <si>
    <t>Caustic Circulation Pumps</t>
  </si>
  <si>
    <t>1836-P-503 A/B</t>
  </si>
  <si>
    <t>Emergency Naphtha Pumps</t>
  </si>
  <si>
    <t>1835-P-008 A/B</t>
  </si>
  <si>
    <t>Water Injection Pumps</t>
  </si>
  <si>
    <t>1835-P-009 A/B</t>
  </si>
  <si>
    <t>Deisohexanizer Reflux Pumps</t>
  </si>
  <si>
    <t>1835-P-007 A/B</t>
  </si>
  <si>
    <t>Spent Caustic Pumps</t>
  </si>
  <si>
    <t>Centrifugal Pumps High Speed Integrally Geared API 610</t>
  </si>
  <si>
    <t>Sundyne</t>
  </si>
  <si>
    <t>1835-P-011 A/B</t>
  </si>
  <si>
    <t>Deisohexanizer Sidedraw Pumps</t>
  </si>
  <si>
    <t>1835-P-012 A/B</t>
  </si>
  <si>
    <t>Deisohexanizer Bottoms Pumps</t>
  </si>
  <si>
    <t>1835-P-501 A/B</t>
  </si>
  <si>
    <t>Condensate Transfer Pumps</t>
  </si>
  <si>
    <t>1835-P-502 A/B</t>
  </si>
  <si>
    <t>Suspect Condensate Transfer Pumps</t>
  </si>
  <si>
    <t>1835-P-010 A/B</t>
  </si>
  <si>
    <t>Deisohexanizer Net Overhead Pumps</t>
  </si>
  <si>
    <t>1836-P-007 A/B</t>
  </si>
  <si>
    <t>TBA Splitter Reflux Pump</t>
  </si>
  <si>
    <t>1836-P-001 A/B</t>
  </si>
  <si>
    <t>FPC Reflux pump</t>
  </si>
  <si>
    <t>1836-P-003 A/B/C</t>
  </si>
  <si>
    <t>Octamax Feed Pump</t>
  </si>
  <si>
    <t>1836-P-004 A/B</t>
  </si>
  <si>
    <t>Sour Water Pump</t>
  </si>
  <si>
    <t>1836-P-006 A/B</t>
  </si>
  <si>
    <t>TBA Recycle Pump</t>
  </si>
  <si>
    <t>1836-P-002 A/B</t>
  </si>
  <si>
    <t>FPC Bottom Pump</t>
  </si>
  <si>
    <t>1836-P-009 A/B</t>
  </si>
  <si>
    <t>Product Separation Column Reflux pump</t>
  </si>
  <si>
    <t>1836-P-010 A/B/C</t>
  </si>
  <si>
    <t>C4 Raffinate Rundown Pump</t>
  </si>
  <si>
    <t>1836-P-011 A/B</t>
  </si>
  <si>
    <t>DM Water Pump</t>
  </si>
  <si>
    <t>1836-P-501 A/S</t>
  </si>
  <si>
    <t>Closed Blowdown Drum Pumps</t>
  </si>
  <si>
    <t>1836-P-502 A/B</t>
  </si>
  <si>
    <t>Flare KOD Pumps</t>
  </si>
  <si>
    <t>1836-P-504 A/B</t>
  </si>
  <si>
    <t>1836-P-505 A/B</t>
  </si>
  <si>
    <t>CRWS Pumps</t>
  </si>
  <si>
    <t>1836-P-506 A/S</t>
  </si>
  <si>
    <t>OWS Pumps</t>
  </si>
  <si>
    <t>1833-P-003 A/B</t>
  </si>
  <si>
    <t>Stripper Reboiler Pumps</t>
  </si>
  <si>
    <t>1833-P-004 A/B</t>
  </si>
  <si>
    <t>Stripper Net Bottoms Pumps</t>
  </si>
  <si>
    <t>1834-P-001 A/B</t>
  </si>
  <si>
    <t>NS FEED PUMPS</t>
  </si>
  <si>
    <t>1836-P-008 A/B</t>
  </si>
  <si>
    <t>Product Rundown Pump</t>
  </si>
  <si>
    <t>1836-P-005 A/B</t>
  </si>
  <si>
    <t>Wash Water Pump</t>
  </si>
  <si>
    <t>1833-P-507 A/S</t>
  </si>
  <si>
    <t>MS Block Service Water Booster Pumps</t>
  </si>
  <si>
    <t>Service Water Booster Pumps</t>
  </si>
  <si>
    <t>1836-P-508 A/S</t>
  </si>
  <si>
    <t>Octamax Service Water Booster Pumps</t>
  </si>
  <si>
    <t>1835-P-503 A/B</t>
  </si>
  <si>
    <t>Fire Water Booster Pump</t>
  </si>
  <si>
    <t>WPIL</t>
  </si>
  <si>
    <t>1833-R-001</t>
  </si>
  <si>
    <t>NHT Reactor</t>
  </si>
  <si>
    <t>LAS &amp; CS</t>
  </si>
  <si>
    <t>REACTOR</t>
  </si>
  <si>
    <t>Anup Engineering</t>
  </si>
  <si>
    <t>1835-R-001</t>
  </si>
  <si>
    <t>Methanator Reactor</t>
  </si>
  <si>
    <t>Temsonn</t>
  </si>
  <si>
    <t>1835-R-002 A/B/C</t>
  </si>
  <si>
    <t>Penex Reactor</t>
  </si>
  <si>
    <t>1836-R-001</t>
  </si>
  <si>
    <t>De-Metalization Reactor</t>
  </si>
  <si>
    <t>1836-R-002A/B</t>
  </si>
  <si>
    <t>Hydration Reactor</t>
  </si>
  <si>
    <t>1836-R-003</t>
  </si>
  <si>
    <t>Dimerization Reactor-I</t>
  </si>
  <si>
    <t>1836-R-004</t>
  </si>
  <si>
    <t>Dimerization Reactor-II</t>
  </si>
  <si>
    <t>1825-V-001</t>
  </si>
  <si>
    <t>Fuel Gas Knock out Drum</t>
  </si>
  <si>
    <t>CS&lt;=25mm</t>
  </si>
  <si>
    <t>VESSEL</t>
  </si>
  <si>
    <t>FGU</t>
  </si>
  <si>
    <t>1833-V-001</t>
  </si>
  <si>
    <t>Feed Surge Drum</t>
  </si>
  <si>
    <t>1833-V-002</t>
  </si>
  <si>
    <t>Wash Water Break Tank</t>
  </si>
  <si>
    <t>1833-V-003</t>
  </si>
  <si>
    <t>Separator</t>
  </si>
  <si>
    <t>CS + Clad * Monel Clad</t>
  </si>
  <si>
    <t>RD Engineering</t>
  </si>
  <si>
    <t>1833-V-004</t>
  </si>
  <si>
    <t>Recycle Compressor Suction Drum</t>
  </si>
  <si>
    <t>1833-V-005</t>
  </si>
  <si>
    <t>Stripper Receiver</t>
  </si>
  <si>
    <t>1833-V-006 A/B</t>
  </si>
  <si>
    <t>Sulfur Guard beds</t>
  </si>
  <si>
    <t>1833-V-007</t>
  </si>
  <si>
    <t>Product knockout Drum</t>
  </si>
  <si>
    <t>1833-V-501</t>
  </si>
  <si>
    <t>Closed Blowdown Drum</t>
  </si>
  <si>
    <t>1833-V-502</t>
  </si>
  <si>
    <t>Flare Knockout Drum</t>
  </si>
  <si>
    <t>1833-V-503</t>
  </si>
  <si>
    <t>Amine Blowdown Drum</t>
  </si>
  <si>
    <t>1833-V-504</t>
  </si>
  <si>
    <t>DMDS Storage Drum</t>
  </si>
  <si>
    <t>1834-V-001</t>
  </si>
  <si>
    <t>Naphtha Surge Drum</t>
  </si>
  <si>
    <t>1834-V-002</t>
  </si>
  <si>
    <t>Splitter Reflux Drum</t>
  </si>
  <si>
    <t>1834-V-003</t>
  </si>
  <si>
    <t>Side-Cut Naphtha Drum</t>
  </si>
  <si>
    <t>1834-V-501</t>
  </si>
  <si>
    <t>Fuel Gas KO Drum</t>
  </si>
  <si>
    <t>1835-V-001</t>
  </si>
  <si>
    <t>Makeup Compressor Suction Drum</t>
  </si>
  <si>
    <t>1835-V-002</t>
  </si>
  <si>
    <t>Makeup Compressor Discharge Knockout Drum</t>
  </si>
  <si>
    <t>1835-V-003 A/B</t>
  </si>
  <si>
    <t>Makeup Gas Chloride Treaters</t>
  </si>
  <si>
    <t>1835-V-004 A/B</t>
  </si>
  <si>
    <t>Makeup Gas Sulfur Guard Bed</t>
  </si>
  <si>
    <t>1835-V-005</t>
  </si>
  <si>
    <t>Makeup Gas Knockout Drum</t>
  </si>
  <si>
    <t>1835-V-006</t>
  </si>
  <si>
    <t>1835-V-007</t>
  </si>
  <si>
    <t>Bleeder Knockout Drum</t>
  </si>
  <si>
    <t>1835-V-008</t>
  </si>
  <si>
    <t>Chloride Injection Drum</t>
  </si>
  <si>
    <t>1835-V-009</t>
  </si>
  <si>
    <t>Charge Heater Condensate Drum</t>
  </si>
  <si>
    <t>LAS</t>
  </si>
  <si>
    <t>1835-V-010</t>
  </si>
  <si>
    <t>Stabilizer Receiver</t>
  </si>
  <si>
    <t>1835-V-011</t>
  </si>
  <si>
    <t>Stabilizer Reboiler Condensate Drum</t>
  </si>
  <si>
    <t>1835-V-012</t>
  </si>
  <si>
    <t>LPG Chloride Treater</t>
  </si>
  <si>
    <t>1835-V-013</t>
  </si>
  <si>
    <t>LPG Stripper Reboiler Condensate Drum</t>
  </si>
  <si>
    <t>1835-V-014</t>
  </si>
  <si>
    <t>Spent Caustic Degassing Drum</t>
  </si>
  <si>
    <t>1835-V-015</t>
  </si>
  <si>
    <t>Water Injection Drum</t>
  </si>
  <si>
    <t>1835-V-016</t>
  </si>
  <si>
    <t>Deisohexanizer Receiver</t>
  </si>
  <si>
    <t>1835-V-017 A/B</t>
  </si>
  <si>
    <t>Deisohexanizer Reboiler Condensate Drum</t>
  </si>
  <si>
    <t>1835-V-501</t>
  </si>
  <si>
    <t>LP Condensate Flash Drum</t>
  </si>
  <si>
    <t>1835-V-502</t>
  </si>
  <si>
    <t>Suspect Condensate Flash Drum</t>
  </si>
  <si>
    <t>1836-V-001</t>
  </si>
  <si>
    <t>Feed Preparation Column Reflux Drum</t>
  </si>
  <si>
    <t>1836-V-002</t>
  </si>
  <si>
    <t>LP Condensate Pot-1</t>
  </si>
  <si>
    <t>1836-V-003</t>
  </si>
  <si>
    <t>Degasser</t>
  </si>
  <si>
    <t>1836-V-004</t>
  </si>
  <si>
    <t>Feed Coalescer</t>
  </si>
  <si>
    <t>1836-V-005</t>
  </si>
  <si>
    <t>DM Water Surge Drum</t>
  </si>
  <si>
    <t>1836-V-006</t>
  </si>
  <si>
    <t>MP Condensate Pot-1</t>
  </si>
  <si>
    <t>1836-V-007</t>
  </si>
  <si>
    <t>TBA Splitter Reflux Drum</t>
  </si>
  <si>
    <t>1836-V-008</t>
  </si>
  <si>
    <t>Product Coalescer</t>
  </si>
  <si>
    <t>1836-V-009</t>
  </si>
  <si>
    <t>LP Condensate Pot-2</t>
  </si>
  <si>
    <t>1836-V-010</t>
  </si>
  <si>
    <t>MP Condensate Pot-2</t>
  </si>
  <si>
    <t>1836-V-011</t>
  </si>
  <si>
    <t>Product Separation column Reflux Drum</t>
  </si>
  <si>
    <t>1836-V-501</t>
  </si>
  <si>
    <t>1836-V-502</t>
  </si>
  <si>
    <t>Flare KO Drum</t>
  </si>
  <si>
    <t>1836-V-503</t>
  </si>
  <si>
    <t>Desulphurised Naphtha Storage Drum</t>
  </si>
  <si>
    <t>1836-V-504</t>
  </si>
  <si>
    <t>1836-V-505</t>
  </si>
  <si>
    <t>MP Condensate Flash Drum</t>
  </si>
  <si>
    <t>Days in Month</t>
  </si>
  <si>
    <t>No of Gangs</t>
  </si>
  <si>
    <t>Cal</t>
  </si>
  <si>
    <t>Month</t>
  </si>
  <si>
    <t>No of People</t>
  </si>
  <si>
    <t>C</t>
  </si>
  <si>
    <t>People per Gang</t>
  </si>
  <si>
    <t>MT per Gang Per Day</t>
  </si>
  <si>
    <t>Start Month</t>
  </si>
  <si>
    <t>End Month</t>
  </si>
  <si>
    <t>P/A</t>
  </si>
  <si>
    <t>Curr Month</t>
  </si>
  <si>
    <t>Sum</t>
  </si>
  <si>
    <t>Remain</t>
  </si>
  <si>
    <t>Till Nov-23</t>
  </si>
  <si>
    <t>NHT_PR01</t>
  </si>
  <si>
    <t>PNX_PR01</t>
  </si>
  <si>
    <t>PR02</t>
  </si>
  <si>
    <t>PR03</t>
  </si>
  <si>
    <t>OCT_PR01</t>
  </si>
  <si>
    <t>Plan</t>
  </si>
  <si>
    <t>Actual</t>
  </si>
  <si>
    <t>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</si>
</sst>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1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4"/>
      <color rgb="FF000000"/>
      <name val="Calibri"/>
      <family val="2"/>
    </font>
    <font>
      <b/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20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BDD7EE"/>
        <bgColor rgb="FFBDD7E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43" fontId="12" fillId="0" borderId="0" applyFont="0" applyFill="0" applyBorder="0" applyAlignment="0" applyProtection="0"/>
  </cellStyleXfs>
  <cellXfs count="210">
    <xf numFmtId="0" fontId="0" fillId="0" borderId="0" xfId="0"/>
    <xf numFmtId="0" fontId="0" fillId="0" borderId="2" xfId="0" applyBorder="1"/>
    <xf numFmtId="3" fontId="5" fillId="5" borderId="2" xfId="0" applyNumberFormat="1" applyFont="1" applyFill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3" fontId="0" fillId="8" borderId="2" xfId="0" applyNumberFormat="1" applyFill="1" applyBorder="1" applyAlignment="1">
      <alignment horizontal="center" vertical="center"/>
    </xf>
    <xf numFmtId="3" fontId="5" fillId="5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wrapText="1"/>
    </xf>
    <xf numFmtId="0" fontId="11" fillId="0" borderId="0" xfId="0" applyFont="1"/>
    <xf numFmtId="0" fontId="0" fillId="0" borderId="3" xfId="0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0" fillId="11" borderId="2" xfId="0" applyNumberForma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4" fontId="0" fillId="0" borderId="2" xfId="4" applyNumberFormat="1" applyFont="1" applyBorder="1" applyAlignment="1">
      <alignment horizontal="center" vertical="center"/>
    </xf>
    <xf numFmtId="164" fontId="0" fillId="0" borderId="3" xfId="4" applyNumberFormat="1" applyFont="1" applyBorder="1" applyAlignment="1">
      <alignment horizontal="center" vertical="center"/>
    </xf>
    <xf numFmtId="0" fontId="13" fillId="13" borderId="16" xfId="0" applyFont="1" applyFill="1" applyBorder="1" applyAlignment="1">
      <alignment horizontal="left" vertical="center" wrapText="1"/>
    </xf>
    <xf numFmtId="0" fontId="13" fillId="13" borderId="16" xfId="0" applyFont="1" applyFill="1" applyBorder="1" applyAlignment="1">
      <alignment horizontal="center" vertical="center" wrapText="1"/>
    </xf>
    <xf numFmtId="0" fontId="13" fillId="13" borderId="17" xfId="0" applyFont="1" applyFill="1" applyBorder="1" applyAlignment="1">
      <alignment horizontal="center" vertical="center" wrapText="1"/>
    </xf>
    <xf numFmtId="0" fontId="13" fillId="13" borderId="18" xfId="0" applyFont="1" applyFill="1" applyBorder="1" applyAlignment="1">
      <alignment horizontal="center" vertical="center" wrapText="1"/>
    </xf>
    <xf numFmtId="0" fontId="13" fillId="13" borderId="19" xfId="0" applyFont="1" applyFill="1" applyBorder="1" applyAlignment="1">
      <alignment horizontal="center" vertical="center" wrapText="1"/>
    </xf>
    <xf numFmtId="0" fontId="13" fillId="13" borderId="0" xfId="0" applyFont="1" applyFill="1" applyAlignment="1">
      <alignment horizontal="center" vertical="center" wrapText="1"/>
    </xf>
    <xf numFmtId="0" fontId="14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5" fontId="0" fillId="0" borderId="21" xfId="0" applyNumberFormat="1" applyBorder="1" applyAlignment="1">
      <alignment horizontal="center" vertical="center"/>
    </xf>
    <xf numFmtId="15" fontId="14" fillId="0" borderId="2" xfId="0" applyNumberFormat="1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15" fontId="15" fillId="0" borderId="2" xfId="0" applyNumberFormat="1" applyFont="1" applyBorder="1" applyAlignment="1">
      <alignment horizontal="center" vertical="center"/>
    </xf>
    <xf numFmtId="15" fontId="14" fillId="0" borderId="6" xfId="0" applyNumberFormat="1" applyFont="1" applyBorder="1" applyAlignment="1">
      <alignment horizontal="center" vertical="center"/>
    </xf>
    <xf numFmtId="15" fontId="16" fillId="0" borderId="2" xfId="0" applyNumberFormat="1" applyFont="1" applyBorder="1" applyAlignment="1">
      <alignment horizontal="center" vertical="center"/>
    </xf>
    <xf numFmtId="15" fontId="0" fillId="0" borderId="2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7" fontId="0" fillId="0" borderId="2" xfId="0" applyNumberFormat="1" applyBorder="1" applyAlignment="1">
      <alignment horizontal="center" vertical="center"/>
    </xf>
    <xf numFmtId="17" fontId="0" fillId="0" borderId="2" xfId="0" applyNumberFormat="1" applyBorder="1" applyAlignment="1">
      <alignment horizontal="center" vertical="center" wrapText="1"/>
    </xf>
    <xf numFmtId="0" fontId="14" fillId="0" borderId="3" xfId="0" applyFont="1" applyBorder="1" applyAlignment="1">
      <alignment horizontal="left"/>
    </xf>
    <xf numFmtId="0" fontId="16" fillId="0" borderId="20" xfId="0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4" fillId="0" borderId="15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3" fontId="5" fillId="5" borderId="29" xfId="0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2" xfId="0" applyFont="1" applyBorder="1"/>
    <xf numFmtId="0" fontId="0" fillId="0" borderId="0" xfId="0" applyAlignment="1">
      <alignment horizontal="center" vertical="center"/>
    </xf>
    <xf numFmtId="164" fontId="0" fillId="0" borderId="0" xfId="4" applyNumberFormat="1" applyFont="1" applyBorder="1" applyAlignment="1">
      <alignment horizontal="center" vertical="center"/>
    </xf>
    <xf numFmtId="164" fontId="0" fillId="0" borderId="13" xfId="4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4" fillId="10" borderId="19" xfId="4" applyNumberFormat="1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35" xfId="0" applyFont="1" applyFill="1" applyBorder="1" applyAlignment="1">
      <alignment horizontal="center" vertical="center"/>
    </xf>
    <xf numFmtId="3" fontId="0" fillId="11" borderId="26" xfId="0" applyNumberFormat="1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3" fillId="4" borderId="34" xfId="3" applyBorder="1" applyAlignment="1">
      <alignment horizontal="center" vertical="center" wrapText="1"/>
    </xf>
    <xf numFmtId="0" fontId="3" fillId="4" borderId="19" xfId="3" applyBorder="1" applyAlignment="1">
      <alignment horizontal="center" vertical="center" wrapText="1"/>
    </xf>
    <xf numFmtId="164" fontId="10" fillId="2" borderId="19" xfId="4" applyNumberFormat="1" applyFont="1" applyFill="1" applyBorder="1" applyAlignment="1">
      <alignment horizontal="center" vertical="center" wrapText="1"/>
    </xf>
    <xf numFmtId="0" fontId="10" fillId="2" borderId="19" xfId="1" applyFont="1" applyBorder="1" applyAlignment="1">
      <alignment horizontal="center" vertical="center" wrapText="1"/>
    </xf>
    <xf numFmtId="17" fontId="10" fillId="2" borderId="19" xfId="1" applyNumberFormat="1" applyFont="1" applyBorder="1" applyAlignment="1">
      <alignment horizontal="center" vertical="center" wrapText="1"/>
    </xf>
    <xf numFmtId="17" fontId="3" fillId="4" borderId="35" xfId="3" applyNumberFormat="1" applyBorder="1" applyAlignment="1">
      <alignment horizontal="center" vertical="center" wrapText="1"/>
    </xf>
    <xf numFmtId="3" fontId="0" fillId="0" borderId="13" xfId="0" applyNumberFormat="1" applyBorder="1" applyAlignment="1">
      <alignment horizontal="center" vertical="center"/>
    </xf>
    <xf numFmtId="0" fontId="0" fillId="0" borderId="33" xfId="0" applyBorder="1"/>
    <xf numFmtId="0" fontId="0" fillId="0" borderId="11" xfId="0" applyBorder="1"/>
    <xf numFmtId="0" fontId="0" fillId="14" borderId="2" xfId="0" applyFill="1" applyBorder="1" applyAlignment="1">
      <alignment horizontal="center" vertical="center"/>
    </xf>
    <xf numFmtId="3" fontId="0" fillId="14" borderId="15" xfId="0" applyNumberFormat="1" applyFill="1" applyBorder="1" applyAlignment="1">
      <alignment horizontal="center" vertical="center"/>
    </xf>
    <xf numFmtId="0" fontId="0" fillId="14" borderId="32" xfId="0" applyFill="1" applyBorder="1" applyAlignment="1">
      <alignment horizontal="center" vertical="center"/>
    </xf>
    <xf numFmtId="0" fontId="0" fillId="11" borderId="26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0" fillId="14" borderId="31" xfId="0" applyNumberFormat="1" applyFill="1" applyBorder="1" applyAlignment="1">
      <alignment horizontal="center" vertical="center"/>
    </xf>
    <xf numFmtId="3" fontId="0" fillId="8" borderId="25" xfId="0" applyNumberFormat="1" applyFill="1" applyBorder="1" applyAlignment="1">
      <alignment horizontal="center" vertical="center"/>
    </xf>
    <xf numFmtId="3" fontId="0" fillId="8" borderId="26" xfId="0" applyNumberForma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164" fontId="0" fillId="0" borderId="27" xfId="4" applyNumberFormat="1" applyFont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3" fillId="4" borderId="8" xfId="3" applyBorder="1" applyAlignment="1">
      <alignment horizontal="center" vertical="center" wrapText="1"/>
    </xf>
    <xf numFmtId="0" fontId="3" fillId="4" borderId="8" xfId="3" applyBorder="1" applyAlignment="1">
      <alignment horizontal="center" vertical="center"/>
    </xf>
    <xf numFmtId="0" fontId="10" fillId="2" borderId="8" xfId="1" applyFont="1" applyBorder="1" applyAlignment="1">
      <alignment horizontal="center" vertical="center"/>
    </xf>
    <xf numFmtId="17" fontId="10" fillId="2" borderId="8" xfId="1" applyNumberFormat="1" applyFont="1" applyBorder="1" applyAlignment="1">
      <alignment horizontal="center" vertical="center"/>
    </xf>
    <xf numFmtId="17" fontId="3" fillId="4" borderId="8" xfId="3" applyNumberFormat="1" applyBorder="1" applyAlignment="1">
      <alignment horizontal="center" vertical="center"/>
    </xf>
    <xf numFmtId="17" fontId="10" fillId="2" borderId="8" xfId="1" applyNumberFormat="1" applyFont="1" applyBorder="1" applyAlignment="1">
      <alignment horizontal="center" vertical="center" wrapText="1"/>
    </xf>
    <xf numFmtId="0" fontId="0" fillId="14" borderId="40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0" fontId="4" fillId="10" borderId="3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" fontId="10" fillId="2" borderId="0" xfId="1" applyNumberFormat="1" applyFont="1" applyBorder="1" applyAlignment="1">
      <alignment horizontal="center" vertical="center" wrapText="1"/>
    </xf>
    <xf numFmtId="17" fontId="0" fillId="0" borderId="27" xfId="0" applyNumberFormat="1" applyBorder="1" applyAlignment="1">
      <alignment horizontal="center" vertical="center"/>
    </xf>
    <xf numFmtId="17" fontId="0" fillId="0" borderId="13" xfId="0" applyNumberFormat="1" applyBorder="1" applyAlignment="1">
      <alignment horizontal="center" vertical="center"/>
    </xf>
    <xf numFmtId="1" fontId="0" fillId="0" borderId="0" xfId="0" applyNumberFormat="1"/>
    <xf numFmtId="1" fontId="0" fillId="0" borderId="33" xfId="0" applyNumberFormat="1" applyBorder="1"/>
    <xf numFmtId="1" fontId="0" fillId="0" borderId="11" xfId="0" applyNumberFormat="1" applyBorder="1"/>
    <xf numFmtId="1" fontId="0" fillId="0" borderId="0" xfId="0" applyNumberForma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41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4" borderId="43" xfId="0" applyFill="1" applyBorder="1" applyAlignment="1">
      <alignment horizontal="center" vertical="center"/>
    </xf>
    <xf numFmtId="3" fontId="0" fillId="14" borderId="28" xfId="0" applyNumberFormat="1" applyFill="1" applyBorder="1" applyAlignment="1">
      <alignment horizontal="center" vertical="center"/>
    </xf>
    <xf numFmtId="3" fontId="0" fillId="11" borderId="29" xfId="0" applyNumberFormat="1" applyFill="1" applyBorder="1" applyAlignment="1">
      <alignment horizontal="center" vertical="center"/>
    </xf>
    <xf numFmtId="0" fontId="3" fillId="4" borderId="39" xfId="3" applyBorder="1" applyAlignment="1">
      <alignment horizontal="center" vertical="center" wrapText="1"/>
    </xf>
    <xf numFmtId="0" fontId="3" fillId="4" borderId="4" xfId="3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10" fillId="2" borderId="4" xfId="4" applyNumberFormat="1" applyFont="1" applyFill="1" applyBorder="1" applyAlignment="1">
      <alignment horizontal="center" vertical="center" wrapText="1"/>
    </xf>
    <xf numFmtId="0" fontId="10" fillId="2" borderId="4" xfId="1" applyFont="1" applyBorder="1" applyAlignment="1">
      <alignment horizontal="center" vertical="center" wrapText="1"/>
    </xf>
    <xf numFmtId="17" fontId="10" fillId="2" borderId="4" xfId="1" applyNumberFormat="1" applyFont="1" applyBorder="1" applyAlignment="1">
      <alignment horizontal="center" vertical="center" wrapText="1"/>
    </xf>
    <xf numFmtId="0" fontId="4" fillId="10" borderId="16" xfId="0" applyFont="1" applyFill="1" applyBorder="1" applyAlignment="1">
      <alignment horizontal="center" vertical="center"/>
    </xf>
    <xf numFmtId="164" fontId="4" fillId="10" borderId="16" xfId="4" applyNumberFormat="1" applyFont="1" applyFill="1" applyBorder="1" applyAlignment="1">
      <alignment horizontal="center" vertical="center"/>
    </xf>
    <xf numFmtId="0" fontId="4" fillId="10" borderId="45" xfId="0" applyFont="1" applyFill="1" applyBorder="1" applyAlignment="1">
      <alignment horizontal="center" vertical="center"/>
    </xf>
    <xf numFmtId="17" fontId="4" fillId="10" borderId="16" xfId="0" applyNumberFormat="1" applyFont="1" applyFill="1" applyBorder="1" applyAlignment="1">
      <alignment horizontal="center" vertical="center"/>
    </xf>
    <xf numFmtId="164" fontId="0" fillId="0" borderId="16" xfId="4" applyNumberFormat="1" applyFont="1" applyBorder="1" applyAlignment="1">
      <alignment horizontal="center" vertical="center"/>
    </xf>
    <xf numFmtId="17" fontId="10" fillId="2" borderId="42" xfId="1" applyNumberFormat="1" applyFont="1" applyBorder="1" applyAlignment="1">
      <alignment horizontal="center" vertical="center" wrapText="1"/>
    </xf>
    <xf numFmtId="3" fontId="0" fillId="0" borderId="6" xfId="0" applyNumberFormat="1" applyBorder="1" applyAlignment="1">
      <alignment horizontal="center" vertical="center"/>
    </xf>
    <xf numFmtId="1" fontId="4" fillId="10" borderId="0" xfId="0" applyNumberFormat="1" applyFont="1" applyFill="1" applyAlignment="1">
      <alignment horizontal="center" vertical="center"/>
    </xf>
    <xf numFmtId="1" fontId="10" fillId="2" borderId="0" xfId="1" applyNumberFormat="1" applyFont="1" applyBorder="1" applyAlignment="1">
      <alignment horizontal="center" vertical="center" wrapText="1"/>
    </xf>
    <xf numFmtId="1" fontId="0" fillId="0" borderId="27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10" fillId="2" borderId="0" xfId="1" applyNumberFormat="1" applyFont="1" applyBorder="1" applyAlignment="1">
      <alignment horizontal="center" vertical="center"/>
    </xf>
    <xf numFmtId="0" fontId="11" fillId="15" borderId="2" xfId="0" applyFont="1" applyFill="1" applyBorder="1"/>
    <xf numFmtId="43" fontId="0" fillId="0" borderId="2" xfId="4" applyFont="1" applyBorder="1" applyAlignment="1">
      <alignment horizontal="center" vertical="center"/>
    </xf>
    <xf numFmtId="164" fontId="0" fillId="11" borderId="26" xfId="4" applyNumberFormat="1" applyFont="1" applyFill="1" applyBorder="1" applyAlignment="1">
      <alignment horizontal="center" vertical="center"/>
    </xf>
    <xf numFmtId="164" fontId="0" fillId="14" borderId="15" xfId="4" applyNumberFormat="1" applyFont="1" applyFill="1" applyBorder="1" applyAlignment="1">
      <alignment horizontal="center" vertical="center"/>
    </xf>
    <xf numFmtId="164" fontId="0" fillId="8" borderId="26" xfId="4" applyNumberFormat="1" applyFont="1" applyFill="1" applyBorder="1" applyAlignment="1">
      <alignment horizontal="center" vertical="center"/>
    </xf>
    <xf numFmtId="43" fontId="0" fillId="11" borderId="2" xfId="4" applyFont="1" applyFill="1" applyBorder="1" applyAlignment="1">
      <alignment horizontal="center" vertical="center"/>
    </xf>
    <xf numFmtId="43" fontId="0" fillId="8" borderId="2" xfId="4" applyFont="1" applyFill="1" applyBorder="1" applyAlignment="1">
      <alignment horizontal="center" vertical="center"/>
    </xf>
    <xf numFmtId="164" fontId="0" fillId="11" borderId="2" xfId="4" applyNumberFormat="1" applyFont="1" applyFill="1" applyBorder="1" applyAlignment="1">
      <alignment horizontal="center" vertical="center"/>
    </xf>
    <xf numFmtId="164" fontId="0" fillId="8" borderId="2" xfId="4" applyNumberFormat="1" applyFont="1" applyFill="1" applyBorder="1" applyAlignment="1">
      <alignment horizontal="center" vertical="center"/>
    </xf>
    <xf numFmtId="164" fontId="0" fillId="14" borderId="2" xfId="4" applyNumberFormat="1" applyFont="1" applyFill="1" applyBorder="1" applyAlignment="1">
      <alignment horizontal="center" vertical="center"/>
    </xf>
    <xf numFmtId="164" fontId="0" fillId="14" borderId="40" xfId="4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31" xfId="0" applyBorder="1"/>
    <xf numFmtId="0" fontId="0" fillId="0" borderId="15" xfId="0" applyBorder="1"/>
    <xf numFmtId="0" fontId="0" fillId="0" borderId="32" xfId="0" applyBorder="1"/>
    <xf numFmtId="3" fontId="0" fillId="0" borderId="19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14" xfId="0" applyNumberFormat="1" applyBorder="1" applyAlignment="1">
      <alignment horizontal="center" vertical="center"/>
    </xf>
    <xf numFmtId="0" fontId="0" fillId="7" borderId="34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7" borderId="36" xfId="0" applyFill="1" applyBorder="1" applyAlignment="1">
      <alignment horizontal="center" vertical="center"/>
    </xf>
    <xf numFmtId="164" fontId="0" fillId="0" borderId="19" xfId="4" applyNumberFormat="1" applyFont="1" applyBorder="1" applyAlignment="1">
      <alignment horizontal="center" vertical="center"/>
    </xf>
    <xf numFmtId="164" fontId="0" fillId="0" borderId="4" xfId="4" applyNumberFormat="1" applyFont="1" applyBorder="1" applyAlignment="1">
      <alignment horizontal="center" vertical="center"/>
    </xf>
    <xf numFmtId="164" fontId="0" fillId="0" borderId="14" xfId="4" applyNumberFormat="1" applyFont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9" fillId="7" borderId="13" xfId="0" applyFont="1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31" xfId="0" applyFill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0" fontId="8" fillId="10" borderId="44" xfId="2" applyFont="1" applyFill="1" applyBorder="1" applyAlignment="1">
      <alignment horizontal="center" vertical="center"/>
    </xf>
    <xf numFmtId="0" fontId="8" fillId="10" borderId="16" xfId="2" applyFont="1" applyFill="1" applyBorder="1" applyAlignment="1">
      <alignment horizontal="center" vertical="center"/>
    </xf>
    <xf numFmtId="0" fontId="7" fillId="9" borderId="37" xfId="0" applyFont="1" applyFill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7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38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0" fillId="12" borderId="2" xfId="0" applyFill="1" applyBorder="1" applyAlignment="1">
      <alignment horizontal="center"/>
    </xf>
    <xf numFmtId="0" fontId="11" fillId="12" borderId="2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8" fillId="10" borderId="9" xfId="2" applyFont="1" applyFill="1" applyBorder="1" applyAlignment="1">
      <alignment horizontal="center" vertical="center"/>
    </xf>
    <xf numFmtId="0" fontId="8" fillId="10" borderId="10" xfId="2" applyFont="1" applyFill="1" applyBorder="1" applyAlignment="1">
      <alignment horizontal="center" vertical="center"/>
    </xf>
    <xf numFmtId="0" fontId="8" fillId="10" borderId="34" xfId="2" applyFont="1" applyFill="1" applyBorder="1" applyAlignment="1">
      <alignment horizontal="center" vertical="center"/>
    </xf>
    <xf numFmtId="0" fontId="8" fillId="10" borderId="19" xfId="2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8" xfId="4" applyNumberFormat="1" applyFont="1" applyBorder="1" applyAlignment="1">
      <alignment horizontal="center" vertical="center"/>
    </xf>
    <xf numFmtId="164" fontId="0" fillId="0" borderId="3" xfId="4" applyNumberFormat="1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11" fillId="15" borderId="25" xfId="0" applyFont="1" applyFill="1" applyBorder="1" applyAlignment="1">
      <alignment horizontal="center"/>
    </xf>
    <xf numFmtId="0" fontId="11" fillId="15" borderId="26" xfId="0" applyFont="1" applyFill="1" applyBorder="1" applyAlignment="1">
      <alignment horizontal="center"/>
    </xf>
    <xf numFmtId="0" fontId="11" fillId="15" borderId="18" xfId="0" applyFont="1" applyFill="1" applyBorder="1" applyAlignment="1">
      <alignment horizontal="center"/>
    </xf>
  </cellXfs>
  <cellStyles count="5">
    <cellStyle name="Calculation" xfId="3" builtinId="22"/>
    <cellStyle name="Comma" xfId="4" builtinId="3"/>
    <cellStyle name="Good" xfId="1" builtinId="26"/>
    <cellStyle name="Input" xfId="2" builtinId="20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CCFF66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664260717410322E-2"/>
          <c:y val="5.0925925925925923E-2"/>
          <c:w val="0.86611351706036743"/>
          <c:h val="0.8468824730242052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Main!$AC$29</c:f>
              <c:strCache>
                <c:ptCount val="1"/>
                <c:pt idx="0">
                  <c:v>Shop Weldor Nos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Main!$AB$30:$AB$38</c:f>
              <c:strCache>
                <c:ptCount val="9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</c:strCache>
            </c:strRef>
          </c:cat>
          <c:val>
            <c:numRef>
              <c:f>Main!$AC$30:$AC$38</c:f>
              <c:numCache>
                <c:formatCode>General</c:formatCode>
                <c:ptCount val="9"/>
                <c:pt idx="0">
                  <c:v>16</c:v>
                </c:pt>
                <c:pt idx="1">
                  <c:v>25</c:v>
                </c:pt>
                <c:pt idx="2">
                  <c:v>30</c:v>
                </c:pt>
                <c:pt idx="3">
                  <c:v>30</c:v>
                </c:pt>
                <c:pt idx="4">
                  <c:v>35</c:v>
                </c:pt>
                <c:pt idx="5">
                  <c:v>40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B-42FF-8738-B64AE68659DE}"/>
            </c:ext>
          </c:extLst>
        </c:ser>
        <c:ser>
          <c:idx val="1"/>
          <c:order val="1"/>
          <c:tx>
            <c:strRef>
              <c:f>Main!$AD$29</c:f>
              <c:strCache>
                <c:ptCount val="1"/>
                <c:pt idx="0">
                  <c:v>Field Weldor Nos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Main!$AB$30:$AB$38</c:f>
              <c:strCache>
                <c:ptCount val="9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</c:strCache>
            </c:strRef>
          </c:cat>
          <c:val>
            <c:numRef>
              <c:f>Main!$AD$30:$AD$38</c:f>
              <c:numCache>
                <c:formatCode>General</c:formatCode>
                <c:ptCount val="9"/>
                <c:pt idx="1">
                  <c:v>5</c:v>
                </c:pt>
                <c:pt idx="2">
                  <c:v>5</c:v>
                </c:pt>
                <c:pt idx="3">
                  <c:v>25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45</c:v>
                </c:pt>
                <c:pt idx="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7B-42FF-8738-B64AE68659D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95316688"/>
        <c:axId val="90693920"/>
      </c:barChart>
      <c:catAx>
        <c:axId val="139531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93920"/>
        <c:crosses val="autoZero"/>
        <c:auto val="1"/>
        <c:lblAlgn val="ctr"/>
        <c:lblOffset val="100"/>
        <c:noMultiLvlLbl val="0"/>
      </c:catAx>
      <c:valAx>
        <c:axId val="9069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31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798534558180227"/>
          <c:y val="0.75057815689705443"/>
          <c:w val="0.39014020122484688"/>
          <c:h val="0.18923665791776029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664260717410322E-2"/>
          <c:y val="5.0810367454068243E-2"/>
          <c:w val="0.86611351706036743"/>
          <c:h val="0.8649383931175269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Main!$AC$45</c:f>
              <c:strCache>
                <c:ptCount val="1"/>
                <c:pt idx="0">
                  <c:v>Shop Weldor Nos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Main!$AB$46:$AB$54</c:f>
              <c:strCache>
                <c:ptCount val="9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</c:strCache>
            </c:strRef>
          </c:cat>
          <c:val>
            <c:numRef>
              <c:f>Main!$AC$46:$AC$54</c:f>
              <c:numCache>
                <c:formatCode>General</c:formatCode>
                <c:ptCount val="9"/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1-461D-B101-921B7EE0E4D8}"/>
            </c:ext>
          </c:extLst>
        </c:ser>
        <c:ser>
          <c:idx val="1"/>
          <c:order val="1"/>
          <c:tx>
            <c:strRef>
              <c:f>Main!$AD$45</c:f>
              <c:strCache>
                <c:ptCount val="1"/>
                <c:pt idx="0">
                  <c:v>Field Weldor Nos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Main!$AB$46:$AB$54</c:f>
              <c:strCache>
                <c:ptCount val="9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  <c:pt idx="8">
                  <c:v>Jul</c:v>
                </c:pt>
              </c:strCache>
            </c:strRef>
          </c:cat>
          <c:val>
            <c:numRef>
              <c:f>Main!$AD$46:$AD$54</c:f>
              <c:numCache>
                <c:formatCode>General</c:formatCode>
                <c:ptCount val="9"/>
                <c:pt idx="4">
                  <c:v>15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1-461D-B101-921B7EE0E4D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11131728"/>
        <c:axId val="2000175488"/>
      </c:barChart>
      <c:catAx>
        <c:axId val="2011131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175488"/>
        <c:crosses val="autoZero"/>
        <c:auto val="1"/>
        <c:lblAlgn val="ctr"/>
        <c:lblOffset val="100"/>
        <c:noMultiLvlLbl val="0"/>
      </c:catAx>
      <c:valAx>
        <c:axId val="20001754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113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13186789151356"/>
          <c:y val="0.75057815689705443"/>
          <c:w val="0.33180686789151353"/>
          <c:h val="0.1521996208807232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914479440069996E-2"/>
          <c:y val="5.0925925925925923E-2"/>
          <c:w val="0.8645299650043744"/>
          <c:h val="0.8561417322834645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Main!$AC$146:$AC$147</c:f>
              <c:strCache>
                <c:ptCount val="2"/>
                <c:pt idx="0">
                  <c:v>MS Block</c:v>
                </c:pt>
                <c:pt idx="1">
                  <c:v>No of Gangs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Main!$AB$148:$AB$155</c:f>
              <c:strCache>
                <c:ptCount val="8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</c:strCache>
            </c:strRef>
          </c:cat>
          <c:val>
            <c:numRef>
              <c:f>Main!$AC$148:$AC$155</c:f>
              <c:numCache>
                <c:formatCode>General</c:formatCode>
                <c:ptCount val="8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8-4102-B9C4-04C28B31DE10}"/>
            </c:ext>
          </c:extLst>
        </c:ser>
        <c:ser>
          <c:idx val="1"/>
          <c:order val="1"/>
          <c:tx>
            <c:strRef>
              <c:f>Main!$AD$146:$AD$147</c:f>
              <c:strCache>
                <c:ptCount val="2"/>
                <c:pt idx="0">
                  <c:v>MS Block</c:v>
                </c:pt>
                <c:pt idx="1">
                  <c:v>No of People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Main!$AB$148:$AB$155</c:f>
              <c:strCache>
                <c:ptCount val="8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</c:strCache>
            </c:strRef>
          </c:cat>
          <c:val>
            <c:numRef>
              <c:f>Main!$AD$148:$AD$155</c:f>
              <c:numCache>
                <c:formatCode>General</c:formatCode>
                <c:ptCount val="8"/>
                <c:pt idx="0">
                  <c:v>49</c:v>
                </c:pt>
                <c:pt idx="1">
                  <c:v>49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49</c:v>
                </c:pt>
                <c:pt idx="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8-4102-B9C4-04C28B31DE1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92994992"/>
        <c:axId val="90672096"/>
      </c:barChart>
      <c:catAx>
        <c:axId val="2092994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72096"/>
        <c:crosses val="autoZero"/>
        <c:auto val="1"/>
        <c:lblAlgn val="ctr"/>
        <c:lblOffset val="100"/>
        <c:noMultiLvlLbl val="0"/>
      </c:catAx>
      <c:valAx>
        <c:axId val="906720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299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672900262467193"/>
          <c:y val="0.77835593467483233"/>
          <c:w val="0.28654177602799658"/>
          <c:h val="0.1290514727325750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914479440069996E-2"/>
          <c:y val="5.0925925925925923E-2"/>
          <c:w val="0.87086329833770781"/>
          <c:h val="0.8648228346456693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Main!$AC$157:$AC$158</c:f>
              <c:strCache>
                <c:ptCount val="2"/>
                <c:pt idx="0">
                  <c:v>Octamax</c:v>
                </c:pt>
                <c:pt idx="1">
                  <c:v>No of Gangs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Main!$AB$159:$AB$166</c:f>
              <c:strCache>
                <c:ptCount val="8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</c:strCache>
            </c:strRef>
          </c:cat>
          <c:val>
            <c:numRef>
              <c:f>Main!$AC$159:$AC$166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8</c:v>
                </c:pt>
                <c:pt idx="4">
                  <c:v>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D0-40A1-955B-50166B572C23}"/>
            </c:ext>
          </c:extLst>
        </c:ser>
        <c:ser>
          <c:idx val="1"/>
          <c:order val="1"/>
          <c:tx>
            <c:strRef>
              <c:f>Main!$AD$157:$AD$158</c:f>
              <c:strCache>
                <c:ptCount val="2"/>
                <c:pt idx="0">
                  <c:v>Octamax</c:v>
                </c:pt>
                <c:pt idx="1">
                  <c:v>No of People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Main!$AB$159:$AB$166</c:f>
              <c:strCache>
                <c:ptCount val="8"/>
                <c:pt idx="0">
                  <c:v>Nov</c:v>
                </c:pt>
                <c:pt idx="1">
                  <c:v>Dec</c:v>
                </c:pt>
                <c:pt idx="2">
                  <c:v>Jan</c:v>
                </c:pt>
                <c:pt idx="3">
                  <c:v>Feb</c:v>
                </c:pt>
                <c:pt idx="4">
                  <c:v>Mar</c:v>
                </c:pt>
                <c:pt idx="5">
                  <c:v>Apr</c:v>
                </c:pt>
                <c:pt idx="6">
                  <c:v>May</c:v>
                </c:pt>
                <c:pt idx="7">
                  <c:v>Jun</c:v>
                </c:pt>
              </c:strCache>
            </c:strRef>
          </c:cat>
          <c:val>
            <c:numRef>
              <c:f>Main!$AD$159:$AD$166</c:f>
              <c:numCache>
                <c:formatCode>General</c:formatCode>
                <c:ptCount val="8"/>
                <c:pt idx="0">
                  <c:v>0</c:v>
                </c:pt>
                <c:pt idx="1">
                  <c:v>21</c:v>
                </c:pt>
                <c:pt idx="2">
                  <c:v>21</c:v>
                </c:pt>
                <c:pt idx="3">
                  <c:v>56</c:v>
                </c:pt>
                <c:pt idx="4">
                  <c:v>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D0-40A1-955B-50166B572C2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89077152"/>
        <c:axId val="96006368"/>
      </c:barChart>
      <c:catAx>
        <c:axId val="1389077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6368"/>
        <c:crosses val="autoZero"/>
        <c:auto val="1"/>
        <c:lblAlgn val="ctr"/>
        <c:lblOffset val="100"/>
        <c:noMultiLvlLbl val="0"/>
      </c:catAx>
      <c:valAx>
        <c:axId val="96006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07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143922038646901"/>
          <c:y val="0.78298556430446198"/>
          <c:w val="0.35148250977298362"/>
          <c:h val="0.1336811023622047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23</xdr:row>
      <xdr:rowOff>52387</xdr:rowOff>
    </xdr:from>
    <xdr:to>
      <xdr:col>37</xdr:col>
      <xdr:colOff>447675</xdr:colOff>
      <xdr:row>37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171450</xdr:colOff>
      <xdr:row>39</xdr:row>
      <xdr:rowOff>33337</xdr:rowOff>
    </xdr:from>
    <xdr:to>
      <xdr:col>37</xdr:col>
      <xdr:colOff>476250</xdr:colOff>
      <xdr:row>53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228600</xdr:colOff>
      <xdr:row>141</xdr:row>
      <xdr:rowOff>176213</xdr:rowOff>
    </xdr:from>
    <xdr:to>
      <xdr:col>37</xdr:col>
      <xdr:colOff>447675</xdr:colOff>
      <xdr:row>155</xdr:row>
      <xdr:rowOff>19051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219074</xdr:colOff>
      <xdr:row>156</xdr:row>
      <xdr:rowOff>14287</xdr:rowOff>
    </xdr:from>
    <xdr:to>
      <xdr:col>37</xdr:col>
      <xdr:colOff>447675</xdr:colOff>
      <xdr:row>170</xdr:row>
      <xdr:rowOff>90487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95250</xdr:rowOff>
        </xdr:from>
        <xdr:to>
          <xdr:col>28</xdr:col>
          <xdr:colOff>28575</xdr:colOff>
          <xdr:row>3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30021-D987-482A-8F4A-4DAD0FF8DEC7}">
  <sheetPr codeName="Sheet1"/>
  <dimension ref="B1:AA42"/>
  <sheetViews>
    <sheetView zoomScale="91" workbookViewId="0">
      <selection activeCell="B10" sqref="B10:D15"/>
    </sheetView>
  </sheetViews>
  <sheetFormatPr defaultRowHeight="15" x14ac:dyDescent="0.25"/>
  <cols>
    <col min="2" max="2" width="13" customWidth="1"/>
    <col min="3" max="3" width="13.28515625" customWidth="1"/>
    <col min="4" max="4" width="13.7109375" customWidth="1"/>
    <col min="5" max="5" width="8.140625" bestFit="1" customWidth="1"/>
    <col min="6" max="6" width="9.5703125" bestFit="1" customWidth="1"/>
    <col min="7" max="7" width="5.7109375" bestFit="1" customWidth="1"/>
    <col min="10" max="11" width="0" hidden="1" customWidth="1"/>
    <col min="27" max="27" width="8.7109375" bestFit="1" customWidth="1"/>
  </cols>
  <sheetData>
    <row r="1" spans="2:27" ht="15.75" thickBot="1" x14ac:dyDescent="0.3"/>
    <row r="2" spans="2:27" ht="21.75" thickBot="1" x14ac:dyDescent="0.3">
      <c r="B2" s="174" t="s">
        <v>75</v>
      </c>
      <c r="C2" s="175"/>
      <c r="D2" s="175"/>
      <c r="E2" s="122"/>
      <c r="F2" s="123"/>
      <c r="G2" s="122"/>
      <c r="H2" s="125"/>
      <c r="I2" s="125"/>
      <c r="J2" s="126"/>
      <c r="K2" s="126"/>
      <c r="L2" s="122"/>
      <c r="M2" s="122"/>
      <c r="N2" s="122"/>
      <c r="O2" s="122"/>
      <c r="P2" s="122"/>
      <c r="Q2" s="122"/>
      <c r="R2" s="122"/>
      <c r="S2" s="122" t="s">
        <v>103</v>
      </c>
      <c r="T2" s="122"/>
      <c r="U2" s="122" t="s">
        <v>107</v>
      </c>
      <c r="V2" s="122" t="s">
        <v>105</v>
      </c>
      <c r="W2" s="122" t="s">
        <v>106</v>
      </c>
      <c r="X2" s="122" t="s">
        <v>96</v>
      </c>
      <c r="Y2" s="122"/>
      <c r="Z2" s="122" t="s">
        <v>100</v>
      </c>
      <c r="AA2" s="124"/>
    </row>
    <row r="3" spans="2:27" ht="30.75" thickBot="1" x14ac:dyDescent="0.3">
      <c r="B3" s="116"/>
      <c r="C3" s="117"/>
      <c r="D3" s="117"/>
      <c r="E3" s="118"/>
      <c r="F3" s="119" t="s">
        <v>2</v>
      </c>
      <c r="G3" s="120" t="s">
        <v>76</v>
      </c>
      <c r="H3" s="101" t="s">
        <v>622</v>
      </c>
      <c r="I3" s="101" t="s">
        <v>623</v>
      </c>
      <c r="J3" s="56" t="s">
        <v>626</v>
      </c>
      <c r="K3" s="56" t="s">
        <v>627</v>
      </c>
      <c r="L3" s="121" t="s">
        <v>624</v>
      </c>
      <c r="M3" s="121">
        <v>45231</v>
      </c>
      <c r="N3" s="121">
        <v>45261</v>
      </c>
      <c r="O3" s="121">
        <v>45292</v>
      </c>
      <c r="P3" s="121">
        <v>45323</v>
      </c>
      <c r="Q3" s="121">
        <v>45352</v>
      </c>
      <c r="R3" s="121">
        <v>45383</v>
      </c>
      <c r="S3" s="121">
        <v>45413</v>
      </c>
      <c r="T3" s="121">
        <v>45444</v>
      </c>
      <c r="U3" s="121">
        <v>45474</v>
      </c>
      <c r="V3" s="121">
        <v>45505</v>
      </c>
      <c r="W3" s="121">
        <v>45536</v>
      </c>
      <c r="X3" s="121">
        <v>45566</v>
      </c>
      <c r="Y3" s="121">
        <v>45597</v>
      </c>
      <c r="Z3" s="121">
        <v>45627</v>
      </c>
      <c r="AA3" s="127" t="s">
        <v>101</v>
      </c>
    </row>
    <row r="4" spans="2:27" ht="15" customHeight="1" x14ac:dyDescent="0.25">
      <c r="B4" s="159" t="s">
        <v>91</v>
      </c>
      <c r="C4" s="160"/>
      <c r="D4" s="160"/>
      <c r="E4" s="165" t="s">
        <v>73</v>
      </c>
      <c r="F4" s="156">
        <f>SUM(Main!E24,Main!E28,Main!E32,Main!E36,Main!E40,Main!E44,Main!E48,Main!E52,Main!E56,Main!E61,Main!E65,Main!E69,Main!E73,Main!E77,Main!E82)</f>
        <v>135481.80600000001</v>
      </c>
      <c r="G4" s="150" t="s">
        <v>80</v>
      </c>
      <c r="H4" s="102"/>
      <c r="I4" s="102"/>
      <c r="J4" s="88">
        <f t="shared" ref="J4:J21" si="0">SUM(M4:Z4)</f>
        <v>135481.068</v>
      </c>
      <c r="K4" s="88">
        <f t="shared" ref="K4" si="1">F4-J4</f>
        <v>0.73800000001210719</v>
      </c>
      <c r="L4" s="80" t="s">
        <v>98</v>
      </c>
      <c r="M4" s="64">
        <f>SUM(Main!L24,Main!L28,Main!L32,Main!L36,Main!L40,Main!L44,Main!L48,Main!L52,Main!L56,Main!L61,Main!L65,Main!L69,Main!L73,Main!L77,Main!L82)</f>
        <v>7692</v>
      </c>
      <c r="N4" s="64">
        <f>SUM(Main!M24,Main!M28,Main!M32,Main!M36,Main!M40,Main!M44,Main!M48,Main!M52,Main!M56,Main!M61,Main!M65,Main!M69,Main!M73,Main!M77,Main!M82)</f>
        <v>18579.694000000003</v>
      </c>
      <c r="O4" s="64">
        <f>SUM(Main!N24,Main!N28,Main!N32,Main!N36,Main!N40,Main!N44,Main!N48,Main!N52,Main!N56,Main!N61,Main!N65,Main!N69,Main!N73,Main!N77,Main!N82)</f>
        <v>19870.194</v>
      </c>
      <c r="P4" s="64">
        <f>SUM(Main!O24,Main!O28,Main!O32,Main!O36,Main!O40,Main!O44,Main!O48,Main!O52,Main!O56,Main!O61,Main!O65,Main!O69,Main!O73,Main!O77,Main!O82)</f>
        <v>19433.194000000003</v>
      </c>
      <c r="Q4" s="64">
        <f>SUM(Main!P24,Main!P28,Main!P32,Main!P36,Main!P40,Main!P44,Main!P48,Main!P52,Main!P56,Main!P61,Main!P65,Main!P69,Main!P73,Main!P77,Main!P82)</f>
        <v>19103.962</v>
      </c>
      <c r="R4" s="64">
        <f>SUM(Main!Q24,Main!Q28,Main!Q32,Main!Q36,Main!Q40,Main!Q44,Main!Q48,Main!Q52,Main!Q56,Main!Q61,Main!Q65,Main!Q69,Main!Q73,Main!Q77,Main!Q82)</f>
        <v>25335.962</v>
      </c>
      <c r="S4" s="64">
        <f>SUM(Main!R24,Main!R28,Main!R32,Main!R36,Main!R40,Main!R44,Main!R48,Main!R52,Main!R56,Main!R61,Main!R65,Main!R69,Main!R73,Main!R77,Main!R82)</f>
        <v>25466.061999999998</v>
      </c>
      <c r="T4" s="64">
        <f>SUM(Main!S24,Main!S28,Main!S32,Main!S36,Main!S40,Main!S44,Main!S48,Main!S52,Main!S56,Main!S61,Main!S65,Main!S69,Main!S73,Main!S77,Main!S82)</f>
        <v>0</v>
      </c>
      <c r="U4" s="64">
        <f>SUM(Main!T24,Main!T28,Main!T32,Main!T36,Main!T40,Main!T44,Main!T48,Main!T52,Main!T56,Main!T61,Main!T65,Main!T69,Main!T73,Main!T77,Main!T82)</f>
        <v>0</v>
      </c>
      <c r="V4" s="64">
        <f>SUM(Main!U24,Main!U28,Main!U32,Main!U36,Main!U40,Main!U44,Main!U48,Main!U52,Main!U56,Main!U61,Main!U65,Main!U69,Main!U73,Main!U77,Main!U82)</f>
        <v>0</v>
      </c>
      <c r="W4" s="64"/>
      <c r="X4" s="64"/>
      <c r="Y4" s="78"/>
      <c r="Z4" s="78"/>
      <c r="AA4" s="65"/>
    </row>
    <row r="5" spans="2:27" ht="15" customHeight="1" x14ac:dyDescent="0.25">
      <c r="B5" s="161"/>
      <c r="C5" s="162"/>
      <c r="D5" s="162"/>
      <c r="E5" s="166"/>
      <c r="F5" s="157"/>
      <c r="G5" s="151"/>
      <c r="H5" s="108"/>
      <c r="I5" s="108"/>
      <c r="J5" s="56">
        <f t="shared" si="0"/>
        <v>7692</v>
      </c>
      <c r="K5" s="56">
        <f t="shared" ref="K5" si="2">F4-J5</f>
        <v>127789.80600000001</v>
      </c>
      <c r="L5" s="81" t="s">
        <v>99</v>
      </c>
      <c r="M5" s="3">
        <f>SUM(Main!L25,Main!L29,Main!L33,Main!L37,Main!L41,Main!L45,Main!L49,Main!L53,Main!L57,Main!L62,Main!L66,Main!L70,Main!L74,Main!L78,Main!L83)</f>
        <v>7692</v>
      </c>
      <c r="N5" s="4">
        <f>SUM(Main!M25,Main!M29,Main!M33,Main!M37,Main!M41,Main!M45,Main!M49,Main!M53,Main!M57,Main!M62,Main!M66,Main!M70,Main!M74,Main!M78,Main!M83)</f>
        <v>0</v>
      </c>
      <c r="O5" s="4">
        <f>SUM(Main!N25,Main!N29,Main!N33,Main!N37,Main!N41,Main!N45,Main!N49,Main!N53,Main!N57,Main!N62,Main!N66,Main!N70,Main!N74,Main!N78,Main!N83)</f>
        <v>0</v>
      </c>
      <c r="P5" s="4">
        <f>SUM(Main!O25,Main!O29,Main!O33,Main!O37,Main!O41,Main!O45,Main!O49,Main!O53,Main!O57,Main!O62,Main!O66,Main!O70,Main!O74,Main!O78,Main!O83)</f>
        <v>0</v>
      </c>
      <c r="Q5" s="4">
        <f>SUM(Main!P25,Main!P29,Main!P33,Main!P37,Main!P41,Main!P45,Main!P49,Main!P53,Main!P57,Main!P62,Main!P66,Main!P70,Main!P74,Main!P78,Main!P83)</f>
        <v>0</v>
      </c>
      <c r="R5" s="4">
        <f>SUM(Main!Q25,Main!Q29,Main!Q33,Main!Q37,Main!Q41,Main!Q45,Main!Q49,Main!Q53,Main!Q57,Main!Q62,Main!Q66,Main!Q70,Main!Q74,Main!Q78,Main!Q83)</f>
        <v>0</v>
      </c>
      <c r="S5" s="4">
        <f>SUM(Main!R25,Main!R29,Main!R33,Main!R37,Main!R41,Main!R45,Main!R49,Main!R53,Main!R57,Main!R62,Main!R66,Main!R70,Main!R74,Main!R78,Main!R83)</f>
        <v>0</v>
      </c>
      <c r="T5" s="4">
        <f>SUM(Main!S25,Main!S29,Main!S33,Main!S37,Main!S41,Main!S45,Main!S49,Main!S53,Main!S57,Main!S62,Main!S66,Main!S70,Main!S74,Main!S78,Main!S83)</f>
        <v>0</v>
      </c>
      <c r="U5" s="4">
        <f>SUM(Main!T25,Main!T29,Main!T33,Main!T37,Main!T41,Main!T45,Main!T49,Main!T53,Main!T57,Main!T62,Main!T66,Main!T70,Main!T74,Main!T78,Main!T83)</f>
        <v>0</v>
      </c>
      <c r="V5" s="4">
        <f>SUM(Main!U25,Main!U29,Main!U33,Main!U37,Main!U41,Main!U45,Main!U49,Main!U53,Main!U57,Main!U62,Main!U66,Main!U70,Main!U74,Main!U78,Main!U83)</f>
        <v>0</v>
      </c>
      <c r="W5" s="4"/>
      <c r="X5" s="4"/>
      <c r="Y5" s="4"/>
      <c r="Z5" s="4"/>
      <c r="AA5" s="8"/>
    </row>
    <row r="6" spans="2:27" ht="15.75" customHeight="1" thickBot="1" x14ac:dyDescent="0.3">
      <c r="B6" s="161"/>
      <c r="C6" s="162"/>
      <c r="D6" s="162"/>
      <c r="E6" s="167"/>
      <c r="F6" s="158"/>
      <c r="G6" s="152"/>
      <c r="H6" s="103"/>
      <c r="I6" s="103"/>
      <c r="J6" s="57">
        <f t="shared" si="0"/>
        <v>140400</v>
      </c>
      <c r="K6" s="57">
        <f>F4-J6</f>
        <v>-4918.1939999999886</v>
      </c>
      <c r="L6" s="82" t="s">
        <v>619</v>
      </c>
      <c r="M6" s="76">
        <f>Main!$AC$30*Main!$AC$27*Main!$AC$26</f>
        <v>10400</v>
      </c>
      <c r="N6" s="79">
        <f>Main!$AC$31*Main!$AC$27*Main!$AC$26</f>
        <v>16250</v>
      </c>
      <c r="O6" s="79">
        <f>Main!$AC$32*Main!$AC$27*Main!$AC$26</f>
        <v>19500</v>
      </c>
      <c r="P6" s="79">
        <f>Main!$AC$33*Main!$AC$27*Main!$AC$26</f>
        <v>19500</v>
      </c>
      <c r="Q6" s="79">
        <f>Main!$AC$34*Main!$AC$27*Main!$AC$26</f>
        <v>22750</v>
      </c>
      <c r="R6" s="79">
        <f>Main!$AC$35*Main!$AC$27*Main!$AC$26</f>
        <v>26000</v>
      </c>
      <c r="S6" s="79">
        <f>Main!$AC$36*Main!$AC$27*Main!$AC$26</f>
        <v>26000</v>
      </c>
      <c r="T6" s="79">
        <f>Main!$AC$37*Main!$AC$26*Main!$AC$27</f>
        <v>0</v>
      </c>
      <c r="U6" s="79">
        <f>Main!$AC$37*Main!$AC$26*Main!$AC$27</f>
        <v>0</v>
      </c>
      <c r="V6" s="79">
        <f>Main!$AC$37*Main!$AC$26*Main!$AC$27</f>
        <v>0</v>
      </c>
      <c r="W6" s="79"/>
      <c r="X6" s="79"/>
      <c r="Y6" s="79"/>
      <c r="Z6" s="79"/>
      <c r="AA6" s="77"/>
    </row>
    <row r="7" spans="2:27" ht="15" customHeight="1" x14ac:dyDescent="0.25">
      <c r="B7" s="161"/>
      <c r="C7" s="162"/>
      <c r="D7" s="162"/>
      <c r="E7" s="153" t="s">
        <v>74</v>
      </c>
      <c r="F7" s="156">
        <f>SUM(Main!E26,Main!E30,Main!E34,Main!E38,Main!E42,Main!E46,Main!E50,Main!E54,Main!E58,Main!E63,Main!E67,Main!E71,Main!E75,Main!E79,Main!E84)</f>
        <v>90321.203999999983</v>
      </c>
      <c r="G7" s="150" t="s">
        <v>80</v>
      </c>
      <c r="H7" s="102"/>
      <c r="I7" s="102"/>
      <c r="J7" s="88">
        <f t="shared" si="0"/>
        <v>90320</v>
      </c>
      <c r="K7" s="88">
        <f t="shared" ref="K7" si="3">F7-J7</f>
        <v>1.2039999999833526</v>
      </c>
      <c r="L7" s="83" t="s">
        <v>98</v>
      </c>
      <c r="M7" s="84">
        <f>SUM(Main!L26,Main!L30,Main!L34,Main!L38,Main!L42,Main!L46,Main!L50,Main!L54,Main!L58,Main!L63,Main!L67,Main!L71,Main!L75,Main!L79,Main!L84)</f>
        <v>0</v>
      </c>
      <c r="N7" s="84">
        <f>SUM(Main!M26,Main!M30,Main!M34,Main!M38,Main!M42,Main!M46,Main!M50,Main!M54,Main!M58,Main!M63,Main!M67,Main!M71,Main!M75,Main!M79,Main!M84)</f>
        <v>1303</v>
      </c>
      <c r="O7" s="84">
        <f>SUM(Main!N26,Main!N30,Main!N34,Main!N38,Main!N42,Main!N46,Main!N50,Main!N54,Main!N58,Main!N63,Main!N67,Main!N71,Main!N75,Main!N79,Main!N84)</f>
        <v>1413</v>
      </c>
      <c r="P7" s="84">
        <f>SUM(Main!O26,Main!O30,Main!O34,Main!O38,Main!O42,Main!O46,Main!O50,Main!O54,Main!O58,Main!O63,Main!O67,Main!O71,Main!O75,Main!O79,Main!O84)</f>
        <v>9200</v>
      </c>
      <c r="Q7" s="84">
        <f>SUM(Main!P26,Main!P30,Main!P34,Main!P38,Main!P42,Main!P46,Main!P50,Main!P54,Main!P58,Main!P63,Main!P67,Main!P71,Main!P75,Main!P79,Main!P84)</f>
        <v>12500</v>
      </c>
      <c r="R7" s="84">
        <f>SUM(Main!Q26,Main!Q30,Main!Q34,Main!Q38,Main!Q42,Main!Q46,Main!Q50,Main!Q54,Main!Q58,Main!Q63,Main!Q67,Main!Q71,Main!Q75,Main!Q79,Main!Q84)</f>
        <v>13874</v>
      </c>
      <c r="S7" s="84">
        <f>SUM(Main!R26,Main!R30,Main!R34,Main!R38,Main!R42,Main!R46,Main!R50,Main!R54,Main!R58,Main!R63,Main!R67,Main!R71,Main!R75,Main!R79,Main!R84)</f>
        <v>18854</v>
      </c>
      <c r="T7" s="84">
        <f>SUM(Main!S26,Main!S30,Main!S34,Main!S38,Main!S42,Main!S46,Main!S50,Main!S54,Main!S58,Main!S63,Main!S67,Main!S71,Main!S75,Main!S79,Main!S84)</f>
        <v>17488</v>
      </c>
      <c r="U7" s="84">
        <f>SUM(Main!T26,Main!T30,Main!T34,Main!T38,Main!T42,Main!T46,Main!T50,Main!T54,Main!T58,Main!T63,Main!T67,Main!T71,Main!T75,Main!T79,Main!T84)</f>
        <v>15688</v>
      </c>
      <c r="V7" s="84">
        <f>SUM(Main!U26,Main!U30,Main!U34,Main!U38,Main!U42,Main!U46,Main!U50,Main!U54,Main!U58,Main!U63,Main!U67,Main!U71,Main!U75,Main!U79,Main!U84)</f>
        <v>0</v>
      </c>
      <c r="W7" s="84"/>
      <c r="X7" s="89"/>
      <c r="Y7" s="89"/>
      <c r="Z7" s="89"/>
      <c r="AA7" s="85"/>
    </row>
    <row r="8" spans="2:27" ht="15" customHeight="1" x14ac:dyDescent="0.25">
      <c r="B8" s="161"/>
      <c r="C8" s="162"/>
      <c r="D8" s="162"/>
      <c r="E8" s="154"/>
      <c r="F8" s="157"/>
      <c r="G8" s="151"/>
      <c r="H8" s="108"/>
      <c r="I8" s="108"/>
      <c r="J8" s="56">
        <f t="shared" si="0"/>
        <v>0</v>
      </c>
      <c r="K8" s="56">
        <f t="shared" ref="K8" si="4">F7-J8</f>
        <v>90321.203999999983</v>
      </c>
      <c r="L8" s="81" t="s">
        <v>99</v>
      </c>
      <c r="M8" s="3">
        <f>SUM(Main!L27,Main!L31,Main!L35,Main!L39,Main!L43,Main!L47,Main!L51,Main!L55,Main!L59,Main!L64,Main!L68,Main!L72,Main!L76,Main!L80,Main!L85)</f>
        <v>0</v>
      </c>
      <c r="N8" s="3">
        <f>SUM(Main!M27,Main!M31,Main!M35,Main!M39,Main!M43,Main!M47,Main!M51,Main!M55,Main!M59,Main!M64,Main!M68,Main!M72,Main!M76,Main!M80,Main!M85)</f>
        <v>0</v>
      </c>
      <c r="O8" s="3">
        <f>SUM(Main!N27,Main!N31,Main!N35,Main!N39,Main!N43,Main!N47,Main!N51,Main!N55,Main!N59,Main!N64,Main!N68,Main!N72,Main!N76,Main!N80,Main!N85)</f>
        <v>0</v>
      </c>
      <c r="P8" s="4">
        <f>SUM(Main!O27,Main!O31,Main!O35,Main!O39,Main!O43,Main!O47,Main!O51,Main!O55,Main!O59,Main!O64,Main!O68,Main!O72,Main!O76,Main!O80,Main!O85)</f>
        <v>0</v>
      </c>
      <c r="Q8" s="4">
        <f>SUM(Main!P27,Main!P31,Main!P35,Main!P39,Main!P43,Main!P47,Main!P51,Main!P55,Main!P59,Main!P64,Main!P68,Main!P72,Main!P76,Main!P80,Main!P85)</f>
        <v>0</v>
      </c>
      <c r="R8" s="4">
        <f>SUM(Main!Q27,Main!Q31,Main!Q35,Main!Q39,Main!Q43,Main!Q47,Main!Q51,Main!Q55,Main!Q59,Main!Q64,Main!Q68,Main!Q72,Main!Q76,Main!Q80,Main!Q85)</f>
        <v>0</v>
      </c>
      <c r="S8" s="4">
        <f>SUM(Main!R27,Main!R31,Main!R35,Main!R39,Main!R43,Main!R47,Main!R51,Main!R55,Main!R59,Main!R64,Main!R68,Main!R72,Main!R76,Main!R80,Main!R85)</f>
        <v>0</v>
      </c>
      <c r="T8" s="4">
        <f>SUM(Main!S27,Main!S31,Main!S35,Main!S39,Main!S43,Main!S47,Main!S51,Main!S55,Main!S59,Main!S64,Main!S68,Main!S72,Main!S76,Main!S80,Main!S85)</f>
        <v>0</v>
      </c>
      <c r="U8" s="4">
        <f>SUM(Main!T27,Main!T31,Main!T35,Main!T39,Main!T43,Main!T47,Main!T51,Main!T55,Main!T59,Main!T64,Main!T68,Main!T72,Main!T76,Main!T80,Main!T85)</f>
        <v>0</v>
      </c>
      <c r="V8" s="4">
        <f>SUM(Main!U27,Main!U31,Main!U35,Main!U39,Main!U43,Main!U47,Main!U51,Main!U55,Main!U59,Main!U64,Main!U68,Main!U72,Main!U76,Main!U80,Main!U85)</f>
        <v>0</v>
      </c>
      <c r="W8" s="4"/>
      <c r="X8" s="4"/>
      <c r="Y8" s="4"/>
      <c r="Z8" s="4"/>
      <c r="AA8" s="8"/>
    </row>
    <row r="9" spans="2:27" ht="15.75" customHeight="1" thickBot="1" x14ac:dyDescent="0.3">
      <c r="B9" s="163"/>
      <c r="C9" s="164"/>
      <c r="D9" s="164"/>
      <c r="E9" s="155"/>
      <c r="F9" s="158"/>
      <c r="G9" s="152"/>
      <c r="H9" s="103"/>
      <c r="I9" s="103"/>
      <c r="J9" s="57">
        <f t="shared" si="0"/>
        <v>91650</v>
      </c>
      <c r="K9" s="57">
        <f>F7-J9</f>
        <v>-1328.7960000000166</v>
      </c>
      <c r="L9" s="82" t="s">
        <v>619</v>
      </c>
      <c r="M9" s="79">
        <f>Main!$AD$30*Main!$AD$27*Main!$AD$26</f>
        <v>0</v>
      </c>
      <c r="N9" s="79">
        <f>Main!$AD$31*Main!$AD$26*Main!$AD$27</f>
        <v>1950</v>
      </c>
      <c r="O9" s="79">
        <f>Main!$AD$32*Main!$AD$26*Main!$AD$27</f>
        <v>1950</v>
      </c>
      <c r="P9" s="79">
        <f>Main!$AD$33*Main!$AD$26*Main!$AD$27</f>
        <v>9750</v>
      </c>
      <c r="Q9" s="79">
        <f>Main!$AD$34*Main!$AD$26*Main!$AD$27</f>
        <v>11700</v>
      </c>
      <c r="R9" s="79">
        <f>Main!$AD$35*Main!$AD$26*Main!$AD$27</f>
        <v>15600</v>
      </c>
      <c r="S9" s="79">
        <f>Main!$AD$36*Main!$AD$26*Main!$AD$27</f>
        <v>17550</v>
      </c>
      <c r="T9" s="79">
        <f>Main!$AD$37*Main!$AD$26*Main!$AD$27</f>
        <v>17550</v>
      </c>
      <c r="U9" s="79">
        <f>Main!$AD$38*Main!$AD$26*Main!$AD$27</f>
        <v>15600</v>
      </c>
      <c r="V9" s="79">
        <f>Main!$AD$39*Main!$AD$26*Main!$AD$27</f>
        <v>0</v>
      </c>
      <c r="W9" s="79"/>
      <c r="X9" s="79"/>
      <c r="Y9" s="79"/>
      <c r="Z9" s="79"/>
      <c r="AA9" s="77"/>
    </row>
    <row r="10" spans="2:27" ht="15" customHeight="1" x14ac:dyDescent="0.25">
      <c r="B10" s="159" t="s">
        <v>92</v>
      </c>
      <c r="C10" s="160"/>
      <c r="D10" s="160"/>
      <c r="E10" s="165" t="s">
        <v>73</v>
      </c>
      <c r="F10" s="156">
        <f>SUM(Main!E87,Main!E91,Main!E95,Main!E99,Main!E103,Main!E107,Main!E111)</f>
        <v>52491.48</v>
      </c>
      <c r="G10" s="150" t="s">
        <v>80</v>
      </c>
      <c r="H10" s="102"/>
      <c r="I10" s="102"/>
      <c r="J10" s="88">
        <f t="shared" si="0"/>
        <v>52491</v>
      </c>
      <c r="K10" s="88">
        <f t="shared" ref="K10" si="5">F10-J10</f>
        <v>0.48000000000320142</v>
      </c>
      <c r="L10" s="80" t="s">
        <v>98</v>
      </c>
      <c r="M10" s="64">
        <f>SUM(Main!L87,Main!L91,Main!L95,Main!L99,Main!L103,Main!L107,Main!L111)</f>
        <v>0</v>
      </c>
      <c r="N10" s="78">
        <f>SUM(Main!M87,Main!M91,Main!M95,Main!M99,Main!M103,Main!M107,Main!M111)</f>
        <v>4875</v>
      </c>
      <c r="O10" s="78">
        <f>SUM(Main!N87,Main!N91,Main!N95,Main!N99,Main!N103,Main!N107,Main!N111)</f>
        <v>12754</v>
      </c>
      <c r="P10" s="78">
        <f>SUM(Main!O87,Main!O91,Main!O95,Main!O99,Main!O103,Main!O107,Main!O111)</f>
        <v>11318</v>
      </c>
      <c r="Q10" s="78">
        <f>SUM(Main!P87,Main!P91,Main!P95,Main!P99,Main!P103,Main!P107,Main!P111)</f>
        <v>11668</v>
      </c>
      <c r="R10" s="78">
        <f>SUM(Main!Q87,Main!Q91,Main!Q95,Main!Q99,Main!Q103,Main!Q107,Main!Q111)</f>
        <v>11876</v>
      </c>
      <c r="S10" s="78">
        <f>SUM(Main!R87,Main!R91,Main!R95,Main!R99,Main!R103,Main!R107,Main!R111)</f>
        <v>0</v>
      </c>
      <c r="T10" s="78">
        <f>SUM(Main!S87,Main!S91,Main!S95,Main!S99,Main!S103,Main!S107,Main!S111)</f>
        <v>0</v>
      </c>
      <c r="U10" s="78">
        <f>SUM(Main!T87,Main!T91,Main!T95,Main!T99,Main!T103,Main!T107,Main!T111)</f>
        <v>0</v>
      </c>
      <c r="V10" s="78">
        <f>SUM(Main!U87,Main!U91,Main!U95,Main!U99,Main!U103,Main!U107,Main!U111)</f>
        <v>0</v>
      </c>
      <c r="W10" s="78"/>
      <c r="X10" s="78"/>
      <c r="Y10" s="78"/>
      <c r="Z10" s="78"/>
      <c r="AA10" s="65"/>
    </row>
    <row r="11" spans="2:27" ht="15" customHeight="1" x14ac:dyDescent="0.25">
      <c r="B11" s="161"/>
      <c r="C11" s="162"/>
      <c r="D11" s="162"/>
      <c r="E11" s="166"/>
      <c r="F11" s="157"/>
      <c r="G11" s="151"/>
      <c r="H11" s="108"/>
      <c r="I11" s="108"/>
      <c r="J11" s="56">
        <f t="shared" si="0"/>
        <v>0</v>
      </c>
      <c r="K11" s="56">
        <f t="shared" ref="K11" si="6">F10-J11</f>
        <v>52491.48</v>
      </c>
      <c r="L11" s="81" t="s">
        <v>99</v>
      </c>
      <c r="M11" s="3">
        <f>SUM(Main!L88,Main!L92,Main!L96,Main!L100,Main!L104,Main!L108,Main!L112)</f>
        <v>0</v>
      </c>
      <c r="N11" s="4">
        <f>SUM(Main!M88,Main!M92,Main!M96,Main!M100,Main!M104,Main!M108,Main!M112)</f>
        <v>0</v>
      </c>
      <c r="O11" s="4">
        <f>SUM(Main!N88,Main!N92,Main!N96,Main!N100,Main!N104,Main!N108,Main!N112)</f>
        <v>0</v>
      </c>
      <c r="P11" s="4">
        <f>SUM(Main!O88,Main!O92,Main!O96,Main!O100,Main!O104,Main!O108,Main!O112)</f>
        <v>0</v>
      </c>
      <c r="Q11" s="4">
        <f>SUM(Main!P88,Main!P92,Main!P96,Main!P100,Main!P104,Main!P108,Main!P112)</f>
        <v>0</v>
      </c>
      <c r="R11" s="4">
        <f>SUM(Main!Q88,Main!Q92,Main!Q96,Main!Q100,Main!Q104,Main!Q108,Main!Q112)</f>
        <v>0</v>
      </c>
      <c r="S11" s="4">
        <f>SUM(Main!R88,Main!R92,Main!R96,Main!R100,Main!R104,Main!R108,Main!R112)</f>
        <v>0</v>
      </c>
      <c r="T11" s="4">
        <f>SUM(Main!S88,Main!S92,Main!S96,Main!S100,Main!S104,Main!S108,Main!S112)</f>
        <v>0</v>
      </c>
      <c r="U11" s="4">
        <f>SUM(Main!T88,Main!T92,Main!T96,Main!T100,Main!T104,Main!T108,Main!T112)</f>
        <v>0</v>
      </c>
      <c r="V11" s="4">
        <f>SUM(Main!U88,Main!U92,Main!U96,Main!U100,Main!U104,Main!U108,Main!U112)</f>
        <v>0</v>
      </c>
      <c r="W11" s="4"/>
      <c r="X11" s="4"/>
      <c r="Y11" s="4"/>
      <c r="Z11" s="4"/>
      <c r="AA11" s="8"/>
    </row>
    <row r="12" spans="2:27" ht="15.75" customHeight="1" thickBot="1" x14ac:dyDescent="0.3">
      <c r="B12" s="161"/>
      <c r="C12" s="162"/>
      <c r="D12" s="162"/>
      <c r="E12" s="167"/>
      <c r="F12" s="158"/>
      <c r="G12" s="152"/>
      <c r="H12" s="103"/>
      <c r="I12" s="103"/>
      <c r="J12" s="57">
        <f t="shared" si="0"/>
        <v>58500</v>
      </c>
      <c r="K12" s="57">
        <f>F10-J12</f>
        <v>-6008.5199999999968</v>
      </c>
      <c r="L12" s="82" t="s">
        <v>619</v>
      </c>
      <c r="M12" s="79">
        <f>Main!$AC$46*Main!$AC$42*Main!$AC$43</f>
        <v>0</v>
      </c>
      <c r="N12" s="79">
        <f>Main!$AC$47*Main!$AC$42*Main!$AC$43</f>
        <v>6500</v>
      </c>
      <c r="O12" s="79">
        <f>Main!$AC$48*Main!$AC$42*Main!$AC$43</f>
        <v>13000</v>
      </c>
      <c r="P12" s="79">
        <f>Main!$AC$49*Main!$AC$42*Main!$AC$43</f>
        <v>13000</v>
      </c>
      <c r="Q12" s="79">
        <f>Main!$AC$50*Main!$AC$42*Main!$AC$43</f>
        <v>13000</v>
      </c>
      <c r="R12" s="79">
        <f>Main!$AC$51*Main!$AC$42*Main!$AC$43</f>
        <v>13000</v>
      </c>
      <c r="S12" s="79">
        <f>Main!$AC$52*Main!$AC$42*Main!$AC$43</f>
        <v>0</v>
      </c>
      <c r="T12" s="79">
        <f>Main!$AC$52*Main!$AC$42*Main!$AC$43</f>
        <v>0</v>
      </c>
      <c r="U12" s="79">
        <f>Main!$AC$53*Main!$AC$42*Main!$AC$43</f>
        <v>0</v>
      </c>
      <c r="V12" s="79">
        <f>Main!$AC$53*Main!$AC$42*Main!$AC$43</f>
        <v>0</v>
      </c>
      <c r="W12" s="79"/>
      <c r="X12" s="79"/>
      <c r="Y12" s="79"/>
      <c r="Z12" s="79"/>
      <c r="AA12" s="77"/>
    </row>
    <row r="13" spans="2:27" ht="15" customHeight="1" x14ac:dyDescent="0.25">
      <c r="B13" s="161"/>
      <c r="C13" s="162"/>
      <c r="D13" s="162"/>
      <c r="E13" s="153" t="s">
        <v>74</v>
      </c>
      <c r="F13" s="156">
        <f>SUM(Main!E89,Main!E93,Main!E97,Main!E101,Main!E105,Main!E109,Main!E113)</f>
        <v>34994.32</v>
      </c>
      <c r="G13" s="150" t="s">
        <v>80</v>
      </c>
      <c r="H13" s="102"/>
      <c r="I13" s="102"/>
      <c r="J13" s="88">
        <f t="shared" si="0"/>
        <v>34995</v>
      </c>
      <c r="K13" s="88">
        <f t="shared" ref="K13" si="7">F13-J13</f>
        <v>-0.68000000000029104</v>
      </c>
      <c r="L13" s="83" t="s">
        <v>98</v>
      </c>
      <c r="M13" s="84">
        <f>SUM(Main!L89,Main!L93,Main!L97,Main!L101,Main!L105,Main!L109,Main!L113)</f>
        <v>0</v>
      </c>
      <c r="N13" s="89">
        <f>SUM(Main!M89,Main!M93,Main!M97,Main!M101,Main!M105,Main!M109,Main!M113)</f>
        <v>0</v>
      </c>
      <c r="O13" s="89">
        <f>SUM(Main!N89,Main!N93,Main!N97,Main!N101,Main!N105,Main!N109,Main!N113)</f>
        <v>0</v>
      </c>
      <c r="P13" s="89">
        <f>SUM(Main!O89,Main!O93,Main!O97,Main!O101,Main!O105,Main!O109,Main!O113)</f>
        <v>0</v>
      </c>
      <c r="Q13" s="89">
        <f>SUM(Main!P89,Main!P93,Main!P97,Main!P101,Main!P105,Main!P109,Main!P113)</f>
        <v>3901</v>
      </c>
      <c r="R13" s="89">
        <f>SUM(Main!Q89,Main!Q93,Main!Q97,Main!Q101,Main!Q105,Main!Q109,Main!Q113)</f>
        <v>7000</v>
      </c>
      <c r="S13" s="89">
        <f>SUM(Main!R89,Main!R93,Main!R97,Main!R101,Main!R105,Main!R109,Main!R113)</f>
        <v>8331</v>
      </c>
      <c r="T13" s="89">
        <f>SUM(Main!S89,Main!S93,Main!S97,Main!S101,Main!S105,Main!S109,Main!S113)</f>
        <v>8900</v>
      </c>
      <c r="U13" s="89">
        <f>SUM(Main!T89,Main!T93,Main!T97,Main!T101,Main!T105,Main!T109,Main!T113)</f>
        <v>6863</v>
      </c>
      <c r="V13" s="89">
        <f>SUM(Main!U89,Main!U93,Main!U97,Main!U101,Main!U105,Main!U109,Main!U113)</f>
        <v>0</v>
      </c>
      <c r="W13" s="89"/>
      <c r="X13" s="89"/>
      <c r="Y13" s="89"/>
      <c r="Z13" s="89"/>
      <c r="AA13" s="85"/>
    </row>
    <row r="14" spans="2:27" ht="15" customHeight="1" x14ac:dyDescent="0.25">
      <c r="B14" s="161"/>
      <c r="C14" s="162"/>
      <c r="D14" s="162"/>
      <c r="E14" s="154"/>
      <c r="F14" s="157"/>
      <c r="G14" s="151"/>
      <c r="H14" s="108"/>
      <c r="I14" s="108"/>
      <c r="J14" s="56">
        <f t="shared" si="0"/>
        <v>0</v>
      </c>
      <c r="K14" s="56">
        <f t="shared" ref="K14" si="8">F13-J14</f>
        <v>34994.32</v>
      </c>
      <c r="L14" s="81" t="s">
        <v>99</v>
      </c>
      <c r="M14" s="3">
        <f>SUM(Main!L90,Main!L94,Main!L98,Main!L102,Main!L106,Main!L110,Main!L114)</f>
        <v>0</v>
      </c>
      <c r="N14" s="4">
        <f>SUM(Main!M90,Main!M94,Main!M98,Main!M102,Main!M106,Main!M110,Main!M114)</f>
        <v>0</v>
      </c>
      <c r="O14" s="4">
        <f>SUM(Main!N90,Main!N94,Main!N98,Main!N102,Main!N106,Main!N110,Main!N114)</f>
        <v>0</v>
      </c>
      <c r="P14" s="4">
        <f>SUM(Main!O90,Main!O94,Main!O98,Main!O102,Main!O106,Main!O110,Main!O114)</f>
        <v>0</v>
      </c>
      <c r="Q14" s="4">
        <f>SUM(Main!P90,Main!P94,Main!P98,Main!P102,Main!P106,Main!P110,Main!P114)</f>
        <v>0</v>
      </c>
      <c r="R14" s="4">
        <f>SUM(Main!Q90,Main!Q94,Main!Q98,Main!Q102,Main!Q106,Main!Q110,Main!Q114)</f>
        <v>0</v>
      </c>
      <c r="S14" s="4">
        <f>SUM(Main!R90,Main!R94,Main!R98,Main!R102,Main!R106,Main!R110,Main!R114)</f>
        <v>0</v>
      </c>
      <c r="T14" s="4">
        <f>SUM(Main!S90,Main!S94,Main!S98,Main!S102,Main!S106,Main!S110,Main!S114)</f>
        <v>0</v>
      </c>
      <c r="U14" s="4">
        <f>SUM(Main!T90,Main!T94,Main!T98,Main!T102,Main!T106,Main!T110,Main!T114)</f>
        <v>0</v>
      </c>
      <c r="V14" s="4">
        <f>SUM(Main!U90,Main!U94,Main!U98,Main!U102,Main!U106,Main!U110,Main!U114)</f>
        <v>0</v>
      </c>
      <c r="W14" s="4"/>
      <c r="X14" s="4"/>
      <c r="Y14" s="4"/>
      <c r="Z14" s="4"/>
      <c r="AA14" s="8"/>
    </row>
    <row r="15" spans="2:27" ht="15.75" customHeight="1" thickBot="1" x14ac:dyDescent="0.3">
      <c r="B15" s="163"/>
      <c r="C15" s="164"/>
      <c r="D15" s="164"/>
      <c r="E15" s="155"/>
      <c r="F15" s="158"/>
      <c r="G15" s="152"/>
      <c r="H15" s="103"/>
      <c r="I15" s="103"/>
      <c r="J15" s="57">
        <f t="shared" si="0"/>
        <v>37050</v>
      </c>
      <c r="K15" s="57">
        <f>F13-J15</f>
        <v>-2055.6800000000003</v>
      </c>
      <c r="L15" s="82" t="s">
        <v>619</v>
      </c>
      <c r="M15" s="79">
        <f>Main!$AD$46*Main!$AD$26*Main!$AD$27</f>
        <v>0</v>
      </c>
      <c r="N15" s="79">
        <f>Main!$AD$47*Main!$AD$26*Main!$AD$27</f>
        <v>0</v>
      </c>
      <c r="O15" s="79">
        <f>Main!$AD$48*Main!$AD$26*Main!$AD$27</f>
        <v>0</v>
      </c>
      <c r="P15" s="79">
        <f>Main!$AD$49*Main!$AD$26*Main!$AD$27</f>
        <v>0</v>
      </c>
      <c r="Q15" s="79">
        <f>Main!$AD$50*Main!$AD$26*Main!$AD$27</f>
        <v>5850</v>
      </c>
      <c r="R15" s="79">
        <f>Main!$AD$51*Main!$AD$26*Main!$AD$27</f>
        <v>7800</v>
      </c>
      <c r="S15" s="79">
        <f>Main!$AD$52*Main!$AD$26*Main!$AD$27</f>
        <v>7800</v>
      </c>
      <c r="T15" s="79">
        <f>Main!$AD$53*Main!$AD$26*Main!$AD$27</f>
        <v>7800</v>
      </c>
      <c r="U15" s="79">
        <f>Main!$AD$54*Main!$AD$26*Main!$AD$27</f>
        <v>7800</v>
      </c>
      <c r="V15" s="79">
        <f>Main!$AD$55*Main!$AD$26*Main!$AD$27</f>
        <v>0</v>
      </c>
      <c r="W15" s="79"/>
      <c r="X15" s="79"/>
      <c r="Y15" s="79"/>
      <c r="Z15" s="79"/>
      <c r="AA15" s="77"/>
    </row>
    <row r="16" spans="2:27" ht="15" customHeight="1" x14ac:dyDescent="0.25">
      <c r="B16" s="159" t="s">
        <v>93</v>
      </c>
      <c r="C16" s="160"/>
      <c r="D16" s="160"/>
      <c r="E16" s="165" t="s">
        <v>73</v>
      </c>
      <c r="F16" s="156">
        <f>F4+F10</f>
        <v>187973.28600000002</v>
      </c>
      <c r="G16" s="150" t="s">
        <v>80</v>
      </c>
      <c r="H16" s="102"/>
      <c r="I16" s="102"/>
      <c r="J16" s="88">
        <f t="shared" si="0"/>
        <v>187972.068</v>
      </c>
      <c r="K16" s="88">
        <f t="shared" ref="K16" si="9">F16-J16</f>
        <v>1.2180000000225846</v>
      </c>
      <c r="L16" s="80" t="s">
        <v>98</v>
      </c>
      <c r="M16" s="64">
        <f t="shared" ref="M16:M21" si="10">SUM(M4,M10)</f>
        <v>7692</v>
      </c>
      <c r="N16" s="78">
        <f t="shared" ref="N16:V16" si="11">SUM(N4,N10)</f>
        <v>23454.694000000003</v>
      </c>
      <c r="O16" s="78">
        <f t="shared" si="11"/>
        <v>32624.194</v>
      </c>
      <c r="P16" s="78">
        <f t="shared" si="11"/>
        <v>30751.194000000003</v>
      </c>
      <c r="Q16" s="78">
        <f t="shared" si="11"/>
        <v>30771.962</v>
      </c>
      <c r="R16" s="78">
        <f t="shared" si="11"/>
        <v>37211.962</v>
      </c>
      <c r="S16" s="78">
        <f t="shared" si="11"/>
        <v>25466.061999999998</v>
      </c>
      <c r="T16" s="78">
        <f t="shared" si="11"/>
        <v>0</v>
      </c>
      <c r="U16" s="78">
        <f t="shared" si="11"/>
        <v>0</v>
      </c>
      <c r="V16" s="78">
        <f t="shared" si="11"/>
        <v>0</v>
      </c>
      <c r="W16" s="78"/>
      <c r="X16" s="78"/>
      <c r="Y16" s="78"/>
      <c r="Z16" s="78"/>
      <c r="AA16" s="65"/>
    </row>
    <row r="17" spans="2:27" ht="15" customHeight="1" x14ac:dyDescent="0.25">
      <c r="B17" s="161"/>
      <c r="C17" s="162"/>
      <c r="D17" s="162"/>
      <c r="E17" s="166"/>
      <c r="F17" s="157"/>
      <c r="G17" s="151"/>
      <c r="H17" s="108"/>
      <c r="I17" s="108"/>
      <c r="J17" s="56">
        <f t="shared" si="0"/>
        <v>7692</v>
      </c>
      <c r="K17" s="56">
        <f>F16-J17</f>
        <v>180281.28600000002</v>
      </c>
      <c r="L17" s="81" t="s">
        <v>99</v>
      </c>
      <c r="M17" s="3">
        <f t="shared" si="10"/>
        <v>7692</v>
      </c>
      <c r="N17" s="3">
        <f t="shared" ref="N17:V17" si="12">SUM(N5,N11)</f>
        <v>0</v>
      </c>
      <c r="O17" s="3">
        <f t="shared" si="12"/>
        <v>0</v>
      </c>
      <c r="P17" s="3">
        <f t="shared" si="12"/>
        <v>0</v>
      </c>
      <c r="Q17" s="3">
        <f t="shared" si="12"/>
        <v>0</v>
      </c>
      <c r="R17" s="3">
        <f t="shared" si="12"/>
        <v>0</v>
      </c>
      <c r="S17" s="3">
        <f t="shared" si="12"/>
        <v>0</v>
      </c>
      <c r="T17" s="3">
        <f t="shared" si="12"/>
        <v>0</v>
      </c>
      <c r="U17" s="3">
        <f t="shared" si="12"/>
        <v>0</v>
      </c>
      <c r="V17" s="3">
        <f t="shared" si="12"/>
        <v>0</v>
      </c>
      <c r="W17" s="3"/>
      <c r="X17" s="3"/>
      <c r="Y17" s="3"/>
      <c r="Z17" s="3"/>
      <c r="AA17" s="128"/>
    </row>
    <row r="18" spans="2:27" ht="15.75" customHeight="1" thickBot="1" x14ac:dyDescent="0.3">
      <c r="B18" s="161"/>
      <c r="C18" s="162"/>
      <c r="D18" s="162"/>
      <c r="E18" s="167"/>
      <c r="F18" s="158"/>
      <c r="G18" s="152"/>
      <c r="H18" s="103"/>
      <c r="I18" s="103"/>
      <c r="J18" s="57">
        <f t="shared" si="0"/>
        <v>198900</v>
      </c>
      <c r="K18" s="57">
        <f>F16-J18</f>
        <v>-10926.713999999978</v>
      </c>
      <c r="L18" s="82" t="s">
        <v>619</v>
      </c>
      <c r="M18" s="79">
        <f t="shared" si="10"/>
        <v>10400</v>
      </c>
      <c r="N18" s="79">
        <f t="shared" ref="N18:V18" si="13">SUM(N6,N12)</f>
        <v>22750</v>
      </c>
      <c r="O18" s="79">
        <f t="shared" si="13"/>
        <v>32500</v>
      </c>
      <c r="P18" s="79">
        <f t="shared" si="13"/>
        <v>32500</v>
      </c>
      <c r="Q18" s="79">
        <f t="shared" si="13"/>
        <v>35750</v>
      </c>
      <c r="R18" s="79">
        <f t="shared" si="13"/>
        <v>39000</v>
      </c>
      <c r="S18" s="79">
        <f t="shared" si="13"/>
        <v>26000</v>
      </c>
      <c r="T18" s="79">
        <f t="shared" si="13"/>
        <v>0</v>
      </c>
      <c r="U18" s="79">
        <f t="shared" si="13"/>
        <v>0</v>
      </c>
      <c r="V18" s="79">
        <f t="shared" si="13"/>
        <v>0</v>
      </c>
      <c r="W18" s="79"/>
      <c r="X18" s="79"/>
      <c r="Y18" s="79"/>
      <c r="Z18" s="79"/>
      <c r="AA18" s="77"/>
    </row>
    <row r="19" spans="2:27" ht="15" customHeight="1" x14ac:dyDescent="0.25">
      <c r="B19" s="161"/>
      <c r="C19" s="162"/>
      <c r="D19" s="162"/>
      <c r="E19" s="153" t="s">
        <v>74</v>
      </c>
      <c r="F19" s="156">
        <f>F7+F13</f>
        <v>125315.52399999998</v>
      </c>
      <c r="G19" s="150" t="s">
        <v>80</v>
      </c>
      <c r="H19" s="102"/>
      <c r="I19" s="102"/>
      <c r="J19" s="88">
        <f t="shared" si="0"/>
        <v>125315</v>
      </c>
      <c r="K19" s="88">
        <f t="shared" ref="K19" si="14">F19-J19</f>
        <v>0.52399999997578561</v>
      </c>
      <c r="L19" s="83" t="s">
        <v>98</v>
      </c>
      <c r="M19" s="84">
        <f t="shared" si="10"/>
        <v>0</v>
      </c>
      <c r="N19" s="89">
        <f t="shared" ref="N19:V19" si="15">SUM(N7,N13)</f>
        <v>1303</v>
      </c>
      <c r="O19" s="89">
        <f t="shared" si="15"/>
        <v>1413</v>
      </c>
      <c r="P19" s="89">
        <f t="shared" si="15"/>
        <v>9200</v>
      </c>
      <c r="Q19" s="89">
        <f t="shared" si="15"/>
        <v>16401</v>
      </c>
      <c r="R19" s="89">
        <f t="shared" si="15"/>
        <v>20874</v>
      </c>
      <c r="S19" s="89">
        <f t="shared" si="15"/>
        <v>27185</v>
      </c>
      <c r="T19" s="89">
        <f t="shared" si="15"/>
        <v>26388</v>
      </c>
      <c r="U19" s="89">
        <f t="shared" si="15"/>
        <v>22551</v>
      </c>
      <c r="V19" s="89">
        <f t="shared" si="15"/>
        <v>0</v>
      </c>
      <c r="W19" s="89"/>
      <c r="X19" s="89"/>
      <c r="Y19" s="89"/>
      <c r="Z19" s="89"/>
      <c r="AA19" s="85"/>
    </row>
    <row r="20" spans="2:27" ht="15" customHeight="1" x14ac:dyDescent="0.25">
      <c r="B20" s="161"/>
      <c r="C20" s="162"/>
      <c r="D20" s="162"/>
      <c r="E20" s="154"/>
      <c r="F20" s="157"/>
      <c r="G20" s="151"/>
      <c r="H20" s="108"/>
      <c r="I20" s="108"/>
      <c r="J20" s="56">
        <f t="shared" si="0"/>
        <v>0</v>
      </c>
      <c r="K20" s="56">
        <f t="shared" ref="K20" si="16">F19-J20</f>
        <v>125315.52399999998</v>
      </c>
      <c r="L20" s="81" t="s">
        <v>99</v>
      </c>
      <c r="M20" s="3">
        <f t="shared" si="10"/>
        <v>0</v>
      </c>
      <c r="N20" s="3">
        <f t="shared" ref="N20:V20" si="17">SUM(N8,N14)</f>
        <v>0</v>
      </c>
      <c r="O20" s="3">
        <f t="shared" si="17"/>
        <v>0</v>
      </c>
      <c r="P20" s="3">
        <f t="shared" si="17"/>
        <v>0</v>
      </c>
      <c r="Q20" s="3">
        <f t="shared" si="17"/>
        <v>0</v>
      </c>
      <c r="R20" s="3">
        <f t="shared" si="17"/>
        <v>0</v>
      </c>
      <c r="S20" s="3">
        <f t="shared" si="17"/>
        <v>0</v>
      </c>
      <c r="T20" s="3">
        <f t="shared" si="17"/>
        <v>0</v>
      </c>
      <c r="U20" s="3">
        <f t="shared" si="17"/>
        <v>0</v>
      </c>
      <c r="V20" s="3">
        <f t="shared" si="17"/>
        <v>0</v>
      </c>
      <c r="W20" s="3"/>
      <c r="X20" s="3"/>
      <c r="Y20" s="3"/>
      <c r="Z20" s="3"/>
      <c r="AA20" s="128"/>
    </row>
    <row r="21" spans="2:27" ht="15.75" customHeight="1" thickBot="1" x14ac:dyDescent="0.3">
      <c r="B21" s="163"/>
      <c r="C21" s="164"/>
      <c r="D21" s="164"/>
      <c r="E21" s="155"/>
      <c r="F21" s="158"/>
      <c r="G21" s="152"/>
      <c r="H21" s="103"/>
      <c r="I21" s="103"/>
      <c r="J21" s="57">
        <f t="shared" si="0"/>
        <v>128700</v>
      </c>
      <c r="K21" s="57">
        <f>F19-J21</f>
        <v>-3384.4760000000242</v>
      </c>
      <c r="L21" s="82" t="s">
        <v>619</v>
      </c>
      <c r="M21" s="79">
        <f t="shared" si="10"/>
        <v>0</v>
      </c>
      <c r="N21" s="79">
        <f t="shared" ref="N21:V21" si="18">SUM(N9,N15)</f>
        <v>1950</v>
      </c>
      <c r="O21" s="79">
        <f t="shared" si="18"/>
        <v>1950</v>
      </c>
      <c r="P21" s="79">
        <f t="shared" si="18"/>
        <v>9750</v>
      </c>
      <c r="Q21" s="79">
        <f t="shared" si="18"/>
        <v>17550</v>
      </c>
      <c r="R21" s="79">
        <f t="shared" si="18"/>
        <v>23400</v>
      </c>
      <c r="S21" s="79">
        <f t="shared" si="18"/>
        <v>25350</v>
      </c>
      <c r="T21" s="79">
        <f t="shared" si="18"/>
        <v>25350</v>
      </c>
      <c r="U21" s="79">
        <f t="shared" si="18"/>
        <v>23400</v>
      </c>
      <c r="V21" s="79">
        <f t="shared" si="18"/>
        <v>0</v>
      </c>
      <c r="W21" s="79"/>
      <c r="X21" s="79"/>
      <c r="Y21" s="79"/>
      <c r="Z21" s="79"/>
      <c r="AA21" s="77"/>
    </row>
    <row r="22" spans="2:27" ht="15.75" thickBot="1" x14ac:dyDescent="0.3"/>
    <row r="23" spans="2:27" ht="21.75" thickBot="1" x14ac:dyDescent="0.3">
      <c r="B23" s="174" t="s">
        <v>77</v>
      </c>
      <c r="C23" s="175"/>
      <c r="D23" s="175"/>
      <c r="E23" s="122"/>
      <c r="F23" s="123"/>
      <c r="G23" s="122"/>
      <c r="H23" s="125"/>
      <c r="I23" s="125"/>
      <c r="J23" s="126"/>
      <c r="K23" s="126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 t="s">
        <v>96</v>
      </c>
      <c r="Y23" s="122"/>
      <c r="Z23" s="122" t="s">
        <v>97</v>
      </c>
      <c r="AA23" s="124"/>
    </row>
    <row r="24" spans="2:27" ht="30.75" thickBot="1" x14ac:dyDescent="0.3">
      <c r="B24" s="116"/>
      <c r="C24" s="117"/>
      <c r="D24" s="117"/>
      <c r="E24" s="118"/>
      <c r="F24" s="119" t="s">
        <v>2</v>
      </c>
      <c r="G24" s="120" t="s">
        <v>76</v>
      </c>
      <c r="H24" s="101" t="s">
        <v>622</v>
      </c>
      <c r="I24" s="101" t="s">
        <v>623</v>
      </c>
      <c r="J24" s="56"/>
      <c r="K24" s="56"/>
      <c r="L24" s="121"/>
      <c r="M24" s="121">
        <v>45231</v>
      </c>
      <c r="N24" s="121">
        <v>45261</v>
      </c>
      <c r="O24" s="121">
        <v>45292</v>
      </c>
      <c r="P24" s="121">
        <v>45323</v>
      </c>
      <c r="Q24" s="121">
        <v>45352</v>
      </c>
      <c r="R24" s="121">
        <v>45383</v>
      </c>
      <c r="S24" s="121">
        <v>45413</v>
      </c>
      <c r="T24" s="121">
        <v>45444</v>
      </c>
      <c r="U24" s="121">
        <v>45474</v>
      </c>
      <c r="V24" s="121">
        <v>45505</v>
      </c>
      <c r="W24" s="121">
        <v>45536</v>
      </c>
      <c r="X24" s="121">
        <v>45566</v>
      </c>
      <c r="Y24" s="121">
        <v>45597</v>
      </c>
      <c r="Z24" s="121">
        <v>45627</v>
      </c>
      <c r="AA24" s="127" t="s">
        <v>101</v>
      </c>
    </row>
    <row r="25" spans="2:27" x14ac:dyDescent="0.25">
      <c r="B25" s="176" t="s">
        <v>72</v>
      </c>
      <c r="C25" s="177"/>
      <c r="D25" s="177"/>
      <c r="E25" s="165" t="s">
        <v>6</v>
      </c>
      <c r="F25" s="150">
        <f>SUM(Main!E137,Main!E141,Main!E145,Main!E149,Main!E153,Main!E157,Main!E162,Main!E166,Main!E170,Main!E174,Main!E178,Main!E182,Main!E186,Main!E190,Main!E194,Main!E198,Main!E202,Main!E207)</f>
        <v>3901.45</v>
      </c>
      <c r="G25" s="150" t="s">
        <v>1</v>
      </c>
      <c r="H25" s="102"/>
      <c r="I25" s="102"/>
      <c r="J25" s="97">
        <f>SUM(M25:Z25)</f>
        <v>0</v>
      </c>
      <c r="K25" s="98">
        <f>F25-J25</f>
        <v>3901.45</v>
      </c>
      <c r="L25" s="80" t="s">
        <v>98</v>
      </c>
      <c r="M25" s="78"/>
      <c r="N25" s="78">
        <f t="shared" ref="N25:Z26" si="19">P114+P109+P105+P101+P97+P93+P89+P85+P81+P77+P73+P69+P64+P60+P56+P52+P48+P44</f>
        <v>0</v>
      </c>
      <c r="O25" s="78">
        <f t="shared" si="19"/>
        <v>0</v>
      </c>
      <c r="P25" s="78">
        <f t="shared" si="19"/>
        <v>0</v>
      </c>
      <c r="Q25" s="78">
        <f t="shared" si="19"/>
        <v>0</v>
      </c>
      <c r="R25" s="78">
        <f t="shared" si="19"/>
        <v>0</v>
      </c>
      <c r="S25" s="78">
        <f t="shared" si="19"/>
        <v>0</v>
      </c>
      <c r="T25" s="78">
        <f t="shared" si="19"/>
        <v>0</v>
      </c>
      <c r="U25" s="78">
        <f t="shared" si="19"/>
        <v>0</v>
      </c>
      <c r="V25" s="78">
        <f t="shared" si="19"/>
        <v>0</v>
      </c>
      <c r="W25" s="78">
        <f t="shared" si="19"/>
        <v>0</v>
      </c>
      <c r="X25" s="78">
        <f t="shared" si="19"/>
        <v>0</v>
      </c>
      <c r="Y25" s="78">
        <f t="shared" si="19"/>
        <v>0</v>
      </c>
      <c r="Z25" s="78">
        <f t="shared" si="19"/>
        <v>0</v>
      </c>
      <c r="AA25" s="65"/>
    </row>
    <row r="26" spans="2:27" x14ac:dyDescent="0.25">
      <c r="B26" s="178"/>
      <c r="C26" s="179"/>
      <c r="D26" s="179"/>
      <c r="E26" s="166"/>
      <c r="F26" s="151"/>
      <c r="G26" s="151"/>
      <c r="H26" s="108"/>
      <c r="I26" s="108"/>
      <c r="J26" s="55">
        <f>SUM(M26:Z26)</f>
        <v>0</v>
      </c>
      <c r="K26" s="16">
        <f>F25-J26</f>
        <v>3901.45</v>
      </c>
      <c r="L26" s="81" t="s">
        <v>99</v>
      </c>
      <c r="M26" s="4"/>
      <c r="N26" s="4">
        <f t="shared" si="19"/>
        <v>0</v>
      </c>
      <c r="O26" s="4">
        <f t="shared" si="19"/>
        <v>0</v>
      </c>
      <c r="P26" s="4">
        <f t="shared" si="19"/>
        <v>0</v>
      </c>
      <c r="Q26" s="4">
        <f t="shared" si="19"/>
        <v>0</v>
      </c>
      <c r="R26" s="4">
        <f t="shared" si="19"/>
        <v>0</v>
      </c>
      <c r="S26" s="4">
        <f t="shared" si="19"/>
        <v>0</v>
      </c>
      <c r="T26" s="4">
        <f t="shared" si="19"/>
        <v>0</v>
      </c>
      <c r="U26" s="4">
        <f t="shared" si="19"/>
        <v>0</v>
      </c>
      <c r="V26" s="4">
        <f t="shared" si="19"/>
        <v>0</v>
      </c>
      <c r="W26" s="4">
        <f t="shared" si="19"/>
        <v>0</v>
      </c>
      <c r="X26" s="4">
        <f t="shared" si="19"/>
        <v>0</v>
      </c>
      <c r="Y26" s="4">
        <f t="shared" si="19"/>
        <v>0</v>
      </c>
      <c r="Z26" s="4">
        <f t="shared" si="19"/>
        <v>0</v>
      </c>
      <c r="AA26" s="8"/>
    </row>
    <row r="27" spans="2:27" ht="15.75" thickBot="1" x14ac:dyDescent="0.3">
      <c r="B27" s="178"/>
      <c r="C27" s="179"/>
      <c r="D27" s="179"/>
      <c r="E27" s="166"/>
      <c r="F27" s="151"/>
      <c r="G27" s="151"/>
      <c r="H27" s="108"/>
      <c r="I27" s="108"/>
      <c r="J27" s="55"/>
      <c r="K27" s="16"/>
      <c r="L27" s="114" t="s">
        <v>619</v>
      </c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10"/>
    </row>
    <row r="28" spans="2:27" x14ac:dyDescent="0.25">
      <c r="B28" s="178"/>
      <c r="C28" s="179"/>
      <c r="D28" s="179"/>
      <c r="E28" s="168" t="s">
        <v>7</v>
      </c>
      <c r="F28" s="171">
        <f>SUM(Main!E137,Main!E141,Main!E145,Main!E149,Main!E153,Main!E157,Main!E162,Main!E166,Main!E170,Main!E174,Main!E178,Main!E182,Main!E186,Main!E190,Main!E194,Main!E198,Main!E202,Main!E207)</f>
        <v>3901.45</v>
      </c>
      <c r="G28" s="171" t="s">
        <v>1</v>
      </c>
      <c r="H28" s="102"/>
      <c r="I28" s="102"/>
      <c r="J28" s="97">
        <f t="shared" ref="J28:J42" si="20">SUM(M28:Z28)</f>
        <v>3902</v>
      </c>
      <c r="K28" s="98">
        <f>F28-J28</f>
        <v>-0.5500000000001819</v>
      </c>
      <c r="L28" s="83" t="s">
        <v>98</v>
      </c>
      <c r="M28" s="89">
        <f>SUM(Main!L139,Main!L143,Main!L147,Main!L151,Main!L155,Main!L159,Main!L164,Main!L168,Main!L172,Main!L176,Main!L180,Main!L184,Main!L188,Main!L192,Main!L196,Main!L200,Main!L204,Main!L209)</f>
        <v>400</v>
      </c>
      <c r="N28" s="89">
        <f>SUM(Main!M139,Main!M143,Main!M147,Main!M151,Main!M155,Main!M159,Main!M164,Main!M168,Main!M172,Main!M176,Main!M180,Main!M184,Main!M188,Main!M192,Main!M196,Main!M200,Main!M204,Main!M209)</f>
        <v>473.5</v>
      </c>
      <c r="O28" s="89">
        <f>SUM(Main!N139,Main!N143,Main!N147,Main!N151,Main!N155,Main!N159,Main!N164,Main!N168,Main!N172,Main!N176,Main!N180,Main!N184,Main!N188,Main!N192,Main!N196,Main!N200,Main!N204,Main!N209)</f>
        <v>551.5</v>
      </c>
      <c r="P28" s="89">
        <f>SUM(Main!O139,Main!O143,Main!O147,Main!O151,Main!O155,Main!O159,Main!O164,Main!O168,Main!O172,Main!O176,Main!O180,Main!O184,Main!O188,Main!O192,Main!O196,Main!O200,Main!O204,Main!O209)</f>
        <v>561.5</v>
      </c>
      <c r="Q28" s="89">
        <f>SUM(Main!P139,Main!P143,Main!P147,Main!P151,Main!P155,Main!P159,Main!P164,Main!P168,Main!P172,Main!P176,Main!P180,Main!P184,Main!P188,Main!P192,Main!P196,Main!P200,Main!P204,Main!P209)</f>
        <v>556.5</v>
      </c>
      <c r="R28" s="89">
        <f>SUM(Main!Q139,Main!Q143,Main!Q147,Main!Q151,Main!Q155,Main!Q159,Main!Q164,Main!Q168,Main!Q172,Main!Q176,Main!Q180,Main!Q184,Main!Q188,Main!Q192,Main!Q196,Main!Q200,Main!Q204,Main!Q209)</f>
        <v>613</v>
      </c>
      <c r="S28" s="89">
        <f>SUM(Main!R139,Main!R143,Main!R147,Main!R151,Main!R155,Main!R159,Main!R164,Main!R168,Main!R172,Main!R176,Main!R180,Main!R184,Main!R188,Main!R192,Main!R196,Main!R200,Main!R204,Main!R209)</f>
        <v>401</v>
      </c>
      <c r="T28" s="89">
        <f>SUM(Main!S139,Main!S143,Main!S147,Main!S151,Main!S155,Main!S159,Main!S164,Main!S168,Main!S172,Main!S176,Main!S180,Main!S184,Main!S188,Main!S192,Main!S196,Main!S200,Main!S204,Main!S209)</f>
        <v>345</v>
      </c>
      <c r="U28" s="89">
        <f>SUM(Main!T139,Main!T143,Main!T147,Main!T151,Main!T155,Main!T159,Main!T164,Main!T168,Main!T172,Main!T176,Main!T180,Main!T184,Main!T188,Main!T192,Main!T196,Main!T200,Main!T204,Main!T209)</f>
        <v>0</v>
      </c>
      <c r="V28" s="89">
        <f>SUM(Main!U139,Main!U143,Main!U147,Main!U151,Main!U155,Main!U159,Main!U164,Main!U168,Main!U172,Main!U176,Main!U180,Main!U184,Main!U188,Main!U192,Main!U196,Main!U200,Main!U204,Main!U209)</f>
        <v>0</v>
      </c>
      <c r="W28" s="89">
        <f>SUM(Main!V139,Main!V143,Main!V147,Main!V151,Main!V155,Main!V159,Main!V164,Main!V168,Main!V172,Main!V176,Main!V180,Main!V184,Main!V188,Main!V192,Main!V196,Main!V200,Main!V204,Main!V209)</f>
        <v>0</v>
      </c>
      <c r="X28" s="89">
        <f>SUM(Main!W139,Main!W143,Main!W147,Main!W151,Main!W155,Main!W159,Main!W164,Main!W168,Main!W172,Main!W176,Main!W180,Main!W184,Main!W188,Main!W192,Main!W196,Main!W200,Main!W204,Main!W209)</f>
        <v>0</v>
      </c>
      <c r="Y28" s="89">
        <f>SUM(Main!X139,Main!X143,Main!X147,Main!X151,Main!X155,Main!X159,Main!X164,Main!X168,Main!X172,Main!X176,Main!X180,Main!X184,Main!X188,Main!X192,Main!X196,Main!X200,Main!X204,Main!X209)</f>
        <v>0</v>
      </c>
      <c r="Z28" s="89">
        <f>SUM(Main!Y139,Main!Y143,Main!Y147,Main!Y151,Main!Y155,Main!Y159,Main!Y164,Main!Y168,Main!Y172,Main!Y176,Main!Y180,Main!Y184,Main!Y188,Main!Y192,Main!Y196,Main!Y200,Main!Y204,Main!Y209)</f>
        <v>0</v>
      </c>
      <c r="AA28" s="85"/>
    </row>
    <row r="29" spans="2:27" x14ac:dyDescent="0.25">
      <c r="B29" s="178"/>
      <c r="C29" s="179"/>
      <c r="D29" s="179"/>
      <c r="E29" s="169"/>
      <c r="F29" s="172"/>
      <c r="G29" s="172"/>
      <c r="H29" s="108"/>
      <c r="I29" s="108"/>
      <c r="J29" s="55">
        <f t="shared" si="20"/>
        <v>400</v>
      </c>
      <c r="K29" s="16">
        <f>F28-J29</f>
        <v>3501.45</v>
      </c>
      <c r="L29" s="81" t="s">
        <v>99</v>
      </c>
      <c r="M29" s="4">
        <f>SUM(Main!L140,Main!L144,Main!L148,Main!L152,Main!L156,Main!L160,Main!L165,Main!L169,Main!L173,Main!L177,Main!L181,Main!L185,Main!L189,Main!L193,Main!L197,Main!L201,Main!L205,Main!L210)</f>
        <v>400</v>
      </c>
      <c r="N29" s="4">
        <f>SUM(Main!M140,Main!M144,Main!M148,Main!M152,Main!M156,Main!M160,Main!M165,Main!M169,Main!M173,Main!M177,Main!M181,Main!M185,Main!M189,Main!M193,Main!M197,Main!M201,Main!M205,Main!M210)</f>
        <v>0</v>
      </c>
      <c r="O29" s="4">
        <f>SUM(Main!N140,Main!N144,Main!N148,Main!N152,Main!N156,Main!N160,Main!N165,Main!N169,Main!N173,Main!N177,Main!N181,Main!N185,Main!N189,Main!N193,Main!N197,Main!N201,Main!N205,Main!N210)</f>
        <v>0</v>
      </c>
      <c r="P29" s="4">
        <f>SUM(Main!O140,Main!O144,Main!O148,Main!O152,Main!O156,Main!O160,Main!O165,Main!O169,Main!O173,Main!O177,Main!O181,Main!O185,Main!O189,Main!O193,Main!O197,Main!O201,Main!O205,Main!O210)</f>
        <v>0</v>
      </c>
      <c r="Q29" s="4">
        <f>SUM(Main!P140,Main!P144,Main!P148,Main!P152,Main!P156,Main!P160,Main!P165,Main!P169,Main!P173,Main!P177,Main!P181,Main!P185,Main!P189,Main!P193,Main!P197,Main!P201,Main!P205,Main!P210)</f>
        <v>0</v>
      </c>
      <c r="R29" s="4">
        <f>SUM(Main!Q140,Main!Q144,Main!Q148,Main!Q152,Main!Q156,Main!Q160,Main!Q165,Main!Q169,Main!Q173,Main!Q177,Main!Q181,Main!Q185,Main!Q189,Main!Q193,Main!Q197,Main!Q201,Main!Q205,Main!Q210)</f>
        <v>0</v>
      </c>
      <c r="S29" s="4">
        <f>SUM(Main!R140,Main!R144,Main!R148,Main!R152,Main!R156,Main!R160,Main!R165,Main!R169,Main!R173,Main!R177,Main!R181,Main!R185,Main!R189,Main!R193,Main!R197,Main!R201,Main!R205,Main!R210)</f>
        <v>0</v>
      </c>
      <c r="T29" s="4">
        <f>SUM(Main!S140,Main!S144,Main!S148,Main!S152,Main!S156,Main!S160,Main!S165,Main!S169,Main!S173,Main!S177,Main!S181,Main!S185,Main!S189,Main!S193,Main!S197,Main!S201,Main!S205,Main!S210)</f>
        <v>0</v>
      </c>
      <c r="U29" s="4">
        <f>SUM(Main!T140,Main!T144,Main!T148,Main!T152,Main!T156,Main!T160,Main!T165,Main!T169,Main!T173,Main!T177,Main!T181,Main!T185,Main!T189,Main!T193,Main!T197,Main!T201,Main!T205,Main!T210)</f>
        <v>0</v>
      </c>
      <c r="V29" s="4">
        <f>SUM(Main!U140,Main!U144,Main!U148,Main!U152,Main!U156,Main!U160,Main!U165,Main!U169,Main!U173,Main!U177,Main!U181,Main!U185,Main!U189,Main!U193,Main!U197,Main!U201,Main!U205,Main!U210)</f>
        <v>0</v>
      </c>
      <c r="W29" s="4">
        <f>SUM(Main!V140,Main!V144,Main!V148,Main!V152,Main!V156,Main!V160,Main!V165,Main!V169,Main!V173,Main!V177,Main!V181,Main!V185,Main!V189,Main!V193,Main!V197,Main!V201,Main!V205,Main!V210)</f>
        <v>0</v>
      </c>
      <c r="X29" s="4">
        <f>SUM(Main!W140,Main!W144,Main!W148,Main!W152,Main!W156,Main!W160,Main!W165,Main!W169,Main!W173,Main!W177,Main!W181,Main!W185,Main!W189,Main!W193,Main!W197,Main!W201,Main!W205,Main!W210)</f>
        <v>0</v>
      </c>
      <c r="Y29" s="4">
        <f>SUM(Main!X140,Main!X144,Main!X148,Main!X152,Main!X156,Main!X160,Main!X165,Main!X169,Main!X173,Main!X177,Main!X181,Main!X185,Main!X189,Main!X193,Main!X197,Main!X201,Main!X205,Main!X210)</f>
        <v>0</v>
      </c>
      <c r="Z29" s="4">
        <f>SUM(Main!Y140,Main!Y144,Main!Y148,Main!Y152,Main!Y156,Main!Y160,Main!Y165,Main!Y169,Main!Y173,Main!Y177,Main!Y181,Main!Y185,Main!Y189,Main!Y193,Main!Y197,Main!Y201,Main!Y205,Main!Y210)</f>
        <v>0</v>
      </c>
      <c r="AA29" s="8"/>
    </row>
    <row r="30" spans="2:27" ht="15.75" thickBot="1" x14ac:dyDescent="0.3">
      <c r="B30" s="180"/>
      <c r="C30" s="181"/>
      <c r="D30" s="181"/>
      <c r="E30" s="170"/>
      <c r="F30" s="173"/>
      <c r="G30" s="173"/>
      <c r="H30" s="103"/>
      <c r="I30" s="103"/>
      <c r="J30" s="60">
        <f t="shared" si="20"/>
        <v>4030</v>
      </c>
      <c r="K30" s="72">
        <f>F28-J30</f>
        <v>-128.55000000000018</v>
      </c>
      <c r="L30" s="82" t="s">
        <v>619</v>
      </c>
      <c r="M30" s="79">
        <f>Main!$AD$142*Main!$AD$144*Main!$AC$148</f>
        <v>455</v>
      </c>
      <c r="N30" s="79">
        <f>Main!$AD$142*Main!$AD$144*Main!$AC$149</f>
        <v>455</v>
      </c>
      <c r="O30" s="79">
        <f>Main!$AD$142*Main!$AD$144*Main!$AC$150</f>
        <v>585</v>
      </c>
      <c r="P30" s="79">
        <f>Main!$AD$142*Main!$AD$144*Main!$AC$151</f>
        <v>585</v>
      </c>
      <c r="Q30" s="79">
        <f>Main!$AD$142*Main!$AD$144*Main!$AC$152</f>
        <v>585</v>
      </c>
      <c r="R30" s="79">
        <f>Main!$AD$142*Main!$AD$144*Main!$AC$153</f>
        <v>585</v>
      </c>
      <c r="S30" s="79">
        <f>Main!$AD$142*Main!$AD$144*Main!$AC$154</f>
        <v>455</v>
      </c>
      <c r="T30" s="79">
        <f>Main!$AD$142*Main!$AD$144*Main!$AC$155</f>
        <v>325</v>
      </c>
      <c r="U30" s="79">
        <f>Main!$AD$142*Main!$AD$144*Main!$AC$156</f>
        <v>0</v>
      </c>
      <c r="V30" s="79">
        <f>Main!$AD$142*Main!$AD$144*Main!$AC$156</f>
        <v>0</v>
      </c>
      <c r="W30" s="79">
        <f>Main!$AD$142*Main!$AD$144*Main!$AC$156</f>
        <v>0</v>
      </c>
      <c r="X30" s="79">
        <f>Main!$AD$142*Main!$AD$144*Main!$AC$156</f>
        <v>0</v>
      </c>
      <c r="Y30" s="79">
        <f>Main!$AD$142*Main!$AD$144*Main!$AC$156</f>
        <v>0</v>
      </c>
      <c r="Z30" s="79">
        <f>Main!$AD$142*Main!$AD$144*Main!$AC$156</f>
        <v>0</v>
      </c>
      <c r="AA30" s="77"/>
    </row>
    <row r="31" spans="2:27" x14ac:dyDescent="0.25">
      <c r="B31" s="176" t="s">
        <v>70</v>
      </c>
      <c r="C31" s="177"/>
      <c r="D31" s="177"/>
      <c r="E31" s="166" t="s">
        <v>6</v>
      </c>
      <c r="F31" s="151">
        <f>SUM(Main!E212,Main!E216,Main!E220,Main!E224)</f>
        <v>1216</v>
      </c>
      <c r="G31" s="151" t="s">
        <v>1</v>
      </c>
      <c r="H31" s="108"/>
      <c r="I31" s="108"/>
      <c r="J31" s="55">
        <f t="shared" si="20"/>
        <v>0</v>
      </c>
      <c r="K31" s="16">
        <f>F31-J31</f>
        <v>1216</v>
      </c>
      <c r="L31" s="115" t="s">
        <v>98</v>
      </c>
      <c r="M31" s="111"/>
      <c r="N31" s="111">
        <f t="shared" ref="N31:Z32" si="21">P119+P123+P127+P131</f>
        <v>0</v>
      </c>
      <c r="O31" s="111">
        <f t="shared" si="21"/>
        <v>0</v>
      </c>
      <c r="P31" s="111">
        <f t="shared" si="21"/>
        <v>0</v>
      </c>
      <c r="Q31" s="111">
        <f t="shared" si="21"/>
        <v>0</v>
      </c>
      <c r="R31" s="111">
        <f t="shared" si="21"/>
        <v>0</v>
      </c>
      <c r="S31" s="111">
        <f t="shared" si="21"/>
        <v>0</v>
      </c>
      <c r="T31" s="111">
        <f t="shared" si="21"/>
        <v>0</v>
      </c>
      <c r="U31" s="111">
        <f t="shared" si="21"/>
        <v>0</v>
      </c>
      <c r="V31" s="111">
        <f t="shared" si="21"/>
        <v>0</v>
      </c>
      <c r="W31" s="111">
        <f t="shared" si="21"/>
        <v>0</v>
      </c>
      <c r="X31" s="111">
        <f t="shared" si="21"/>
        <v>0</v>
      </c>
      <c r="Y31" s="111">
        <f t="shared" si="21"/>
        <v>0</v>
      </c>
      <c r="Z31" s="111">
        <f t="shared" si="21"/>
        <v>0</v>
      </c>
      <c r="AA31" s="112"/>
    </row>
    <row r="32" spans="2:27" x14ac:dyDescent="0.25">
      <c r="B32" s="178"/>
      <c r="C32" s="179"/>
      <c r="D32" s="179"/>
      <c r="E32" s="166"/>
      <c r="F32" s="151"/>
      <c r="G32" s="151"/>
      <c r="H32" s="108"/>
      <c r="I32" s="108"/>
      <c r="J32" s="55">
        <f t="shared" si="20"/>
        <v>0</v>
      </c>
      <c r="K32" s="16">
        <f>F31-J32</f>
        <v>1216</v>
      </c>
      <c r="L32" s="81" t="s">
        <v>99</v>
      </c>
      <c r="M32" s="4"/>
      <c r="N32" s="4">
        <f t="shared" si="21"/>
        <v>0</v>
      </c>
      <c r="O32" s="4">
        <f t="shared" si="21"/>
        <v>0</v>
      </c>
      <c r="P32" s="4">
        <f t="shared" si="21"/>
        <v>0</v>
      </c>
      <c r="Q32" s="4">
        <f t="shared" si="21"/>
        <v>0</v>
      </c>
      <c r="R32" s="4">
        <f t="shared" si="21"/>
        <v>0</v>
      </c>
      <c r="S32" s="4">
        <f t="shared" si="21"/>
        <v>0</v>
      </c>
      <c r="T32" s="4">
        <f t="shared" si="21"/>
        <v>0</v>
      </c>
      <c r="U32" s="4">
        <f t="shared" si="21"/>
        <v>0</v>
      </c>
      <c r="V32" s="4">
        <f t="shared" si="21"/>
        <v>0</v>
      </c>
      <c r="W32" s="4">
        <f t="shared" si="21"/>
        <v>0</v>
      </c>
      <c r="X32" s="4">
        <f t="shared" si="21"/>
        <v>0</v>
      </c>
      <c r="Y32" s="4">
        <f t="shared" si="21"/>
        <v>0</v>
      </c>
      <c r="Z32" s="4">
        <f t="shared" si="21"/>
        <v>0</v>
      </c>
      <c r="AA32" s="8"/>
    </row>
    <row r="33" spans="2:27" ht="15.75" thickBot="1" x14ac:dyDescent="0.3">
      <c r="B33" s="178"/>
      <c r="C33" s="179"/>
      <c r="D33" s="179"/>
      <c r="E33" s="166"/>
      <c r="F33" s="151"/>
      <c r="G33" s="151"/>
      <c r="H33" s="108"/>
      <c r="I33" s="108"/>
      <c r="J33" s="55">
        <f t="shared" si="20"/>
        <v>0</v>
      </c>
      <c r="K33" s="16">
        <f>F31-J33</f>
        <v>1216</v>
      </c>
      <c r="L33" s="114" t="s">
        <v>619</v>
      </c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10"/>
    </row>
    <row r="34" spans="2:27" x14ac:dyDescent="0.25">
      <c r="B34" s="178"/>
      <c r="C34" s="179"/>
      <c r="D34" s="179"/>
      <c r="E34" s="168" t="s">
        <v>7</v>
      </c>
      <c r="F34" s="171">
        <f>SUM(Main!E212,Main!E216,Main!E220,Main!E224)</f>
        <v>1216</v>
      </c>
      <c r="G34" s="171" t="s">
        <v>1</v>
      </c>
      <c r="H34" s="102"/>
      <c r="I34" s="102"/>
      <c r="J34" s="97">
        <f t="shared" si="20"/>
        <v>1216</v>
      </c>
      <c r="K34" s="98">
        <f>F34-J34</f>
        <v>0</v>
      </c>
      <c r="L34" s="83" t="s">
        <v>98</v>
      </c>
      <c r="M34" s="89">
        <f>SUM(Main!L214,Main!L218,Main!L222,Main!L226)</f>
        <v>0</v>
      </c>
      <c r="N34" s="89">
        <f>SUM(Main!M214,Main!M218,Main!M222,Main!M226)</f>
        <v>140</v>
      </c>
      <c r="O34" s="89">
        <f>SUM(Main!N214,Main!N218,Main!N222,Main!N226)</f>
        <v>230</v>
      </c>
      <c r="P34" s="89">
        <f>SUM(Main!O214,Main!O218,Main!O222,Main!O226)</f>
        <v>501</v>
      </c>
      <c r="Q34" s="89">
        <f>SUM(Main!P214,Main!P218,Main!P222,Main!P226)</f>
        <v>345</v>
      </c>
      <c r="R34" s="89">
        <f>SUM(Main!Q214,Main!Q218,Main!Q222,Main!Q226)</f>
        <v>0</v>
      </c>
      <c r="S34" s="89">
        <f>SUM(Main!R214,Main!R218,Main!R222,Main!R226)</f>
        <v>0</v>
      </c>
      <c r="T34" s="89">
        <f>SUM(Main!S214,Main!S218,Main!S222,Main!S226)</f>
        <v>0</v>
      </c>
      <c r="U34" s="89">
        <f>SUM(Main!T214,Main!T218,Main!T222,Main!T226)</f>
        <v>0</v>
      </c>
      <c r="V34" s="89">
        <f>SUM(Main!U214,Main!U218,Main!U222,Main!U226)</f>
        <v>0</v>
      </c>
      <c r="W34" s="89">
        <f>SUM(Main!V214,Main!V218,Main!V222,Main!V226)</f>
        <v>0</v>
      </c>
      <c r="X34" s="89">
        <f>SUM(Main!W214,Main!W218,Main!W222,Main!W226)</f>
        <v>0</v>
      </c>
      <c r="Y34" s="89">
        <f>SUM(Main!X214,Main!X218,Main!X222,Main!X226)</f>
        <v>0</v>
      </c>
      <c r="Z34" s="89">
        <f>SUM(Main!Y214,Main!Y218,Main!Y222,Main!Y226)</f>
        <v>0</v>
      </c>
      <c r="AA34" s="85"/>
    </row>
    <row r="35" spans="2:27" x14ac:dyDescent="0.25">
      <c r="B35" s="178"/>
      <c r="C35" s="179"/>
      <c r="D35" s="179"/>
      <c r="E35" s="169" t="s">
        <v>7</v>
      </c>
      <c r="F35" s="172"/>
      <c r="G35" s="172"/>
      <c r="H35" s="108"/>
      <c r="I35" s="108"/>
      <c r="J35" s="55">
        <f t="shared" si="20"/>
        <v>0</v>
      </c>
      <c r="K35" s="16">
        <f>F34-J35</f>
        <v>1216</v>
      </c>
      <c r="L35" s="81" t="s">
        <v>99</v>
      </c>
      <c r="M35" s="4">
        <f>SUM(Main!L215,Main!L219,Main!L223,Main!L227)</f>
        <v>0</v>
      </c>
      <c r="N35" s="4">
        <f>SUM(Main!M215,Main!M219,Main!M223,Main!M227)</f>
        <v>0</v>
      </c>
      <c r="O35" s="4">
        <f>SUM(Main!N215,Main!N219,Main!N223,Main!N227)</f>
        <v>0</v>
      </c>
      <c r="P35" s="4">
        <f>SUM(Main!O215,Main!O219,Main!O223,Main!O227)</f>
        <v>0</v>
      </c>
      <c r="Q35" s="4">
        <f>SUM(Main!P215,Main!P219,Main!P223,Main!P227)</f>
        <v>0</v>
      </c>
      <c r="R35" s="4">
        <f>SUM(Main!Q215,Main!Q219,Main!Q223,Main!Q227)</f>
        <v>0</v>
      </c>
      <c r="S35" s="4">
        <f>SUM(Main!R215,Main!R219,Main!R223,Main!R227)</f>
        <v>0</v>
      </c>
      <c r="T35" s="4">
        <f>SUM(Main!S215,Main!S219,Main!S223,Main!S227)</f>
        <v>0</v>
      </c>
      <c r="U35" s="4">
        <f>SUM(Main!T215,Main!T219,Main!T223,Main!T227)</f>
        <v>0</v>
      </c>
      <c r="V35" s="4">
        <f>SUM(Main!U215,Main!U219,Main!U223,Main!U227)</f>
        <v>0</v>
      </c>
      <c r="W35" s="4">
        <f>SUM(Main!V215,Main!V219,Main!V223,Main!V227)</f>
        <v>0</v>
      </c>
      <c r="X35" s="4">
        <f>SUM(Main!W215,Main!W219,Main!W223,Main!W227)</f>
        <v>0</v>
      </c>
      <c r="Y35" s="4">
        <f>SUM(Main!X215,Main!X219,Main!X223,Main!X227)</f>
        <v>0</v>
      </c>
      <c r="Z35" s="4">
        <f>SUM(Main!Y215,Main!Y219,Main!Y223,Main!Y227)</f>
        <v>0</v>
      </c>
      <c r="AA35" s="8"/>
    </row>
    <row r="36" spans="2:27" ht="15.75" thickBot="1" x14ac:dyDescent="0.3">
      <c r="B36" s="180"/>
      <c r="C36" s="181"/>
      <c r="D36" s="181"/>
      <c r="E36" s="170"/>
      <c r="F36" s="173"/>
      <c r="G36" s="173"/>
      <c r="H36" s="103"/>
      <c r="I36" s="103"/>
      <c r="J36" s="60">
        <f t="shared" si="20"/>
        <v>1235</v>
      </c>
      <c r="K36" s="72">
        <f>F34-J36</f>
        <v>-19</v>
      </c>
      <c r="L36" s="82" t="s">
        <v>619</v>
      </c>
      <c r="M36" s="79">
        <f>Main!$AD$142*Main!$AD$144*Main!$AC$159</f>
        <v>0</v>
      </c>
      <c r="N36" s="79">
        <f>Main!$AD$142*Main!$AD$144*Main!$AC$160</f>
        <v>195</v>
      </c>
      <c r="O36" s="79">
        <f>Main!$AD$142*Main!$AD$144*Main!$AC$161</f>
        <v>195</v>
      </c>
      <c r="P36" s="79">
        <f>Main!$AD$142*Main!$AD$144*Main!$AC$162</f>
        <v>520</v>
      </c>
      <c r="Q36" s="79">
        <f>Main!$AD$142*Main!$AD$144*Main!$AC$163</f>
        <v>325</v>
      </c>
      <c r="R36" s="79">
        <f>Main!$AD$142*Main!$AD$144*Main!$AC$164</f>
        <v>0</v>
      </c>
      <c r="S36" s="79">
        <f>Main!$AD$142*Main!$AD$144*Main!$AC$165</f>
        <v>0</v>
      </c>
      <c r="T36" s="79">
        <f>Main!$AD$142*Main!$AD$144*Main!$AC$165</f>
        <v>0</v>
      </c>
      <c r="U36" s="79">
        <f>Main!$AD$142*Main!$AD$144*Main!$AC$165</f>
        <v>0</v>
      </c>
      <c r="V36" s="79">
        <f>Main!$AD$142*Main!$AD$144*Main!$AC$165</f>
        <v>0</v>
      </c>
      <c r="W36" s="79">
        <f>Main!$AD$142*Main!$AD$144*Main!$AC$165</f>
        <v>0</v>
      </c>
      <c r="X36" s="79">
        <f>Main!$AD$142*Main!$AD$144*Main!$AC$165</f>
        <v>0</v>
      </c>
      <c r="Y36" s="79">
        <f>Main!$AD$142*Main!$AD$144*Main!$AC$165</f>
        <v>0</v>
      </c>
      <c r="Z36" s="79">
        <f>Main!$AD$142*Main!$AD$144*Main!$AC$165</f>
        <v>0</v>
      </c>
      <c r="AA36" s="77"/>
    </row>
    <row r="37" spans="2:27" x14ac:dyDescent="0.25">
      <c r="B37" s="176" t="s">
        <v>71</v>
      </c>
      <c r="C37" s="177"/>
      <c r="D37" s="177"/>
      <c r="E37" s="166" t="s">
        <v>6</v>
      </c>
      <c r="F37" s="151">
        <f>F25+F31</f>
        <v>5117.45</v>
      </c>
      <c r="G37" s="151" t="s">
        <v>1</v>
      </c>
      <c r="H37" s="108"/>
      <c r="I37" s="108"/>
      <c r="J37" s="55">
        <f t="shared" si="20"/>
        <v>0</v>
      </c>
      <c r="K37" s="16">
        <f>F37-J37</f>
        <v>5117.45</v>
      </c>
      <c r="L37" s="115" t="s">
        <v>98</v>
      </c>
      <c r="M37" s="111">
        <f t="shared" ref="M37" si="22">M25+M31</f>
        <v>0</v>
      </c>
      <c r="N37" s="111">
        <f t="shared" ref="N37:Z42" si="23">N25+N31</f>
        <v>0</v>
      </c>
      <c r="O37" s="111">
        <f t="shared" si="23"/>
        <v>0</v>
      </c>
      <c r="P37" s="111">
        <f t="shared" si="23"/>
        <v>0</v>
      </c>
      <c r="Q37" s="111">
        <f t="shared" si="23"/>
        <v>0</v>
      </c>
      <c r="R37" s="111">
        <f t="shared" si="23"/>
        <v>0</v>
      </c>
      <c r="S37" s="111">
        <f t="shared" si="23"/>
        <v>0</v>
      </c>
      <c r="T37" s="111">
        <f t="shared" si="23"/>
        <v>0</v>
      </c>
      <c r="U37" s="111">
        <f t="shared" si="23"/>
        <v>0</v>
      </c>
      <c r="V37" s="111">
        <f t="shared" si="23"/>
        <v>0</v>
      </c>
      <c r="W37" s="111">
        <f t="shared" si="23"/>
        <v>0</v>
      </c>
      <c r="X37" s="111">
        <f t="shared" si="23"/>
        <v>0</v>
      </c>
      <c r="Y37" s="111">
        <f t="shared" si="23"/>
        <v>0</v>
      </c>
      <c r="Z37" s="111">
        <f t="shared" si="23"/>
        <v>0</v>
      </c>
      <c r="AA37" s="112"/>
    </row>
    <row r="38" spans="2:27" x14ac:dyDescent="0.25">
      <c r="B38" s="178"/>
      <c r="C38" s="179"/>
      <c r="D38" s="179"/>
      <c r="E38" s="166"/>
      <c r="F38" s="151"/>
      <c r="G38" s="151"/>
      <c r="H38" s="108"/>
      <c r="I38" s="108"/>
      <c r="J38" s="55">
        <f t="shared" si="20"/>
        <v>0</v>
      </c>
      <c r="K38" s="16">
        <f>F37-J38</f>
        <v>5117.45</v>
      </c>
      <c r="L38" s="81" t="s">
        <v>99</v>
      </c>
      <c r="M38" s="4">
        <f t="shared" ref="M38" si="24">M26+M32</f>
        <v>0</v>
      </c>
      <c r="N38" s="4">
        <f t="shared" si="23"/>
        <v>0</v>
      </c>
      <c r="O38" s="4">
        <f t="shared" si="23"/>
        <v>0</v>
      </c>
      <c r="P38" s="4">
        <f t="shared" si="23"/>
        <v>0</v>
      </c>
      <c r="Q38" s="4">
        <f t="shared" si="23"/>
        <v>0</v>
      </c>
      <c r="R38" s="4">
        <f t="shared" si="23"/>
        <v>0</v>
      </c>
      <c r="S38" s="4">
        <f t="shared" si="23"/>
        <v>0</v>
      </c>
      <c r="T38" s="4">
        <f t="shared" si="23"/>
        <v>0</v>
      </c>
      <c r="U38" s="4">
        <f t="shared" si="23"/>
        <v>0</v>
      </c>
      <c r="V38" s="4">
        <f t="shared" si="23"/>
        <v>0</v>
      </c>
      <c r="W38" s="4">
        <f t="shared" si="23"/>
        <v>0</v>
      </c>
      <c r="X38" s="4">
        <f t="shared" si="23"/>
        <v>0</v>
      </c>
      <c r="Y38" s="4">
        <f t="shared" si="23"/>
        <v>0</v>
      </c>
      <c r="Z38" s="4">
        <f t="shared" si="23"/>
        <v>0</v>
      </c>
      <c r="AA38" s="8"/>
    </row>
    <row r="39" spans="2:27" ht="15.75" thickBot="1" x14ac:dyDescent="0.3">
      <c r="B39" s="178"/>
      <c r="C39" s="179"/>
      <c r="D39" s="179"/>
      <c r="E39" s="167"/>
      <c r="F39" s="152"/>
      <c r="G39" s="152"/>
      <c r="H39" s="108"/>
      <c r="I39" s="108"/>
      <c r="J39" s="55">
        <f t="shared" si="20"/>
        <v>0</v>
      </c>
      <c r="K39" s="16">
        <f>F37-J39</f>
        <v>5117.45</v>
      </c>
      <c r="L39" s="82" t="s">
        <v>619</v>
      </c>
      <c r="M39" s="75">
        <f t="shared" ref="M39" si="25">M27+M33</f>
        <v>0</v>
      </c>
      <c r="N39" s="75">
        <f t="shared" si="23"/>
        <v>0</v>
      </c>
      <c r="O39" s="75">
        <f t="shared" si="23"/>
        <v>0</v>
      </c>
      <c r="P39" s="75">
        <f t="shared" si="23"/>
        <v>0</v>
      </c>
      <c r="Q39" s="75">
        <f t="shared" si="23"/>
        <v>0</v>
      </c>
      <c r="R39" s="75">
        <f t="shared" si="23"/>
        <v>0</v>
      </c>
      <c r="S39" s="75">
        <f t="shared" si="23"/>
        <v>0</v>
      </c>
      <c r="T39" s="75">
        <f t="shared" si="23"/>
        <v>0</v>
      </c>
      <c r="U39" s="75">
        <f t="shared" si="23"/>
        <v>0</v>
      </c>
      <c r="V39" s="75">
        <f t="shared" si="23"/>
        <v>0</v>
      </c>
      <c r="W39" s="75">
        <f t="shared" si="23"/>
        <v>0</v>
      </c>
      <c r="X39" s="75">
        <f t="shared" si="23"/>
        <v>0</v>
      </c>
      <c r="Y39" s="75">
        <f t="shared" si="23"/>
        <v>0</v>
      </c>
      <c r="Z39" s="75">
        <f t="shared" si="23"/>
        <v>0</v>
      </c>
      <c r="AA39" s="77"/>
    </row>
    <row r="40" spans="2:27" x14ac:dyDescent="0.25">
      <c r="B40" s="178"/>
      <c r="C40" s="179"/>
      <c r="D40" s="179"/>
      <c r="E40" s="153" t="s">
        <v>7</v>
      </c>
      <c r="F40" s="150">
        <f>F28+F34</f>
        <v>5117.45</v>
      </c>
      <c r="G40" s="150" t="s">
        <v>1</v>
      </c>
      <c r="H40" s="102"/>
      <c r="I40" s="102"/>
      <c r="J40" s="97">
        <f t="shared" si="20"/>
        <v>5118</v>
      </c>
      <c r="K40" s="98">
        <f>F40-J40</f>
        <v>-0.5500000000001819</v>
      </c>
      <c r="L40" s="83" t="s">
        <v>98</v>
      </c>
      <c r="M40" s="89">
        <f t="shared" ref="M40" si="26">M28+M34</f>
        <v>400</v>
      </c>
      <c r="N40" s="89">
        <f t="shared" si="23"/>
        <v>613.5</v>
      </c>
      <c r="O40" s="89">
        <f t="shared" si="23"/>
        <v>781.5</v>
      </c>
      <c r="P40" s="89">
        <f t="shared" si="23"/>
        <v>1062.5</v>
      </c>
      <c r="Q40" s="89">
        <f t="shared" si="23"/>
        <v>901.5</v>
      </c>
      <c r="R40" s="89">
        <f t="shared" si="23"/>
        <v>613</v>
      </c>
      <c r="S40" s="89">
        <f t="shared" si="23"/>
        <v>401</v>
      </c>
      <c r="T40" s="89">
        <f t="shared" si="23"/>
        <v>345</v>
      </c>
      <c r="U40" s="89">
        <f t="shared" si="23"/>
        <v>0</v>
      </c>
      <c r="V40" s="89">
        <f t="shared" si="23"/>
        <v>0</v>
      </c>
      <c r="W40" s="89">
        <f t="shared" si="23"/>
        <v>0</v>
      </c>
      <c r="X40" s="89">
        <f t="shared" si="23"/>
        <v>0</v>
      </c>
      <c r="Y40" s="89">
        <f t="shared" si="23"/>
        <v>0</v>
      </c>
      <c r="Z40" s="89">
        <f t="shared" si="23"/>
        <v>0</v>
      </c>
      <c r="AA40" s="85"/>
    </row>
    <row r="41" spans="2:27" x14ac:dyDescent="0.25">
      <c r="B41" s="178"/>
      <c r="C41" s="179"/>
      <c r="D41" s="179"/>
      <c r="E41" s="154" t="s">
        <v>7</v>
      </c>
      <c r="F41" s="151"/>
      <c r="G41" s="151"/>
      <c r="H41" s="108"/>
      <c r="I41" s="108"/>
      <c r="J41" s="55">
        <f t="shared" si="20"/>
        <v>400</v>
      </c>
      <c r="K41" s="16">
        <f>F40-J41</f>
        <v>4717.45</v>
      </c>
      <c r="L41" s="81" t="s">
        <v>99</v>
      </c>
      <c r="M41" s="4">
        <f t="shared" ref="M41" si="27">M29+M35</f>
        <v>400</v>
      </c>
      <c r="N41" s="4">
        <f t="shared" si="23"/>
        <v>0</v>
      </c>
      <c r="O41" s="4">
        <f t="shared" si="23"/>
        <v>0</v>
      </c>
      <c r="P41" s="4">
        <f t="shared" si="23"/>
        <v>0</v>
      </c>
      <c r="Q41" s="4">
        <f t="shared" si="23"/>
        <v>0</v>
      </c>
      <c r="R41" s="4">
        <f t="shared" si="23"/>
        <v>0</v>
      </c>
      <c r="S41" s="4">
        <f t="shared" si="23"/>
        <v>0</v>
      </c>
      <c r="T41" s="4">
        <f t="shared" si="23"/>
        <v>0</v>
      </c>
      <c r="U41" s="4">
        <f t="shared" si="23"/>
        <v>0</v>
      </c>
      <c r="V41" s="4">
        <f t="shared" si="23"/>
        <v>0</v>
      </c>
      <c r="W41" s="4">
        <f t="shared" si="23"/>
        <v>0</v>
      </c>
      <c r="X41" s="4">
        <f t="shared" si="23"/>
        <v>0</v>
      </c>
      <c r="Y41" s="4">
        <f t="shared" si="23"/>
        <v>0</v>
      </c>
      <c r="Z41" s="4">
        <f t="shared" si="23"/>
        <v>0</v>
      </c>
      <c r="AA41" s="8"/>
    </row>
    <row r="42" spans="2:27" ht="15.75" thickBot="1" x14ac:dyDescent="0.3">
      <c r="B42" s="180"/>
      <c r="C42" s="181"/>
      <c r="D42" s="181"/>
      <c r="E42" s="155"/>
      <c r="F42" s="152"/>
      <c r="G42" s="152"/>
      <c r="H42" s="103"/>
      <c r="I42" s="103"/>
      <c r="J42" s="60">
        <f t="shared" si="20"/>
        <v>5265</v>
      </c>
      <c r="K42" s="72">
        <f>F40-J42</f>
        <v>-147.55000000000018</v>
      </c>
      <c r="L42" s="82" t="s">
        <v>619</v>
      </c>
      <c r="M42" s="96">
        <f t="shared" ref="M42" si="28">M30+M36</f>
        <v>455</v>
      </c>
      <c r="N42" s="96">
        <f t="shared" si="23"/>
        <v>650</v>
      </c>
      <c r="O42" s="96">
        <f t="shared" si="23"/>
        <v>780</v>
      </c>
      <c r="P42" s="96">
        <f t="shared" si="23"/>
        <v>1105</v>
      </c>
      <c r="Q42" s="96">
        <f t="shared" si="23"/>
        <v>910</v>
      </c>
      <c r="R42" s="96">
        <f t="shared" si="23"/>
        <v>585</v>
      </c>
      <c r="S42" s="96">
        <f t="shared" si="23"/>
        <v>455</v>
      </c>
      <c r="T42" s="96">
        <f t="shared" si="23"/>
        <v>325</v>
      </c>
      <c r="U42" s="96">
        <f t="shared" si="23"/>
        <v>0</v>
      </c>
      <c r="V42" s="96">
        <f t="shared" si="23"/>
        <v>0</v>
      </c>
      <c r="W42" s="96">
        <f t="shared" si="23"/>
        <v>0</v>
      </c>
      <c r="X42" s="96">
        <f t="shared" si="23"/>
        <v>0</v>
      </c>
      <c r="Y42" s="96">
        <f t="shared" si="23"/>
        <v>0</v>
      </c>
      <c r="Z42" s="96">
        <f t="shared" si="23"/>
        <v>0</v>
      </c>
      <c r="AA42" s="113"/>
    </row>
  </sheetData>
  <mergeCells count="44">
    <mergeCell ref="B37:D42"/>
    <mergeCell ref="E37:E39"/>
    <mergeCell ref="F37:F39"/>
    <mergeCell ref="G37:G39"/>
    <mergeCell ref="E40:E42"/>
    <mergeCell ref="F40:F42"/>
    <mergeCell ref="G40:G42"/>
    <mergeCell ref="B31:D36"/>
    <mergeCell ref="E31:E33"/>
    <mergeCell ref="F31:F33"/>
    <mergeCell ref="G31:G33"/>
    <mergeCell ref="E34:E36"/>
    <mergeCell ref="F34:F36"/>
    <mergeCell ref="G34:G36"/>
    <mergeCell ref="B2:D2"/>
    <mergeCell ref="B23:D23"/>
    <mergeCell ref="B25:D30"/>
    <mergeCell ref="E25:E27"/>
    <mergeCell ref="F25:F27"/>
    <mergeCell ref="B10:D15"/>
    <mergeCell ref="E10:E12"/>
    <mergeCell ref="F10:F12"/>
    <mergeCell ref="G25:G27"/>
    <mergeCell ref="E28:E30"/>
    <mergeCell ref="F28:F30"/>
    <mergeCell ref="G28:G30"/>
    <mergeCell ref="B16:D21"/>
    <mergeCell ref="E16:E18"/>
    <mergeCell ref="F16:F18"/>
    <mergeCell ref="G16:G18"/>
    <mergeCell ref="E19:E21"/>
    <mergeCell ref="F19:F21"/>
    <mergeCell ref="G19:G21"/>
    <mergeCell ref="G10:G12"/>
    <mergeCell ref="E13:E15"/>
    <mergeCell ref="F13:F15"/>
    <mergeCell ref="G13:G15"/>
    <mergeCell ref="B4:D9"/>
    <mergeCell ref="E4:E6"/>
    <mergeCell ref="F4:F6"/>
    <mergeCell ref="G4:G6"/>
    <mergeCell ref="E7:E9"/>
    <mergeCell ref="F7:F9"/>
    <mergeCell ref="G7:G9"/>
  </mergeCells>
  <conditionalFormatting sqref="K1 K22 K43:K1048576">
    <cfRule type="cellIs" dxfId="6" priority="5" operator="lessThan">
      <formula>0</formula>
    </cfRule>
  </conditionalFormatting>
  <conditionalFormatting sqref="K2:K21">
    <cfRule type="cellIs" dxfId="5" priority="3" operator="lessThan">
      <formula>2</formula>
    </cfRule>
  </conditionalFormatting>
  <conditionalFormatting sqref="K23:K24">
    <cfRule type="cellIs" dxfId="4" priority="1" operator="lessThan">
      <formula>2</formula>
    </cfRule>
  </conditionalFormatting>
  <conditionalFormatting sqref="K25:K42">
    <cfRule type="cellIs" dxfId="3" priority="2" operator="lessThan">
      <formula>0.5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F5F7C-1F9D-41A9-8498-E42690E5037C}">
  <sheetPr codeName="Sheet2"/>
  <dimension ref="A1:AD227"/>
  <sheetViews>
    <sheetView tabSelected="1" topLeftCell="C1" zoomScale="78" workbookViewId="0">
      <pane ySplit="2" topLeftCell="A81" activePane="bottomLeft" state="frozen"/>
      <selection pane="bottomLeft" activeCell="M143" sqref="M143"/>
    </sheetView>
  </sheetViews>
  <sheetFormatPr defaultRowHeight="15" x14ac:dyDescent="0.25"/>
  <cols>
    <col min="1" max="1" width="11.85546875" bestFit="1" customWidth="1"/>
    <col min="2" max="2" width="15" customWidth="1"/>
    <col min="3" max="3" width="16.140625" customWidth="1"/>
    <col min="4" max="4" width="8.140625" bestFit="1" customWidth="1"/>
    <col min="5" max="5" width="9.85546875" bestFit="1" customWidth="1"/>
    <col min="6" max="6" width="5.7109375" style="73" bestFit="1" customWidth="1"/>
    <col min="7" max="7" width="7.42578125" style="104" customWidth="1"/>
    <col min="8" max="8" width="8.7109375" style="104" customWidth="1"/>
    <col min="9" max="10" width="9.85546875" bestFit="1" customWidth="1"/>
    <col min="11" max="11" width="6.7109375" style="74" bestFit="1" customWidth="1"/>
    <col min="12" max="12" width="12.7109375" customWidth="1"/>
    <col min="13" max="19" width="10.7109375" bestFit="1" customWidth="1"/>
    <col min="20" max="20" width="19.7109375" bestFit="1" customWidth="1"/>
    <col min="21" max="21" width="10.140625" bestFit="1" customWidth="1"/>
    <col min="22" max="22" width="9.42578125" bestFit="1" customWidth="1"/>
    <col min="23" max="23" width="6.7109375" bestFit="1" customWidth="1"/>
    <col min="24" max="24" width="7.28515625" bestFit="1" customWidth="1"/>
    <col min="25" max="25" width="14.7109375" bestFit="1" customWidth="1"/>
    <col min="26" max="26" width="8.42578125" bestFit="1" customWidth="1"/>
    <col min="28" max="28" width="20.7109375" bestFit="1" customWidth="1"/>
    <col min="29" max="29" width="19.42578125" bestFit="1" customWidth="1"/>
    <col min="30" max="30" width="16.42578125" bestFit="1" customWidth="1"/>
  </cols>
  <sheetData>
    <row r="1" spans="1:26" x14ac:dyDescent="0.25">
      <c r="L1" s="134" t="s">
        <v>625</v>
      </c>
      <c r="M1" s="134">
        <v>1</v>
      </c>
    </row>
    <row r="2" spans="1:26" s="104" customFormat="1" ht="15.75" thickBot="1" x14ac:dyDescent="0.3">
      <c r="F2" s="105"/>
      <c r="K2" s="106"/>
      <c r="L2" s="104">
        <v>1</v>
      </c>
      <c r="M2" s="104">
        <v>2</v>
      </c>
      <c r="N2" s="104">
        <v>3</v>
      </c>
      <c r="O2" s="104">
        <v>4</v>
      </c>
      <c r="P2" s="104">
        <v>5</v>
      </c>
      <c r="Q2" s="104">
        <v>6</v>
      </c>
      <c r="R2" s="104">
        <v>7</v>
      </c>
      <c r="S2" s="104">
        <v>8</v>
      </c>
      <c r="T2" s="104">
        <v>9</v>
      </c>
      <c r="U2" s="104">
        <v>10</v>
      </c>
      <c r="V2" s="104">
        <v>11</v>
      </c>
      <c r="W2" s="104">
        <v>12</v>
      </c>
      <c r="X2" s="104">
        <v>13</v>
      </c>
      <c r="Y2" s="104">
        <v>14</v>
      </c>
    </row>
    <row r="3" spans="1:26" ht="21.75" thickBot="1" x14ac:dyDescent="0.3">
      <c r="A3" s="195" t="s">
        <v>75</v>
      </c>
      <c r="B3" s="196"/>
      <c r="C3" s="196"/>
      <c r="D3" s="62"/>
      <c r="E3" s="61"/>
      <c r="F3" s="62"/>
      <c r="G3" s="129"/>
      <c r="H3" s="129"/>
      <c r="I3" s="56"/>
      <c r="J3" s="56"/>
      <c r="K3" s="62"/>
      <c r="L3" s="62"/>
      <c r="M3" s="62"/>
      <c r="N3" s="62"/>
      <c r="O3" s="62"/>
      <c r="P3" s="62"/>
      <c r="Q3" s="62"/>
      <c r="R3" s="62" t="s">
        <v>103</v>
      </c>
      <c r="S3" s="62"/>
      <c r="T3" s="62" t="s">
        <v>107</v>
      </c>
      <c r="U3" s="62" t="s">
        <v>105</v>
      </c>
      <c r="V3" s="62" t="s">
        <v>106</v>
      </c>
      <c r="W3" s="62" t="s">
        <v>96</v>
      </c>
      <c r="X3" s="62"/>
      <c r="Y3" s="62" t="s">
        <v>100</v>
      </c>
      <c r="Z3" s="63"/>
    </row>
    <row r="4" spans="1:26" ht="41.25" customHeight="1" thickBot="1" x14ac:dyDescent="0.3">
      <c r="A4" s="66" t="s">
        <v>46</v>
      </c>
      <c r="B4" s="67" t="s">
        <v>78</v>
      </c>
      <c r="C4" s="67" t="s">
        <v>79</v>
      </c>
      <c r="D4" s="87"/>
      <c r="E4" s="68" t="s">
        <v>2</v>
      </c>
      <c r="F4" s="69" t="s">
        <v>76</v>
      </c>
      <c r="G4" s="130" t="s">
        <v>622</v>
      </c>
      <c r="H4" s="130" t="s">
        <v>623</v>
      </c>
      <c r="I4" s="56" t="s">
        <v>626</v>
      </c>
      <c r="J4" s="56" t="s">
        <v>627</v>
      </c>
      <c r="K4" s="70" t="s">
        <v>624</v>
      </c>
      <c r="L4" s="70" t="s">
        <v>628</v>
      </c>
      <c r="M4" s="70">
        <v>45261</v>
      </c>
      <c r="N4" s="70">
        <v>45292</v>
      </c>
      <c r="O4" s="70">
        <v>45323</v>
      </c>
      <c r="P4" s="70">
        <v>45352</v>
      </c>
      <c r="Q4" s="70">
        <v>45383</v>
      </c>
      <c r="R4" s="70">
        <v>45413</v>
      </c>
      <c r="S4" s="70">
        <v>45444</v>
      </c>
      <c r="T4" s="70">
        <v>45474</v>
      </c>
      <c r="U4" s="70">
        <v>45505</v>
      </c>
      <c r="V4" s="70">
        <v>45536</v>
      </c>
      <c r="W4" s="70">
        <v>45566</v>
      </c>
      <c r="X4" s="70">
        <v>45597</v>
      </c>
      <c r="Y4" s="70">
        <v>45627</v>
      </c>
      <c r="Z4" s="71" t="s">
        <v>101</v>
      </c>
    </row>
    <row r="5" spans="1:26" ht="15" customHeight="1" x14ac:dyDescent="0.25">
      <c r="A5" s="159" t="s">
        <v>91</v>
      </c>
      <c r="B5" s="160"/>
      <c r="C5" s="160"/>
      <c r="D5" s="165" t="s">
        <v>73</v>
      </c>
      <c r="E5" s="156">
        <f>SUM(Main!E24,Main!E28,Main!E32,Main!E36,Main!E40,Main!E44,Main!E48,Main!E52,Main!E56,Main!E61,Main!E65,Main!E69,Main!E73,Main!E77,Main!E82)</f>
        <v>135481.80600000001</v>
      </c>
      <c r="F5" s="150" t="s">
        <v>80</v>
      </c>
      <c r="G5" s="131"/>
      <c r="H5" s="131"/>
      <c r="I5" s="88">
        <f t="shared" ref="I5:I22" si="0">SUM(L5:Y5)</f>
        <v>135481.068</v>
      </c>
      <c r="J5" s="88">
        <f t="shared" ref="J5" si="1">E5-I5</f>
        <v>0.73800000001210719</v>
      </c>
      <c r="K5" s="80" t="s">
        <v>634</v>
      </c>
      <c r="L5" s="136">
        <f>SUM(Main!L24,Main!L28,Main!L32,Main!L36,Main!L40,Main!L44,Main!L48,Main!L52,Main!L56,Main!L61,Main!L65,Main!L69,Main!L73,Main!L77,Main!L82)</f>
        <v>7692</v>
      </c>
      <c r="M5" s="136">
        <f>SUM(Main!M24,Main!M28,Main!M32,Main!M36,Main!M40,Main!M44,Main!M48,Main!M52,Main!M56,Main!M61,Main!M65,Main!M69,Main!M73,Main!M77,Main!M82)</f>
        <v>18579.694000000003</v>
      </c>
      <c r="N5" s="136">
        <f>SUM(Main!N24,Main!N28,Main!N32,Main!N36,Main!N40,Main!N44,Main!N48,Main!N52,Main!N56,Main!N61,Main!N65,Main!N69,Main!N73,Main!N77,Main!N82)</f>
        <v>19870.194</v>
      </c>
      <c r="O5" s="136">
        <f>SUM(Main!O24,Main!O28,Main!O32,Main!O36,Main!O40,Main!O44,Main!O48,Main!O52,Main!O56,Main!O61,Main!O65,Main!O69,Main!O73,Main!O77,Main!O82)</f>
        <v>19433.194000000003</v>
      </c>
      <c r="P5" s="136">
        <f>SUM(Main!P24,Main!P28,Main!P32,Main!P36,Main!P40,Main!P44,Main!P48,Main!P52,Main!P56,Main!P61,Main!P65,Main!P69,Main!P73,Main!P77,Main!P82)</f>
        <v>19103.962</v>
      </c>
      <c r="Q5" s="136">
        <f>SUM(Main!Q24,Main!Q28,Main!Q32,Main!Q36,Main!Q40,Main!Q44,Main!Q48,Main!Q52,Main!Q56,Main!Q61,Main!Q65,Main!Q69,Main!Q73,Main!Q77,Main!Q82)</f>
        <v>25335.962</v>
      </c>
      <c r="R5" s="136">
        <f>SUM(Main!R24,Main!R28,Main!R32,Main!R36,Main!R40,Main!R44,Main!R48,Main!R52,Main!R56,Main!R61,Main!R65,Main!R69,Main!R73,Main!R77,Main!R82)</f>
        <v>25466.061999999998</v>
      </c>
      <c r="S5" s="136">
        <f>SUM(Main!S24,Main!S28,Main!S32,Main!S36,Main!S40,Main!S44,Main!S48,Main!S52,Main!S56,Main!S61,Main!S65,Main!S69,Main!S73,Main!S77,Main!S82)</f>
        <v>0</v>
      </c>
      <c r="T5" s="136">
        <f>SUM(Main!T24,Main!T28,Main!T32,Main!T36,Main!T40,Main!T44,Main!T48,Main!T52,Main!T56,Main!T61,Main!T65,Main!T69,Main!T73,Main!T77,Main!T82)</f>
        <v>0</v>
      </c>
      <c r="U5" s="136">
        <f>SUM(Main!U24,Main!U28,Main!U32,Main!U36,Main!U40,Main!U44,Main!U48,Main!U52,Main!U56,Main!U61,Main!U65,Main!U69,Main!U73,Main!U77,Main!U82)</f>
        <v>0</v>
      </c>
      <c r="V5" s="136"/>
      <c r="W5" s="136"/>
      <c r="X5" s="136"/>
      <c r="Y5" s="136"/>
      <c r="Z5" s="65"/>
    </row>
    <row r="6" spans="1:26" ht="15" customHeight="1" x14ac:dyDescent="0.25">
      <c r="A6" s="161"/>
      <c r="B6" s="162"/>
      <c r="C6" s="162"/>
      <c r="D6" s="166"/>
      <c r="E6" s="157"/>
      <c r="F6" s="151"/>
      <c r="G6" s="107"/>
      <c r="H6" s="107"/>
      <c r="I6" s="56">
        <f t="shared" si="0"/>
        <v>7692</v>
      </c>
      <c r="J6" s="56">
        <f t="shared" ref="J6" si="2">E5-I6</f>
        <v>127789.80600000001</v>
      </c>
      <c r="K6" s="81" t="s">
        <v>635</v>
      </c>
      <c r="L6" s="17">
        <f>SUM(Main!L25,Main!L29,Main!L33,Main!L37,Main!L41,Main!L45,Main!L49,Main!L53,Main!L57,Main!L62,Main!L66,Main!L70,Main!L74,Main!L78,Main!L83)</f>
        <v>7692</v>
      </c>
      <c r="M6" s="17">
        <f>SUM(Main!M25,Main!M29,Main!M33,Main!M37,Main!M41,Main!M45,Main!M49,Main!M53,Main!M57,Main!M62,Main!M66,Main!M70,Main!M74,Main!M78,Main!M83)</f>
        <v>0</v>
      </c>
      <c r="N6" s="17">
        <f>SUM(Main!N25,Main!N29,Main!N33,Main!N37,Main!N41,Main!N45,Main!N49,Main!N53,Main!N57,Main!N62,Main!N66,Main!N70,Main!N74,Main!N78,Main!N83)</f>
        <v>0</v>
      </c>
      <c r="O6" s="17">
        <f>SUM(Main!O25,Main!O29,Main!O33,Main!O37,Main!O41,Main!O45,Main!O49,Main!O53,Main!O57,Main!O62,Main!O66,Main!O70,Main!O74,Main!O78,Main!O83)</f>
        <v>0</v>
      </c>
      <c r="P6" s="17">
        <f>SUM(Main!P25,Main!P29,Main!P33,Main!P37,Main!P41,Main!P45,Main!P49,Main!P53,Main!P57,Main!P62,Main!P66,Main!P70,Main!P74,Main!P78,Main!P83)</f>
        <v>0</v>
      </c>
      <c r="Q6" s="17">
        <f>SUM(Main!Q25,Main!Q29,Main!Q33,Main!Q37,Main!Q41,Main!Q45,Main!Q49,Main!Q53,Main!Q57,Main!Q62,Main!Q66,Main!Q70,Main!Q74,Main!Q78,Main!Q83)</f>
        <v>0</v>
      </c>
      <c r="R6" s="17">
        <f>SUM(Main!R25,Main!R29,Main!R33,Main!R37,Main!R41,Main!R45,Main!R49,Main!R53,Main!R57,Main!R62,Main!R66,Main!R70,Main!R74,Main!R78,Main!R83)</f>
        <v>0</v>
      </c>
      <c r="S6" s="17">
        <f>SUM(Main!S25,Main!S29,Main!S33,Main!S37,Main!S41,Main!S45,Main!S49,Main!S53,Main!S57,Main!S62,Main!S66,Main!S70,Main!S74,Main!S78,Main!S83)</f>
        <v>0</v>
      </c>
      <c r="T6" s="17">
        <f>SUM(Main!T25,Main!T29,Main!T33,Main!T37,Main!T41,Main!T45,Main!T49,Main!T53,Main!T57,Main!T62,Main!T66,Main!T70,Main!T74,Main!T78,Main!T83)</f>
        <v>0</v>
      </c>
      <c r="U6" s="17">
        <f>SUM(Main!U25,Main!U29,Main!U33,Main!U37,Main!U41,Main!U45,Main!U49,Main!U53,Main!U57,Main!U62,Main!U66,Main!U70,Main!U74,Main!U78,Main!U83)</f>
        <v>0</v>
      </c>
      <c r="V6" s="17"/>
      <c r="W6" s="17"/>
      <c r="X6" s="17"/>
      <c r="Y6" s="17"/>
      <c r="Z6" s="8"/>
    </row>
    <row r="7" spans="1:26" ht="15.75" customHeight="1" thickBot="1" x14ac:dyDescent="0.3">
      <c r="A7" s="161"/>
      <c r="B7" s="162"/>
      <c r="C7" s="162"/>
      <c r="D7" s="167"/>
      <c r="E7" s="158"/>
      <c r="F7" s="152"/>
      <c r="G7" s="132"/>
      <c r="H7" s="132"/>
      <c r="I7" s="57">
        <f t="shared" si="0"/>
        <v>140400</v>
      </c>
      <c r="J7" s="57">
        <f>E5-I7</f>
        <v>-4918.1939999999886</v>
      </c>
      <c r="K7" s="82" t="s">
        <v>616</v>
      </c>
      <c r="L7" s="137">
        <f>Main!$AC$30*Main!$AC$27*Main!$AC$26</f>
        <v>10400</v>
      </c>
      <c r="M7" s="137">
        <f>Main!$AC$31*Main!$AC$27*Main!$AC$26</f>
        <v>16250</v>
      </c>
      <c r="N7" s="137">
        <f>Main!$AC$32*Main!$AC$27*Main!$AC$26</f>
        <v>19500</v>
      </c>
      <c r="O7" s="137">
        <f>Main!$AC$33*Main!$AC$27*Main!$AC$26</f>
        <v>19500</v>
      </c>
      <c r="P7" s="137">
        <f>Main!$AC$34*Main!$AC$27*Main!$AC$26</f>
        <v>22750</v>
      </c>
      <c r="Q7" s="137">
        <f>Main!$AC$35*Main!$AC$27*Main!$AC$26</f>
        <v>26000</v>
      </c>
      <c r="R7" s="137">
        <f>Main!$AC$36*Main!$AC$27*Main!$AC$26</f>
        <v>26000</v>
      </c>
      <c r="S7" s="137">
        <f>Main!$AC$37*Main!$AC$26*Main!$AC$27</f>
        <v>0</v>
      </c>
      <c r="T7" s="137">
        <f>Main!$AC$37*Main!$AC$26*Main!$AC$27</f>
        <v>0</v>
      </c>
      <c r="U7" s="137">
        <f>Main!$AC$37*Main!$AC$26*Main!$AC$27</f>
        <v>0</v>
      </c>
      <c r="V7" s="137"/>
      <c r="W7" s="137"/>
      <c r="X7" s="137"/>
      <c r="Y7" s="137"/>
      <c r="Z7" s="77"/>
    </row>
    <row r="8" spans="1:26" ht="15" customHeight="1" x14ac:dyDescent="0.25">
      <c r="A8" s="161"/>
      <c r="B8" s="162"/>
      <c r="C8" s="162"/>
      <c r="D8" s="153" t="s">
        <v>74</v>
      </c>
      <c r="E8" s="156">
        <f>SUM(Main!E26,Main!E30,Main!E34,Main!E38,Main!E42,Main!E46,Main!E50,Main!E54,Main!E58,Main!E63,Main!E67,Main!E71,Main!E75,Main!E79,Main!E84)</f>
        <v>90321.203999999983</v>
      </c>
      <c r="F8" s="150" t="s">
        <v>80</v>
      </c>
      <c r="G8" s="131"/>
      <c r="H8" s="131"/>
      <c r="I8" s="88">
        <f t="shared" si="0"/>
        <v>90320</v>
      </c>
      <c r="J8" s="88">
        <f t="shared" ref="J8" si="3">E8-I8</f>
        <v>1.2039999999833526</v>
      </c>
      <c r="K8" s="83" t="s">
        <v>634</v>
      </c>
      <c r="L8" s="138">
        <f>SUM(Main!L26,Main!L30,Main!L34,Main!L38,Main!L42,Main!L46,Main!L50,Main!L54,Main!L58,Main!L63,Main!L67,Main!L71,Main!L75,Main!L79,Main!L84)</f>
        <v>0</v>
      </c>
      <c r="M8" s="138">
        <f>SUM(Main!M26,Main!M30,Main!M34,Main!M38,Main!M42,Main!M46,Main!M50,Main!M54,Main!M58,Main!M63,Main!M67,Main!M71,Main!M75,Main!M79,Main!M84)</f>
        <v>1303</v>
      </c>
      <c r="N8" s="138">
        <f>SUM(Main!N26,Main!N30,Main!N34,Main!N38,Main!N42,Main!N46,Main!N50,Main!N54,Main!N58,Main!N63,Main!N67,Main!N71,Main!N75,Main!N79,Main!N84)</f>
        <v>1413</v>
      </c>
      <c r="O8" s="138">
        <f>SUM(Main!O26,Main!O30,Main!O34,Main!O38,Main!O42,Main!O46,Main!O50,Main!O54,Main!O58,Main!O63,Main!O67,Main!O71,Main!O75,Main!O79,Main!O84)</f>
        <v>9200</v>
      </c>
      <c r="P8" s="138">
        <f>SUM(Main!P26,Main!P30,Main!P34,Main!P38,Main!P42,Main!P46,Main!P50,Main!P54,Main!P58,Main!P63,Main!P67,Main!P71,Main!P75,Main!P79,Main!P84)</f>
        <v>12500</v>
      </c>
      <c r="Q8" s="138">
        <f>SUM(Main!Q26,Main!Q30,Main!Q34,Main!Q38,Main!Q42,Main!Q46,Main!Q50,Main!Q54,Main!Q58,Main!Q63,Main!Q67,Main!Q71,Main!Q75,Main!Q79,Main!Q84)</f>
        <v>13874</v>
      </c>
      <c r="R8" s="138">
        <f>SUM(Main!R26,Main!R30,Main!R34,Main!R38,Main!R42,Main!R46,Main!R50,Main!R54,Main!R58,Main!R63,Main!R67,Main!R71,Main!R75,Main!R79,Main!R84)</f>
        <v>18854</v>
      </c>
      <c r="S8" s="138">
        <f>SUM(Main!S26,Main!S30,Main!S34,Main!S38,Main!S42,Main!S46,Main!S50,Main!S54,Main!S58,Main!S63,Main!S67,Main!S71,Main!S75,Main!S79,Main!S84)</f>
        <v>17488</v>
      </c>
      <c r="T8" s="138">
        <f>SUM(Main!T26,Main!T30,Main!T34,Main!T38,Main!T42,Main!T46,Main!T50,Main!T54,Main!T58,Main!T63,Main!T67,Main!T71,Main!T75,Main!T79,Main!T84)</f>
        <v>15688</v>
      </c>
      <c r="U8" s="138">
        <f>SUM(Main!U26,Main!U30,Main!U34,Main!U38,Main!U42,Main!U46,Main!U50,Main!U54,Main!U58,Main!U63,Main!U67,Main!U71,Main!U75,Main!U79,Main!U84)</f>
        <v>0</v>
      </c>
      <c r="V8" s="138"/>
      <c r="W8" s="138"/>
      <c r="X8" s="138"/>
      <c r="Y8" s="138"/>
      <c r="Z8" s="85"/>
    </row>
    <row r="9" spans="1:26" ht="15" customHeight="1" x14ac:dyDescent="0.25">
      <c r="A9" s="161"/>
      <c r="B9" s="162"/>
      <c r="C9" s="162"/>
      <c r="D9" s="154"/>
      <c r="E9" s="157"/>
      <c r="F9" s="151"/>
      <c r="G9" s="107"/>
      <c r="H9" s="107"/>
      <c r="I9" s="56">
        <f t="shared" si="0"/>
        <v>0</v>
      </c>
      <c r="J9" s="56">
        <f t="shared" ref="J9" si="4">E8-I9</f>
        <v>90321.203999999983</v>
      </c>
      <c r="K9" s="81" t="s">
        <v>635</v>
      </c>
      <c r="L9" s="17">
        <f>SUM(Main!L27,Main!L31,Main!L35,Main!L39,Main!L43,Main!L47,Main!L51,Main!L55,Main!L59,Main!L64,Main!L68,Main!L72,Main!L76,Main!L80,Main!L85)</f>
        <v>0</v>
      </c>
      <c r="M9" s="17">
        <f>SUM(Main!M27,Main!M31,Main!M35,Main!M39,Main!M43,Main!M47,Main!M51,Main!M55,Main!M59,Main!M64,Main!M68,Main!M72,Main!M76,Main!M80,Main!M85)</f>
        <v>0</v>
      </c>
      <c r="N9" s="17">
        <f>SUM(Main!N27,Main!N31,Main!N35,Main!N39,Main!N43,Main!N47,Main!N51,Main!N55,Main!N59,Main!N64,Main!N68,Main!N72,Main!N76,Main!N80,Main!N85)</f>
        <v>0</v>
      </c>
      <c r="O9" s="17">
        <f>SUM(Main!O27,Main!O31,Main!O35,Main!O39,Main!O43,Main!O47,Main!O51,Main!O55,Main!O59,Main!O64,Main!O68,Main!O72,Main!O76,Main!O80,Main!O85)</f>
        <v>0</v>
      </c>
      <c r="P9" s="17">
        <f>SUM(Main!P27,Main!P31,Main!P35,Main!P39,Main!P43,Main!P47,Main!P51,Main!P55,Main!P59,Main!P64,Main!P68,Main!P72,Main!P76,Main!P80,Main!P85)</f>
        <v>0</v>
      </c>
      <c r="Q9" s="17">
        <f>SUM(Main!Q27,Main!Q31,Main!Q35,Main!Q39,Main!Q43,Main!Q47,Main!Q51,Main!Q55,Main!Q59,Main!Q64,Main!Q68,Main!Q72,Main!Q76,Main!Q80,Main!Q85)</f>
        <v>0</v>
      </c>
      <c r="R9" s="17">
        <f>SUM(Main!R27,Main!R31,Main!R35,Main!R39,Main!R43,Main!R47,Main!R51,Main!R55,Main!R59,Main!R64,Main!R68,Main!R72,Main!R76,Main!R80,Main!R85)</f>
        <v>0</v>
      </c>
      <c r="S9" s="17">
        <f>SUM(Main!S27,Main!S31,Main!S35,Main!S39,Main!S43,Main!S47,Main!S51,Main!S55,Main!S59,Main!S64,Main!S68,Main!S72,Main!S76,Main!S80,Main!S85)</f>
        <v>0</v>
      </c>
      <c r="T9" s="17">
        <f>SUM(Main!T27,Main!T31,Main!T35,Main!T39,Main!T43,Main!T47,Main!T51,Main!T55,Main!T59,Main!T64,Main!T68,Main!T72,Main!T76,Main!T80,Main!T85)</f>
        <v>0</v>
      </c>
      <c r="U9" s="17">
        <f>SUM(Main!U27,Main!U31,Main!U35,Main!U39,Main!U43,Main!U47,Main!U51,Main!U55,Main!U59,Main!U64,Main!U68,Main!U72,Main!U76,Main!U80,Main!U85)</f>
        <v>0</v>
      </c>
      <c r="V9" s="17"/>
      <c r="W9" s="17"/>
      <c r="X9" s="17"/>
      <c r="Y9" s="17"/>
      <c r="Z9" s="8"/>
    </row>
    <row r="10" spans="1:26" ht="15.75" customHeight="1" thickBot="1" x14ac:dyDescent="0.3">
      <c r="A10" s="163"/>
      <c r="B10" s="164"/>
      <c r="C10" s="164"/>
      <c r="D10" s="155"/>
      <c r="E10" s="158"/>
      <c r="F10" s="152"/>
      <c r="G10" s="132"/>
      <c r="H10" s="132"/>
      <c r="I10" s="57">
        <f t="shared" si="0"/>
        <v>91650</v>
      </c>
      <c r="J10" s="57">
        <f>E8-I10</f>
        <v>-1328.7960000000166</v>
      </c>
      <c r="K10" s="82" t="s">
        <v>616</v>
      </c>
      <c r="L10" s="137">
        <f>Main!$AD$30*Main!$AD$27*Main!$AD$26</f>
        <v>0</v>
      </c>
      <c r="M10" s="137">
        <f>Main!$AD$31*Main!$AD$26*Main!$AD$27</f>
        <v>1950</v>
      </c>
      <c r="N10" s="137">
        <f>Main!$AD$32*Main!$AD$26*Main!$AD$27</f>
        <v>1950</v>
      </c>
      <c r="O10" s="137">
        <f>Main!$AD$33*Main!$AD$26*Main!$AD$27</f>
        <v>9750</v>
      </c>
      <c r="P10" s="137">
        <f>Main!$AD$34*Main!$AD$26*Main!$AD$27</f>
        <v>11700</v>
      </c>
      <c r="Q10" s="137">
        <f>Main!$AD$35*Main!$AD$26*Main!$AD$27</f>
        <v>15600</v>
      </c>
      <c r="R10" s="137">
        <f>Main!$AD$36*Main!$AD$26*Main!$AD$27</f>
        <v>17550</v>
      </c>
      <c r="S10" s="137">
        <f>Main!$AD$37*Main!$AD$26*Main!$AD$27</f>
        <v>17550</v>
      </c>
      <c r="T10" s="137">
        <f>Main!$AD$38*Main!$AD$26*Main!$AD$27</f>
        <v>15600</v>
      </c>
      <c r="U10" s="137">
        <f>Main!$AD$39*Main!$AD$26*Main!$AD$27</f>
        <v>0</v>
      </c>
      <c r="V10" s="137"/>
      <c r="W10" s="137"/>
      <c r="X10" s="137"/>
      <c r="Y10" s="137"/>
      <c r="Z10" s="77"/>
    </row>
    <row r="11" spans="1:26" ht="15" customHeight="1" x14ac:dyDescent="0.25">
      <c r="A11" s="159" t="s">
        <v>92</v>
      </c>
      <c r="B11" s="160"/>
      <c r="C11" s="160"/>
      <c r="D11" s="165" t="s">
        <v>73</v>
      </c>
      <c r="E11" s="156">
        <f>SUM(Main!E87,Main!E91,Main!E95,Main!E99,Main!E103,Main!E107,Main!E111)</f>
        <v>52491.48</v>
      </c>
      <c r="F11" s="150" t="s">
        <v>80</v>
      </c>
      <c r="G11" s="131"/>
      <c r="H11" s="131"/>
      <c r="I11" s="88">
        <f t="shared" si="0"/>
        <v>52491</v>
      </c>
      <c r="J11" s="88">
        <f t="shared" ref="J11" si="5">E11-I11</f>
        <v>0.48000000000320142</v>
      </c>
      <c r="K11" s="80" t="s">
        <v>634</v>
      </c>
      <c r="L11" s="136">
        <f>SUM(Main!L87,Main!L91,Main!L95,Main!L99,Main!L103,Main!L107,Main!L111)</f>
        <v>0</v>
      </c>
      <c r="M11" s="136">
        <f>SUM(Main!M87,Main!M91,Main!M95,Main!M99,Main!M103,Main!M107,Main!M111)</f>
        <v>4875</v>
      </c>
      <c r="N11" s="136">
        <f>SUM(Main!N87,Main!N91,Main!N95,Main!N99,Main!N103,Main!N107,Main!N111)</f>
        <v>12754</v>
      </c>
      <c r="O11" s="136">
        <f>SUM(Main!O87,Main!O91,Main!O95,Main!O99,Main!O103,Main!O107,Main!O111)</f>
        <v>11318</v>
      </c>
      <c r="P11" s="136">
        <f>SUM(Main!P87,Main!P91,Main!P95,Main!P99,Main!P103,Main!P107,Main!P111)</f>
        <v>11668</v>
      </c>
      <c r="Q11" s="136">
        <f>SUM(Main!Q87,Main!Q91,Main!Q95,Main!Q99,Main!Q103,Main!Q107,Main!Q111)</f>
        <v>11876</v>
      </c>
      <c r="R11" s="136">
        <f>SUM(Main!R87,Main!R91,Main!R95,Main!R99,Main!R103,Main!R107,Main!R111)</f>
        <v>0</v>
      </c>
      <c r="S11" s="136">
        <f>SUM(Main!S87,Main!S91,Main!S95,Main!S99,Main!S103,Main!S107,Main!S111)</f>
        <v>0</v>
      </c>
      <c r="T11" s="136">
        <f>SUM(Main!T87,Main!T91,Main!T95,Main!T99,Main!T103,Main!T107,Main!T111)</f>
        <v>0</v>
      </c>
      <c r="U11" s="136">
        <f>SUM(Main!U87,Main!U91,Main!U95,Main!U99,Main!U103,Main!U107,Main!U111)</f>
        <v>0</v>
      </c>
      <c r="V11" s="136"/>
      <c r="W11" s="136"/>
      <c r="X11" s="136"/>
      <c r="Y11" s="136"/>
      <c r="Z11" s="65"/>
    </row>
    <row r="12" spans="1:26" ht="15" customHeight="1" x14ac:dyDescent="0.25">
      <c r="A12" s="161"/>
      <c r="B12" s="162"/>
      <c r="C12" s="162"/>
      <c r="D12" s="166"/>
      <c r="E12" s="157"/>
      <c r="F12" s="151"/>
      <c r="G12" s="107"/>
      <c r="H12" s="107"/>
      <c r="I12" s="56">
        <f t="shared" si="0"/>
        <v>0</v>
      </c>
      <c r="J12" s="56">
        <f t="shared" ref="J12" si="6">E11-I12</f>
        <v>52491.48</v>
      </c>
      <c r="K12" s="81" t="s">
        <v>635</v>
      </c>
      <c r="L12" s="17">
        <f>SUM(Main!L88,Main!L92,Main!L96,Main!L100,Main!L104,Main!L108,Main!L112)</f>
        <v>0</v>
      </c>
      <c r="M12" s="17">
        <f>SUM(Main!M88,Main!M92,Main!M96,Main!M100,Main!M104,Main!M108,Main!M112)</f>
        <v>0</v>
      </c>
      <c r="N12" s="17">
        <f>SUM(Main!N88,Main!N92,Main!N96,Main!N100,Main!N104,Main!N108,Main!N112)</f>
        <v>0</v>
      </c>
      <c r="O12" s="17">
        <f>SUM(Main!O88,Main!O92,Main!O96,Main!O100,Main!O104,Main!O108,Main!O112)</f>
        <v>0</v>
      </c>
      <c r="P12" s="17">
        <f>SUM(Main!P88,Main!P92,Main!P96,Main!P100,Main!P104,Main!P108,Main!P112)</f>
        <v>0</v>
      </c>
      <c r="Q12" s="17">
        <f>SUM(Main!Q88,Main!Q92,Main!Q96,Main!Q100,Main!Q104,Main!Q108,Main!Q112)</f>
        <v>0</v>
      </c>
      <c r="R12" s="17">
        <f>SUM(Main!R88,Main!R92,Main!R96,Main!R100,Main!R104,Main!R108,Main!R112)</f>
        <v>0</v>
      </c>
      <c r="S12" s="17">
        <f>SUM(Main!S88,Main!S92,Main!S96,Main!S100,Main!S104,Main!S108,Main!S112)</f>
        <v>0</v>
      </c>
      <c r="T12" s="17">
        <f>SUM(Main!T88,Main!T92,Main!T96,Main!T100,Main!T104,Main!T108,Main!T112)</f>
        <v>0</v>
      </c>
      <c r="U12" s="17">
        <f>SUM(Main!U88,Main!U92,Main!U96,Main!U100,Main!U104,Main!U108,Main!U112)</f>
        <v>0</v>
      </c>
      <c r="V12" s="17"/>
      <c r="W12" s="17"/>
      <c r="X12" s="17"/>
      <c r="Y12" s="17"/>
      <c r="Z12" s="8"/>
    </row>
    <row r="13" spans="1:26" ht="15.75" customHeight="1" thickBot="1" x14ac:dyDescent="0.3">
      <c r="A13" s="161"/>
      <c r="B13" s="162"/>
      <c r="C13" s="162"/>
      <c r="D13" s="167"/>
      <c r="E13" s="158"/>
      <c r="F13" s="152"/>
      <c r="G13" s="132"/>
      <c r="H13" s="132"/>
      <c r="I13" s="57">
        <f t="shared" si="0"/>
        <v>58500</v>
      </c>
      <c r="J13" s="57">
        <f>E11-I13</f>
        <v>-6008.5199999999968</v>
      </c>
      <c r="K13" s="82" t="s">
        <v>616</v>
      </c>
      <c r="L13" s="137">
        <f>Main!$AC$46*Main!$AC$42*Main!$AC$43</f>
        <v>0</v>
      </c>
      <c r="M13" s="137">
        <f>Main!$AC$47*Main!$AC$42*Main!$AC$43</f>
        <v>6500</v>
      </c>
      <c r="N13" s="137">
        <f>Main!$AC$48*Main!$AC$42*Main!$AC$43</f>
        <v>13000</v>
      </c>
      <c r="O13" s="137">
        <f>Main!$AC$49*Main!$AC$42*Main!$AC$43</f>
        <v>13000</v>
      </c>
      <c r="P13" s="137">
        <f>Main!$AC$50*Main!$AC$42*Main!$AC$43</f>
        <v>13000</v>
      </c>
      <c r="Q13" s="137">
        <f>Main!$AC$51*Main!$AC$42*Main!$AC$43</f>
        <v>13000</v>
      </c>
      <c r="R13" s="137">
        <f>Main!$AC$52*Main!$AC$42*Main!$AC$43</f>
        <v>0</v>
      </c>
      <c r="S13" s="137">
        <f>Main!$AC$52*Main!$AC$42*Main!$AC$43</f>
        <v>0</v>
      </c>
      <c r="T13" s="137">
        <f>Main!$AC$53*Main!$AC$42*Main!$AC$43</f>
        <v>0</v>
      </c>
      <c r="U13" s="137">
        <f>Main!$AC$53*Main!$AC$42*Main!$AC$43</f>
        <v>0</v>
      </c>
      <c r="V13" s="137"/>
      <c r="W13" s="137"/>
      <c r="X13" s="137"/>
      <c r="Y13" s="137"/>
      <c r="Z13" s="77"/>
    </row>
    <row r="14" spans="1:26" ht="15" customHeight="1" x14ac:dyDescent="0.25">
      <c r="A14" s="161"/>
      <c r="B14" s="162"/>
      <c r="C14" s="162"/>
      <c r="D14" s="153" t="s">
        <v>74</v>
      </c>
      <c r="E14" s="156">
        <f>SUM(Main!E89,Main!E93,Main!E97,Main!E101,Main!E105,Main!E109,Main!E113)</f>
        <v>34994.32</v>
      </c>
      <c r="F14" s="150" t="s">
        <v>80</v>
      </c>
      <c r="G14" s="131"/>
      <c r="H14" s="131"/>
      <c r="I14" s="88">
        <f t="shared" si="0"/>
        <v>34995</v>
      </c>
      <c r="J14" s="88">
        <f t="shared" ref="J14" si="7">E14-I14</f>
        <v>-0.68000000000029104</v>
      </c>
      <c r="K14" s="83" t="s">
        <v>634</v>
      </c>
      <c r="L14" s="138">
        <f>SUM(Main!L89,Main!L93,Main!L97,Main!L101,Main!L105,Main!L109,Main!L113)</f>
        <v>0</v>
      </c>
      <c r="M14" s="138">
        <f>SUM(Main!M89,Main!M93,Main!M97,Main!M101,Main!M105,Main!M109,Main!M113)</f>
        <v>0</v>
      </c>
      <c r="N14" s="138">
        <f>SUM(Main!N89,Main!N93,Main!N97,Main!N101,Main!N105,Main!N109,Main!N113)</f>
        <v>0</v>
      </c>
      <c r="O14" s="138">
        <f>SUM(Main!O89,Main!O93,Main!O97,Main!O101,Main!O105,Main!O109,Main!O113)</f>
        <v>0</v>
      </c>
      <c r="P14" s="138">
        <f>SUM(Main!P89,Main!P93,Main!P97,Main!P101,Main!P105,Main!P109,Main!P113)</f>
        <v>3901</v>
      </c>
      <c r="Q14" s="138">
        <f>SUM(Main!Q89,Main!Q93,Main!Q97,Main!Q101,Main!Q105,Main!Q109,Main!Q113)</f>
        <v>7000</v>
      </c>
      <c r="R14" s="138">
        <f>SUM(Main!R89,Main!R93,Main!R97,Main!R101,Main!R105,Main!R109,Main!R113)</f>
        <v>8331</v>
      </c>
      <c r="S14" s="138">
        <f>SUM(Main!S89,Main!S93,Main!S97,Main!S101,Main!S105,Main!S109,Main!S113)</f>
        <v>8900</v>
      </c>
      <c r="T14" s="138">
        <f>SUM(Main!T89,Main!T93,Main!T97,Main!T101,Main!T105,Main!T109,Main!T113)</f>
        <v>6863</v>
      </c>
      <c r="U14" s="138">
        <f>SUM(Main!U89,Main!U93,Main!U97,Main!U101,Main!U105,Main!U109,Main!U113)</f>
        <v>0</v>
      </c>
      <c r="V14" s="138"/>
      <c r="W14" s="138"/>
      <c r="X14" s="138"/>
      <c r="Y14" s="138"/>
      <c r="Z14" s="85"/>
    </row>
    <row r="15" spans="1:26" ht="15" customHeight="1" x14ac:dyDescent="0.25">
      <c r="A15" s="161"/>
      <c r="B15" s="162"/>
      <c r="C15" s="162"/>
      <c r="D15" s="154"/>
      <c r="E15" s="157"/>
      <c r="F15" s="151"/>
      <c r="G15" s="107"/>
      <c r="H15" s="107"/>
      <c r="I15" s="56">
        <f t="shared" si="0"/>
        <v>0</v>
      </c>
      <c r="J15" s="56">
        <f t="shared" ref="J15" si="8">E14-I15</f>
        <v>34994.32</v>
      </c>
      <c r="K15" s="81" t="s">
        <v>635</v>
      </c>
      <c r="L15" s="17">
        <f>SUM(Main!L90,Main!L94,Main!L98,Main!L102,Main!L106,Main!L110,Main!L114)</f>
        <v>0</v>
      </c>
      <c r="M15" s="17">
        <f>SUM(Main!M90,Main!M94,Main!M98,Main!M102,Main!M106,Main!M110,Main!M114)</f>
        <v>0</v>
      </c>
      <c r="N15" s="17">
        <f>SUM(Main!N90,Main!N94,Main!N98,Main!N102,Main!N106,Main!N110,Main!N114)</f>
        <v>0</v>
      </c>
      <c r="O15" s="17">
        <f>SUM(Main!O90,Main!O94,Main!O98,Main!O102,Main!O106,Main!O110,Main!O114)</f>
        <v>0</v>
      </c>
      <c r="P15" s="17">
        <f>SUM(Main!P90,Main!P94,Main!P98,Main!P102,Main!P106,Main!P110,Main!P114)</f>
        <v>0</v>
      </c>
      <c r="Q15" s="17">
        <f>SUM(Main!Q90,Main!Q94,Main!Q98,Main!Q102,Main!Q106,Main!Q110,Main!Q114)</f>
        <v>0</v>
      </c>
      <c r="R15" s="17">
        <f>SUM(Main!R90,Main!R94,Main!R98,Main!R102,Main!R106,Main!R110,Main!R114)</f>
        <v>0</v>
      </c>
      <c r="S15" s="17">
        <f>SUM(Main!S90,Main!S94,Main!S98,Main!S102,Main!S106,Main!S110,Main!S114)</f>
        <v>0</v>
      </c>
      <c r="T15" s="17">
        <f>SUM(Main!T90,Main!T94,Main!T98,Main!T102,Main!T106,Main!T110,Main!T114)</f>
        <v>0</v>
      </c>
      <c r="U15" s="17">
        <f>SUM(Main!U90,Main!U94,Main!U98,Main!U102,Main!U106,Main!U110,Main!U114)</f>
        <v>0</v>
      </c>
      <c r="V15" s="17"/>
      <c r="W15" s="17"/>
      <c r="X15" s="17"/>
      <c r="Y15" s="17"/>
      <c r="Z15" s="8"/>
    </row>
    <row r="16" spans="1:26" ht="15.75" customHeight="1" thickBot="1" x14ac:dyDescent="0.3">
      <c r="A16" s="163"/>
      <c r="B16" s="164"/>
      <c r="C16" s="164"/>
      <c r="D16" s="155"/>
      <c r="E16" s="158"/>
      <c r="F16" s="152"/>
      <c r="G16" s="132"/>
      <c r="H16" s="132"/>
      <c r="I16" s="57">
        <f t="shared" si="0"/>
        <v>37050</v>
      </c>
      <c r="J16" s="57">
        <f>E14-I16</f>
        <v>-2055.6800000000003</v>
      </c>
      <c r="K16" s="82" t="s">
        <v>616</v>
      </c>
      <c r="L16" s="137">
        <f>Main!$AD$46*Main!$AD$26*Main!$AD$27</f>
        <v>0</v>
      </c>
      <c r="M16" s="137">
        <f>Main!$AD$47*Main!$AD$26*Main!$AD$27</f>
        <v>0</v>
      </c>
      <c r="N16" s="137">
        <f>Main!$AD$48*Main!$AD$26*Main!$AD$27</f>
        <v>0</v>
      </c>
      <c r="O16" s="137">
        <f>Main!$AD$49*Main!$AD$26*Main!$AD$27</f>
        <v>0</v>
      </c>
      <c r="P16" s="137">
        <f>Main!$AD$50*Main!$AD$26*Main!$AD$27</f>
        <v>5850</v>
      </c>
      <c r="Q16" s="137">
        <f>Main!$AD$51*Main!$AD$26*Main!$AD$27</f>
        <v>7800</v>
      </c>
      <c r="R16" s="137">
        <f>Main!$AD$52*Main!$AD$26*Main!$AD$27</f>
        <v>7800</v>
      </c>
      <c r="S16" s="137">
        <f>Main!$AD$53*Main!$AD$26*Main!$AD$27</f>
        <v>7800</v>
      </c>
      <c r="T16" s="137">
        <f>Main!$AD$54*Main!$AD$26*Main!$AD$27</f>
        <v>7800</v>
      </c>
      <c r="U16" s="137">
        <f>Main!$AD$55*Main!$AD$26*Main!$AD$27</f>
        <v>0</v>
      </c>
      <c r="V16" s="137"/>
      <c r="W16" s="137"/>
      <c r="X16" s="137"/>
      <c r="Y16" s="137"/>
      <c r="Z16" s="77"/>
    </row>
    <row r="17" spans="1:30" ht="15" customHeight="1" x14ac:dyDescent="0.25">
      <c r="A17" s="159" t="s">
        <v>93</v>
      </c>
      <c r="B17" s="160"/>
      <c r="C17" s="160"/>
      <c r="D17" s="165" t="s">
        <v>73</v>
      </c>
      <c r="E17" s="156">
        <f>E5+E11</f>
        <v>187973.28600000002</v>
      </c>
      <c r="F17" s="150" t="s">
        <v>80</v>
      </c>
      <c r="G17" s="131"/>
      <c r="H17" s="131"/>
      <c r="I17" s="88">
        <f t="shared" si="0"/>
        <v>187972.068</v>
      </c>
      <c r="J17" s="88">
        <f t="shared" ref="J17" si="9">E17-I17</f>
        <v>1.2180000000225846</v>
      </c>
      <c r="K17" s="80" t="s">
        <v>634</v>
      </c>
      <c r="L17" s="136">
        <f t="shared" ref="L17:L22" si="10">SUM(L5,L11)</f>
        <v>7692</v>
      </c>
      <c r="M17" s="136">
        <f t="shared" ref="M17:U22" si="11">SUM(M5,M11)</f>
        <v>23454.694000000003</v>
      </c>
      <c r="N17" s="136">
        <f t="shared" si="11"/>
        <v>32624.194</v>
      </c>
      <c r="O17" s="136">
        <f t="shared" si="11"/>
        <v>30751.194000000003</v>
      </c>
      <c r="P17" s="136">
        <f t="shared" si="11"/>
        <v>30771.962</v>
      </c>
      <c r="Q17" s="136">
        <f t="shared" si="11"/>
        <v>37211.962</v>
      </c>
      <c r="R17" s="136">
        <f t="shared" si="11"/>
        <v>25466.061999999998</v>
      </c>
      <c r="S17" s="136">
        <f t="shared" si="11"/>
        <v>0</v>
      </c>
      <c r="T17" s="136">
        <f t="shared" si="11"/>
        <v>0</v>
      </c>
      <c r="U17" s="136">
        <f t="shared" si="11"/>
        <v>0</v>
      </c>
      <c r="V17" s="136"/>
      <c r="W17" s="136"/>
      <c r="X17" s="136"/>
      <c r="Y17" s="136"/>
      <c r="Z17" s="65"/>
    </row>
    <row r="18" spans="1:30" ht="15" customHeight="1" x14ac:dyDescent="0.25">
      <c r="A18" s="161"/>
      <c r="B18" s="162"/>
      <c r="C18" s="162"/>
      <c r="D18" s="166"/>
      <c r="E18" s="157"/>
      <c r="F18" s="151"/>
      <c r="G18" s="107"/>
      <c r="H18" s="107"/>
      <c r="I18" s="56">
        <f t="shared" si="0"/>
        <v>7692</v>
      </c>
      <c r="J18" s="56">
        <f>E17-I18</f>
        <v>180281.28600000002</v>
      </c>
      <c r="K18" s="81" t="s">
        <v>635</v>
      </c>
      <c r="L18" s="17">
        <f t="shared" si="10"/>
        <v>7692</v>
      </c>
      <c r="M18" s="17">
        <f t="shared" si="11"/>
        <v>0</v>
      </c>
      <c r="N18" s="17">
        <f t="shared" si="11"/>
        <v>0</v>
      </c>
      <c r="O18" s="17">
        <f t="shared" si="11"/>
        <v>0</v>
      </c>
      <c r="P18" s="17">
        <f t="shared" si="11"/>
        <v>0</v>
      </c>
      <c r="Q18" s="17">
        <f t="shared" si="11"/>
        <v>0</v>
      </c>
      <c r="R18" s="17">
        <f t="shared" si="11"/>
        <v>0</v>
      </c>
      <c r="S18" s="17">
        <f t="shared" si="11"/>
        <v>0</v>
      </c>
      <c r="T18" s="17">
        <f t="shared" si="11"/>
        <v>0</v>
      </c>
      <c r="U18" s="17">
        <f t="shared" si="11"/>
        <v>0</v>
      </c>
      <c r="V18" s="17"/>
      <c r="W18" s="17"/>
      <c r="X18" s="17"/>
      <c r="Y18" s="17"/>
      <c r="Z18" s="128"/>
    </row>
    <row r="19" spans="1:30" ht="15.75" customHeight="1" thickBot="1" x14ac:dyDescent="0.3">
      <c r="A19" s="161"/>
      <c r="B19" s="162"/>
      <c r="C19" s="162"/>
      <c r="D19" s="167"/>
      <c r="E19" s="158"/>
      <c r="F19" s="152"/>
      <c r="G19" s="132"/>
      <c r="H19" s="132"/>
      <c r="I19" s="57">
        <f t="shared" si="0"/>
        <v>198900</v>
      </c>
      <c r="J19" s="57">
        <f>E17-I19</f>
        <v>-10926.713999999978</v>
      </c>
      <c r="K19" s="82" t="s">
        <v>616</v>
      </c>
      <c r="L19" s="137">
        <f t="shared" si="10"/>
        <v>10400</v>
      </c>
      <c r="M19" s="137">
        <f t="shared" si="11"/>
        <v>22750</v>
      </c>
      <c r="N19" s="137">
        <f t="shared" si="11"/>
        <v>32500</v>
      </c>
      <c r="O19" s="137">
        <f t="shared" si="11"/>
        <v>32500</v>
      </c>
      <c r="P19" s="137">
        <f t="shared" si="11"/>
        <v>35750</v>
      </c>
      <c r="Q19" s="137">
        <f t="shared" si="11"/>
        <v>39000</v>
      </c>
      <c r="R19" s="137">
        <f t="shared" si="11"/>
        <v>26000</v>
      </c>
      <c r="S19" s="137">
        <f t="shared" si="11"/>
        <v>0</v>
      </c>
      <c r="T19" s="137">
        <f t="shared" si="11"/>
        <v>0</v>
      </c>
      <c r="U19" s="137">
        <f t="shared" si="11"/>
        <v>0</v>
      </c>
      <c r="V19" s="137"/>
      <c r="W19" s="137"/>
      <c r="X19" s="137"/>
      <c r="Y19" s="137"/>
      <c r="Z19" s="77"/>
    </row>
    <row r="20" spans="1:30" ht="15" customHeight="1" x14ac:dyDescent="0.25">
      <c r="A20" s="161"/>
      <c r="B20" s="162"/>
      <c r="C20" s="162"/>
      <c r="D20" s="153" t="s">
        <v>74</v>
      </c>
      <c r="E20" s="156">
        <f>E8+E14</f>
        <v>125315.52399999998</v>
      </c>
      <c r="F20" s="150" t="s">
        <v>80</v>
      </c>
      <c r="G20" s="131"/>
      <c r="H20" s="131"/>
      <c r="I20" s="88">
        <f t="shared" si="0"/>
        <v>125315</v>
      </c>
      <c r="J20" s="88">
        <f t="shared" ref="J20" si="12">E20-I20</f>
        <v>0.52399999997578561</v>
      </c>
      <c r="K20" s="83" t="s">
        <v>634</v>
      </c>
      <c r="L20" s="138">
        <f t="shared" si="10"/>
        <v>0</v>
      </c>
      <c r="M20" s="138">
        <f t="shared" si="11"/>
        <v>1303</v>
      </c>
      <c r="N20" s="138">
        <f t="shared" si="11"/>
        <v>1413</v>
      </c>
      <c r="O20" s="138">
        <f t="shared" si="11"/>
        <v>9200</v>
      </c>
      <c r="P20" s="138">
        <f t="shared" si="11"/>
        <v>16401</v>
      </c>
      <c r="Q20" s="138">
        <f t="shared" si="11"/>
        <v>20874</v>
      </c>
      <c r="R20" s="138">
        <f t="shared" si="11"/>
        <v>27185</v>
      </c>
      <c r="S20" s="138">
        <f t="shared" si="11"/>
        <v>26388</v>
      </c>
      <c r="T20" s="138">
        <f t="shared" si="11"/>
        <v>22551</v>
      </c>
      <c r="U20" s="138">
        <f t="shared" si="11"/>
        <v>0</v>
      </c>
      <c r="V20" s="138"/>
      <c r="W20" s="138"/>
      <c r="X20" s="138"/>
      <c r="Y20" s="138"/>
      <c r="Z20" s="85"/>
    </row>
    <row r="21" spans="1:30" ht="15" customHeight="1" x14ac:dyDescent="0.25">
      <c r="A21" s="161"/>
      <c r="B21" s="162"/>
      <c r="C21" s="162"/>
      <c r="D21" s="154"/>
      <c r="E21" s="157"/>
      <c r="F21" s="151"/>
      <c r="G21" s="107"/>
      <c r="H21" s="107"/>
      <c r="I21" s="56">
        <f t="shared" si="0"/>
        <v>0</v>
      </c>
      <c r="J21" s="56">
        <f t="shared" ref="J21" si="13">E20-I21</f>
        <v>125315.52399999998</v>
      </c>
      <c r="K21" s="81" t="s">
        <v>635</v>
      </c>
      <c r="L21" s="17">
        <f t="shared" si="10"/>
        <v>0</v>
      </c>
      <c r="M21" s="17">
        <f t="shared" si="11"/>
        <v>0</v>
      </c>
      <c r="N21" s="17">
        <f t="shared" si="11"/>
        <v>0</v>
      </c>
      <c r="O21" s="17">
        <f t="shared" si="11"/>
        <v>0</v>
      </c>
      <c r="P21" s="17">
        <f t="shared" si="11"/>
        <v>0</v>
      </c>
      <c r="Q21" s="17">
        <f t="shared" si="11"/>
        <v>0</v>
      </c>
      <c r="R21" s="17">
        <f t="shared" si="11"/>
        <v>0</v>
      </c>
      <c r="S21" s="17">
        <f t="shared" si="11"/>
        <v>0</v>
      </c>
      <c r="T21" s="17">
        <f t="shared" si="11"/>
        <v>0</v>
      </c>
      <c r="U21" s="17">
        <f t="shared" si="11"/>
        <v>0</v>
      </c>
      <c r="V21" s="17"/>
      <c r="W21" s="17"/>
      <c r="X21" s="17"/>
      <c r="Y21" s="17"/>
      <c r="Z21" s="128"/>
    </row>
    <row r="22" spans="1:30" ht="15.75" customHeight="1" thickBot="1" x14ac:dyDescent="0.3">
      <c r="A22" s="163"/>
      <c r="B22" s="164"/>
      <c r="C22" s="164"/>
      <c r="D22" s="155"/>
      <c r="E22" s="158"/>
      <c r="F22" s="152"/>
      <c r="G22" s="132"/>
      <c r="H22" s="132"/>
      <c r="I22" s="57">
        <f t="shared" si="0"/>
        <v>128700</v>
      </c>
      <c r="J22" s="57">
        <f>E20-I22</f>
        <v>-3384.4760000000242</v>
      </c>
      <c r="K22" s="82" t="s">
        <v>616</v>
      </c>
      <c r="L22" s="137">
        <f t="shared" si="10"/>
        <v>0</v>
      </c>
      <c r="M22" s="137">
        <f t="shared" si="11"/>
        <v>1950</v>
      </c>
      <c r="N22" s="137">
        <f t="shared" si="11"/>
        <v>1950</v>
      </c>
      <c r="O22" s="137">
        <f t="shared" si="11"/>
        <v>9750</v>
      </c>
      <c r="P22" s="137">
        <f t="shared" si="11"/>
        <v>17550</v>
      </c>
      <c r="Q22" s="137">
        <f t="shared" si="11"/>
        <v>23400</v>
      </c>
      <c r="R22" s="137">
        <f t="shared" si="11"/>
        <v>25350</v>
      </c>
      <c r="S22" s="137">
        <f t="shared" si="11"/>
        <v>25350</v>
      </c>
      <c r="T22" s="137">
        <f t="shared" si="11"/>
        <v>23400</v>
      </c>
      <c r="U22" s="137">
        <f t="shared" si="11"/>
        <v>0</v>
      </c>
      <c r="V22" s="137"/>
      <c r="W22" s="137"/>
      <c r="X22" s="137"/>
      <c r="Y22" s="137"/>
      <c r="Z22" s="77"/>
    </row>
    <row r="23" spans="1:30" x14ac:dyDescent="0.25">
      <c r="A23" s="51" t="s">
        <v>3</v>
      </c>
      <c r="B23" s="13"/>
      <c r="C23" s="11"/>
      <c r="D23" s="13"/>
      <c r="E23" s="18"/>
      <c r="F23" s="12"/>
      <c r="G23" s="107"/>
      <c r="H23" s="107"/>
      <c r="I23" s="56"/>
      <c r="J23" s="56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52"/>
    </row>
    <row r="24" spans="1:30" x14ac:dyDescent="0.25">
      <c r="A24" s="197" t="s">
        <v>629</v>
      </c>
      <c r="B24" s="184" t="s">
        <v>5</v>
      </c>
      <c r="C24" s="184" t="s">
        <v>81</v>
      </c>
      <c r="D24" s="186" t="s">
        <v>73</v>
      </c>
      <c r="E24" s="198">
        <f>_xlfn.XLOOKUP(A24,AG_PipingData!$B$3:$B$24,AG_PipingData!$C$3:$C$24,0,0)</f>
        <v>24129.407999999999</v>
      </c>
      <c r="F24" s="188" t="s">
        <v>80</v>
      </c>
      <c r="G24" s="107">
        <v>1</v>
      </c>
      <c r="H24" s="107">
        <v>4</v>
      </c>
      <c r="I24" s="56">
        <f t="shared" ref="I24:I59" si="14">SUM(L24:Y24)</f>
        <v>24129.407999999999</v>
      </c>
      <c r="J24" s="56">
        <f>E24-I24</f>
        <v>0</v>
      </c>
      <c r="K24" s="14" t="s">
        <v>98</v>
      </c>
      <c r="L24" s="141">
        <v>2905</v>
      </c>
      <c r="M24" s="141">
        <v>9750.1360000000004</v>
      </c>
      <c r="N24" s="141">
        <v>7622.1359999999995</v>
      </c>
      <c r="O24" s="141">
        <v>3852.136</v>
      </c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49"/>
      <c r="AB24" s="183" t="s">
        <v>102</v>
      </c>
      <c r="AC24" s="183"/>
      <c r="AD24" s="183"/>
    </row>
    <row r="25" spans="1:30" x14ac:dyDescent="0.25">
      <c r="A25" s="197"/>
      <c r="B25" s="184"/>
      <c r="C25" s="184"/>
      <c r="D25" s="187"/>
      <c r="E25" s="199"/>
      <c r="F25" s="189"/>
      <c r="G25" s="107"/>
      <c r="H25" s="107"/>
      <c r="I25" s="56">
        <f t="shared" si="14"/>
        <v>2905</v>
      </c>
      <c r="J25" s="56">
        <f>E24-I25</f>
        <v>21224.407999999999</v>
      </c>
      <c r="K25" s="3" t="s">
        <v>99</v>
      </c>
      <c r="L25" s="17">
        <v>2905</v>
      </c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8"/>
      <c r="AB25" s="9"/>
      <c r="AC25" s="9" t="s">
        <v>110</v>
      </c>
      <c r="AD25" s="9" t="s">
        <v>111</v>
      </c>
    </row>
    <row r="26" spans="1:30" x14ac:dyDescent="0.25">
      <c r="A26" s="197"/>
      <c r="B26" s="184"/>
      <c r="C26" s="184"/>
      <c r="D26" s="190" t="s">
        <v>74</v>
      </c>
      <c r="E26" s="198">
        <f>_xlfn.XLOOKUP(A24,AG_PipingData!$B$3:$B$24,AG_PipingData!$D$3:$D$24,0,0)</f>
        <v>16086.272000000001</v>
      </c>
      <c r="F26" s="188" t="s">
        <v>80</v>
      </c>
      <c r="G26" s="107">
        <v>4</v>
      </c>
      <c r="H26" s="107">
        <v>6</v>
      </c>
      <c r="I26" s="56">
        <f t="shared" si="14"/>
        <v>16086</v>
      </c>
      <c r="J26" s="56">
        <f t="shared" ref="J26" si="15">E26-I26</f>
        <v>0.27200000000084401</v>
      </c>
      <c r="K26" s="6" t="s">
        <v>98</v>
      </c>
      <c r="L26" s="142"/>
      <c r="M26" s="142"/>
      <c r="N26" s="142"/>
      <c r="O26" s="142">
        <v>4200</v>
      </c>
      <c r="P26" s="142">
        <v>5000</v>
      </c>
      <c r="Q26" s="142">
        <v>6886</v>
      </c>
      <c r="R26" s="142"/>
      <c r="S26" s="142"/>
      <c r="T26" s="142"/>
      <c r="U26" s="142"/>
      <c r="V26" s="142"/>
      <c r="W26" s="142"/>
      <c r="X26" s="142"/>
      <c r="Y26" s="142"/>
      <c r="Z26" s="50"/>
      <c r="AB26" s="1" t="s">
        <v>109</v>
      </c>
      <c r="AC26" s="1">
        <v>25</v>
      </c>
      <c r="AD26" s="1">
        <v>15</v>
      </c>
    </row>
    <row r="27" spans="1:30" x14ac:dyDescent="0.25">
      <c r="A27" s="197"/>
      <c r="B27" s="184"/>
      <c r="C27" s="184"/>
      <c r="D27" s="191"/>
      <c r="E27" s="199"/>
      <c r="F27" s="189"/>
      <c r="G27" s="107"/>
      <c r="H27" s="107"/>
      <c r="I27" s="56">
        <f t="shared" si="14"/>
        <v>0</v>
      </c>
      <c r="J27" s="56">
        <f t="shared" ref="J27" si="16">E26-I27</f>
        <v>16086.272000000001</v>
      </c>
      <c r="K27" s="3" t="s">
        <v>99</v>
      </c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8"/>
      <c r="AB27" s="1" t="s">
        <v>112</v>
      </c>
      <c r="AC27" s="1">
        <v>26</v>
      </c>
      <c r="AD27" s="1">
        <v>26</v>
      </c>
    </row>
    <row r="28" spans="1:30" x14ac:dyDescent="0.25">
      <c r="A28" s="197" t="s">
        <v>631</v>
      </c>
      <c r="B28" s="184" t="s">
        <v>9</v>
      </c>
      <c r="C28" s="184" t="s">
        <v>81</v>
      </c>
      <c r="D28" s="186" t="s">
        <v>73</v>
      </c>
      <c r="E28" s="198">
        <f>_xlfn.XLOOKUP(A28,AG_PipingData!$B$3:$B$24,AG_PipingData!$C$3:$C$24,0,0)</f>
        <v>2119.35</v>
      </c>
      <c r="F28" s="188" t="s">
        <v>80</v>
      </c>
      <c r="G28" s="107">
        <v>1</v>
      </c>
      <c r="H28" s="107">
        <v>2</v>
      </c>
      <c r="I28" s="56">
        <f t="shared" si="14"/>
        <v>2119.35</v>
      </c>
      <c r="J28" s="56">
        <f t="shared" ref="J28" si="17">E28-I28</f>
        <v>0</v>
      </c>
      <c r="K28" s="14" t="s">
        <v>98</v>
      </c>
      <c r="L28" s="141">
        <v>408</v>
      </c>
      <c r="M28" s="141">
        <v>1711.35</v>
      </c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49"/>
      <c r="AB28" s="1"/>
      <c r="AC28" s="1"/>
      <c r="AD28" s="1"/>
    </row>
    <row r="29" spans="1:30" x14ac:dyDescent="0.25">
      <c r="A29" s="197"/>
      <c r="B29" s="184"/>
      <c r="C29" s="184"/>
      <c r="D29" s="187"/>
      <c r="E29" s="199"/>
      <c r="F29" s="189"/>
      <c r="G29" s="107"/>
      <c r="H29" s="107"/>
      <c r="I29" s="56">
        <f t="shared" si="14"/>
        <v>408</v>
      </c>
      <c r="J29" s="56">
        <f t="shared" ref="J29" si="18">E28-I29</f>
        <v>1711.35</v>
      </c>
      <c r="K29" s="3" t="s">
        <v>99</v>
      </c>
      <c r="L29" s="17">
        <v>408</v>
      </c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8"/>
      <c r="AB29" s="1" t="s">
        <v>113</v>
      </c>
      <c r="AC29" s="1" t="s">
        <v>123</v>
      </c>
      <c r="AD29" s="1" t="s">
        <v>124</v>
      </c>
    </row>
    <row r="30" spans="1:30" x14ac:dyDescent="0.25">
      <c r="A30" s="197"/>
      <c r="B30" s="184"/>
      <c r="C30" s="184"/>
      <c r="D30" s="190" t="s">
        <v>74</v>
      </c>
      <c r="E30" s="198">
        <f>_xlfn.XLOOKUP(A28,AG_PipingData!$B$3:$B$24,AG_PipingData!$D$3:$D$24,0,0)</f>
        <v>1412.9</v>
      </c>
      <c r="F30" s="188" t="s">
        <v>80</v>
      </c>
      <c r="G30" s="107">
        <v>3</v>
      </c>
      <c r="H30" s="107">
        <v>3</v>
      </c>
      <c r="I30" s="56">
        <f t="shared" si="14"/>
        <v>1413</v>
      </c>
      <c r="J30" s="56">
        <f t="shared" ref="J30" si="19">E30-I30</f>
        <v>-9.9999999999909051E-2</v>
      </c>
      <c r="K30" s="6" t="s">
        <v>98</v>
      </c>
      <c r="L30" s="142"/>
      <c r="M30" s="142"/>
      <c r="N30" s="142">
        <v>1413</v>
      </c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50"/>
      <c r="AB30" s="1" t="s">
        <v>114</v>
      </c>
      <c r="AC30" s="1">
        <v>16</v>
      </c>
      <c r="AD30" s="1"/>
    </row>
    <row r="31" spans="1:30" x14ac:dyDescent="0.25">
      <c r="A31" s="197"/>
      <c r="B31" s="184"/>
      <c r="C31" s="184"/>
      <c r="D31" s="191"/>
      <c r="E31" s="199"/>
      <c r="F31" s="189"/>
      <c r="G31" s="107"/>
      <c r="H31" s="107"/>
      <c r="I31" s="56">
        <f t="shared" si="14"/>
        <v>0</v>
      </c>
      <c r="J31" s="56">
        <f t="shared" ref="J31" si="20">E30-I31</f>
        <v>1412.9</v>
      </c>
      <c r="K31" s="3" t="s">
        <v>99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8"/>
      <c r="AB31" s="1" t="s">
        <v>115</v>
      </c>
      <c r="AC31" s="1">
        <v>25</v>
      </c>
      <c r="AD31" s="1">
        <v>5</v>
      </c>
    </row>
    <row r="32" spans="1:30" x14ac:dyDescent="0.25">
      <c r="A32" s="197" t="s">
        <v>632</v>
      </c>
      <c r="B32" s="184" t="s">
        <v>11</v>
      </c>
      <c r="C32" s="184" t="s">
        <v>81</v>
      </c>
      <c r="D32" s="186" t="s">
        <v>73</v>
      </c>
      <c r="E32" s="198">
        <f>_xlfn.XLOOKUP(A32,AG_PipingData!$B$3:$B$24,AG_PipingData!$C$3:$C$24,0,0)</f>
        <v>1954.6499999999999</v>
      </c>
      <c r="F32" s="188" t="s">
        <v>80</v>
      </c>
      <c r="G32" s="107">
        <v>1</v>
      </c>
      <c r="H32" s="107">
        <v>2</v>
      </c>
      <c r="I32" s="56">
        <f t="shared" si="14"/>
        <v>1954.6499999999999</v>
      </c>
      <c r="J32" s="56">
        <f t="shared" ref="J32" si="21">E32-I32</f>
        <v>0</v>
      </c>
      <c r="K32" s="14" t="s">
        <v>98</v>
      </c>
      <c r="L32" s="141">
        <v>202</v>
      </c>
      <c r="M32" s="141">
        <v>1752.6499999999999</v>
      </c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49"/>
      <c r="AB32" s="1" t="s">
        <v>116</v>
      </c>
      <c r="AC32" s="1">
        <v>30</v>
      </c>
      <c r="AD32" s="9">
        <v>5</v>
      </c>
    </row>
    <row r="33" spans="1:30" x14ac:dyDescent="0.25">
      <c r="A33" s="197"/>
      <c r="B33" s="184"/>
      <c r="C33" s="184"/>
      <c r="D33" s="187"/>
      <c r="E33" s="199"/>
      <c r="F33" s="189"/>
      <c r="G33" s="107"/>
      <c r="H33" s="107"/>
      <c r="I33" s="56">
        <f t="shared" si="14"/>
        <v>202</v>
      </c>
      <c r="J33" s="56">
        <f t="shared" ref="J33" si="22">E32-I33</f>
        <v>1752.6499999999999</v>
      </c>
      <c r="K33" s="3" t="s">
        <v>99</v>
      </c>
      <c r="L33" s="17">
        <v>202</v>
      </c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8"/>
      <c r="AB33" s="1" t="s">
        <v>118</v>
      </c>
      <c r="AC33" s="1">
        <v>30</v>
      </c>
      <c r="AD33" s="1">
        <v>25</v>
      </c>
    </row>
    <row r="34" spans="1:30" x14ac:dyDescent="0.25">
      <c r="A34" s="197"/>
      <c r="B34" s="184"/>
      <c r="C34" s="184"/>
      <c r="D34" s="190" t="s">
        <v>74</v>
      </c>
      <c r="E34" s="198">
        <f>_xlfn.XLOOKUP(A32,AG_PipingData!$B$3:$B$24,AG_PipingData!$D$3:$D$24,0,0)</f>
        <v>1303.1000000000001</v>
      </c>
      <c r="F34" s="188" t="s">
        <v>80</v>
      </c>
      <c r="G34" s="107">
        <v>2</v>
      </c>
      <c r="H34" s="107">
        <v>2</v>
      </c>
      <c r="I34" s="56">
        <f t="shared" si="14"/>
        <v>1303</v>
      </c>
      <c r="J34" s="56">
        <f t="shared" ref="J34" si="23">E34-I34</f>
        <v>0.10000000000013642</v>
      </c>
      <c r="K34" s="6" t="s">
        <v>98</v>
      </c>
      <c r="L34" s="142"/>
      <c r="M34" s="142">
        <v>1303</v>
      </c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50"/>
      <c r="AB34" s="1" t="s">
        <v>117</v>
      </c>
      <c r="AC34" s="1">
        <v>35</v>
      </c>
      <c r="AD34" s="1">
        <v>30</v>
      </c>
    </row>
    <row r="35" spans="1:30" x14ac:dyDescent="0.25">
      <c r="A35" s="197"/>
      <c r="B35" s="184"/>
      <c r="C35" s="184"/>
      <c r="D35" s="191"/>
      <c r="E35" s="199"/>
      <c r="F35" s="189"/>
      <c r="G35" s="107"/>
      <c r="H35" s="107"/>
      <c r="I35" s="56">
        <f t="shared" si="14"/>
        <v>0</v>
      </c>
      <c r="J35" s="56">
        <f t="shared" ref="J35" si="24">E34-I35</f>
        <v>1303.1000000000001</v>
      </c>
      <c r="K35" s="3" t="s">
        <v>99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8"/>
      <c r="AB35" s="1" t="s">
        <v>119</v>
      </c>
      <c r="AC35" s="1">
        <v>40</v>
      </c>
      <c r="AD35" s="1">
        <v>40</v>
      </c>
    </row>
    <row r="36" spans="1:30" x14ac:dyDescent="0.25">
      <c r="A36" s="197" t="s">
        <v>12</v>
      </c>
      <c r="B36" s="184" t="s">
        <v>13</v>
      </c>
      <c r="C36" s="185" t="s">
        <v>84</v>
      </c>
      <c r="D36" s="186" t="s">
        <v>73</v>
      </c>
      <c r="E36" s="198">
        <f>_xlfn.XLOOKUP(A36,AG_PipingData!$B$3:$B$24,AG_PipingData!$C$3:$C$24,0,0)</f>
        <v>8071.4219999999987</v>
      </c>
      <c r="F36" s="188" t="s">
        <v>80</v>
      </c>
      <c r="G36" s="107">
        <v>4</v>
      </c>
      <c r="H36" s="107">
        <v>5</v>
      </c>
      <c r="I36" s="56">
        <f t="shared" si="14"/>
        <v>8071</v>
      </c>
      <c r="J36" s="56">
        <f t="shared" ref="J36" si="25">E36-I36</f>
        <v>0.42199999999866122</v>
      </c>
      <c r="K36" s="14" t="s">
        <v>98</v>
      </c>
      <c r="L36" s="141">
        <v>42</v>
      </c>
      <c r="M36" s="141"/>
      <c r="N36" s="141"/>
      <c r="O36" s="141">
        <v>2396</v>
      </c>
      <c r="P36" s="141">
        <v>5633</v>
      </c>
      <c r="Q36" s="141"/>
      <c r="R36" s="141"/>
      <c r="S36" s="141"/>
      <c r="T36" s="141"/>
      <c r="U36" s="141"/>
      <c r="V36" s="141"/>
      <c r="W36" s="141"/>
      <c r="X36" s="141"/>
      <c r="Y36" s="141"/>
      <c r="Z36" s="49"/>
      <c r="AB36" s="1" t="s">
        <v>120</v>
      </c>
      <c r="AC36" s="1">
        <v>40</v>
      </c>
      <c r="AD36" s="1">
        <v>45</v>
      </c>
    </row>
    <row r="37" spans="1:30" x14ac:dyDescent="0.25">
      <c r="A37" s="197"/>
      <c r="B37" s="184"/>
      <c r="C37" s="185"/>
      <c r="D37" s="187"/>
      <c r="E37" s="199"/>
      <c r="F37" s="189"/>
      <c r="G37" s="107"/>
      <c r="H37" s="107"/>
      <c r="I37" s="56">
        <f t="shared" si="14"/>
        <v>42</v>
      </c>
      <c r="J37" s="56">
        <f t="shared" ref="J37" si="26">E36-I37</f>
        <v>8029.4219999999987</v>
      </c>
      <c r="K37" s="3" t="s">
        <v>99</v>
      </c>
      <c r="L37" s="17">
        <v>42</v>
      </c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8"/>
      <c r="AB37" s="1" t="s">
        <v>121</v>
      </c>
      <c r="AC37" s="1"/>
      <c r="AD37" s="1">
        <v>45</v>
      </c>
    </row>
    <row r="38" spans="1:30" x14ac:dyDescent="0.25">
      <c r="A38" s="197"/>
      <c r="B38" s="184"/>
      <c r="C38" s="185"/>
      <c r="D38" s="190" t="s">
        <v>74</v>
      </c>
      <c r="E38" s="198">
        <f>_xlfn.XLOOKUP(A36,AG_PipingData!$B$3:$B$24,AG_PipingData!$D$3:$D$24,0,0)</f>
        <v>5380.9480000000003</v>
      </c>
      <c r="F38" s="188" t="s">
        <v>80</v>
      </c>
      <c r="G38" s="107">
        <v>5</v>
      </c>
      <c r="H38" s="107">
        <v>6</v>
      </c>
      <c r="I38" s="56">
        <f t="shared" si="14"/>
        <v>5381</v>
      </c>
      <c r="J38" s="56">
        <f t="shared" ref="J38" si="27">E38-I38</f>
        <v>-5.1999999999679858E-2</v>
      </c>
      <c r="K38" s="6" t="s">
        <v>98</v>
      </c>
      <c r="L38" s="142"/>
      <c r="M38" s="142"/>
      <c r="N38" s="142"/>
      <c r="O38" s="142"/>
      <c r="P38" s="142">
        <v>4000</v>
      </c>
      <c r="Q38" s="142">
        <v>1381</v>
      </c>
      <c r="R38" s="142"/>
      <c r="S38" s="142"/>
      <c r="T38" s="142"/>
      <c r="U38" s="142"/>
      <c r="V38" s="142"/>
      <c r="W38" s="142"/>
      <c r="X38" s="142"/>
      <c r="Y38" s="142"/>
      <c r="Z38" s="50"/>
      <c r="AB38" s="1" t="s">
        <v>122</v>
      </c>
      <c r="AC38" s="1"/>
      <c r="AD38" s="1">
        <v>40</v>
      </c>
    </row>
    <row r="39" spans="1:30" x14ac:dyDescent="0.25">
      <c r="A39" s="197"/>
      <c r="B39" s="184"/>
      <c r="C39" s="185"/>
      <c r="D39" s="191"/>
      <c r="E39" s="199"/>
      <c r="F39" s="189"/>
      <c r="G39" s="107"/>
      <c r="H39" s="107"/>
      <c r="I39" s="56">
        <f t="shared" si="14"/>
        <v>0</v>
      </c>
      <c r="J39" s="56">
        <f t="shared" ref="J39" si="28">E38-I39</f>
        <v>5380.9480000000003</v>
      </c>
      <c r="K39" s="3" t="s">
        <v>99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8"/>
    </row>
    <row r="40" spans="1:30" x14ac:dyDescent="0.25">
      <c r="A40" s="197" t="s">
        <v>14</v>
      </c>
      <c r="B40" s="184" t="s">
        <v>15</v>
      </c>
      <c r="C40" s="185" t="s">
        <v>82</v>
      </c>
      <c r="D40" s="186" t="s">
        <v>73</v>
      </c>
      <c r="E40" s="198">
        <f>_xlfn.XLOOKUP(A40,AG_PipingData!$B$3:$B$24,AG_PipingData!$C$3:$C$24,0,0)</f>
        <v>3834.6</v>
      </c>
      <c r="F40" s="188" t="s">
        <v>80</v>
      </c>
      <c r="G40" s="107">
        <v>6</v>
      </c>
      <c r="H40" s="107">
        <v>6</v>
      </c>
      <c r="I40" s="56">
        <f t="shared" si="14"/>
        <v>3835</v>
      </c>
      <c r="J40" s="56">
        <f t="shared" ref="J40" si="29">E40-I40</f>
        <v>-0.40000000000009095</v>
      </c>
      <c r="K40" s="14" t="s">
        <v>98</v>
      </c>
      <c r="L40" s="141"/>
      <c r="M40" s="141"/>
      <c r="N40" s="141"/>
      <c r="O40" s="141"/>
      <c r="P40" s="141"/>
      <c r="Q40" s="141">
        <v>3835</v>
      </c>
      <c r="R40" s="141"/>
      <c r="S40" s="141"/>
      <c r="T40" s="141"/>
      <c r="U40" s="141"/>
      <c r="V40" s="141"/>
      <c r="W40" s="141"/>
      <c r="X40" s="141"/>
      <c r="Y40" s="141"/>
      <c r="Z40" s="49"/>
      <c r="AB40" s="183" t="s">
        <v>125</v>
      </c>
      <c r="AC40" s="183"/>
      <c r="AD40" s="183"/>
    </row>
    <row r="41" spans="1:30" x14ac:dyDescent="0.25">
      <c r="A41" s="197"/>
      <c r="B41" s="184"/>
      <c r="C41" s="185"/>
      <c r="D41" s="187"/>
      <c r="E41" s="199"/>
      <c r="F41" s="189"/>
      <c r="G41" s="107"/>
      <c r="H41" s="107"/>
      <c r="I41" s="56">
        <f t="shared" si="14"/>
        <v>0</v>
      </c>
      <c r="J41" s="56">
        <f t="shared" ref="J41" si="30">E40-I41</f>
        <v>3834.6</v>
      </c>
      <c r="K41" s="3" t="s">
        <v>99</v>
      </c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8"/>
      <c r="AB41" s="9"/>
      <c r="AC41" s="9" t="s">
        <v>110</v>
      </c>
      <c r="AD41" s="9" t="s">
        <v>111</v>
      </c>
    </row>
    <row r="42" spans="1:30" x14ac:dyDescent="0.25">
      <c r="A42" s="197"/>
      <c r="B42" s="184"/>
      <c r="C42" s="185"/>
      <c r="D42" s="190" t="s">
        <v>74</v>
      </c>
      <c r="E42" s="198">
        <f>_xlfn.XLOOKUP(A40,AG_PipingData!$B$3:$B$24,AG_PipingData!$D$3:$D$24,0,0)</f>
        <v>2556.4</v>
      </c>
      <c r="F42" s="188" t="s">
        <v>80</v>
      </c>
      <c r="G42" s="107">
        <v>9</v>
      </c>
      <c r="H42" s="107">
        <v>9</v>
      </c>
      <c r="I42" s="56">
        <f t="shared" si="14"/>
        <v>2556</v>
      </c>
      <c r="J42" s="56">
        <f t="shared" ref="J42" si="31">E42-I42</f>
        <v>0.40000000000009095</v>
      </c>
      <c r="K42" s="6" t="s">
        <v>98</v>
      </c>
      <c r="L42" s="142"/>
      <c r="M42" s="142"/>
      <c r="N42" s="142"/>
      <c r="O42" s="142"/>
      <c r="P42" s="142"/>
      <c r="Q42" s="142"/>
      <c r="R42" s="142"/>
      <c r="S42" s="142"/>
      <c r="T42" s="142">
        <v>2556</v>
      </c>
      <c r="U42" s="142"/>
      <c r="V42" s="142"/>
      <c r="W42" s="142"/>
      <c r="X42" s="142"/>
      <c r="Y42" s="142"/>
      <c r="Z42" s="50"/>
      <c r="AB42" s="1" t="s">
        <v>109</v>
      </c>
      <c r="AC42" s="1">
        <v>25</v>
      </c>
      <c r="AD42" s="1">
        <v>15</v>
      </c>
    </row>
    <row r="43" spans="1:30" x14ac:dyDescent="0.25">
      <c r="A43" s="197"/>
      <c r="B43" s="184"/>
      <c r="C43" s="185"/>
      <c r="D43" s="191"/>
      <c r="E43" s="199"/>
      <c r="F43" s="189"/>
      <c r="G43" s="107"/>
      <c r="H43" s="107"/>
      <c r="I43" s="56">
        <f t="shared" si="14"/>
        <v>0</v>
      </c>
      <c r="J43" s="56">
        <f t="shared" ref="J43" si="32">E42-I43</f>
        <v>2556.4</v>
      </c>
      <c r="K43" s="3" t="s">
        <v>99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8"/>
      <c r="AB43" s="1" t="s">
        <v>112</v>
      </c>
      <c r="AC43" s="1">
        <v>26</v>
      </c>
      <c r="AD43" s="1">
        <v>26</v>
      </c>
    </row>
    <row r="44" spans="1:30" x14ac:dyDescent="0.25">
      <c r="A44" s="197" t="s">
        <v>16</v>
      </c>
      <c r="B44" s="184" t="s">
        <v>17</v>
      </c>
      <c r="C44" s="184" t="s">
        <v>83</v>
      </c>
      <c r="D44" s="186" t="s">
        <v>73</v>
      </c>
      <c r="E44" s="198">
        <f>_xlfn.XLOOKUP(A44,AG_PipingData!$B$3:$B$24,AG_PipingData!$C$3:$C$24,0,0)</f>
        <v>781.8</v>
      </c>
      <c r="F44" s="188" t="s">
        <v>80</v>
      </c>
      <c r="G44" s="107">
        <v>7</v>
      </c>
      <c r="H44" s="107">
        <v>7</v>
      </c>
      <c r="I44" s="56">
        <f t="shared" si="14"/>
        <v>782</v>
      </c>
      <c r="J44" s="56">
        <f t="shared" ref="J44" si="33">E44-I44</f>
        <v>-0.20000000000004547</v>
      </c>
      <c r="K44" s="14" t="s">
        <v>98</v>
      </c>
      <c r="L44" s="141"/>
      <c r="M44" s="141"/>
      <c r="N44" s="141"/>
      <c r="O44" s="141"/>
      <c r="P44" s="141"/>
      <c r="Q44" s="141"/>
      <c r="R44" s="141">
        <v>782</v>
      </c>
      <c r="S44" s="141"/>
      <c r="T44" s="141"/>
      <c r="U44" s="141"/>
      <c r="V44" s="141"/>
      <c r="W44" s="141"/>
      <c r="X44" s="141"/>
      <c r="Y44" s="141"/>
      <c r="Z44" s="49"/>
      <c r="AB44" s="1"/>
      <c r="AC44" s="1"/>
      <c r="AD44" s="1"/>
    </row>
    <row r="45" spans="1:30" x14ac:dyDescent="0.25">
      <c r="A45" s="197"/>
      <c r="B45" s="184"/>
      <c r="C45" s="184"/>
      <c r="D45" s="187"/>
      <c r="E45" s="199"/>
      <c r="F45" s="189"/>
      <c r="G45" s="107"/>
      <c r="H45" s="107"/>
      <c r="I45" s="56">
        <f t="shared" si="14"/>
        <v>0</v>
      </c>
      <c r="J45" s="56">
        <f t="shared" ref="J45" si="34">E44-I45</f>
        <v>781.8</v>
      </c>
      <c r="K45" s="3" t="s">
        <v>99</v>
      </c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8"/>
      <c r="AB45" s="1" t="s">
        <v>113</v>
      </c>
      <c r="AC45" s="1" t="s">
        <v>123</v>
      </c>
      <c r="AD45" s="1" t="s">
        <v>124</v>
      </c>
    </row>
    <row r="46" spans="1:30" x14ac:dyDescent="0.25">
      <c r="A46" s="197"/>
      <c r="B46" s="184"/>
      <c r="C46" s="184"/>
      <c r="D46" s="190" t="s">
        <v>74</v>
      </c>
      <c r="E46" s="198">
        <f>_xlfn.XLOOKUP(A44,AG_PipingData!$B$3:$B$24,AG_PipingData!$D$3:$D$24,0,0)</f>
        <v>521.20000000000005</v>
      </c>
      <c r="F46" s="188" t="s">
        <v>80</v>
      </c>
      <c r="G46" s="107">
        <v>9</v>
      </c>
      <c r="H46" s="107">
        <v>9</v>
      </c>
      <c r="I46" s="56">
        <f t="shared" si="14"/>
        <v>521</v>
      </c>
      <c r="J46" s="56">
        <f t="shared" ref="J46" si="35">E46-I46</f>
        <v>0.20000000000004547</v>
      </c>
      <c r="K46" s="6" t="s">
        <v>98</v>
      </c>
      <c r="L46" s="142"/>
      <c r="M46" s="142"/>
      <c r="N46" s="142"/>
      <c r="O46" s="142"/>
      <c r="P46" s="142"/>
      <c r="Q46" s="142"/>
      <c r="R46" s="142"/>
      <c r="S46" s="142"/>
      <c r="T46" s="142">
        <v>521</v>
      </c>
      <c r="U46" s="142"/>
      <c r="V46" s="142"/>
      <c r="W46" s="142"/>
      <c r="X46" s="142"/>
      <c r="Y46" s="142"/>
      <c r="Z46" s="50"/>
      <c r="AB46" s="1" t="s">
        <v>114</v>
      </c>
      <c r="AC46" s="1"/>
      <c r="AD46" s="1"/>
    </row>
    <row r="47" spans="1:30" x14ac:dyDescent="0.25">
      <c r="A47" s="197"/>
      <c r="B47" s="184"/>
      <c r="C47" s="184"/>
      <c r="D47" s="191"/>
      <c r="E47" s="199"/>
      <c r="F47" s="189"/>
      <c r="G47" s="107"/>
      <c r="H47" s="107"/>
      <c r="I47" s="56">
        <f t="shared" si="14"/>
        <v>0</v>
      </c>
      <c r="J47" s="56">
        <f t="shared" ref="J47" si="36">E46-I47</f>
        <v>521.20000000000005</v>
      </c>
      <c r="K47" s="3" t="s">
        <v>99</v>
      </c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8"/>
      <c r="AB47" s="1" t="s">
        <v>115</v>
      </c>
      <c r="AC47" s="1">
        <v>10</v>
      </c>
      <c r="AD47" s="1"/>
    </row>
    <row r="48" spans="1:30" x14ac:dyDescent="0.25">
      <c r="A48" s="197" t="s">
        <v>18</v>
      </c>
      <c r="B48" s="184" t="s">
        <v>19</v>
      </c>
      <c r="C48" s="185" t="s">
        <v>84</v>
      </c>
      <c r="D48" s="186" t="s">
        <v>73</v>
      </c>
      <c r="E48" s="198">
        <f>_xlfn.XLOOKUP(A48,AG_PipingData!$B$3:$B$24,AG_PipingData!$C$3:$C$24,0,0)</f>
        <v>910.5</v>
      </c>
      <c r="F48" s="188" t="s">
        <v>80</v>
      </c>
      <c r="G48" s="107">
        <v>1</v>
      </c>
      <c r="H48" s="107">
        <v>2</v>
      </c>
      <c r="I48" s="56">
        <f t="shared" si="14"/>
        <v>910.5</v>
      </c>
      <c r="J48" s="56">
        <f t="shared" ref="J48" si="37">E48-I48</f>
        <v>0</v>
      </c>
      <c r="K48" s="14" t="s">
        <v>98</v>
      </c>
      <c r="L48" s="141">
        <v>420</v>
      </c>
      <c r="M48" s="141">
        <v>490.5</v>
      </c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49"/>
      <c r="AB48" s="1" t="s">
        <v>116</v>
      </c>
      <c r="AC48" s="1">
        <v>20</v>
      </c>
      <c r="AD48" s="9"/>
    </row>
    <row r="49" spans="1:30" x14ac:dyDescent="0.25">
      <c r="A49" s="197"/>
      <c r="B49" s="184"/>
      <c r="C49" s="185"/>
      <c r="D49" s="187"/>
      <c r="E49" s="199"/>
      <c r="F49" s="189"/>
      <c r="G49" s="107"/>
      <c r="H49" s="107"/>
      <c r="I49" s="56">
        <f t="shared" si="14"/>
        <v>420</v>
      </c>
      <c r="J49" s="56">
        <f t="shared" ref="J49" si="38">E48-I49</f>
        <v>490.5</v>
      </c>
      <c r="K49" s="3" t="s">
        <v>99</v>
      </c>
      <c r="L49" s="17">
        <v>420</v>
      </c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8"/>
      <c r="AB49" s="1" t="s">
        <v>118</v>
      </c>
      <c r="AC49" s="1">
        <v>20</v>
      </c>
      <c r="AD49" s="1"/>
    </row>
    <row r="50" spans="1:30" x14ac:dyDescent="0.25">
      <c r="A50" s="197"/>
      <c r="B50" s="184"/>
      <c r="C50" s="185"/>
      <c r="D50" s="190" t="s">
        <v>74</v>
      </c>
      <c r="E50" s="198">
        <f>_xlfn.XLOOKUP(A48,AG_PipingData!$B$3:$B$24,AG_PipingData!$D$3:$D$24,0,0)</f>
        <v>607</v>
      </c>
      <c r="F50" s="188" t="s">
        <v>80</v>
      </c>
      <c r="G50" s="107">
        <v>6</v>
      </c>
      <c r="H50" s="107">
        <v>6</v>
      </c>
      <c r="I50" s="56">
        <f t="shared" si="14"/>
        <v>607</v>
      </c>
      <c r="J50" s="56">
        <f t="shared" ref="J50" si="39">E50-I50</f>
        <v>0</v>
      </c>
      <c r="K50" s="6" t="s">
        <v>98</v>
      </c>
      <c r="L50" s="142"/>
      <c r="M50" s="142"/>
      <c r="N50" s="142"/>
      <c r="O50" s="142"/>
      <c r="P50" s="142"/>
      <c r="Q50" s="142">
        <v>607</v>
      </c>
      <c r="R50" s="142"/>
      <c r="S50" s="142"/>
      <c r="T50" s="142"/>
      <c r="U50" s="142"/>
      <c r="V50" s="142"/>
      <c r="W50" s="142"/>
      <c r="X50" s="142"/>
      <c r="Y50" s="142"/>
      <c r="Z50" s="50"/>
      <c r="AB50" s="1" t="s">
        <v>117</v>
      </c>
      <c r="AC50" s="1">
        <v>20</v>
      </c>
      <c r="AD50" s="1">
        <v>15</v>
      </c>
    </row>
    <row r="51" spans="1:30" x14ac:dyDescent="0.25">
      <c r="A51" s="197"/>
      <c r="B51" s="184"/>
      <c r="C51" s="185"/>
      <c r="D51" s="191"/>
      <c r="E51" s="199"/>
      <c r="F51" s="189"/>
      <c r="G51" s="107"/>
      <c r="H51" s="107"/>
      <c r="I51" s="56">
        <f t="shared" si="14"/>
        <v>0</v>
      </c>
      <c r="J51" s="56">
        <f t="shared" ref="J51" si="40">E50-I51</f>
        <v>607</v>
      </c>
      <c r="K51" s="3" t="s">
        <v>99</v>
      </c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8"/>
      <c r="AB51" s="1" t="s">
        <v>119</v>
      </c>
      <c r="AC51" s="1">
        <v>20</v>
      </c>
      <c r="AD51" s="1">
        <v>20</v>
      </c>
    </row>
    <row r="52" spans="1:30" x14ac:dyDescent="0.25">
      <c r="A52" s="197" t="s">
        <v>20</v>
      </c>
      <c r="B52" s="184" t="s">
        <v>21</v>
      </c>
      <c r="C52" s="185" t="s">
        <v>84</v>
      </c>
      <c r="D52" s="186" t="s">
        <v>73</v>
      </c>
      <c r="E52" s="198">
        <f>_xlfn.XLOOKUP(A52,AG_PipingData!$B$3:$B$24,AG_PipingData!$C$3:$C$24,0,0)</f>
        <v>14571</v>
      </c>
      <c r="F52" s="188" t="s">
        <v>80</v>
      </c>
      <c r="G52" s="107">
        <v>5</v>
      </c>
      <c r="H52" s="107">
        <v>6</v>
      </c>
      <c r="I52" s="56">
        <f t="shared" si="14"/>
        <v>14571</v>
      </c>
      <c r="J52" s="56">
        <f t="shared" ref="J52" si="41">E52-I52</f>
        <v>0</v>
      </c>
      <c r="K52" s="14" t="s">
        <v>98</v>
      </c>
      <c r="L52" s="141">
        <v>2278</v>
      </c>
      <c r="M52" s="141"/>
      <c r="N52" s="141"/>
      <c r="O52" s="141"/>
      <c r="P52" s="141">
        <v>11271</v>
      </c>
      <c r="Q52" s="141">
        <v>1022</v>
      </c>
      <c r="R52" s="141"/>
      <c r="S52" s="141"/>
      <c r="T52" s="141"/>
      <c r="U52" s="141"/>
      <c r="V52" s="141"/>
      <c r="W52" s="141"/>
      <c r="X52" s="141"/>
      <c r="Y52" s="141"/>
      <c r="Z52" s="49"/>
      <c r="AB52" s="1" t="s">
        <v>120</v>
      </c>
      <c r="AC52" s="1"/>
      <c r="AD52" s="1">
        <v>20</v>
      </c>
    </row>
    <row r="53" spans="1:30" x14ac:dyDescent="0.25">
      <c r="A53" s="197"/>
      <c r="B53" s="184"/>
      <c r="C53" s="185"/>
      <c r="D53" s="187"/>
      <c r="E53" s="199"/>
      <c r="F53" s="189"/>
      <c r="G53" s="107"/>
      <c r="H53" s="107"/>
      <c r="I53" s="56">
        <f t="shared" si="14"/>
        <v>2278</v>
      </c>
      <c r="J53" s="56">
        <f t="shared" ref="J53" si="42">E52-I53</f>
        <v>12293</v>
      </c>
      <c r="K53" s="3" t="s">
        <v>99</v>
      </c>
      <c r="L53" s="17">
        <v>2278</v>
      </c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8"/>
      <c r="AB53" s="1" t="s">
        <v>121</v>
      </c>
      <c r="AC53" s="1"/>
      <c r="AD53" s="1">
        <v>20</v>
      </c>
    </row>
    <row r="54" spans="1:30" x14ac:dyDescent="0.25">
      <c r="A54" s="197"/>
      <c r="B54" s="184"/>
      <c r="C54" s="185"/>
      <c r="D54" s="190" t="s">
        <v>74</v>
      </c>
      <c r="E54" s="198">
        <f>_xlfn.XLOOKUP(A52,AG_PipingData!$B$3:$B$24,AG_PipingData!$D$3:$D$24,0,0)</f>
        <v>9714</v>
      </c>
      <c r="F54" s="188" t="s">
        <v>80</v>
      </c>
      <c r="G54" s="107">
        <v>7</v>
      </c>
      <c r="H54" s="107">
        <v>8</v>
      </c>
      <c r="I54" s="56">
        <f t="shared" si="14"/>
        <v>9714</v>
      </c>
      <c r="J54" s="56">
        <f t="shared" ref="J54" si="43">E54-I54</f>
        <v>0</v>
      </c>
      <c r="K54" s="6" t="s">
        <v>98</v>
      </c>
      <c r="L54" s="142"/>
      <c r="M54" s="142"/>
      <c r="N54" s="142"/>
      <c r="O54" s="142"/>
      <c r="P54" s="142"/>
      <c r="Q54" s="142"/>
      <c r="R54" s="142">
        <v>5714</v>
      </c>
      <c r="S54" s="142">
        <v>4000</v>
      </c>
      <c r="T54" s="142"/>
      <c r="U54" s="142"/>
      <c r="V54" s="142"/>
      <c r="W54" s="142"/>
      <c r="X54" s="142"/>
      <c r="Y54" s="142"/>
      <c r="Z54" s="50"/>
      <c r="AB54" s="1" t="s">
        <v>122</v>
      </c>
      <c r="AC54" s="1"/>
      <c r="AD54" s="1">
        <v>20</v>
      </c>
    </row>
    <row r="55" spans="1:30" x14ac:dyDescent="0.25">
      <c r="A55" s="200"/>
      <c r="B55" s="201"/>
      <c r="C55" s="202"/>
      <c r="D55" s="203"/>
      <c r="E55" s="199"/>
      <c r="F55" s="151"/>
      <c r="G55" s="107"/>
      <c r="H55" s="107"/>
      <c r="I55" s="56">
        <f t="shared" si="14"/>
        <v>0</v>
      </c>
      <c r="J55" s="56">
        <f t="shared" ref="J55" si="44">E54-I55</f>
        <v>9714</v>
      </c>
      <c r="K55" s="3" t="s">
        <v>99</v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8"/>
    </row>
    <row r="56" spans="1:30" x14ac:dyDescent="0.25">
      <c r="A56" s="197" t="s">
        <v>108</v>
      </c>
      <c r="B56" s="184"/>
      <c r="C56" s="184"/>
      <c r="D56" s="204" t="s">
        <v>73</v>
      </c>
      <c r="E56" s="198">
        <f>_xlfn.XLOOKUP(A56,AG_PipingData!$B$3:$B$24,AG_PipingData!$C$3:$C$24,0,0)</f>
        <v>9046.7999999999993</v>
      </c>
      <c r="F56" s="172"/>
      <c r="G56" s="107">
        <v>6</v>
      </c>
      <c r="H56" s="107">
        <v>7</v>
      </c>
      <c r="I56" s="56">
        <f t="shared" si="14"/>
        <v>9047</v>
      </c>
      <c r="J56" s="56">
        <f t="shared" ref="J56" si="45">E56-I56</f>
        <v>-0.2000000000007276</v>
      </c>
      <c r="K56" s="14" t="s">
        <v>98</v>
      </c>
      <c r="L56" s="141">
        <v>272</v>
      </c>
      <c r="M56" s="141"/>
      <c r="N56" s="141"/>
      <c r="O56" s="141"/>
      <c r="P56" s="141"/>
      <c r="Q56" s="141">
        <v>6000</v>
      </c>
      <c r="R56" s="141">
        <v>2775</v>
      </c>
      <c r="S56" s="141"/>
      <c r="T56" s="141"/>
      <c r="U56" s="141"/>
      <c r="V56" s="141"/>
      <c r="W56" s="141"/>
      <c r="X56" s="141"/>
      <c r="Y56" s="141"/>
      <c r="Z56" s="49"/>
    </row>
    <row r="57" spans="1:30" x14ac:dyDescent="0.25">
      <c r="A57" s="197"/>
      <c r="B57" s="184"/>
      <c r="C57" s="184"/>
      <c r="D57" s="204"/>
      <c r="E57" s="199"/>
      <c r="F57" s="172"/>
      <c r="G57" s="107"/>
      <c r="H57" s="107"/>
      <c r="I57" s="56">
        <f t="shared" si="14"/>
        <v>272</v>
      </c>
      <c r="J57" s="56">
        <f t="shared" ref="J57" si="46">E56-I57</f>
        <v>8774.7999999999993</v>
      </c>
      <c r="K57" s="3" t="s">
        <v>99</v>
      </c>
      <c r="L57" s="17">
        <v>272</v>
      </c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8"/>
    </row>
    <row r="58" spans="1:30" x14ac:dyDescent="0.25">
      <c r="A58" s="197"/>
      <c r="B58" s="184"/>
      <c r="C58" s="184"/>
      <c r="D58" s="205" t="s">
        <v>74</v>
      </c>
      <c r="E58" s="198">
        <f>_xlfn.XLOOKUP(A56,AG_PipingData!$B$3:$B$24,AG_PipingData!$D$3:$D$24,0,0)</f>
        <v>6031.2000000000007</v>
      </c>
      <c r="F58" s="172"/>
      <c r="G58" s="107">
        <v>7</v>
      </c>
      <c r="H58" s="107">
        <v>8</v>
      </c>
      <c r="I58" s="56">
        <f t="shared" si="14"/>
        <v>6031</v>
      </c>
      <c r="J58" s="56">
        <f t="shared" ref="J58" si="47">E58-I58</f>
        <v>0.2000000000007276</v>
      </c>
      <c r="K58" s="6" t="s">
        <v>98</v>
      </c>
      <c r="L58" s="142"/>
      <c r="M58" s="142"/>
      <c r="N58" s="142"/>
      <c r="O58" s="142"/>
      <c r="P58" s="142"/>
      <c r="Q58" s="142"/>
      <c r="R58" s="142">
        <v>4000</v>
      </c>
      <c r="S58" s="142">
        <v>2031</v>
      </c>
      <c r="T58" s="142"/>
      <c r="U58" s="142"/>
      <c r="V58" s="142"/>
      <c r="W58" s="142"/>
      <c r="X58" s="142"/>
      <c r="Y58" s="142"/>
      <c r="Z58" s="50"/>
    </row>
    <row r="59" spans="1:30" x14ac:dyDescent="0.25">
      <c r="A59" s="197"/>
      <c r="B59" s="184"/>
      <c r="C59" s="184"/>
      <c r="D59" s="205"/>
      <c r="E59" s="199"/>
      <c r="F59" s="172"/>
      <c r="G59" s="107"/>
      <c r="H59" s="107"/>
      <c r="I59" s="56">
        <f t="shared" si="14"/>
        <v>0</v>
      </c>
      <c r="J59" s="56">
        <f t="shared" ref="J59" si="48">E58-I59</f>
        <v>6031.2000000000007</v>
      </c>
      <c r="K59" s="3" t="s">
        <v>99</v>
      </c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8"/>
    </row>
    <row r="60" spans="1:30" x14ac:dyDescent="0.25">
      <c r="A60" s="51" t="s">
        <v>22</v>
      </c>
      <c r="B60" s="13"/>
      <c r="C60" s="11"/>
      <c r="D60" s="13"/>
      <c r="E60" s="18"/>
      <c r="F60" s="12"/>
      <c r="G60" s="107"/>
      <c r="H60" s="107"/>
      <c r="I60" s="56"/>
      <c r="J60" s="56"/>
      <c r="K60" s="12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52"/>
    </row>
    <row r="61" spans="1:30" x14ac:dyDescent="0.25">
      <c r="A61" s="197" t="s">
        <v>630</v>
      </c>
      <c r="B61" s="184" t="s">
        <v>24</v>
      </c>
      <c r="C61" s="184" t="s">
        <v>81</v>
      </c>
      <c r="D61" s="186" t="s">
        <v>73</v>
      </c>
      <c r="E61" s="198">
        <f>_xlfn.XLOOKUP(A61,AG_PipingData!$B$3:$B$24,AG_PipingData!$C$3:$C$24,0,0)</f>
        <v>26460.287999999997</v>
      </c>
      <c r="F61" s="188" t="s">
        <v>80</v>
      </c>
      <c r="G61" s="107">
        <v>1</v>
      </c>
      <c r="H61" s="107">
        <v>4</v>
      </c>
      <c r="I61" s="56">
        <f t="shared" ref="I61:I80" si="49">SUM(L61:Y61)</f>
        <v>26460.287999999997</v>
      </c>
      <c r="J61" s="56">
        <f>E61-I61</f>
        <v>0</v>
      </c>
      <c r="K61" s="14" t="s">
        <v>98</v>
      </c>
      <c r="L61" s="141">
        <v>714</v>
      </c>
      <c r="M61" s="141">
        <v>4875.0959999999986</v>
      </c>
      <c r="N61" s="141">
        <v>7686.0959999999986</v>
      </c>
      <c r="O61" s="141">
        <v>13185.096</v>
      </c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49"/>
    </row>
    <row r="62" spans="1:30" x14ac:dyDescent="0.25">
      <c r="A62" s="197"/>
      <c r="B62" s="184"/>
      <c r="C62" s="184"/>
      <c r="D62" s="187"/>
      <c r="E62" s="199"/>
      <c r="F62" s="189"/>
      <c r="G62" s="107"/>
      <c r="H62" s="107"/>
      <c r="I62" s="56">
        <f t="shared" si="49"/>
        <v>714</v>
      </c>
      <c r="J62" s="56">
        <f>E61-I62</f>
        <v>25746.287999999997</v>
      </c>
      <c r="K62" s="3" t="s">
        <v>99</v>
      </c>
      <c r="L62" s="17">
        <v>714</v>
      </c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8"/>
    </row>
    <row r="63" spans="1:30" x14ac:dyDescent="0.25">
      <c r="A63" s="197"/>
      <c r="B63" s="184"/>
      <c r="C63" s="184"/>
      <c r="D63" s="190" t="s">
        <v>74</v>
      </c>
      <c r="E63" s="198">
        <f>_xlfn.XLOOKUP(A61,AG_PipingData!$B$3:$B$24,AG_PipingData!$D$3:$D$24,0,0)</f>
        <v>17640.191999999999</v>
      </c>
      <c r="F63" s="188" t="s">
        <v>80</v>
      </c>
      <c r="G63" s="107">
        <v>4</v>
      </c>
      <c r="H63" s="107">
        <v>7</v>
      </c>
      <c r="I63" s="56">
        <f t="shared" si="49"/>
        <v>17640</v>
      </c>
      <c r="J63" s="56">
        <f t="shared" ref="J63" si="50">E63-I63</f>
        <v>0.19199999999909778</v>
      </c>
      <c r="K63" s="6" t="s">
        <v>98</v>
      </c>
      <c r="L63" s="142"/>
      <c r="M63" s="142"/>
      <c r="N63" s="142"/>
      <c r="O63" s="142">
        <v>2500</v>
      </c>
      <c r="P63" s="142">
        <v>3500</v>
      </c>
      <c r="Q63" s="142">
        <v>5000</v>
      </c>
      <c r="R63" s="142">
        <v>6640</v>
      </c>
      <c r="S63" s="142"/>
      <c r="T63" s="142"/>
      <c r="U63" s="142"/>
      <c r="V63" s="142"/>
      <c r="W63" s="142"/>
      <c r="X63" s="142"/>
      <c r="Y63" s="142"/>
      <c r="Z63" s="50"/>
    </row>
    <row r="64" spans="1:30" x14ac:dyDescent="0.25">
      <c r="A64" s="197"/>
      <c r="B64" s="184"/>
      <c r="C64" s="184"/>
      <c r="D64" s="191"/>
      <c r="E64" s="199"/>
      <c r="F64" s="189"/>
      <c r="G64" s="107"/>
      <c r="H64" s="107"/>
      <c r="I64" s="56">
        <f t="shared" si="49"/>
        <v>0</v>
      </c>
      <c r="J64" s="56">
        <f t="shared" ref="J64" si="51">E63-I64</f>
        <v>17640.191999999999</v>
      </c>
      <c r="K64" s="3" t="s">
        <v>99</v>
      </c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8"/>
    </row>
    <row r="65" spans="1:26" x14ac:dyDescent="0.25">
      <c r="A65" s="197" t="s">
        <v>25</v>
      </c>
      <c r="B65" s="185" t="s">
        <v>86</v>
      </c>
      <c r="C65" s="185" t="s">
        <v>84</v>
      </c>
      <c r="D65" s="186" t="s">
        <v>73</v>
      </c>
      <c r="E65" s="198">
        <f>_xlfn.XLOOKUP(A65,AG_PipingData!$B$3:$B$24,AG_PipingData!$C$3:$C$24,0,0)</f>
        <v>8961.384</v>
      </c>
      <c r="F65" s="188" t="s">
        <v>80</v>
      </c>
      <c r="G65" s="107">
        <v>7</v>
      </c>
      <c r="H65" s="107">
        <v>7</v>
      </c>
      <c r="I65" s="56">
        <f t="shared" si="49"/>
        <v>8961</v>
      </c>
      <c r="J65" s="56">
        <f t="shared" ref="J65" si="52">E65-I65</f>
        <v>0.38400000000001455</v>
      </c>
      <c r="K65" s="14" t="s">
        <v>98</v>
      </c>
      <c r="L65" s="141">
        <v>12</v>
      </c>
      <c r="M65" s="141"/>
      <c r="N65" s="141"/>
      <c r="O65" s="141"/>
      <c r="P65" s="141"/>
      <c r="Q65" s="141"/>
      <c r="R65" s="141">
        <v>8949</v>
      </c>
      <c r="S65" s="141"/>
      <c r="T65" s="141"/>
      <c r="U65" s="141"/>
      <c r="V65" s="141"/>
      <c r="W65" s="141"/>
      <c r="X65" s="141"/>
      <c r="Y65" s="141"/>
      <c r="Z65" s="49"/>
    </row>
    <row r="66" spans="1:26" x14ac:dyDescent="0.25">
      <c r="A66" s="197"/>
      <c r="B66" s="185"/>
      <c r="C66" s="185"/>
      <c r="D66" s="187"/>
      <c r="E66" s="199"/>
      <c r="F66" s="189"/>
      <c r="G66" s="107"/>
      <c r="H66" s="107"/>
      <c r="I66" s="56">
        <f t="shared" si="49"/>
        <v>12</v>
      </c>
      <c r="J66" s="56">
        <f t="shared" ref="J66" si="53">E65-I66</f>
        <v>8949.384</v>
      </c>
      <c r="K66" s="3" t="s">
        <v>99</v>
      </c>
      <c r="L66" s="17">
        <v>12</v>
      </c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8"/>
    </row>
    <row r="67" spans="1:26" x14ac:dyDescent="0.25">
      <c r="A67" s="197"/>
      <c r="B67" s="185"/>
      <c r="C67" s="185"/>
      <c r="D67" s="190" t="s">
        <v>74</v>
      </c>
      <c r="E67" s="198">
        <f>_xlfn.XLOOKUP(A65,AG_PipingData!$B$3:$B$24,AG_PipingData!$D$3:$D$24,0,0)</f>
        <v>5974.2560000000003</v>
      </c>
      <c r="F67" s="188" t="s">
        <v>80</v>
      </c>
      <c r="G67" s="107">
        <v>9</v>
      </c>
      <c r="H67" s="107">
        <v>9</v>
      </c>
      <c r="I67" s="56">
        <f t="shared" si="49"/>
        <v>5974</v>
      </c>
      <c r="J67" s="56">
        <f t="shared" ref="J67" si="54">E67-I67</f>
        <v>0.25600000000031287</v>
      </c>
      <c r="K67" s="6" t="s">
        <v>98</v>
      </c>
      <c r="L67" s="142"/>
      <c r="M67" s="142"/>
      <c r="N67" s="142"/>
      <c r="O67" s="142"/>
      <c r="P67" s="142"/>
      <c r="Q67" s="142"/>
      <c r="R67" s="142"/>
      <c r="S67" s="142"/>
      <c r="T67" s="142">
        <v>5974</v>
      </c>
      <c r="U67" s="142"/>
      <c r="V67" s="142"/>
      <c r="W67" s="142"/>
      <c r="X67" s="142"/>
      <c r="Y67" s="142"/>
      <c r="Z67" s="50"/>
    </row>
    <row r="68" spans="1:26" x14ac:dyDescent="0.25">
      <c r="A68" s="197"/>
      <c r="B68" s="185"/>
      <c r="C68" s="185"/>
      <c r="D68" s="191"/>
      <c r="E68" s="199"/>
      <c r="F68" s="189"/>
      <c r="G68" s="107"/>
      <c r="H68" s="107"/>
      <c r="I68" s="56">
        <f t="shared" si="49"/>
        <v>0</v>
      </c>
      <c r="J68" s="56">
        <f t="shared" ref="J68" si="55">E67-I68</f>
        <v>5974.2560000000003</v>
      </c>
      <c r="K68" s="3" t="s">
        <v>99</v>
      </c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8"/>
    </row>
    <row r="69" spans="1:26" x14ac:dyDescent="0.25">
      <c r="A69" s="197" t="s">
        <v>29</v>
      </c>
      <c r="B69" s="185" t="s">
        <v>87</v>
      </c>
      <c r="C69" s="185" t="s">
        <v>84</v>
      </c>
      <c r="D69" s="186" t="s">
        <v>73</v>
      </c>
      <c r="E69" s="198">
        <f>_xlfn.XLOOKUP(A69,AG_PipingData!$B$3:$B$24,AG_PipingData!$C$3:$C$24,0,0)</f>
        <v>2512.35</v>
      </c>
      <c r="F69" s="188" t="s">
        <v>80</v>
      </c>
      <c r="G69" s="107">
        <v>7</v>
      </c>
      <c r="H69" s="107">
        <v>7</v>
      </c>
      <c r="I69" s="56">
        <f t="shared" si="49"/>
        <v>2512</v>
      </c>
      <c r="J69" s="56">
        <f t="shared" ref="J69" si="56">E69-I69</f>
        <v>0.34999999999990905</v>
      </c>
      <c r="K69" s="14" t="s">
        <v>98</v>
      </c>
      <c r="L69" s="141"/>
      <c r="M69" s="141"/>
      <c r="N69" s="141"/>
      <c r="O69" s="141"/>
      <c r="P69" s="141"/>
      <c r="Q69" s="141"/>
      <c r="R69" s="141">
        <v>2512</v>
      </c>
      <c r="S69" s="141"/>
      <c r="T69" s="141"/>
      <c r="U69" s="141"/>
      <c r="V69" s="141"/>
      <c r="W69" s="141"/>
      <c r="X69" s="141"/>
      <c r="Y69" s="141"/>
      <c r="Z69" s="49"/>
    </row>
    <row r="70" spans="1:26" x14ac:dyDescent="0.25">
      <c r="A70" s="197"/>
      <c r="B70" s="185"/>
      <c r="C70" s="185"/>
      <c r="D70" s="187"/>
      <c r="E70" s="199"/>
      <c r="F70" s="189"/>
      <c r="G70" s="107"/>
      <c r="H70" s="107"/>
      <c r="I70" s="56">
        <f t="shared" si="49"/>
        <v>0</v>
      </c>
      <c r="J70" s="56">
        <f t="shared" ref="J70" si="57">E69-I70</f>
        <v>2512.35</v>
      </c>
      <c r="K70" s="3" t="s">
        <v>99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8"/>
    </row>
    <row r="71" spans="1:26" x14ac:dyDescent="0.25">
      <c r="A71" s="197"/>
      <c r="B71" s="185"/>
      <c r="C71" s="185"/>
      <c r="D71" s="190" t="s">
        <v>74</v>
      </c>
      <c r="E71" s="198">
        <f>_xlfn.XLOOKUP(A69,AG_PipingData!$B$3:$B$24,AG_PipingData!$D$3:$D$24,0,0)</f>
        <v>1674.9</v>
      </c>
      <c r="F71" s="188" t="s">
        <v>80</v>
      </c>
      <c r="G71" s="107">
        <v>9</v>
      </c>
      <c r="H71" s="107">
        <v>9</v>
      </c>
      <c r="I71" s="56">
        <f t="shared" si="49"/>
        <v>1675</v>
      </c>
      <c r="J71" s="56">
        <f t="shared" ref="J71" si="58">E71-I71</f>
        <v>-9.9999999999909051E-2</v>
      </c>
      <c r="K71" s="6" t="s">
        <v>98</v>
      </c>
      <c r="L71" s="142"/>
      <c r="M71" s="142"/>
      <c r="N71" s="142"/>
      <c r="O71" s="142"/>
      <c r="P71" s="142"/>
      <c r="Q71" s="142"/>
      <c r="R71" s="142"/>
      <c r="S71" s="142"/>
      <c r="T71" s="142">
        <v>1675</v>
      </c>
      <c r="U71" s="142"/>
      <c r="V71" s="142"/>
      <c r="W71" s="142"/>
      <c r="X71" s="142"/>
      <c r="Y71" s="142"/>
      <c r="Z71" s="50"/>
    </row>
    <row r="72" spans="1:26" x14ac:dyDescent="0.25">
      <c r="A72" s="197"/>
      <c r="B72" s="185"/>
      <c r="C72" s="185"/>
      <c r="D72" s="191"/>
      <c r="E72" s="199"/>
      <c r="F72" s="189"/>
      <c r="G72" s="107"/>
      <c r="H72" s="107"/>
      <c r="I72" s="56">
        <f t="shared" si="49"/>
        <v>0</v>
      </c>
      <c r="J72" s="56">
        <f t="shared" ref="J72" si="59">E71-I72</f>
        <v>1674.9</v>
      </c>
      <c r="K72" s="3" t="s">
        <v>99</v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8"/>
    </row>
    <row r="73" spans="1:26" x14ac:dyDescent="0.25">
      <c r="A73" s="197" t="s">
        <v>32</v>
      </c>
      <c r="B73" s="185" t="s">
        <v>88</v>
      </c>
      <c r="C73" s="185" t="s">
        <v>85</v>
      </c>
      <c r="D73" s="186" t="s">
        <v>73</v>
      </c>
      <c r="E73" s="198">
        <f>_xlfn.XLOOKUP(A73,AG_PipingData!$B$3:$B$24,AG_PipingData!$C$3:$C$24,0,0)</f>
        <v>16443.371999999999</v>
      </c>
      <c r="F73" s="188" t="s">
        <v>80</v>
      </c>
      <c r="G73" s="107">
        <v>1</v>
      </c>
      <c r="H73" s="107">
        <v>7</v>
      </c>
      <c r="I73" s="56">
        <f t="shared" si="49"/>
        <v>16443.371999999999</v>
      </c>
      <c r="J73" s="56">
        <f t="shared" ref="J73" si="60">E73-I73</f>
        <v>0</v>
      </c>
      <c r="K73" s="14" t="s">
        <v>98</v>
      </c>
      <c r="L73" s="141">
        <v>355</v>
      </c>
      <c r="M73" s="141">
        <v>6.1999999999898137E-2</v>
      </c>
      <c r="N73" s="141">
        <v>4562.0619999999999</v>
      </c>
      <c r="O73" s="141">
        <v>6.1999999999898137E-2</v>
      </c>
      <c r="P73" s="141">
        <v>2200.0619999999999</v>
      </c>
      <c r="Q73" s="141">
        <v>2000.0619999999999</v>
      </c>
      <c r="R73" s="141">
        <v>7326.0619999999999</v>
      </c>
      <c r="S73" s="141"/>
      <c r="T73" s="141"/>
      <c r="U73" s="141"/>
      <c r="V73" s="141"/>
      <c r="W73" s="141"/>
      <c r="X73" s="141"/>
      <c r="Y73" s="141"/>
      <c r="Z73" s="49"/>
    </row>
    <row r="74" spans="1:26" x14ac:dyDescent="0.25">
      <c r="A74" s="197"/>
      <c r="B74" s="185"/>
      <c r="C74" s="185"/>
      <c r="D74" s="187"/>
      <c r="E74" s="199"/>
      <c r="F74" s="189"/>
      <c r="G74" s="107"/>
      <c r="H74" s="107"/>
      <c r="I74" s="56">
        <f t="shared" si="49"/>
        <v>355</v>
      </c>
      <c r="J74" s="56">
        <f t="shared" ref="J74" si="61">E73-I74</f>
        <v>16088.371999999999</v>
      </c>
      <c r="K74" s="3" t="s">
        <v>99</v>
      </c>
      <c r="L74" s="17">
        <v>355</v>
      </c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8"/>
    </row>
    <row r="75" spans="1:26" x14ac:dyDescent="0.25">
      <c r="A75" s="197"/>
      <c r="B75" s="185"/>
      <c r="C75" s="185"/>
      <c r="D75" s="190" t="s">
        <v>74</v>
      </c>
      <c r="E75" s="198">
        <f>_xlfn.XLOOKUP(A73,AG_PipingData!$B$3:$B$24,AG_PipingData!$D$3:$D$24,0,0)</f>
        <v>10962.248</v>
      </c>
      <c r="F75" s="188" t="s">
        <v>80</v>
      </c>
      <c r="G75" s="107">
        <v>4</v>
      </c>
      <c r="H75" s="107">
        <v>9</v>
      </c>
      <c r="I75" s="56">
        <f t="shared" si="49"/>
        <v>10962</v>
      </c>
      <c r="J75" s="56">
        <f t="shared" ref="J75" si="62">E75-I75</f>
        <v>0.24799999999959255</v>
      </c>
      <c r="K75" s="6" t="s">
        <v>98</v>
      </c>
      <c r="L75" s="142"/>
      <c r="M75" s="142"/>
      <c r="N75" s="142"/>
      <c r="O75" s="142">
        <v>2500</v>
      </c>
      <c r="P75" s="142"/>
      <c r="Q75" s="142"/>
      <c r="R75" s="142">
        <v>2500</v>
      </c>
      <c r="S75" s="142">
        <v>1000</v>
      </c>
      <c r="T75" s="142">
        <v>4962</v>
      </c>
      <c r="U75" s="142"/>
      <c r="V75" s="142"/>
      <c r="W75" s="142"/>
      <c r="X75" s="142"/>
      <c r="Y75" s="142"/>
      <c r="Z75" s="50"/>
    </row>
    <row r="76" spans="1:26" x14ac:dyDescent="0.25">
      <c r="A76" s="197"/>
      <c r="B76" s="185"/>
      <c r="C76" s="185"/>
      <c r="D76" s="191"/>
      <c r="E76" s="199"/>
      <c r="F76" s="189"/>
      <c r="G76" s="107"/>
      <c r="H76" s="107"/>
      <c r="I76" s="56">
        <f t="shared" si="49"/>
        <v>0</v>
      </c>
      <c r="J76" s="56">
        <f t="shared" ref="J76" si="63">E75-I76</f>
        <v>10962.248</v>
      </c>
      <c r="K76" s="3" t="s">
        <v>99</v>
      </c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8"/>
    </row>
    <row r="77" spans="1:26" x14ac:dyDescent="0.25">
      <c r="A77" s="197" t="s">
        <v>36</v>
      </c>
      <c r="B77" s="185" t="s">
        <v>89</v>
      </c>
      <c r="C77" s="185" t="s">
        <v>84</v>
      </c>
      <c r="D77" s="186" t="s">
        <v>73</v>
      </c>
      <c r="E77" s="198">
        <f>_xlfn.XLOOKUP(A77,AG_PipingData!$B$3:$B$24,AG_PipingData!$C$3:$C$24,0,0)</f>
        <v>12562.5</v>
      </c>
      <c r="F77" s="188" t="s">
        <v>80</v>
      </c>
      <c r="G77" s="107">
        <v>1</v>
      </c>
      <c r="H77" s="107">
        <v>6</v>
      </c>
      <c r="I77" s="56">
        <f t="shared" si="49"/>
        <v>12562.5</v>
      </c>
      <c r="J77" s="56">
        <f t="shared" ref="J77" si="64">E77-I77</f>
        <v>0</v>
      </c>
      <c r="K77" s="14" t="s">
        <v>98</v>
      </c>
      <c r="L77" s="141">
        <v>84</v>
      </c>
      <c r="M77" s="141">
        <v>-0.1</v>
      </c>
      <c r="N77" s="141">
        <v>-0.1</v>
      </c>
      <c r="O77" s="141">
        <v>-0.1</v>
      </c>
      <c r="P77" s="141">
        <v>-0.1</v>
      </c>
      <c r="Q77" s="141">
        <v>12478.9</v>
      </c>
      <c r="R77" s="141"/>
      <c r="S77" s="141"/>
      <c r="T77" s="141"/>
      <c r="U77" s="141"/>
      <c r="V77" s="141"/>
      <c r="W77" s="141"/>
      <c r="X77" s="141"/>
      <c r="Y77" s="141"/>
      <c r="Z77" s="49"/>
    </row>
    <row r="78" spans="1:26" x14ac:dyDescent="0.25">
      <c r="A78" s="197"/>
      <c r="B78" s="185"/>
      <c r="C78" s="185"/>
      <c r="D78" s="187"/>
      <c r="E78" s="199"/>
      <c r="F78" s="189"/>
      <c r="G78" s="107"/>
      <c r="H78" s="107"/>
      <c r="I78" s="56">
        <f t="shared" si="49"/>
        <v>84</v>
      </c>
      <c r="J78" s="56">
        <f t="shared" ref="J78" si="65">E77-I78</f>
        <v>12478.5</v>
      </c>
      <c r="K78" s="3" t="s">
        <v>99</v>
      </c>
      <c r="L78" s="17">
        <v>84</v>
      </c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8"/>
    </row>
    <row r="79" spans="1:26" x14ac:dyDescent="0.25">
      <c r="A79" s="197"/>
      <c r="B79" s="185"/>
      <c r="C79" s="185"/>
      <c r="D79" s="190" t="s">
        <v>74</v>
      </c>
      <c r="E79" s="198">
        <f>_xlfn.XLOOKUP(A77,AG_PipingData!$B$3:$B$24,AG_PipingData!$D$3:$D$24,0,0)</f>
        <v>8375</v>
      </c>
      <c r="F79" s="188" t="s">
        <v>80</v>
      </c>
      <c r="G79" s="107">
        <v>8</v>
      </c>
      <c r="H79" s="107">
        <v>8</v>
      </c>
      <c r="I79" s="56">
        <f t="shared" si="49"/>
        <v>8375</v>
      </c>
      <c r="J79" s="56">
        <f t="shared" ref="J79" si="66">E79-I79</f>
        <v>0</v>
      </c>
      <c r="K79" s="6" t="s">
        <v>98</v>
      </c>
      <c r="L79" s="142"/>
      <c r="M79" s="142"/>
      <c r="N79" s="142"/>
      <c r="O79" s="142"/>
      <c r="P79" s="142"/>
      <c r="Q79" s="142"/>
      <c r="R79" s="142"/>
      <c r="S79" s="142">
        <v>8375</v>
      </c>
      <c r="T79" s="142"/>
      <c r="U79" s="142"/>
      <c r="V79" s="142"/>
      <c r="W79" s="142"/>
      <c r="X79" s="142"/>
      <c r="Y79" s="142"/>
      <c r="Z79" s="50"/>
    </row>
    <row r="80" spans="1:26" x14ac:dyDescent="0.25">
      <c r="A80" s="197"/>
      <c r="B80" s="185"/>
      <c r="C80" s="185"/>
      <c r="D80" s="191"/>
      <c r="E80" s="199"/>
      <c r="F80" s="189"/>
      <c r="G80" s="107"/>
      <c r="H80" s="107"/>
      <c r="I80" s="56">
        <f t="shared" si="49"/>
        <v>0</v>
      </c>
      <c r="J80" s="56">
        <f t="shared" ref="J80" si="67">E79-I80</f>
        <v>8375</v>
      </c>
      <c r="K80" s="3" t="s">
        <v>99</v>
      </c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8"/>
    </row>
    <row r="81" spans="1:26" x14ac:dyDescent="0.25">
      <c r="A81" s="7" t="s">
        <v>39</v>
      </c>
      <c r="B81" s="2"/>
      <c r="C81" s="4"/>
      <c r="D81" s="2"/>
      <c r="E81" s="17"/>
      <c r="F81" s="3"/>
      <c r="G81" s="107"/>
      <c r="H81" s="107"/>
      <c r="I81" s="56"/>
      <c r="J81" s="56">
        <f t="shared" ref="J81" si="68">E81-I81</f>
        <v>0</v>
      </c>
      <c r="K81" s="3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8"/>
    </row>
    <row r="82" spans="1:26" x14ac:dyDescent="0.25">
      <c r="A82" s="206" t="s">
        <v>40</v>
      </c>
      <c r="B82" s="192" t="s">
        <v>41</v>
      </c>
      <c r="C82" s="184"/>
      <c r="D82" s="186" t="s">
        <v>73</v>
      </c>
      <c r="E82" s="198">
        <f>_xlfn.XLOOKUP(A82,AG_PipingData!$B$3:$B$24,AG_PipingData!$C$3:$C$24,0,0)</f>
        <v>3122.3819999999996</v>
      </c>
      <c r="F82" s="188" t="s">
        <v>80</v>
      </c>
      <c r="G82" s="107">
        <v>7</v>
      </c>
      <c r="H82" s="107">
        <v>7</v>
      </c>
      <c r="I82" s="56">
        <f>SUM(L82:Y82)</f>
        <v>3122</v>
      </c>
      <c r="J82" s="56">
        <f>E82-I82</f>
        <v>0.3819999999996071</v>
      </c>
      <c r="K82" s="14" t="s">
        <v>98</v>
      </c>
      <c r="L82" s="141"/>
      <c r="M82" s="141"/>
      <c r="N82" s="141"/>
      <c r="O82" s="141"/>
      <c r="P82" s="141"/>
      <c r="Q82" s="141"/>
      <c r="R82" s="141">
        <v>3122</v>
      </c>
      <c r="S82" s="141"/>
      <c r="T82" s="141"/>
      <c r="U82" s="141"/>
      <c r="V82" s="141"/>
      <c r="W82" s="141"/>
      <c r="X82" s="141"/>
      <c r="Y82" s="141"/>
      <c r="Z82" s="49"/>
    </row>
    <row r="83" spans="1:26" x14ac:dyDescent="0.25">
      <c r="A83" s="206"/>
      <c r="B83" s="192"/>
      <c r="C83" s="184"/>
      <c r="D83" s="187"/>
      <c r="E83" s="199"/>
      <c r="F83" s="189"/>
      <c r="G83" s="107"/>
      <c r="H83" s="107"/>
      <c r="I83" s="56">
        <f>SUM(L83:Y83)</f>
        <v>0</v>
      </c>
      <c r="J83" s="56">
        <f>E82-I83</f>
        <v>3122.3819999999996</v>
      </c>
      <c r="K83" s="3" t="s">
        <v>99</v>
      </c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8"/>
    </row>
    <row r="84" spans="1:26" x14ac:dyDescent="0.25">
      <c r="A84" s="206"/>
      <c r="B84" s="192"/>
      <c r="C84" s="184"/>
      <c r="D84" s="190" t="s">
        <v>74</v>
      </c>
      <c r="E84" s="198">
        <f>_xlfn.XLOOKUP(A82,AG_PipingData!$B$3:$B$24,AG_PipingData!$D$3:$D$24,0,0)</f>
        <v>2081.5879999999997</v>
      </c>
      <c r="F84" s="188" t="s">
        <v>80</v>
      </c>
      <c r="G84" s="107">
        <v>8</v>
      </c>
      <c r="H84" s="107">
        <v>8</v>
      </c>
      <c r="I84" s="56">
        <f>SUM(L84:Y84)</f>
        <v>2082</v>
      </c>
      <c r="J84" s="56">
        <f t="shared" ref="J84" si="69">E84-I84</f>
        <v>-0.41200000000026193</v>
      </c>
      <c r="K84" s="6" t="s">
        <v>98</v>
      </c>
      <c r="L84" s="142"/>
      <c r="M84" s="142"/>
      <c r="N84" s="142"/>
      <c r="O84" s="142"/>
      <c r="P84" s="142"/>
      <c r="Q84" s="142"/>
      <c r="R84" s="142"/>
      <c r="S84" s="142">
        <v>2082</v>
      </c>
      <c r="T84" s="142"/>
      <c r="U84" s="142"/>
      <c r="V84" s="142"/>
      <c r="W84" s="142"/>
      <c r="X84" s="142"/>
      <c r="Y84" s="142"/>
      <c r="Z84" s="50"/>
    </row>
    <row r="85" spans="1:26" x14ac:dyDescent="0.25">
      <c r="A85" s="206"/>
      <c r="B85" s="192"/>
      <c r="C85" s="184"/>
      <c r="D85" s="191"/>
      <c r="E85" s="199"/>
      <c r="F85" s="189"/>
      <c r="G85" s="107"/>
      <c r="H85" s="107"/>
      <c r="I85" s="56">
        <f>SUM(L85:Y85)</f>
        <v>0</v>
      </c>
      <c r="J85" s="56">
        <f t="shared" ref="J85" si="70">E84-I85</f>
        <v>2081.5879999999997</v>
      </c>
      <c r="K85" s="3" t="s">
        <v>99</v>
      </c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8"/>
    </row>
    <row r="86" spans="1:26" x14ac:dyDescent="0.25">
      <c r="A86" s="7" t="s">
        <v>60</v>
      </c>
      <c r="B86" s="2"/>
      <c r="C86" s="4"/>
      <c r="D86" s="2"/>
      <c r="E86" s="17"/>
      <c r="F86" s="3"/>
      <c r="G86" s="107"/>
      <c r="H86" s="107"/>
      <c r="I86" s="56"/>
      <c r="J86" s="56">
        <f t="shared" ref="J86" si="71">E86-I86</f>
        <v>0</v>
      </c>
      <c r="K86" s="3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8"/>
    </row>
    <row r="87" spans="1:26" x14ac:dyDescent="0.25">
      <c r="A87" s="197" t="s">
        <v>633</v>
      </c>
      <c r="B87" s="184" t="s">
        <v>48</v>
      </c>
      <c r="C87" s="184" t="s">
        <v>81</v>
      </c>
      <c r="D87" s="186" t="s">
        <v>73</v>
      </c>
      <c r="E87" s="198">
        <f>_xlfn.XLOOKUP(A87,AG_PipingData!$B$3:$B$24,AG_PipingData!$C$3:$C$24,0,0)</f>
        <v>16891.079999999998</v>
      </c>
      <c r="F87" s="188" t="s">
        <v>80</v>
      </c>
      <c r="G87" s="107">
        <v>2</v>
      </c>
      <c r="H87" s="107">
        <v>4</v>
      </c>
      <c r="I87" s="56">
        <f t="shared" ref="I87:I114" si="72">SUM(L87:Y87)</f>
        <v>16891</v>
      </c>
      <c r="J87" s="56">
        <f>E87-I87</f>
        <v>7.9999999998108251E-2</v>
      </c>
      <c r="K87" s="14" t="s">
        <v>98</v>
      </c>
      <c r="L87" s="141"/>
      <c r="M87" s="141">
        <v>4875</v>
      </c>
      <c r="N87" s="141">
        <v>8754</v>
      </c>
      <c r="O87" s="141">
        <v>3262</v>
      </c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49"/>
    </row>
    <row r="88" spans="1:26" x14ac:dyDescent="0.25">
      <c r="A88" s="197"/>
      <c r="B88" s="184"/>
      <c r="C88" s="184"/>
      <c r="D88" s="187"/>
      <c r="E88" s="199"/>
      <c r="F88" s="189"/>
      <c r="G88" s="107"/>
      <c r="H88" s="107"/>
      <c r="I88" s="56">
        <f t="shared" si="72"/>
        <v>0</v>
      </c>
      <c r="J88" s="56">
        <f>E87-I88</f>
        <v>16891.079999999998</v>
      </c>
      <c r="K88" s="3" t="s">
        <v>99</v>
      </c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8"/>
    </row>
    <row r="89" spans="1:26" x14ac:dyDescent="0.25">
      <c r="A89" s="197"/>
      <c r="B89" s="184"/>
      <c r="C89" s="184"/>
      <c r="D89" s="190" t="s">
        <v>74</v>
      </c>
      <c r="E89" s="198">
        <f>_xlfn.XLOOKUP(A87,AG_PipingData!$B$3:$B$24,AG_PipingData!$D$3:$D$24,0,0)</f>
        <v>11260.720000000001</v>
      </c>
      <c r="F89" s="188" t="s">
        <v>80</v>
      </c>
      <c r="G89" s="107">
        <v>5</v>
      </c>
      <c r="H89" s="107">
        <v>7</v>
      </c>
      <c r="I89" s="56">
        <f t="shared" si="72"/>
        <v>11261</v>
      </c>
      <c r="J89" s="56">
        <f t="shared" ref="J89" si="73">E89-I89</f>
        <v>-0.27999999999883585</v>
      </c>
      <c r="K89" s="6" t="s">
        <v>98</v>
      </c>
      <c r="L89" s="142"/>
      <c r="M89" s="142"/>
      <c r="N89" s="142"/>
      <c r="O89" s="142"/>
      <c r="P89" s="142">
        <v>1901</v>
      </c>
      <c r="Q89" s="142">
        <v>5000</v>
      </c>
      <c r="R89" s="142">
        <v>4360</v>
      </c>
      <c r="S89" s="142"/>
      <c r="T89" s="142"/>
      <c r="U89" s="142"/>
      <c r="V89" s="142"/>
      <c r="W89" s="142"/>
      <c r="X89" s="142"/>
      <c r="Y89" s="142"/>
      <c r="Z89" s="50"/>
    </row>
    <row r="90" spans="1:26" x14ac:dyDescent="0.25">
      <c r="A90" s="197"/>
      <c r="B90" s="184"/>
      <c r="C90" s="184"/>
      <c r="D90" s="191"/>
      <c r="E90" s="199"/>
      <c r="F90" s="189"/>
      <c r="G90" s="107"/>
      <c r="H90" s="107"/>
      <c r="I90" s="56">
        <f t="shared" si="72"/>
        <v>0</v>
      </c>
      <c r="J90" s="56">
        <f t="shared" ref="J90" si="74">E89-I90</f>
        <v>11260.720000000001</v>
      </c>
      <c r="K90" s="3" t="s">
        <v>99</v>
      </c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8"/>
    </row>
    <row r="91" spans="1:26" x14ac:dyDescent="0.25">
      <c r="A91" s="197" t="s">
        <v>49</v>
      </c>
      <c r="B91" s="184" t="s">
        <v>50</v>
      </c>
      <c r="C91" s="185" t="s">
        <v>84</v>
      </c>
      <c r="D91" s="186" t="s">
        <v>73</v>
      </c>
      <c r="E91" s="198">
        <f>_xlfn.XLOOKUP(A91,AG_PipingData!$B$3:$B$24,AG_PipingData!$C$3:$C$24,0,0)</f>
        <v>10455.75</v>
      </c>
      <c r="F91" s="188" t="s">
        <v>80</v>
      </c>
      <c r="G91" s="107">
        <v>3</v>
      </c>
      <c r="H91" s="107">
        <v>4</v>
      </c>
      <c r="I91" s="56">
        <f t="shared" si="72"/>
        <v>10456</v>
      </c>
      <c r="J91" s="56">
        <f t="shared" ref="J91" si="75">E91-I91</f>
        <v>-0.25</v>
      </c>
      <c r="K91" s="14" t="s">
        <v>98</v>
      </c>
      <c r="L91" s="141"/>
      <c r="M91" s="141"/>
      <c r="N91" s="141">
        <v>4000</v>
      </c>
      <c r="O91" s="141">
        <v>6456</v>
      </c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49"/>
    </row>
    <row r="92" spans="1:26" x14ac:dyDescent="0.25">
      <c r="A92" s="197"/>
      <c r="B92" s="184"/>
      <c r="C92" s="185"/>
      <c r="D92" s="187"/>
      <c r="E92" s="199"/>
      <c r="F92" s="189"/>
      <c r="G92" s="107"/>
      <c r="H92" s="107"/>
      <c r="I92" s="56">
        <f t="shared" si="72"/>
        <v>0</v>
      </c>
      <c r="J92" s="56">
        <f t="shared" ref="J92" si="76">E91-I92</f>
        <v>10455.75</v>
      </c>
      <c r="K92" s="3" t="s">
        <v>99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8"/>
    </row>
    <row r="93" spans="1:26" x14ac:dyDescent="0.25">
      <c r="A93" s="197"/>
      <c r="B93" s="184"/>
      <c r="C93" s="185"/>
      <c r="D93" s="190" t="s">
        <v>74</v>
      </c>
      <c r="E93" s="198">
        <f>_xlfn.XLOOKUP(A91,AG_PipingData!$B$3:$B$24,AG_PipingData!$D$3:$D$24,0,0)</f>
        <v>6970.5</v>
      </c>
      <c r="F93" s="188" t="s">
        <v>80</v>
      </c>
      <c r="G93" s="107">
        <v>5</v>
      </c>
      <c r="H93" s="107">
        <v>7</v>
      </c>
      <c r="I93" s="56">
        <f t="shared" si="72"/>
        <v>6971</v>
      </c>
      <c r="J93" s="56">
        <f t="shared" ref="J93" si="77">E93-I93</f>
        <v>-0.5</v>
      </c>
      <c r="K93" s="6" t="s">
        <v>98</v>
      </c>
      <c r="L93" s="142"/>
      <c r="M93" s="142"/>
      <c r="N93" s="142"/>
      <c r="O93" s="142"/>
      <c r="P93" s="142">
        <v>2000</v>
      </c>
      <c r="Q93" s="142">
        <v>2000</v>
      </c>
      <c r="R93" s="142">
        <v>2971</v>
      </c>
      <c r="S93" s="142"/>
      <c r="T93" s="142"/>
      <c r="U93" s="142"/>
      <c r="V93" s="142"/>
      <c r="W93" s="142"/>
      <c r="X93" s="142"/>
      <c r="Y93" s="142"/>
      <c r="Z93" s="50"/>
    </row>
    <row r="94" spans="1:26" x14ac:dyDescent="0.25">
      <c r="A94" s="197"/>
      <c r="B94" s="184"/>
      <c r="C94" s="185"/>
      <c r="D94" s="191"/>
      <c r="E94" s="199"/>
      <c r="F94" s="189"/>
      <c r="G94" s="107"/>
      <c r="H94" s="107"/>
      <c r="I94" s="56">
        <f t="shared" si="72"/>
        <v>0</v>
      </c>
      <c r="J94" s="56">
        <f t="shared" ref="J94" si="78">E93-I94</f>
        <v>6970.5</v>
      </c>
      <c r="K94" s="3" t="s">
        <v>99</v>
      </c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8"/>
    </row>
    <row r="95" spans="1:26" x14ac:dyDescent="0.25">
      <c r="A95" s="197" t="s">
        <v>51</v>
      </c>
      <c r="B95" s="184" t="s">
        <v>52</v>
      </c>
      <c r="C95" s="185" t="s">
        <v>84</v>
      </c>
      <c r="D95" s="186" t="s">
        <v>73</v>
      </c>
      <c r="E95" s="198">
        <f>_xlfn.XLOOKUP(A95,AG_PipingData!$B$3:$B$24,AG_PipingData!$C$3:$C$24,0,0)</f>
        <v>4576.1099999999997</v>
      </c>
      <c r="F95" s="188" t="s">
        <v>80</v>
      </c>
      <c r="G95" s="107">
        <v>4</v>
      </c>
      <c r="H95" s="107">
        <v>5</v>
      </c>
      <c r="I95" s="56">
        <f t="shared" si="72"/>
        <v>4576</v>
      </c>
      <c r="J95" s="56">
        <f t="shared" ref="J95" si="79">E95-I95</f>
        <v>0.10999999999967258</v>
      </c>
      <c r="K95" s="14" t="s">
        <v>98</v>
      </c>
      <c r="L95" s="141"/>
      <c r="M95" s="141"/>
      <c r="N95" s="141"/>
      <c r="O95" s="141">
        <v>1600</v>
      </c>
      <c r="P95" s="141">
        <v>2976</v>
      </c>
      <c r="Q95" s="141"/>
      <c r="R95" s="141"/>
      <c r="S95" s="141"/>
      <c r="T95" s="141"/>
      <c r="U95" s="141"/>
      <c r="V95" s="141"/>
      <c r="W95" s="141"/>
      <c r="X95" s="141"/>
      <c r="Y95" s="141"/>
      <c r="Z95" s="49"/>
    </row>
    <row r="96" spans="1:26" x14ac:dyDescent="0.25">
      <c r="A96" s="197"/>
      <c r="B96" s="184"/>
      <c r="C96" s="185"/>
      <c r="D96" s="187"/>
      <c r="E96" s="199"/>
      <c r="F96" s="189"/>
      <c r="G96" s="107"/>
      <c r="H96" s="107"/>
      <c r="I96" s="56">
        <f t="shared" si="72"/>
        <v>0</v>
      </c>
      <c r="J96" s="56">
        <f t="shared" ref="J96" si="80">E95-I96</f>
        <v>4576.1099999999997</v>
      </c>
      <c r="K96" s="3" t="s">
        <v>99</v>
      </c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8"/>
    </row>
    <row r="97" spans="1:26" x14ac:dyDescent="0.25">
      <c r="A97" s="197"/>
      <c r="B97" s="184"/>
      <c r="C97" s="185"/>
      <c r="D97" s="190" t="s">
        <v>74</v>
      </c>
      <c r="E97" s="198">
        <f>_xlfn.XLOOKUP(A95,AG_PipingData!$B$3:$B$24,AG_PipingData!$D$3:$D$24,0,0)</f>
        <v>3050.7400000000002</v>
      </c>
      <c r="F97" s="188" t="s">
        <v>80</v>
      </c>
      <c r="G97" s="107">
        <v>8</v>
      </c>
      <c r="H97" s="107">
        <v>8</v>
      </c>
      <c r="I97" s="56">
        <f t="shared" si="72"/>
        <v>3051</v>
      </c>
      <c r="J97" s="56">
        <f t="shared" ref="J97" si="81">E97-I97</f>
        <v>-0.25999999999976353</v>
      </c>
      <c r="K97" s="6" t="s">
        <v>98</v>
      </c>
      <c r="L97" s="142"/>
      <c r="M97" s="142"/>
      <c r="N97" s="142"/>
      <c r="O97" s="142"/>
      <c r="P97" s="142"/>
      <c r="Q97" s="142"/>
      <c r="R97" s="142"/>
      <c r="S97" s="142">
        <v>3051</v>
      </c>
      <c r="T97" s="142"/>
      <c r="U97" s="142"/>
      <c r="V97" s="142"/>
      <c r="W97" s="142"/>
      <c r="X97" s="142"/>
      <c r="Y97" s="142"/>
      <c r="Z97" s="50"/>
    </row>
    <row r="98" spans="1:26" x14ac:dyDescent="0.25">
      <c r="A98" s="197"/>
      <c r="B98" s="184"/>
      <c r="C98" s="185"/>
      <c r="D98" s="191"/>
      <c r="E98" s="199"/>
      <c r="F98" s="189"/>
      <c r="G98" s="107"/>
      <c r="H98" s="107"/>
      <c r="I98" s="56">
        <f t="shared" si="72"/>
        <v>0</v>
      </c>
      <c r="J98" s="56">
        <f t="shared" ref="J98" si="82">E97-I98</f>
        <v>3050.7400000000002</v>
      </c>
      <c r="K98" s="3" t="s">
        <v>99</v>
      </c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8"/>
    </row>
    <row r="99" spans="1:26" x14ac:dyDescent="0.25">
      <c r="A99" s="197" t="s">
        <v>53</v>
      </c>
      <c r="B99" s="184" t="s">
        <v>54</v>
      </c>
      <c r="C99" s="184" t="s">
        <v>90</v>
      </c>
      <c r="D99" s="186" t="s">
        <v>73</v>
      </c>
      <c r="E99" s="198">
        <f>_xlfn.XLOOKUP(A99,AG_PipingData!$B$3:$B$24,AG_PipingData!$C$3:$C$24,0,0)</f>
        <v>1888.9499999999998</v>
      </c>
      <c r="F99" s="188" t="s">
        <v>80</v>
      </c>
      <c r="G99" s="107">
        <v>5</v>
      </c>
      <c r="H99" s="107">
        <v>5</v>
      </c>
      <c r="I99" s="56">
        <f t="shared" si="72"/>
        <v>1889</v>
      </c>
      <c r="J99" s="56">
        <f t="shared" ref="J99" si="83">E99-I99</f>
        <v>-5.0000000000181899E-2</v>
      </c>
      <c r="K99" s="14" t="s">
        <v>98</v>
      </c>
      <c r="L99" s="141"/>
      <c r="M99" s="141"/>
      <c r="N99" s="141"/>
      <c r="O99" s="141"/>
      <c r="P99" s="141">
        <v>1889</v>
      </c>
      <c r="Q99" s="141"/>
      <c r="R99" s="141"/>
      <c r="S99" s="141"/>
      <c r="T99" s="141"/>
      <c r="U99" s="141"/>
      <c r="V99" s="141"/>
      <c r="W99" s="141"/>
      <c r="X99" s="141"/>
      <c r="Y99" s="141"/>
      <c r="Z99" s="49"/>
    </row>
    <row r="100" spans="1:26" x14ac:dyDescent="0.25">
      <c r="A100" s="197"/>
      <c r="B100" s="184"/>
      <c r="C100" s="184"/>
      <c r="D100" s="187"/>
      <c r="E100" s="199"/>
      <c r="F100" s="189"/>
      <c r="G100" s="107"/>
      <c r="H100" s="107"/>
      <c r="I100" s="56">
        <f t="shared" si="72"/>
        <v>0</v>
      </c>
      <c r="J100" s="56">
        <f t="shared" ref="J100" si="84">E99-I100</f>
        <v>1888.9499999999998</v>
      </c>
      <c r="K100" s="3" t="s">
        <v>99</v>
      </c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8"/>
    </row>
    <row r="101" spans="1:26" x14ac:dyDescent="0.25">
      <c r="A101" s="197"/>
      <c r="B101" s="184"/>
      <c r="C101" s="184"/>
      <c r="D101" s="190" t="s">
        <v>74</v>
      </c>
      <c r="E101" s="198">
        <f>_xlfn.XLOOKUP(A99,AG_PipingData!$B$3:$B$24,AG_PipingData!$D$3:$D$24,0,0)</f>
        <v>1259.3000000000002</v>
      </c>
      <c r="F101" s="188" t="s">
        <v>80</v>
      </c>
      <c r="G101" s="107">
        <v>8</v>
      </c>
      <c r="H101" s="107">
        <v>8</v>
      </c>
      <c r="I101" s="56">
        <f t="shared" si="72"/>
        <v>1259</v>
      </c>
      <c r="J101" s="56">
        <f t="shared" ref="J101" si="85">E101-I101</f>
        <v>0.3000000000001819</v>
      </c>
      <c r="K101" s="6" t="s">
        <v>98</v>
      </c>
      <c r="L101" s="142"/>
      <c r="M101" s="142"/>
      <c r="N101" s="142"/>
      <c r="O101" s="142"/>
      <c r="P101" s="142"/>
      <c r="Q101" s="142"/>
      <c r="R101" s="142"/>
      <c r="S101" s="142">
        <v>1259</v>
      </c>
      <c r="T101" s="142"/>
      <c r="U101" s="142"/>
      <c r="V101" s="142"/>
      <c r="W101" s="142"/>
      <c r="X101" s="142"/>
      <c r="Y101" s="142"/>
      <c r="Z101" s="50"/>
    </row>
    <row r="102" spans="1:26" x14ac:dyDescent="0.25">
      <c r="A102" s="197"/>
      <c r="B102" s="184"/>
      <c r="C102" s="184"/>
      <c r="D102" s="191"/>
      <c r="E102" s="199"/>
      <c r="F102" s="189"/>
      <c r="G102" s="107"/>
      <c r="H102" s="107"/>
      <c r="I102" s="56">
        <f t="shared" si="72"/>
        <v>0</v>
      </c>
      <c r="J102" s="56">
        <f t="shared" ref="J102" si="86">E101-I102</f>
        <v>1259.3000000000002</v>
      </c>
      <c r="K102" s="3" t="s">
        <v>99</v>
      </c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8"/>
    </row>
    <row r="103" spans="1:26" x14ac:dyDescent="0.25">
      <c r="A103" s="197" t="s">
        <v>55</v>
      </c>
      <c r="B103" s="184" t="s">
        <v>54</v>
      </c>
      <c r="C103" s="184" t="s">
        <v>90</v>
      </c>
      <c r="D103" s="186" t="s">
        <v>73</v>
      </c>
      <c r="E103" s="198">
        <f>_xlfn.XLOOKUP(A103,AG_PipingData!$B$3:$B$24,AG_PipingData!$C$3:$C$24,0,0)</f>
        <v>4635</v>
      </c>
      <c r="F103" s="188" t="s">
        <v>80</v>
      </c>
      <c r="G103" s="107">
        <v>5</v>
      </c>
      <c r="H103" s="107">
        <v>6</v>
      </c>
      <c r="I103" s="56">
        <f t="shared" si="72"/>
        <v>4635</v>
      </c>
      <c r="J103" s="56">
        <f t="shared" ref="J103" si="87">E103-I103</f>
        <v>0</v>
      </c>
      <c r="K103" s="14" t="s">
        <v>98</v>
      </c>
      <c r="L103" s="141"/>
      <c r="M103" s="141"/>
      <c r="N103" s="141"/>
      <c r="O103" s="141"/>
      <c r="P103" s="141">
        <v>2303</v>
      </c>
      <c r="Q103" s="141">
        <v>2332</v>
      </c>
      <c r="R103" s="141"/>
      <c r="S103" s="141"/>
      <c r="T103" s="141"/>
      <c r="U103" s="141"/>
      <c r="V103" s="141"/>
      <c r="W103" s="141"/>
      <c r="X103" s="141"/>
      <c r="Y103" s="141"/>
      <c r="Z103" s="49"/>
    </row>
    <row r="104" spans="1:26" x14ac:dyDescent="0.25">
      <c r="A104" s="197"/>
      <c r="B104" s="184"/>
      <c r="C104" s="184"/>
      <c r="D104" s="187"/>
      <c r="E104" s="199"/>
      <c r="F104" s="189"/>
      <c r="G104" s="107"/>
      <c r="H104" s="107"/>
      <c r="I104" s="56">
        <f t="shared" si="72"/>
        <v>0</v>
      </c>
      <c r="J104" s="56">
        <f t="shared" ref="J104" si="88">E103-I104</f>
        <v>4635</v>
      </c>
      <c r="K104" s="3" t="s">
        <v>99</v>
      </c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8"/>
    </row>
    <row r="105" spans="1:26" x14ac:dyDescent="0.25">
      <c r="A105" s="197"/>
      <c r="B105" s="184"/>
      <c r="C105" s="184"/>
      <c r="D105" s="190" t="s">
        <v>74</v>
      </c>
      <c r="E105" s="198">
        <f>_xlfn.XLOOKUP(A103,AG_PipingData!$B$3:$B$24,AG_PipingData!$D$3:$D$24,0,0)</f>
        <v>3090</v>
      </c>
      <c r="F105" s="188" t="s">
        <v>80</v>
      </c>
      <c r="G105" s="107">
        <v>8</v>
      </c>
      <c r="H105" s="107">
        <v>8</v>
      </c>
      <c r="I105" s="56">
        <f t="shared" si="72"/>
        <v>3090</v>
      </c>
      <c r="J105" s="56">
        <f t="shared" ref="J105" si="89">E105-I105</f>
        <v>0</v>
      </c>
      <c r="K105" s="6" t="s">
        <v>98</v>
      </c>
      <c r="L105" s="142"/>
      <c r="M105" s="142"/>
      <c r="N105" s="142"/>
      <c r="O105" s="142"/>
      <c r="P105" s="142"/>
      <c r="Q105" s="142"/>
      <c r="R105" s="142"/>
      <c r="S105" s="142">
        <v>3090</v>
      </c>
      <c r="T105" s="142"/>
      <c r="U105" s="142"/>
      <c r="V105" s="142"/>
      <c r="W105" s="142"/>
      <c r="X105" s="142"/>
      <c r="Y105" s="142"/>
      <c r="Z105" s="50"/>
    </row>
    <row r="106" spans="1:26" x14ac:dyDescent="0.25">
      <c r="A106" s="197"/>
      <c r="B106" s="184"/>
      <c r="C106" s="184"/>
      <c r="D106" s="191"/>
      <c r="E106" s="199"/>
      <c r="F106" s="189"/>
      <c r="G106" s="107"/>
      <c r="H106" s="107"/>
      <c r="I106" s="56">
        <f t="shared" si="72"/>
        <v>0</v>
      </c>
      <c r="J106" s="56">
        <f t="shared" ref="J106" si="90">E105-I106</f>
        <v>3090</v>
      </c>
      <c r="K106" s="3" t="s">
        <v>99</v>
      </c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8"/>
    </row>
    <row r="107" spans="1:26" x14ac:dyDescent="0.25">
      <c r="A107" s="197" t="s">
        <v>56</v>
      </c>
      <c r="B107" s="184" t="s">
        <v>57</v>
      </c>
      <c r="C107" s="185" t="s">
        <v>84</v>
      </c>
      <c r="D107" s="186" t="s">
        <v>73</v>
      </c>
      <c r="E107" s="198">
        <f>_xlfn.XLOOKUP(A107,AG_PipingData!$B$3:$B$24,AG_PipingData!$C$3:$C$24,0,0)</f>
        <v>12511.29</v>
      </c>
      <c r="F107" s="188" t="s">
        <v>80</v>
      </c>
      <c r="G107" s="107">
        <v>5</v>
      </c>
      <c r="H107" s="107">
        <v>6</v>
      </c>
      <c r="I107" s="56">
        <f t="shared" si="72"/>
        <v>12511</v>
      </c>
      <c r="J107" s="56">
        <f t="shared" ref="J107" si="91">E107-I107</f>
        <v>0.29000000000087311</v>
      </c>
      <c r="K107" s="14" t="s">
        <v>98</v>
      </c>
      <c r="L107" s="141"/>
      <c r="M107" s="141"/>
      <c r="N107" s="141"/>
      <c r="O107" s="141"/>
      <c r="P107" s="141">
        <v>4500</v>
      </c>
      <c r="Q107" s="141">
        <v>8011</v>
      </c>
      <c r="R107" s="141"/>
      <c r="S107" s="141"/>
      <c r="T107" s="141"/>
      <c r="U107" s="141"/>
      <c r="V107" s="141"/>
      <c r="W107" s="141"/>
      <c r="X107" s="141"/>
      <c r="Y107" s="141"/>
      <c r="Z107" s="49"/>
    </row>
    <row r="108" spans="1:26" x14ac:dyDescent="0.25">
      <c r="A108" s="197"/>
      <c r="B108" s="184"/>
      <c r="C108" s="185"/>
      <c r="D108" s="187"/>
      <c r="E108" s="199"/>
      <c r="F108" s="189"/>
      <c r="G108" s="107"/>
      <c r="H108" s="107"/>
      <c r="I108" s="56">
        <f t="shared" si="72"/>
        <v>0</v>
      </c>
      <c r="J108" s="56">
        <f t="shared" ref="J108" si="92">E107-I108</f>
        <v>12511.29</v>
      </c>
      <c r="K108" s="3" t="s">
        <v>99</v>
      </c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8"/>
    </row>
    <row r="109" spans="1:26" x14ac:dyDescent="0.25">
      <c r="A109" s="197"/>
      <c r="B109" s="184"/>
      <c r="C109" s="185"/>
      <c r="D109" s="190" t="s">
        <v>74</v>
      </c>
      <c r="E109" s="198">
        <f>_xlfn.XLOOKUP(A107,AG_PipingData!$B$3:$B$24,AG_PipingData!$D$3:$D$24,0,0)</f>
        <v>8340.86</v>
      </c>
      <c r="F109" s="188" t="s">
        <v>80</v>
      </c>
      <c r="G109" s="107">
        <v>7</v>
      </c>
      <c r="H109" s="107">
        <v>9</v>
      </c>
      <c r="I109" s="56">
        <f t="shared" si="72"/>
        <v>8341</v>
      </c>
      <c r="J109" s="56">
        <f t="shared" ref="J109" si="93">E109-I109</f>
        <v>-0.13999999999941792</v>
      </c>
      <c r="K109" s="6" t="s">
        <v>98</v>
      </c>
      <c r="L109" s="142"/>
      <c r="M109" s="142"/>
      <c r="N109" s="142"/>
      <c r="O109" s="142"/>
      <c r="P109" s="142"/>
      <c r="Q109" s="142"/>
      <c r="R109" s="142">
        <v>1000</v>
      </c>
      <c r="S109" s="142">
        <v>1500</v>
      </c>
      <c r="T109" s="142">
        <v>5841</v>
      </c>
      <c r="U109" s="142"/>
      <c r="V109" s="142"/>
      <c r="W109" s="142"/>
      <c r="X109" s="142"/>
      <c r="Y109" s="142"/>
      <c r="Z109" s="50"/>
    </row>
    <row r="110" spans="1:26" x14ac:dyDescent="0.25">
      <c r="A110" s="197"/>
      <c r="B110" s="184"/>
      <c r="C110" s="185"/>
      <c r="D110" s="191"/>
      <c r="E110" s="199"/>
      <c r="F110" s="189"/>
      <c r="G110" s="107"/>
      <c r="H110" s="107"/>
      <c r="I110" s="56">
        <f t="shared" si="72"/>
        <v>0</v>
      </c>
      <c r="J110" s="56">
        <f t="shared" ref="J110" si="94">E109-I110</f>
        <v>8340.86</v>
      </c>
      <c r="K110" s="3" t="s">
        <v>99</v>
      </c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8"/>
    </row>
    <row r="111" spans="1:26" x14ac:dyDescent="0.25">
      <c r="A111" s="197" t="s">
        <v>58</v>
      </c>
      <c r="B111" s="184" t="s">
        <v>59</v>
      </c>
      <c r="C111" s="184" t="s">
        <v>83</v>
      </c>
      <c r="D111" s="186" t="s">
        <v>73</v>
      </c>
      <c r="E111" s="198">
        <f>_xlfn.XLOOKUP(A111,AG_PipingData!$B$3:$B$24,AG_PipingData!$C$3:$C$24,0,0)</f>
        <v>1533.3</v>
      </c>
      <c r="F111" s="188" t="s">
        <v>80</v>
      </c>
      <c r="G111" s="107">
        <v>6</v>
      </c>
      <c r="H111" s="107">
        <v>6</v>
      </c>
      <c r="I111" s="56">
        <f t="shared" si="72"/>
        <v>1533</v>
      </c>
      <c r="J111" s="56">
        <f t="shared" ref="J111" si="95">E111-I111</f>
        <v>0.29999999999995453</v>
      </c>
      <c r="K111" s="14" t="s">
        <v>98</v>
      </c>
      <c r="L111" s="141"/>
      <c r="M111" s="141"/>
      <c r="N111" s="141"/>
      <c r="O111" s="141"/>
      <c r="P111" s="141"/>
      <c r="Q111" s="141">
        <v>1533</v>
      </c>
      <c r="R111" s="141"/>
      <c r="S111" s="141"/>
      <c r="T111" s="141"/>
      <c r="U111" s="141"/>
      <c r="V111" s="141"/>
      <c r="W111" s="141"/>
      <c r="X111" s="141"/>
      <c r="Y111" s="141"/>
      <c r="Z111" s="49"/>
    </row>
    <row r="112" spans="1:26" x14ac:dyDescent="0.25">
      <c r="A112" s="197"/>
      <c r="B112" s="184"/>
      <c r="C112" s="184"/>
      <c r="D112" s="187"/>
      <c r="E112" s="199"/>
      <c r="F112" s="189"/>
      <c r="G112" s="107"/>
      <c r="H112" s="107"/>
      <c r="I112" s="56">
        <f t="shared" si="72"/>
        <v>0</v>
      </c>
      <c r="J112" s="56">
        <f t="shared" ref="J112" si="96">E111-I112</f>
        <v>1533.3</v>
      </c>
      <c r="K112" s="3" t="s">
        <v>99</v>
      </c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8"/>
    </row>
    <row r="113" spans="1:26" x14ac:dyDescent="0.25">
      <c r="A113" s="197"/>
      <c r="B113" s="184"/>
      <c r="C113" s="184"/>
      <c r="D113" s="190" t="s">
        <v>74</v>
      </c>
      <c r="E113" s="198">
        <f>_xlfn.XLOOKUP(A111,AG_PipingData!$B$3:$B$24,AG_PipingData!$D$3:$D$24,0,0)</f>
        <v>1022.2</v>
      </c>
      <c r="F113" s="188" t="s">
        <v>80</v>
      </c>
      <c r="G113" s="107">
        <v>9</v>
      </c>
      <c r="H113" s="107">
        <v>9</v>
      </c>
      <c r="I113" s="56">
        <f t="shared" si="72"/>
        <v>1022</v>
      </c>
      <c r="J113" s="56">
        <f t="shared" ref="J113" si="97">E113-I113</f>
        <v>0.20000000000004547</v>
      </c>
      <c r="K113" s="6" t="s">
        <v>98</v>
      </c>
      <c r="L113" s="142"/>
      <c r="M113" s="142"/>
      <c r="N113" s="142"/>
      <c r="O113" s="142"/>
      <c r="P113" s="142"/>
      <c r="Q113" s="142"/>
      <c r="R113" s="142"/>
      <c r="S113" s="142"/>
      <c r="T113" s="142">
        <v>1022</v>
      </c>
      <c r="U113" s="142"/>
      <c r="V113" s="142"/>
      <c r="W113" s="142"/>
      <c r="X113" s="142"/>
      <c r="Y113" s="142"/>
      <c r="Z113" s="50"/>
    </row>
    <row r="114" spans="1:26" x14ac:dyDescent="0.25">
      <c r="A114" s="197"/>
      <c r="B114" s="184"/>
      <c r="C114" s="184"/>
      <c r="D114" s="191"/>
      <c r="E114" s="199"/>
      <c r="F114" s="189"/>
      <c r="G114" s="107"/>
      <c r="H114" s="107"/>
      <c r="I114" s="56">
        <f t="shared" si="72"/>
        <v>0</v>
      </c>
      <c r="J114" s="56">
        <f t="shared" ref="J114" si="98">E113-I114</f>
        <v>1022.2</v>
      </c>
      <c r="K114" s="3" t="s">
        <v>99</v>
      </c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8"/>
    </row>
    <row r="116" spans="1:26" ht="21" x14ac:dyDescent="0.25">
      <c r="A116" s="193" t="s">
        <v>77</v>
      </c>
      <c r="B116" s="194"/>
      <c r="C116" s="194"/>
      <c r="D116" s="86"/>
      <c r="E116" s="86"/>
      <c r="F116" s="99"/>
      <c r="G116" s="129"/>
      <c r="H116" s="129"/>
      <c r="I116" s="55"/>
      <c r="J116" s="55"/>
      <c r="K116" s="100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 t="s">
        <v>96</v>
      </c>
      <c r="X116" s="86"/>
      <c r="Y116" s="86" t="s">
        <v>97</v>
      </c>
      <c r="Z116" s="86"/>
    </row>
    <row r="117" spans="1:26" ht="30.75" thickBot="1" x14ac:dyDescent="0.3">
      <c r="A117" s="90" t="s">
        <v>46</v>
      </c>
      <c r="B117" s="91" t="s">
        <v>0</v>
      </c>
      <c r="C117" s="90" t="s">
        <v>44</v>
      </c>
      <c r="D117" s="59"/>
      <c r="E117" s="92" t="s">
        <v>2</v>
      </c>
      <c r="F117" s="92" t="s">
        <v>76</v>
      </c>
      <c r="G117" s="133"/>
      <c r="H117" s="133"/>
      <c r="I117" s="55"/>
      <c r="J117" s="55"/>
      <c r="K117" s="100"/>
      <c r="L117" s="95" t="s">
        <v>628</v>
      </c>
      <c r="M117" s="93">
        <v>45261</v>
      </c>
      <c r="N117" s="93">
        <v>45292</v>
      </c>
      <c r="O117" s="93">
        <v>45323</v>
      </c>
      <c r="P117" s="93">
        <v>45352</v>
      </c>
      <c r="Q117" s="93">
        <v>45383</v>
      </c>
      <c r="R117" s="93">
        <v>45413</v>
      </c>
      <c r="S117" s="93">
        <v>45444</v>
      </c>
      <c r="T117" s="93">
        <v>45474</v>
      </c>
      <c r="U117" s="93">
        <v>45505</v>
      </c>
      <c r="V117" s="93">
        <v>45536</v>
      </c>
      <c r="W117" s="93">
        <v>45566</v>
      </c>
      <c r="X117" s="93">
        <v>45597</v>
      </c>
      <c r="Y117" s="93">
        <v>45627</v>
      </c>
      <c r="Z117" s="94" t="s">
        <v>43</v>
      </c>
    </row>
    <row r="118" spans="1:26" ht="15" customHeight="1" x14ac:dyDescent="0.25">
      <c r="A118" s="176" t="s">
        <v>72</v>
      </c>
      <c r="B118" s="177"/>
      <c r="C118" s="177"/>
      <c r="D118" s="165" t="s">
        <v>6</v>
      </c>
      <c r="E118" s="150">
        <f>E207+E202+E198+E194+E190+E186+E182+E178+E174+E170+E166+E162+E157+E153+E149+E145+E141+E137</f>
        <v>3901.45</v>
      </c>
      <c r="F118" s="150" t="s">
        <v>1</v>
      </c>
      <c r="G118" s="131"/>
      <c r="H118" s="131"/>
      <c r="I118" s="97">
        <f>SUM(L118:Y118)</f>
        <v>0</v>
      </c>
      <c r="J118" s="98">
        <f>E118-I118</f>
        <v>3901.45</v>
      </c>
      <c r="K118" s="64" t="s">
        <v>634</v>
      </c>
      <c r="L118" s="136">
        <f t="shared" ref="L118" si="99">L207+L202+L198+L194+L190+L186+L182+L178+L174+L170+L166+L162+L157+L153+L149+L145+L141+L137</f>
        <v>0</v>
      </c>
      <c r="M118" s="136">
        <f t="shared" ref="M118:Y118" si="100">M207+M202+M198+M194+M190+M186+M182+M178+M174+M170+M166+M162+M157+M153+M149+M145+M141+M137</f>
        <v>0</v>
      </c>
      <c r="N118" s="136">
        <f t="shared" si="100"/>
        <v>0</v>
      </c>
      <c r="O118" s="136">
        <f t="shared" si="100"/>
        <v>0</v>
      </c>
      <c r="P118" s="136">
        <f t="shared" si="100"/>
        <v>0</v>
      </c>
      <c r="Q118" s="136">
        <f t="shared" si="100"/>
        <v>0</v>
      </c>
      <c r="R118" s="136">
        <f t="shared" si="100"/>
        <v>0</v>
      </c>
      <c r="S118" s="136">
        <f t="shared" si="100"/>
        <v>0</v>
      </c>
      <c r="T118" s="136">
        <f t="shared" si="100"/>
        <v>0</v>
      </c>
      <c r="U118" s="136">
        <f t="shared" si="100"/>
        <v>0</v>
      </c>
      <c r="V118" s="136">
        <f t="shared" si="100"/>
        <v>0</v>
      </c>
      <c r="W118" s="136">
        <f t="shared" si="100"/>
        <v>0</v>
      </c>
      <c r="X118" s="136">
        <f t="shared" si="100"/>
        <v>0</v>
      </c>
      <c r="Y118" s="136">
        <f t="shared" si="100"/>
        <v>0</v>
      </c>
      <c r="Z118" s="65"/>
    </row>
    <row r="119" spans="1:26" ht="15" customHeight="1" x14ac:dyDescent="0.25">
      <c r="A119" s="178"/>
      <c r="B119" s="179"/>
      <c r="C119" s="179"/>
      <c r="D119" s="166"/>
      <c r="E119" s="151"/>
      <c r="F119" s="151"/>
      <c r="G119" s="107"/>
      <c r="H119" s="107"/>
      <c r="I119" s="55">
        <f>SUM(L119:Y119)</f>
        <v>0</v>
      </c>
      <c r="J119" s="16">
        <f>E118-I119</f>
        <v>3901.45</v>
      </c>
      <c r="K119" s="3" t="s">
        <v>635</v>
      </c>
      <c r="L119" s="17">
        <f t="shared" ref="L119" si="101">L208+L203+L199+L195+L191+L187+L183+L179+L175+L171+L167+L163+L158+L154+L150+L146+L142+L138</f>
        <v>0</v>
      </c>
      <c r="M119" s="17">
        <f t="shared" ref="M119:Y119" si="102">M208+M203+M199+M195+M191+M187+M183+M179+M175+M171+M167+M163+M158+M154+M150+M146+M142+M138</f>
        <v>0</v>
      </c>
      <c r="N119" s="17">
        <f t="shared" si="102"/>
        <v>0</v>
      </c>
      <c r="O119" s="17">
        <f t="shared" si="102"/>
        <v>0</v>
      </c>
      <c r="P119" s="17">
        <f t="shared" si="102"/>
        <v>0</v>
      </c>
      <c r="Q119" s="17">
        <f t="shared" si="102"/>
        <v>0</v>
      </c>
      <c r="R119" s="17">
        <f t="shared" si="102"/>
        <v>0</v>
      </c>
      <c r="S119" s="17">
        <f t="shared" si="102"/>
        <v>0</v>
      </c>
      <c r="T119" s="17">
        <f t="shared" si="102"/>
        <v>0</v>
      </c>
      <c r="U119" s="17">
        <f t="shared" si="102"/>
        <v>0</v>
      </c>
      <c r="V119" s="17">
        <f t="shared" si="102"/>
        <v>0</v>
      </c>
      <c r="W119" s="17">
        <f t="shared" si="102"/>
        <v>0</v>
      </c>
      <c r="X119" s="17">
        <f t="shared" si="102"/>
        <v>0</v>
      </c>
      <c r="Y119" s="17">
        <f t="shared" si="102"/>
        <v>0</v>
      </c>
      <c r="Z119" s="8"/>
    </row>
    <row r="120" spans="1:26" ht="15" customHeight="1" thickBot="1" x14ac:dyDescent="0.3">
      <c r="A120" s="178"/>
      <c r="B120" s="179"/>
      <c r="C120" s="179"/>
      <c r="D120" s="167"/>
      <c r="E120" s="152"/>
      <c r="F120" s="152"/>
      <c r="G120" s="132"/>
      <c r="H120" s="132"/>
      <c r="I120" s="60"/>
      <c r="J120" s="72"/>
      <c r="K120" s="76" t="s">
        <v>616</v>
      </c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77"/>
    </row>
    <row r="121" spans="1:26" ht="15" customHeight="1" x14ac:dyDescent="0.25">
      <c r="A121" s="178"/>
      <c r="B121" s="179"/>
      <c r="C121" s="179"/>
      <c r="D121" s="153" t="s">
        <v>7</v>
      </c>
      <c r="E121" s="150">
        <f>E209+E204+E200+E196+E192+E188+E184+E180+E176+E172+E168+E164+E159+E155+E151+E147+E143+E139</f>
        <v>3901.45</v>
      </c>
      <c r="F121" s="150" t="s">
        <v>1</v>
      </c>
      <c r="G121" s="131"/>
      <c r="H121" s="131"/>
      <c r="I121" s="97">
        <f t="shared" ref="I121:I135" si="103">SUM(L121:Y121)</f>
        <v>3902</v>
      </c>
      <c r="J121" s="98">
        <f>E121-I121</f>
        <v>-0.5500000000001819</v>
      </c>
      <c r="K121" s="84" t="s">
        <v>634</v>
      </c>
      <c r="L121" s="138">
        <f>L209+L204+L200+L196+L192+L188+L184+L180+L176+L172+L168+L164+L159+L155+L151+L147+L143+L139</f>
        <v>400</v>
      </c>
      <c r="M121" s="138">
        <f>M209+M204+M200+M196+M192+M188+M184+M180+M176+M172+M168+M164+M159+M155+M151+M147+M143+M139</f>
        <v>473.5</v>
      </c>
      <c r="N121" s="138">
        <f t="shared" ref="N121:Y121" si="104">N209+N204+N200+N196+N192+N188+N184+N180+N176+N172+N168+N164+N159+N155+N151+N147+N143+N139</f>
        <v>551.5</v>
      </c>
      <c r="O121" s="138">
        <f t="shared" si="104"/>
        <v>561.5</v>
      </c>
      <c r="P121" s="138">
        <f t="shared" si="104"/>
        <v>556.5</v>
      </c>
      <c r="Q121" s="138">
        <f t="shared" si="104"/>
        <v>613</v>
      </c>
      <c r="R121" s="138">
        <f t="shared" si="104"/>
        <v>401</v>
      </c>
      <c r="S121" s="138">
        <f t="shared" si="104"/>
        <v>345</v>
      </c>
      <c r="T121" s="138">
        <f t="shared" si="104"/>
        <v>0</v>
      </c>
      <c r="U121" s="138">
        <f t="shared" si="104"/>
        <v>0</v>
      </c>
      <c r="V121" s="138">
        <f t="shared" si="104"/>
        <v>0</v>
      </c>
      <c r="W121" s="138">
        <f t="shared" si="104"/>
        <v>0</v>
      </c>
      <c r="X121" s="138">
        <f t="shared" si="104"/>
        <v>0</v>
      </c>
      <c r="Y121" s="138">
        <f t="shared" si="104"/>
        <v>0</v>
      </c>
      <c r="Z121" s="85"/>
    </row>
    <row r="122" spans="1:26" ht="15" customHeight="1" x14ac:dyDescent="0.25">
      <c r="A122" s="178"/>
      <c r="B122" s="179"/>
      <c r="C122" s="179"/>
      <c r="D122" s="154"/>
      <c r="E122" s="151"/>
      <c r="F122" s="151"/>
      <c r="G122" s="107"/>
      <c r="H122" s="107"/>
      <c r="I122" s="55">
        <f t="shared" si="103"/>
        <v>400</v>
      </c>
      <c r="J122" s="16">
        <f>E121-I122</f>
        <v>3501.45</v>
      </c>
      <c r="K122" s="3" t="s">
        <v>635</v>
      </c>
      <c r="L122" s="17">
        <f t="shared" ref="L122" si="105">L210+L205+L201+L197+L193+L189+L185+L181+L177+L173+L169+L165+L160+L156+L152+L148+L144+L140</f>
        <v>400</v>
      </c>
      <c r="M122" s="17">
        <f t="shared" ref="M122:Y122" si="106">M210+M205+M201+M197+M193+M189+M185+M181+M177+M173+M169+M165+M160+M156+M152+M148+M144+M140</f>
        <v>0</v>
      </c>
      <c r="N122" s="17">
        <f t="shared" si="106"/>
        <v>0</v>
      </c>
      <c r="O122" s="17">
        <f t="shared" si="106"/>
        <v>0</v>
      </c>
      <c r="P122" s="17">
        <f t="shared" si="106"/>
        <v>0</v>
      </c>
      <c r="Q122" s="17">
        <f t="shared" si="106"/>
        <v>0</v>
      </c>
      <c r="R122" s="17">
        <f t="shared" si="106"/>
        <v>0</v>
      </c>
      <c r="S122" s="17">
        <f t="shared" si="106"/>
        <v>0</v>
      </c>
      <c r="T122" s="17">
        <f t="shared" si="106"/>
        <v>0</v>
      </c>
      <c r="U122" s="17">
        <f t="shared" si="106"/>
        <v>0</v>
      </c>
      <c r="V122" s="17">
        <f t="shared" si="106"/>
        <v>0</v>
      </c>
      <c r="W122" s="17">
        <f t="shared" si="106"/>
        <v>0</v>
      </c>
      <c r="X122" s="17">
        <f t="shared" si="106"/>
        <v>0</v>
      </c>
      <c r="Y122" s="17">
        <f t="shared" si="106"/>
        <v>0</v>
      </c>
      <c r="Z122" s="8"/>
    </row>
    <row r="123" spans="1:26" ht="15.75" customHeight="1" thickBot="1" x14ac:dyDescent="0.3">
      <c r="A123" s="180"/>
      <c r="B123" s="181"/>
      <c r="C123" s="181"/>
      <c r="D123" s="155"/>
      <c r="E123" s="152"/>
      <c r="F123" s="152"/>
      <c r="G123" s="107"/>
      <c r="H123" s="107"/>
      <c r="I123" s="55">
        <f t="shared" si="103"/>
        <v>4030</v>
      </c>
      <c r="J123" s="16">
        <f>E121-I123</f>
        <v>-128.55000000000018</v>
      </c>
      <c r="K123" s="76" t="s">
        <v>616</v>
      </c>
      <c r="L123" s="137">
        <f>Main!$AD$142*Main!$AD$144*Main!$AC$148</f>
        <v>455</v>
      </c>
      <c r="M123" s="137">
        <f>Main!$AD$142*Main!$AD$144*Main!$AC$149</f>
        <v>455</v>
      </c>
      <c r="N123" s="137">
        <f>Main!$AD$142*Main!$AD$144*Main!$AC$150</f>
        <v>585</v>
      </c>
      <c r="O123" s="137">
        <f>Main!$AD$142*Main!$AD$144*Main!$AC$151</f>
        <v>585</v>
      </c>
      <c r="P123" s="137">
        <f>Main!$AD$142*Main!$AD$144*Main!$AC$152</f>
        <v>585</v>
      </c>
      <c r="Q123" s="137">
        <f>Main!$AD$142*Main!$AD$144*Main!$AC$153</f>
        <v>585</v>
      </c>
      <c r="R123" s="137">
        <f>Main!$AD$142*Main!$AD$144*Main!$AC$154</f>
        <v>455</v>
      </c>
      <c r="S123" s="137">
        <f>Main!$AD$142*Main!$AD$144*Main!$AC$155</f>
        <v>325</v>
      </c>
      <c r="T123" s="137">
        <f>Main!$AD$142*Main!$AD$144*Main!$AC$156</f>
        <v>0</v>
      </c>
      <c r="U123" s="137">
        <f>Main!$AD$142*Main!$AD$144*Main!$AC$156</f>
        <v>0</v>
      </c>
      <c r="V123" s="137">
        <f>Main!$AD$142*Main!$AD$144*Main!$AC$156</f>
        <v>0</v>
      </c>
      <c r="W123" s="137">
        <f>Main!$AD$142*Main!$AD$144*Main!$AC$156</f>
        <v>0</v>
      </c>
      <c r="X123" s="137">
        <f>Main!$AD$142*Main!$AD$144*Main!$AC$156</f>
        <v>0</v>
      </c>
      <c r="Y123" s="137">
        <f>Main!$AD$142*Main!$AD$144*Main!$AC$156</f>
        <v>0</v>
      </c>
      <c r="Z123" s="77"/>
    </row>
    <row r="124" spans="1:26" x14ac:dyDescent="0.25">
      <c r="A124" s="176" t="s">
        <v>70</v>
      </c>
      <c r="B124" s="177"/>
      <c r="C124" s="177"/>
      <c r="D124" s="165" t="s">
        <v>6</v>
      </c>
      <c r="E124" s="150">
        <f>E212+E216+E220+E224</f>
        <v>1216</v>
      </c>
      <c r="F124" s="150" t="s">
        <v>1</v>
      </c>
      <c r="G124" s="131"/>
      <c r="H124" s="131"/>
      <c r="I124" s="97">
        <f t="shared" si="103"/>
        <v>0</v>
      </c>
      <c r="J124" s="98">
        <f>E124-I124</f>
        <v>1216</v>
      </c>
      <c r="K124" s="64" t="s">
        <v>634</v>
      </c>
      <c r="L124" s="136">
        <f t="shared" ref="L124" si="107">L212+L216+L220+L224</f>
        <v>0</v>
      </c>
      <c r="M124" s="136">
        <f t="shared" ref="M124:Y124" si="108">M212+M216+M220+M224</f>
        <v>0</v>
      </c>
      <c r="N124" s="136">
        <f t="shared" si="108"/>
        <v>0</v>
      </c>
      <c r="O124" s="136">
        <f t="shared" si="108"/>
        <v>0</v>
      </c>
      <c r="P124" s="136">
        <f t="shared" si="108"/>
        <v>0</v>
      </c>
      <c r="Q124" s="136">
        <f t="shared" si="108"/>
        <v>0</v>
      </c>
      <c r="R124" s="136">
        <f t="shared" si="108"/>
        <v>0</v>
      </c>
      <c r="S124" s="136">
        <f t="shared" si="108"/>
        <v>0</v>
      </c>
      <c r="T124" s="136">
        <f t="shared" si="108"/>
        <v>0</v>
      </c>
      <c r="U124" s="136">
        <f t="shared" si="108"/>
        <v>0</v>
      </c>
      <c r="V124" s="136">
        <f t="shared" si="108"/>
        <v>0</v>
      </c>
      <c r="W124" s="136">
        <f t="shared" si="108"/>
        <v>0</v>
      </c>
      <c r="X124" s="136">
        <f t="shared" si="108"/>
        <v>0</v>
      </c>
      <c r="Y124" s="136">
        <f t="shared" si="108"/>
        <v>0</v>
      </c>
      <c r="Z124" s="65"/>
    </row>
    <row r="125" spans="1:26" x14ac:dyDescent="0.25">
      <c r="A125" s="178"/>
      <c r="B125" s="179"/>
      <c r="C125" s="179"/>
      <c r="D125" s="166"/>
      <c r="E125" s="151"/>
      <c r="F125" s="151"/>
      <c r="G125" s="107"/>
      <c r="H125" s="107"/>
      <c r="I125" s="55">
        <f t="shared" si="103"/>
        <v>0</v>
      </c>
      <c r="J125" s="16">
        <f>E124-I125</f>
        <v>1216</v>
      </c>
      <c r="K125" s="3" t="s">
        <v>635</v>
      </c>
      <c r="L125" s="17">
        <f t="shared" ref="L125" si="109">L213+L217+L221+L225</f>
        <v>0</v>
      </c>
      <c r="M125" s="17">
        <f t="shared" ref="M125:Y125" si="110">M213+M217+M221+M225</f>
        <v>0</v>
      </c>
      <c r="N125" s="17">
        <f t="shared" si="110"/>
        <v>0</v>
      </c>
      <c r="O125" s="17">
        <f t="shared" si="110"/>
        <v>0</v>
      </c>
      <c r="P125" s="17">
        <f t="shared" si="110"/>
        <v>0</v>
      </c>
      <c r="Q125" s="17">
        <f t="shared" si="110"/>
        <v>0</v>
      </c>
      <c r="R125" s="17">
        <f t="shared" si="110"/>
        <v>0</v>
      </c>
      <c r="S125" s="17">
        <f t="shared" si="110"/>
        <v>0</v>
      </c>
      <c r="T125" s="17">
        <f t="shared" si="110"/>
        <v>0</v>
      </c>
      <c r="U125" s="17">
        <f t="shared" si="110"/>
        <v>0</v>
      </c>
      <c r="V125" s="17">
        <f t="shared" si="110"/>
        <v>0</v>
      </c>
      <c r="W125" s="17">
        <f t="shared" si="110"/>
        <v>0</v>
      </c>
      <c r="X125" s="17">
        <f t="shared" si="110"/>
        <v>0</v>
      </c>
      <c r="Y125" s="17">
        <f t="shared" si="110"/>
        <v>0</v>
      </c>
      <c r="Z125" s="8"/>
    </row>
    <row r="126" spans="1:26" ht="15.75" thickBot="1" x14ac:dyDescent="0.3">
      <c r="A126" s="178"/>
      <c r="B126" s="179"/>
      <c r="C126" s="179"/>
      <c r="D126" s="167"/>
      <c r="E126" s="152"/>
      <c r="F126" s="152"/>
      <c r="G126" s="107"/>
      <c r="H126" s="107"/>
      <c r="I126" s="55">
        <f t="shared" si="103"/>
        <v>0</v>
      </c>
      <c r="J126" s="16">
        <f>E124-I126</f>
        <v>1216</v>
      </c>
      <c r="K126" s="76" t="s">
        <v>616</v>
      </c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77"/>
    </row>
    <row r="127" spans="1:26" x14ac:dyDescent="0.25">
      <c r="A127" s="178"/>
      <c r="B127" s="179"/>
      <c r="C127" s="179"/>
      <c r="D127" s="153" t="s">
        <v>7</v>
      </c>
      <c r="E127" s="150">
        <f>E214+E218+E222+E226</f>
        <v>1216</v>
      </c>
      <c r="F127" s="150" t="s">
        <v>1</v>
      </c>
      <c r="G127" s="131"/>
      <c r="H127" s="131"/>
      <c r="I127" s="97">
        <f t="shared" si="103"/>
        <v>1216</v>
      </c>
      <c r="J127" s="98">
        <f>E127-I127</f>
        <v>0</v>
      </c>
      <c r="K127" s="84" t="s">
        <v>634</v>
      </c>
      <c r="L127" s="138">
        <f t="shared" ref="L127" si="111">L214+L218+L222+L226</f>
        <v>0</v>
      </c>
      <c r="M127" s="138">
        <f t="shared" ref="M127:Y127" si="112">M214+M218+M222+M226</f>
        <v>140</v>
      </c>
      <c r="N127" s="138">
        <f t="shared" si="112"/>
        <v>230</v>
      </c>
      <c r="O127" s="138">
        <f t="shared" si="112"/>
        <v>501</v>
      </c>
      <c r="P127" s="138">
        <f t="shared" si="112"/>
        <v>345</v>
      </c>
      <c r="Q127" s="138">
        <f t="shared" si="112"/>
        <v>0</v>
      </c>
      <c r="R127" s="138">
        <f t="shared" si="112"/>
        <v>0</v>
      </c>
      <c r="S127" s="138">
        <f t="shared" si="112"/>
        <v>0</v>
      </c>
      <c r="T127" s="138">
        <f t="shared" si="112"/>
        <v>0</v>
      </c>
      <c r="U127" s="138">
        <f t="shared" si="112"/>
        <v>0</v>
      </c>
      <c r="V127" s="138">
        <f t="shared" si="112"/>
        <v>0</v>
      </c>
      <c r="W127" s="138">
        <f t="shared" si="112"/>
        <v>0</v>
      </c>
      <c r="X127" s="138">
        <f t="shared" si="112"/>
        <v>0</v>
      </c>
      <c r="Y127" s="138">
        <f t="shared" si="112"/>
        <v>0</v>
      </c>
      <c r="Z127" s="85"/>
    </row>
    <row r="128" spans="1:26" x14ac:dyDescent="0.25">
      <c r="A128" s="178"/>
      <c r="B128" s="179"/>
      <c r="C128" s="179"/>
      <c r="D128" s="154" t="s">
        <v>7</v>
      </c>
      <c r="E128" s="151"/>
      <c r="F128" s="151"/>
      <c r="G128" s="107"/>
      <c r="H128" s="107"/>
      <c r="I128" s="55">
        <f t="shared" si="103"/>
        <v>0</v>
      </c>
      <c r="J128" s="16">
        <f>E127-I128</f>
        <v>1216</v>
      </c>
      <c r="K128" s="3" t="s">
        <v>635</v>
      </c>
      <c r="L128" s="17">
        <f t="shared" ref="L128" si="113">L215+L219+L223+L227</f>
        <v>0</v>
      </c>
      <c r="M128" s="17">
        <f t="shared" ref="M128:Y128" si="114">M215+M219+M223+M227</f>
        <v>0</v>
      </c>
      <c r="N128" s="17">
        <f t="shared" si="114"/>
        <v>0</v>
      </c>
      <c r="O128" s="17">
        <f t="shared" si="114"/>
        <v>0</v>
      </c>
      <c r="P128" s="17">
        <f t="shared" si="114"/>
        <v>0</v>
      </c>
      <c r="Q128" s="17">
        <f t="shared" si="114"/>
        <v>0</v>
      </c>
      <c r="R128" s="17">
        <f t="shared" si="114"/>
        <v>0</v>
      </c>
      <c r="S128" s="17">
        <f t="shared" si="114"/>
        <v>0</v>
      </c>
      <c r="T128" s="17">
        <f t="shared" si="114"/>
        <v>0</v>
      </c>
      <c r="U128" s="17">
        <f t="shared" si="114"/>
        <v>0</v>
      </c>
      <c r="V128" s="17">
        <f t="shared" si="114"/>
        <v>0</v>
      </c>
      <c r="W128" s="17">
        <f t="shared" si="114"/>
        <v>0</v>
      </c>
      <c r="X128" s="17">
        <f t="shared" si="114"/>
        <v>0</v>
      </c>
      <c r="Y128" s="17">
        <f t="shared" si="114"/>
        <v>0</v>
      </c>
      <c r="Z128" s="8"/>
    </row>
    <row r="129" spans="1:30" ht="15.75" customHeight="1" thickBot="1" x14ac:dyDescent="0.3">
      <c r="A129" s="180"/>
      <c r="B129" s="181"/>
      <c r="C129" s="181"/>
      <c r="D129" s="155"/>
      <c r="E129" s="152"/>
      <c r="F129" s="152"/>
      <c r="G129" s="107"/>
      <c r="H129" s="107"/>
      <c r="I129" s="55">
        <f t="shared" si="103"/>
        <v>1235</v>
      </c>
      <c r="J129" s="16">
        <f>E127-I129</f>
        <v>-19</v>
      </c>
      <c r="K129" s="76" t="s">
        <v>616</v>
      </c>
      <c r="L129" s="137">
        <f>Main!$AD$142*Main!$AD$144*Main!$AC$159</f>
        <v>0</v>
      </c>
      <c r="M129" s="137">
        <f>Main!$AD$142*Main!$AD$144*Main!$AC$160</f>
        <v>195</v>
      </c>
      <c r="N129" s="137">
        <f>Main!$AD$142*Main!$AD$144*Main!$AC$161</f>
        <v>195</v>
      </c>
      <c r="O129" s="137">
        <f>Main!$AD$142*Main!$AD$144*Main!$AC$162</f>
        <v>520</v>
      </c>
      <c r="P129" s="137">
        <f>Main!$AD$142*Main!$AD$144*Main!$AC$163</f>
        <v>325</v>
      </c>
      <c r="Q129" s="137">
        <f>Main!$AD$142*Main!$AD$144*Main!$AC$164</f>
        <v>0</v>
      </c>
      <c r="R129" s="137">
        <f>Main!$AD$142*Main!$AD$144*Main!$AC$165</f>
        <v>0</v>
      </c>
      <c r="S129" s="137">
        <f>Main!$AD$142*Main!$AD$144*Main!$AC$165</f>
        <v>0</v>
      </c>
      <c r="T129" s="137">
        <f>Main!$AD$142*Main!$AD$144*Main!$AC$165</f>
        <v>0</v>
      </c>
      <c r="U129" s="137">
        <f>Main!$AD$142*Main!$AD$144*Main!$AC$165</f>
        <v>0</v>
      </c>
      <c r="V129" s="137">
        <f>Main!$AD$142*Main!$AD$144*Main!$AC$165</f>
        <v>0</v>
      </c>
      <c r="W129" s="137">
        <f>Main!$AD$142*Main!$AD$144*Main!$AC$165</f>
        <v>0</v>
      </c>
      <c r="X129" s="137">
        <f>Main!$AD$142*Main!$AD$144*Main!$AC$165</f>
        <v>0</v>
      </c>
      <c r="Y129" s="137">
        <f>Main!$AD$142*Main!$AD$144*Main!$AC$165</f>
        <v>0</v>
      </c>
      <c r="Z129" s="77"/>
    </row>
    <row r="130" spans="1:30" x14ac:dyDescent="0.25">
      <c r="A130" s="176" t="s">
        <v>71</v>
      </c>
      <c r="B130" s="177"/>
      <c r="C130" s="177"/>
      <c r="D130" s="165" t="s">
        <v>6</v>
      </c>
      <c r="E130" s="150">
        <f>E118+E124</f>
        <v>5117.45</v>
      </c>
      <c r="F130" s="150" t="s">
        <v>1</v>
      </c>
      <c r="G130" s="131"/>
      <c r="H130" s="131"/>
      <c r="I130" s="97">
        <f t="shared" si="103"/>
        <v>0</v>
      </c>
      <c r="J130" s="98">
        <f>E130-I130</f>
        <v>5117.45</v>
      </c>
      <c r="K130" s="64" t="s">
        <v>634</v>
      </c>
      <c r="L130" s="136">
        <f t="shared" ref="L130" si="115">L118+L124</f>
        <v>0</v>
      </c>
      <c r="M130" s="136">
        <f t="shared" ref="M130:Y130" si="116">M118+M124</f>
        <v>0</v>
      </c>
      <c r="N130" s="136">
        <f t="shared" si="116"/>
        <v>0</v>
      </c>
      <c r="O130" s="136">
        <f t="shared" si="116"/>
        <v>0</v>
      </c>
      <c r="P130" s="136">
        <f t="shared" si="116"/>
        <v>0</v>
      </c>
      <c r="Q130" s="136">
        <f t="shared" si="116"/>
        <v>0</v>
      </c>
      <c r="R130" s="136">
        <f t="shared" si="116"/>
        <v>0</v>
      </c>
      <c r="S130" s="136">
        <f t="shared" si="116"/>
        <v>0</v>
      </c>
      <c r="T130" s="136">
        <f t="shared" si="116"/>
        <v>0</v>
      </c>
      <c r="U130" s="136">
        <f t="shared" si="116"/>
        <v>0</v>
      </c>
      <c r="V130" s="136">
        <f t="shared" si="116"/>
        <v>0</v>
      </c>
      <c r="W130" s="136">
        <f t="shared" si="116"/>
        <v>0</v>
      </c>
      <c r="X130" s="136">
        <f t="shared" si="116"/>
        <v>0</v>
      </c>
      <c r="Y130" s="136">
        <f t="shared" si="116"/>
        <v>0</v>
      </c>
      <c r="Z130" s="65"/>
    </row>
    <row r="131" spans="1:30" x14ac:dyDescent="0.25">
      <c r="A131" s="178"/>
      <c r="B131" s="179"/>
      <c r="C131" s="179"/>
      <c r="D131" s="166"/>
      <c r="E131" s="151"/>
      <c r="F131" s="151"/>
      <c r="G131" s="107"/>
      <c r="H131" s="107"/>
      <c r="I131" s="55">
        <f t="shared" si="103"/>
        <v>0</v>
      </c>
      <c r="J131" s="16">
        <f>E130-I131</f>
        <v>5117.45</v>
      </c>
      <c r="K131" s="3" t="s">
        <v>635</v>
      </c>
      <c r="L131" s="17">
        <f t="shared" ref="L131" si="117">L119+L125</f>
        <v>0</v>
      </c>
      <c r="M131" s="17">
        <f t="shared" ref="M131:Y131" si="118">M119+M125</f>
        <v>0</v>
      </c>
      <c r="N131" s="17">
        <f t="shared" si="118"/>
        <v>0</v>
      </c>
      <c r="O131" s="17">
        <f t="shared" si="118"/>
        <v>0</v>
      </c>
      <c r="P131" s="17">
        <f t="shared" si="118"/>
        <v>0</v>
      </c>
      <c r="Q131" s="17">
        <f t="shared" si="118"/>
        <v>0</v>
      </c>
      <c r="R131" s="17">
        <f t="shared" si="118"/>
        <v>0</v>
      </c>
      <c r="S131" s="17">
        <f t="shared" si="118"/>
        <v>0</v>
      </c>
      <c r="T131" s="17">
        <f t="shared" si="118"/>
        <v>0</v>
      </c>
      <c r="U131" s="17">
        <f t="shared" si="118"/>
        <v>0</v>
      </c>
      <c r="V131" s="17">
        <f t="shared" si="118"/>
        <v>0</v>
      </c>
      <c r="W131" s="17">
        <f t="shared" si="118"/>
        <v>0</v>
      </c>
      <c r="X131" s="17">
        <f t="shared" si="118"/>
        <v>0</v>
      </c>
      <c r="Y131" s="17">
        <f t="shared" si="118"/>
        <v>0</v>
      </c>
      <c r="Z131" s="8"/>
    </row>
    <row r="132" spans="1:30" ht="15.75" thickBot="1" x14ac:dyDescent="0.3">
      <c r="A132" s="178"/>
      <c r="B132" s="179"/>
      <c r="C132" s="179"/>
      <c r="D132" s="167"/>
      <c r="E132" s="152"/>
      <c r="F132" s="152"/>
      <c r="G132" s="107"/>
      <c r="H132" s="107"/>
      <c r="I132" s="55">
        <f t="shared" si="103"/>
        <v>0</v>
      </c>
      <c r="J132" s="16">
        <f>E130-I132</f>
        <v>5117.45</v>
      </c>
      <c r="K132" s="76" t="s">
        <v>616</v>
      </c>
      <c r="L132" s="143">
        <f t="shared" ref="L132" si="119">L120+L126</f>
        <v>0</v>
      </c>
      <c r="M132" s="143">
        <f t="shared" ref="M132:Y132" si="120">M120+M126</f>
        <v>0</v>
      </c>
      <c r="N132" s="143">
        <f t="shared" si="120"/>
        <v>0</v>
      </c>
      <c r="O132" s="143">
        <f t="shared" si="120"/>
        <v>0</v>
      </c>
      <c r="P132" s="143">
        <f t="shared" si="120"/>
        <v>0</v>
      </c>
      <c r="Q132" s="143">
        <f t="shared" si="120"/>
        <v>0</v>
      </c>
      <c r="R132" s="143">
        <f t="shared" si="120"/>
        <v>0</v>
      </c>
      <c r="S132" s="143">
        <f t="shared" si="120"/>
        <v>0</v>
      </c>
      <c r="T132" s="143">
        <f t="shared" si="120"/>
        <v>0</v>
      </c>
      <c r="U132" s="143">
        <f t="shared" si="120"/>
        <v>0</v>
      </c>
      <c r="V132" s="143">
        <f t="shared" si="120"/>
        <v>0</v>
      </c>
      <c r="W132" s="143">
        <f t="shared" si="120"/>
        <v>0</v>
      </c>
      <c r="X132" s="143">
        <f t="shared" si="120"/>
        <v>0</v>
      </c>
      <c r="Y132" s="143">
        <f t="shared" si="120"/>
        <v>0</v>
      </c>
      <c r="Z132" s="77"/>
    </row>
    <row r="133" spans="1:30" x14ac:dyDescent="0.25">
      <c r="A133" s="178"/>
      <c r="B133" s="179"/>
      <c r="C133" s="179"/>
      <c r="D133" s="153" t="s">
        <v>7</v>
      </c>
      <c r="E133" s="150">
        <f>E121+E127</f>
        <v>5117.45</v>
      </c>
      <c r="F133" s="150" t="s">
        <v>1</v>
      </c>
      <c r="G133" s="131"/>
      <c r="H133" s="131"/>
      <c r="I133" s="97">
        <f t="shared" si="103"/>
        <v>5118</v>
      </c>
      <c r="J133" s="98">
        <f>E133-I133</f>
        <v>-0.5500000000001819</v>
      </c>
      <c r="K133" s="84" t="s">
        <v>634</v>
      </c>
      <c r="L133" s="138">
        <f t="shared" ref="L133" si="121">L121+L127</f>
        <v>400</v>
      </c>
      <c r="M133" s="138">
        <f t="shared" ref="M133:Y133" si="122">M121+M127</f>
        <v>613.5</v>
      </c>
      <c r="N133" s="138">
        <f t="shared" si="122"/>
        <v>781.5</v>
      </c>
      <c r="O133" s="138">
        <f t="shared" si="122"/>
        <v>1062.5</v>
      </c>
      <c r="P133" s="138">
        <f t="shared" si="122"/>
        <v>901.5</v>
      </c>
      <c r="Q133" s="138">
        <f t="shared" si="122"/>
        <v>613</v>
      </c>
      <c r="R133" s="138">
        <f t="shared" si="122"/>
        <v>401</v>
      </c>
      <c r="S133" s="138">
        <f t="shared" si="122"/>
        <v>345</v>
      </c>
      <c r="T133" s="138">
        <f t="shared" si="122"/>
        <v>0</v>
      </c>
      <c r="U133" s="138">
        <f t="shared" si="122"/>
        <v>0</v>
      </c>
      <c r="V133" s="138">
        <f t="shared" si="122"/>
        <v>0</v>
      </c>
      <c r="W133" s="138">
        <f t="shared" si="122"/>
        <v>0</v>
      </c>
      <c r="X133" s="138">
        <f t="shared" si="122"/>
        <v>0</v>
      </c>
      <c r="Y133" s="138">
        <f t="shared" si="122"/>
        <v>0</v>
      </c>
      <c r="Z133" s="85"/>
    </row>
    <row r="134" spans="1:30" x14ac:dyDescent="0.25">
      <c r="A134" s="178"/>
      <c r="B134" s="179"/>
      <c r="C134" s="179"/>
      <c r="D134" s="154" t="s">
        <v>7</v>
      </c>
      <c r="E134" s="151"/>
      <c r="F134" s="151"/>
      <c r="G134" s="107"/>
      <c r="H134" s="107"/>
      <c r="I134" s="55">
        <f t="shared" si="103"/>
        <v>400</v>
      </c>
      <c r="J134" s="16">
        <f>E133-I134</f>
        <v>4717.45</v>
      </c>
      <c r="K134" s="3" t="s">
        <v>635</v>
      </c>
      <c r="L134" s="17">
        <f t="shared" ref="L134" si="123">L122+L128</f>
        <v>400</v>
      </c>
      <c r="M134" s="17">
        <f t="shared" ref="M134:Y134" si="124">M122+M128</f>
        <v>0</v>
      </c>
      <c r="N134" s="17">
        <f t="shared" si="124"/>
        <v>0</v>
      </c>
      <c r="O134" s="17">
        <f t="shared" si="124"/>
        <v>0</v>
      </c>
      <c r="P134" s="17">
        <f t="shared" si="124"/>
        <v>0</v>
      </c>
      <c r="Q134" s="17">
        <f t="shared" si="124"/>
        <v>0</v>
      </c>
      <c r="R134" s="17">
        <f t="shared" si="124"/>
        <v>0</v>
      </c>
      <c r="S134" s="17">
        <f t="shared" si="124"/>
        <v>0</v>
      </c>
      <c r="T134" s="17">
        <f t="shared" si="124"/>
        <v>0</v>
      </c>
      <c r="U134" s="17">
        <f t="shared" si="124"/>
        <v>0</v>
      </c>
      <c r="V134" s="17">
        <f t="shared" si="124"/>
        <v>0</v>
      </c>
      <c r="W134" s="17">
        <f t="shared" si="124"/>
        <v>0</v>
      </c>
      <c r="X134" s="17">
        <f t="shared" si="124"/>
        <v>0</v>
      </c>
      <c r="Y134" s="17">
        <f t="shared" si="124"/>
        <v>0</v>
      </c>
      <c r="Z134" s="8"/>
    </row>
    <row r="135" spans="1:30" ht="15.75" customHeight="1" thickBot="1" x14ac:dyDescent="0.3">
      <c r="A135" s="180"/>
      <c r="B135" s="181"/>
      <c r="C135" s="181"/>
      <c r="D135" s="155"/>
      <c r="E135" s="152"/>
      <c r="F135" s="152"/>
      <c r="G135" s="132"/>
      <c r="H135" s="132"/>
      <c r="I135" s="60">
        <f t="shared" si="103"/>
        <v>5265</v>
      </c>
      <c r="J135" s="72">
        <f>E133-I135</f>
        <v>-147.55000000000018</v>
      </c>
      <c r="K135" s="76" t="s">
        <v>616</v>
      </c>
      <c r="L135" s="144">
        <f>L123+L129</f>
        <v>455</v>
      </c>
      <c r="M135" s="144">
        <f>M123+M129</f>
        <v>650</v>
      </c>
      <c r="N135" s="144">
        <f t="shared" ref="N135:Y135" si="125">N123+N129</f>
        <v>780</v>
      </c>
      <c r="O135" s="144">
        <f t="shared" si="125"/>
        <v>1105</v>
      </c>
      <c r="P135" s="144">
        <f t="shared" si="125"/>
        <v>910</v>
      </c>
      <c r="Q135" s="144">
        <f t="shared" si="125"/>
        <v>585</v>
      </c>
      <c r="R135" s="144">
        <f t="shared" si="125"/>
        <v>455</v>
      </c>
      <c r="S135" s="144">
        <f t="shared" si="125"/>
        <v>325</v>
      </c>
      <c r="T135" s="144">
        <f t="shared" si="125"/>
        <v>0</v>
      </c>
      <c r="U135" s="144">
        <f t="shared" si="125"/>
        <v>0</v>
      </c>
      <c r="V135" s="144">
        <f t="shared" si="125"/>
        <v>0</v>
      </c>
      <c r="W135" s="144">
        <f t="shared" si="125"/>
        <v>0</v>
      </c>
      <c r="X135" s="144">
        <f t="shared" si="125"/>
        <v>0</v>
      </c>
      <c r="Y135" s="144">
        <f t="shared" si="125"/>
        <v>0</v>
      </c>
      <c r="Z135" s="96"/>
    </row>
    <row r="136" spans="1:30" x14ac:dyDescent="0.25">
      <c r="A136" s="13" t="s">
        <v>3</v>
      </c>
      <c r="B136" s="13"/>
      <c r="C136" s="13"/>
      <c r="D136" s="11"/>
      <c r="E136" s="11"/>
      <c r="F136" s="11"/>
      <c r="G136" s="107"/>
      <c r="H136" s="107"/>
      <c r="I136" s="55"/>
      <c r="J136" s="55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30" x14ac:dyDescent="0.25">
      <c r="A137" s="184" t="s">
        <v>4</v>
      </c>
      <c r="B137" s="184" t="s">
        <v>5</v>
      </c>
      <c r="C137" s="184"/>
      <c r="D137" s="186" t="s">
        <v>6</v>
      </c>
      <c r="E137" s="188">
        <v>1091</v>
      </c>
      <c r="F137" s="188" t="s">
        <v>1</v>
      </c>
      <c r="G137" s="107"/>
      <c r="H137" s="107"/>
      <c r="I137" s="55">
        <f t="shared" ref="I137:I160" si="126">SUM(L137:Y137)</f>
        <v>0</v>
      </c>
      <c r="J137" s="16">
        <f>E137-I137</f>
        <v>1091</v>
      </c>
      <c r="K137" s="14" t="s">
        <v>634</v>
      </c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5"/>
    </row>
    <row r="138" spans="1:30" x14ac:dyDescent="0.25">
      <c r="A138" s="184"/>
      <c r="B138" s="184"/>
      <c r="C138" s="184"/>
      <c r="D138" s="187"/>
      <c r="E138" s="189"/>
      <c r="F138" s="189"/>
      <c r="G138" s="107"/>
      <c r="H138" s="107"/>
      <c r="I138" s="55">
        <f t="shared" si="126"/>
        <v>0</v>
      </c>
      <c r="J138" s="16">
        <f>E137-I138</f>
        <v>1091</v>
      </c>
      <c r="K138" s="3" t="s">
        <v>635</v>
      </c>
      <c r="L138" s="135"/>
      <c r="M138" s="135"/>
      <c r="N138" s="135"/>
      <c r="O138" s="135"/>
      <c r="P138" s="135"/>
      <c r="Q138" s="135"/>
      <c r="R138" s="135"/>
      <c r="S138" s="135"/>
      <c r="T138" s="135"/>
      <c r="U138" s="135"/>
      <c r="V138" s="135"/>
      <c r="W138" s="135"/>
      <c r="X138" s="135"/>
      <c r="Y138" s="135"/>
      <c r="Z138" s="4"/>
    </row>
    <row r="139" spans="1:30" x14ac:dyDescent="0.25">
      <c r="A139" s="184"/>
      <c r="B139" s="184"/>
      <c r="C139" s="184"/>
      <c r="D139" s="190" t="s">
        <v>7</v>
      </c>
      <c r="E139" s="188">
        <v>1091</v>
      </c>
      <c r="F139" s="188" t="s">
        <v>1</v>
      </c>
      <c r="G139" s="107">
        <v>1</v>
      </c>
      <c r="H139" s="107">
        <v>5</v>
      </c>
      <c r="I139" s="55">
        <f t="shared" si="126"/>
        <v>1091</v>
      </c>
      <c r="J139" s="16">
        <f>E139-I139</f>
        <v>0</v>
      </c>
      <c r="K139" s="6" t="s">
        <v>98</v>
      </c>
      <c r="L139" s="140">
        <v>176</v>
      </c>
      <c r="M139" s="140">
        <v>120</v>
      </c>
      <c r="N139" s="140">
        <v>200</v>
      </c>
      <c r="O139" s="140">
        <v>300</v>
      </c>
      <c r="P139" s="140">
        <v>295</v>
      </c>
      <c r="Q139" s="140"/>
      <c r="R139" s="140"/>
      <c r="S139" s="140"/>
      <c r="T139" s="140"/>
      <c r="U139" s="140"/>
      <c r="V139" s="140"/>
      <c r="W139" s="140"/>
      <c r="X139" s="140"/>
      <c r="Y139" s="140"/>
      <c r="Z139" s="5"/>
    </row>
    <row r="140" spans="1:30" x14ac:dyDescent="0.25">
      <c r="A140" s="184"/>
      <c r="B140" s="184"/>
      <c r="C140" s="184"/>
      <c r="D140" s="191"/>
      <c r="E140" s="189"/>
      <c r="F140" s="189" t="s">
        <v>94</v>
      </c>
      <c r="G140" s="107"/>
      <c r="H140" s="107"/>
      <c r="I140" s="55">
        <f t="shared" si="126"/>
        <v>176</v>
      </c>
      <c r="J140" s="16">
        <f>E139-I140</f>
        <v>915</v>
      </c>
      <c r="K140" s="3" t="s">
        <v>99</v>
      </c>
      <c r="L140" s="135">
        <v>176</v>
      </c>
      <c r="M140" s="135"/>
      <c r="N140" s="135"/>
      <c r="O140" s="135"/>
      <c r="P140" s="135"/>
      <c r="Q140" s="135"/>
      <c r="R140" s="135"/>
      <c r="S140" s="135"/>
      <c r="T140" s="135"/>
      <c r="U140" s="135"/>
      <c r="V140" s="135"/>
      <c r="W140" s="135"/>
      <c r="X140" s="135"/>
      <c r="Y140" s="135"/>
      <c r="Z140" s="4"/>
    </row>
    <row r="141" spans="1:30" x14ac:dyDescent="0.25">
      <c r="A141" s="184" t="s">
        <v>8</v>
      </c>
      <c r="B141" s="184" t="s">
        <v>9</v>
      </c>
      <c r="C141" s="184"/>
      <c r="D141" s="186" t="s">
        <v>6</v>
      </c>
      <c r="E141" s="188">
        <v>137</v>
      </c>
      <c r="F141" s="188" t="s">
        <v>1</v>
      </c>
      <c r="G141" s="107"/>
      <c r="H141" s="107"/>
      <c r="I141" s="55">
        <f t="shared" si="126"/>
        <v>0</v>
      </c>
      <c r="J141" s="16">
        <f>E141-I141</f>
        <v>137</v>
      </c>
      <c r="K141" s="14" t="s">
        <v>634</v>
      </c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5"/>
    </row>
    <row r="142" spans="1:30" x14ac:dyDescent="0.25">
      <c r="A142" s="184"/>
      <c r="B142" s="184"/>
      <c r="C142" s="184"/>
      <c r="D142" s="187"/>
      <c r="E142" s="189"/>
      <c r="F142" s="189" t="s">
        <v>94</v>
      </c>
      <c r="G142" s="107"/>
      <c r="H142" s="107"/>
      <c r="I142" s="55">
        <f t="shared" si="126"/>
        <v>0</v>
      </c>
      <c r="J142" s="16">
        <f>E141-I142</f>
        <v>137</v>
      </c>
      <c r="K142" s="3" t="s">
        <v>635</v>
      </c>
      <c r="L142" s="135"/>
      <c r="M142" s="135"/>
      <c r="N142" s="135"/>
      <c r="O142" s="135"/>
      <c r="P142" s="135"/>
      <c r="Q142" s="135"/>
      <c r="R142" s="135"/>
      <c r="S142" s="135"/>
      <c r="T142" s="135"/>
      <c r="U142" s="135"/>
      <c r="V142" s="135"/>
      <c r="W142" s="135"/>
      <c r="X142" s="135"/>
      <c r="Y142" s="135"/>
      <c r="Z142" s="4"/>
      <c r="AC142" s="54" t="s">
        <v>621</v>
      </c>
      <c r="AD142" s="54">
        <v>2.5</v>
      </c>
    </row>
    <row r="143" spans="1:30" x14ac:dyDescent="0.25">
      <c r="A143" s="184"/>
      <c r="B143" s="184"/>
      <c r="C143" s="184"/>
      <c r="D143" s="190" t="s">
        <v>7</v>
      </c>
      <c r="E143" s="188">
        <v>137</v>
      </c>
      <c r="F143" s="188" t="s">
        <v>1</v>
      </c>
      <c r="G143" s="107">
        <v>1</v>
      </c>
      <c r="H143" s="107">
        <v>2</v>
      </c>
      <c r="I143" s="55">
        <f t="shared" si="126"/>
        <v>137</v>
      </c>
      <c r="J143" s="16">
        <f>E143-I143</f>
        <v>0</v>
      </c>
      <c r="K143" s="6" t="s">
        <v>98</v>
      </c>
      <c r="L143" s="140">
        <v>80</v>
      </c>
      <c r="M143" s="140">
        <v>57</v>
      </c>
      <c r="N143" s="140"/>
      <c r="O143" s="140"/>
      <c r="P143" s="140"/>
      <c r="Q143" s="140"/>
      <c r="R143" s="140"/>
      <c r="S143" s="140"/>
      <c r="T143" s="140"/>
      <c r="U143" s="140"/>
      <c r="V143" s="140"/>
      <c r="W143" s="140"/>
      <c r="X143" s="140"/>
      <c r="Y143" s="140"/>
      <c r="Z143" s="5"/>
      <c r="AC143" s="54" t="s">
        <v>620</v>
      </c>
      <c r="AD143" s="54">
        <v>7</v>
      </c>
    </row>
    <row r="144" spans="1:30" x14ac:dyDescent="0.25">
      <c r="A144" s="184"/>
      <c r="B144" s="184"/>
      <c r="C144" s="184"/>
      <c r="D144" s="191"/>
      <c r="E144" s="189"/>
      <c r="F144" s="189" t="s">
        <v>94</v>
      </c>
      <c r="G144" s="107"/>
      <c r="H144" s="107"/>
      <c r="I144" s="55">
        <f t="shared" si="126"/>
        <v>80</v>
      </c>
      <c r="J144" s="16">
        <f>E143-I144</f>
        <v>57</v>
      </c>
      <c r="K144" s="3" t="s">
        <v>99</v>
      </c>
      <c r="L144" s="135">
        <v>80</v>
      </c>
      <c r="M144" s="135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4"/>
      <c r="AC144" s="54" t="s">
        <v>614</v>
      </c>
      <c r="AD144" s="54">
        <v>26</v>
      </c>
    </row>
    <row r="145" spans="1:30" x14ac:dyDescent="0.25">
      <c r="A145" s="184" t="s">
        <v>10</v>
      </c>
      <c r="B145" s="184" t="s">
        <v>11</v>
      </c>
      <c r="C145" s="184"/>
      <c r="D145" s="186" t="s">
        <v>6</v>
      </c>
      <c r="E145" s="188">
        <v>120</v>
      </c>
      <c r="F145" s="188" t="s">
        <v>1</v>
      </c>
      <c r="G145" s="107"/>
      <c r="H145" s="107"/>
      <c r="I145" s="55">
        <f t="shared" si="126"/>
        <v>0</v>
      </c>
      <c r="J145" s="16">
        <f>E145-I145</f>
        <v>120</v>
      </c>
      <c r="K145" s="14" t="s">
        <v>634</v>
      </c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5"/>
      <c r="AC145" s="10"/>
      <c r="AD145" s="10"/>
    </row>
    <row r="146" spans="1:30" x14ac:dyDescent="0.25">
      <c r="A146" s="184"/>
      <c r="B146" s="184"/>
      <c r="C146" s="184"/>
      <c r="D146" s="187"/>
      <c r="E146" s="189"/>
      <c r="F146" s="189" t="s">
        <v>94</v>
      </c>
      <c r="G146" s="107"/>
      <c r="H146" s="107"/>
      <c r="I146" s="55">
        <f t="shared" si="126"/>
        <v>0</v>
      </c>
      <c r="J146" s="16">
        <f>E145-I146</f>
        <v>120</v>
      </c>
      <c r="K146" s="3" t="s">
        <v>635</v>
      </c>
      <c r="L146" s="135"/>
      <c r="M146" s="135"/>
      <c r="N146" s="135"/>
      <c r="O146" s="135"/>
      <c r="P146" s="135"/>
      <c r="Q146" s="135"/>
      <c r="R146" s="135"/>
      <c r="S146" s="135"/>
      <c r="T146" s="135"/>
      <c r="U146" s="135"/>
      <c r="V146" s="135"/>
      <c r="W146" s="135"/>
      <c r="X146" s="135"/>
      <c r="Y146" s="135"/>
      <c r="Z146" s="4"/>
      <c r="AB146" s="182" t="s">
        <v>102</v>
      </c>
      <c r="AC146" s="182"/>
      <c r="AD146" s="182"/>
    </row>
    <row r="147" spans="1:30" x14ac:dyDescent="0.25">
      <c r="A147" s="184"/>
      <c r="B147" s="184"/>
      <c r="C147" s="184"/>
      <c r="D147" s="190" t="s">
        <v>7</v>
      </c>
      <c r="E147" s="188">
        <v>120</v>
      </c>
      <c r="F147" s="188" t="s">
        <v>1</v>
      </c>
      <c r="G147" s="107">
        <v>1</v>
      </c>
      <c r="H147" s="107">
        <v>2</v>
      </c>
      <c r="I147" s="55">
        <f t="shared" si="126"/>
        <v>120</v>
      </c>
      <c r="J147" s="16">
        <f>E147-I147</f>
        <v>0</v>
      </c>
      <c r="K147" s="6" t="s">
        <v>98</v>
      </c>
      <c r="L147" s="140">
        <v>120</v>
      </c>
      <c r="M147" s="140">
        <v>0</v>
      </c>
      <c r="N147" s="140"/>
      <c r="O147" s="140"/>
      <c r="P147" s="140"/>
      <c r="Q147" s="140"/>
      <c r="R147" s="140"/>
      <c r="S147" s="140"/>
      <c r="T147" s="140"/>
      <c r="U147" s="140"/>
      <c r="V147" s="140"/>
      <c r="W147" s="140"/>
      <c r="X147" s="140"/>
      <c r="Y147" s="140"/>
      <c r="Z147" s="5"/>
      <c r="AB147" s="53" t="s">
        <v>617</v>
      </c>
      <c r="AC147" s="53" t="s">
        <v>615</v>
      </c>
      <c r="AD147" s="53" t="s">
        <v>618</v>
      </c>
    </row>
    <row r="148" spans="1:30" x14ac:dyDescent="0.25">
      <c r="A148" s="184"/>
      <c r="B148" s="184"/>
      <c r="C148" s="184"/>
      <c r="D148" s="191"/>
      <c r="E148" s="189"/>
      <c r="F148" s="189" t="s">
        <v>94</v>
      </c>
      <c r="G148" s="107"/>
      <c r="H148" s="107"/>
      <c r="I148" s="55">
        <f t="shared" si="126"/>
        <v>120</v>
      </c>
      <c r="J148" s="16">
        <f>E147-I148</f>
        <v>0</v>
      </c>
      <c r="K148" s="3" t="s">
        <v>99</v>
      </c>
      <c r="L148" s="135">
        <v>120</v>
      </c>
      <c r="M148" s="135"/>
      <c r="N148" s="135"/>
      <c r="O148" s="135"/>
      <c r="P148" s="135"/>
      <c r="Q148" s="135"/>
      <c r="R148" s="135"/>
      <c r="S148" s="135"/>
      <c r="T148" s="135"/>
      <c r="U148" s="135"/>
      <c r="V148" s="135"/>
      <c r="W148" s="135"/>
      <c r="X148" s="135"/>
      <c r="Y148" s="135"/>
      <c r="Z148" s="4"/>
      <c r="AB148" s="1" t="s">
        <v>114</v>
      </c>
      <c r="AC148" s="1">
        <v>7</v>
      </c>
      <c r="AD148" s="1">
        <f>AC148*$AD$143</f>
        <v>49</v>
      </c>
    </row>
    <row r="149" spans="1:30" x14ac:dyDescent="0.25">
      <c r="A149" s="184" t="s">
        <v>12</v>
      </c>
      <c r="B149" s="184" t="s">
        <v>13</v>
      </c>
      <c r="C149" s="184"/>
      <c r="D149" s="186" t="s">
        <v>6</v>
      </c>
      <c r="E149" s="188">
        <v>149</v>
      </c>
      <c r="F149" s="188" t="s">
        <v>1</v>
      </c>
      <c r="G149" s="107"/>
      <c r="H149" s="107"/>
      <c r="I149" s="55">
        <f t="shared" si="126"/>
        <v>0</v>
      </c>
      <c r="J149" s="16">
        <f>E149-I149</f>
        <v>149</v>
      </c>
      <c r="K149" s="14" t="s">
        <v>634</v>
      </c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5"/>
      <c r="AB149" s="1" t="s">
        <v>115</v>
      </c>
      <c r="AC149" s="1">
        <v>7</v>
      </c>
      <c r="AD149" s="1">
        <f t="shared" ref="AD149:AD155" si="127">AC149*$AD$143</f>
        <v>49</v>
      </c>
    </row>
    <row r="150" spans="1:30" x14ac:dyDescent="0.25">
      <c r="A150" s="184"/>
      <c r="B150" s="184"/>
      <c r="C150" s="184"/>
      <c r="D150" s="187"/>
      <c r="E150" s="189"/>
      <c r="F150" s="189" t="s">
        <v>94</v>
      </c>
      <c r="G150" s="107"/>
      <c r="H150" s="107"/>
      <c r="I150" s="55">
        <f t="shared" si="126"/>
        <v>0</v>
      </c>
      <c r="J150" s="16">
        <f>E149-I150</f>
        <v>149</v>
      </c>
      <c r="K150" s="3" t="s">
        <v>635</v>
      </c>
      <c r="L150" s="135"/>
      <c r="M150" s="135"/>
      <c r="N150" s="135"/>
      <c r="O150" s="135"/>
      <c r="P150" s="135"/>
      <c r="Q150" s="135"/>
      <c r="R150" s="135"/>
      <c r="S150" s="135"/>
      <c r="T150" s="135"/>
      <c r="U150" s="135"/>
      <c r="V150" s="135"/>
      <c r="W150" s="135"/>
      <c r="X150" s="135"/>
      <c r="Y150" s="135"/>
      <c r="Z150" s="4"/>
      <c r="AB150" s="1" t="s">
        <v>116</v>
      </c>
      <c r="AC150" s="1">
        <v>9</v>
      </c>
      <c r="AD150" s="1">
        <f t="shared" si="127"/>
        <v>63</v>
      </c>
    </row>
    <row r="151" spans="1:30" x14ac:dyDescent="0.25">
      <c r="A151" s="184"/>
      <c r="B151" s="184"/>
      <c r="C151" s="184"/>
      <c r="D151" s="190" t="s">
        <v>7</v>
      </c>
      <c r="E151" s="188">
        <v>149</v>
      </c>
      <c r="F151" s="188" t="s">
        <v>1</v>
      </c>
      <c r="G151" s="107">
        <v>1</v>
      </c>
      <c r="H151" s="107">
        <v>5</v>
      </c>
      <c r="I151" s="55">
        <f t="shared" si="126"/>
        <v>149</v>
      </c>
      <c r="J151" s="16">
        <f>E151-I151</f>
        <v>0</v>
      </c>
      <c r="K151" s="6" t="s">
        <v>98</v>
      </c>
      <c r="L151" s="140">
        <v>24</v>
      </c>
      <c r="M151" s="140">
        <v>86.5</v>
      </c>
      <c r="N151" s="140">
        <v>15.5</v>
      </c>
      <c r="O151" s="140">
        <v>11.5</v>
      </c>
      <c r="P151" s="140">
        <v>11.5</v>
      </c>
      <c r="Q151" s="140"/>
      <c r="R151" s="140"/>
      <c r="S151" s="140"/>
      <c r="T151" s="140"/>
      <c r="U151" s="140"/>
      <c r="V151" s="140"/>
      <c r="W151" s="140"/>
      <c r="X151" s="140"/>
      <c r="Y151" s="140"/>
      <c r="Z151" s="5"/>
      <c r="AB151" s="1" t="s">
        <v>118</v>
      </c>
      <c r="AC151" s="1">
        <v>9</v>
      </c>
      <c r="AD151" s="1">
        <f t="shared" si="127"/>
        <v>63</v>
      </c>
    </row>
    <row r="152" spans="1:30" x14ac:dyDescent="0.25">
      <c r="A152" s="184"/>
      <c r="B152" s="184"/>
      <c r="C152" s="184"/>
      <c r="D152" s="191"/>
      <c r="E152" s="189"/>
      <c r="F152" s="189" t="s">
        <v>94</v>
      </c>
      <c r="G152" s="107"/>
      <c r="H152" s="107"/>
      <c r="I152" s="55">
        <f t="shared" si="126"/>
        <v>24</v>
      </c>
      <c r="J152" s="16">
        <f>E151-I152</f>
        <v>125</v>
      </c>
      <c r="K152" s="3" t="s">
        <v>99</v>
      </c>
      <c r="L152" s="135">
        <v>24</v>
      </c>
      <c r="M152" s="135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4"/>
      <c r="AB152" s="1" t="s">
        <v>117</v>
      </c>
      <c r="AC152" s="1">
        <v>9</v>
      </c>
      <c r="AD152" s="1">
        <f t="shared" si="127"/>
        <v>63</v>
      </c>
    </row>
    <row r="153" spans="1:30" x14ac:dyDescent="0.25">
      <c r="A153" s="184" t="s">
        <v>14</v>
      </c>
      <c r="B153" s="184" t="s">
        <v>15</v>
      </c>
      <c r="C153" s="184"/>
      <c r="D153" s="186" t="s">
        <v>6</v>
      </c>
      <c r="E153" s="188">
        <v>94</v>
      </c>
      <c r="F153" s="188" t="s">
        <v>1</v>
      </c>
      <c r="G153" s="107"/>
      <c r="H153" s="107"/>
      <c r="I153" s="55">
        <f t="shared" si="126"/>
        <v>0</v>
      </c>
      <c r="J153" s="16">
        <f>E153-I153</f>
        <v>94</v>
      </c>
      <c r="K153" s="14" t="s">
        <v>634</v>
      </c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5"/>
      <c r="AB153" s="1" t="s">
        <v>119</v>
      </c>
      <c r="AC153" s="1">
        <v>9</v>
      </c>
      <c r="AD153" s="1">
        <f t="shared" si="127"/>
        <v>63</v>
      </c>
    </row>
    <row r="154" spans="1:30" x14ac:dyDescent="0.25">
      <c r="A154" s="184"/>
      <c r="B154" s="184"/>
      <c r="C154" s="184"/>
      <c r="D154" s="187"/>
      <c r="E154" s="189"/>
      <c r="F154" s="189" t="s">
        <v>94</v>
      </c>
      <c r="G154" s="107"/>
      <c r="H154" s="107"/>
      <c r="I154" s="55">
        <f t="shared" si="126"/>
        <v>0</v>
      </c>
      <c r="J154" s="16">
        <f>E153-I154</f>
        <v>94</v>
      </c>
      <c r="K154" s="3" t="s">
        <v>635</v>
      </c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4"/>
      <c r="AB154" s="1" t="s">
        <v>120</v>
      </c>
      <c r="AC154" s="1">
        <v>7</v>
      </c>
      <c r="AD154" s="1">
        <f t="shared" si="127"/>
        <v>49</v>
      </c>
    </row>
    <row r="155" spans="1:30" x14ac:dyDescent="0.25">
      <c r="A155" s="184"/>
      <c r="B155" s="184"/>
      <c r="C155" s="184"/>
      <c r="D155" s="190" t="s">
        <v>7</v>
      </c>
      <c r="E155" s="188">
        <v>94</v>
      </c>
      <c r="F155" s="188" t="s">
        <v>1</v>
      </c>
      <c r="G155" s="107">
        <v>7</v>
      </c>
      <c r="H155" s="107">
        <v>8</v>
      </c>
      <c r="I155" s="55">
        <f t="shared" si="126"/>
        <v>94</v>
      </c>
      <c r="J155" s="16">
        <f>E155-I155</f>
        <v>0</v>
      </c>
      <c r="K155" s="6" t="s">
        <v>98</v>
      </c>
      <c r="L155" s="140"/>
      <c r="M155" s="140"/>
      <c r="N155" s="140"/>
      <c r="O155" s="140"/>
      <c r="P155" s="140"/>
      <c r="Q155" s="140"/>
      <c r="R155" s="140">
        <v>70</v>
      </c>
      <c r="S155" s="140">
        <v>24</v>
      </c>
      <c r="T155" s="140"/>
      <c r="U155" s="140"/>
      <c r="V155" s="140"/>
      <c r="W155" s="140"/>
      <c r="X155" s="140"/>
      <c r="Y155" s="140"/>
      <c r="Z155" s="5"/>
      <c r="AB155" s="1" t="s">
        <v>121</v>
      </c>
      <c r="AC155" s="1">
        <v>5</v>
      </c>
      <c r="AD155" s="1">
        <f t="shared" si="127"/>
        <v>35</v>
      </c>
    </row>
    <row r="156" spans="1:30" x14ac:dyDescent="0.25">
      <c r="A156" s="184"/>
      <c r="B156" s="184"/>
      <c r="C156" s="184"/>
      <c r="D156" s="191"/>
      <c r="E156" s="189"/>
      <c r="F156" s="189" t="s">
        <v>94</v>
      </c>
      <c r="G156" s="107"/>
      <c r="H156" s="107"/>
      <c r="I156" s="55">
        <f t="shared" si="126"/>
        <v>0</v>
      </c>
      <c r="J156" s="16">
        <f>E155-I156</f>
        <v>94</v>
      </c>
      <c r="K156" s="3" t="s">
        <v>99</v>
      </c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4"/>
    </row>
    <row r="157" spans="1:30" x14ac:dyDescent="0.25">
      <c r="A157" s="184" t="s">
        <v>20</v>
      </c>
      <c r="B157" s="184" t="s">
        <v>21</v>
      </c>
      <c r="C157" s="184"/>
      <c r="D157" s="186" t="s">
        <v>6</v>
      </c>
      <c r="E157" s="188">
        <v>124</v>
      </c>
      <c r="F157" s="188" t="s">
        <v>1</v>
      </c>
      <c r="G157" s="107"/>
      <c r="H157" s="107"/>
      <c r="I157" s="55">
        <f t="shared" si="126"/>
        <v>0</v>
      </c>
      <c r="J157" s="16">
        <f>E157-I157</f>
        <v>124</v>
      </c>
      <c r="K157" s="14" t="s">
        <v>634</v>
      </c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5"/>
      <c r="AB157" s="183" t="s">
        <v>104</v>
      </c>
      <c r="AC157" s="183"/>
      <c r="AD157" s="183"/>
    </row>
    <row r="158" spans="1:30" x14ac:dyDescent="0.25">
      <c r="A158" s="184"/>
      <c r="B158" s="184"/>
      <c r="C158" s="184"/>
      <c r="D158" s="187"/>
      <c r="E158" s="189"/>
      <c r="F158" s="189" t="s">
        <v>94</v>
      </c>
      <c r="G158" s="107"/>
      <c r="H158" s="107"/>
      <c r="I158" s="55">
        <f t="shared" si="126"/>
        <v>0</v>
      </c>
      <c r="J158" s="16">
        <f>E157-I158</f>
        <v>124</v>
      </c>
      <c r="K158" s="3" t="s">
        <v>635</v>
      </c>
      <c r="L158" s="135"/>
      <c r="M158" s="135"/>
      <c r="N158" s="135"/>
      <c r="O158" s="135"/>
      <c r="P158" s="135"/>
      <c r="Q158" s="135"/>
      <c r="R158" s="135"/>
      <c r="S158" s="135"/>
      <c r="T158" s="135"/>
      <c r="U158" s="135"/>
      <c r="V158" s="135"/>
      <c r="W158" s="135"/>
      <c r="X158" s="135"/>
      <c r="Y158" s="135"/>
      <c r="Z158" s="4"/>
      <c r="AB158" s="53" t="s">
        <v>617</v>
      </c>
      <c r="AC158" s="53" t="s">
        <v>615</v>
      </c>
      <c r="AD158" s="53" t="s">
        <v>618</v>
      </c>
    </row>
    <row r="159" spans="1:30" x14ac:dyDescent="0.25">
      <c r="A159" s="184"/>
      <c r="B159" s="184"/>
      <c r="C159" s="184"/>
      <c r="D159" s="190" t="s">
        <v>7</v>
      </c>
      <c r="E159" s="188">
        <v>124</v>
      </c>
      <c r="F159" s="188" t="s">
        <v>1</v>
      </c>
      <c r="G159" s="107">
        <v>6</v>
      </c>
      <c r="H159" s="107">
        <v>6</v>
      </c>
      <c r="I159" s="55">
        <f t="shared" si="126"/>
        <v>124</v>
      </c>
      <c r="J159" s="16">
        <f>E159-I159</f>
        <v>0</v>
      </c>
      <c r="K159" s="6" t="s">
        <v>98</v>
      </c>
      <c r="L159" s="140"/>
      <c r="M159" s="140"/>
      <c r="N159" s="140"/>
      <c r="O159" s="140"/>
      <c r="P159" s="140"/>
      <c r="Q159" s="140">
        <v>124</v>
      </c>
      <c r="R159" s="140"/>
      <c r="S159" s="140"/>
      <c r="T159" s="140"/>
      <c r="U159" s="140"/>
      <c r="V159" s="140"/>
      <c r="W159" s="140"/>
      <c r="X159" s="140"/>
      <c r="Y159" s="140"/>
      <c r="Z159" s="5"/>
      <c r="AB159" s="1" t="s">
        <v>114</v>
      </c>
      <c r="AC159" s="1">
        <v>0</v>
      </c>
      <c r="AD159" s="1">
        <f>AC159*$AD$143</f>
        <v>0</v>
      </c>
    </row>
    <row r="160" spans="1:30" x14ac:dyDescent="0.25">
      <c r="A160" s="184"/>
      <c r="B160" s="184"/>
      <c r="C160" s="184"/>
      <c r="D160" s="191"/>
      <c r="E160" s="189"/>
      <c r="F160" s="189" t="s">
        <v>94</v>
      </c>
      <c r="G160" s="107"/>
      <c r="H160" s="107"/>
      <c r="I160" s="55">
        <f t="shared" si="126"/>
        <v>0</v>
      </c>
      <c r="J160" s="16">
        <f>E159-I160</f>
        <v>124</v>
      </c>
      <c r="K160" s="3" t="s">
        <v>99</v>
      </c>
      <c r="L160" s="135"/>
      <c r="M160" s="135"/>
      <c r="N160" s="135"/>
      <c r="O160" s="135"/>
      <c r="P160" s="135"/>
      <c r="Q160" s="135"/>
      <c r="R160" s="135"/>
      <c r="S160" s="135"/>
      <c r="T160" s="135"/>
      <c r="U160" s="135"/>
      <c r="V160" s="135"/>
      <c r="W160" s="135"/>
      <c r="X160" s="135"/>
      <c r="Y160" s="135"/>
      <c r="Z160" s="4"/>
      <c r="AB160" s="1" t="s">
        <v>115</v>
      </c>
      <c r="AC160" s="1">
        <v>3</v>
      </c>
      <c r="AD160" s="1">
        <f t="shared" ref="AD160:AD166" si="128">AC160*$AD$143</f>
        <v>21</v>
      </c>
    </row>
    <row r="161" spans="1:30" x14ac:dyDescent="0.25">
      <c r="A161" s="2" t="s">
        <v>22</v>
      </c>
      <c r="B161" s="2"/>
      <c r="C161" s="2"/>
      <c r="D161" s="4"/>
      <c r="E161" s="4"/>
      <c r="F161" s="4"/>
      <c r="G161" s="107"/>
      <c r="H161" s="107"/>
      <c r="I161" s="55"/>
      <c r="J161" s="55"/>
      <c r="K161" s="4"/>
      <c r="L161" s="135"/>
      <c r="M161" s="135"/>
      <c r="N161" s="135"/>
      <c r="O161" s="135"/>
      <c r="P161" s="135"/>
      <c r="Q161" s="135"/>
      <c r="R161" s="135"/>
      <c r="S161" s="135"/>
      <c r="T161" s="135"/>
      <c r="U161" s="135"/>
      <c r="V161" s="135"/>
      <c r="W161" s="135"/>
      <c r="X161" s="135"/>
      <c r="Y161" s="135"/>
      <c r="Z161" s="4"/>
      <c r="AB161" s="1" t="s">
        <v>116</v>
      </c>
      <c r="AC161" s="1">
        <v>3</v>
      </c>
      <c r="AD161" s="1">
        <f t="shared" si="128"/>
        <v>21</v>
      </c>
    </row>
    <row r="162" spans="1:30" x14ac:dyDescent="0.25">
      <c r="A162" s="184" t="s">
        <v>23</v>
      </c>
      <c r="B162" s="184" t="s">
        <v>24</v>
      </c>
      <c r="C162" s="184" t="s">
        <v>45</v>
      </c>
      <c r="D162" s="186" t="s">
        <v>6</v>
      </c>
      <c r="E162" s="188">
        <v>1150</v>
      </c>
      <c r="F162" s="188" t="s">
        <v>1</v>
      </c>
      <c r="G162" s="107"/>
      <c r="H162" s="107"/>
      <c r="I162" s="55">
        <f t="shared" ref="I162:I205" si="129">SUM(L162:Y162)</f>
        <v>0</v>
      </c>
      <c r="J162" s="16">
        <f>E162-I162</f>
        <v>1150</v>
      </c>
      <c r="K162" s="14" t="s">
        <v>634</v>
      </c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5"/>
      <c r="AB162" s="1" t="s">
        <v>118</v>
      </c>
      <c r="AC162" s="1">
        <v>8</v>
      </c>
      <c r="AD162" s="1">
        <f t="shared" si="128"/>
        <v>56</v>
      </c>
    </row>
    <row r="163" spans="1:30" x14ac:dyDescent="0.25">
      <c r="A163" s="184"/>
      <c r="B163" s="184"/>
      <c r="C163" s="184"/>
      <c r="D163" s="187"/>
      <c r="E163" s="189"/>
      <c r="F163" s="189" t="s">
        <v>94</v>
      </c>
      <c r="G163" s="107"/>
      <c r="H163" s="107"/>
      <c r="I163" s="55">
        <f t="shared" si="129"/>
        <v>0</v>
      </c>
      <c r="J163" s="16">
        <f>E162-I163</f>
        <v>1150</v>
      </c>
      <c r="K163" s="3" t="s">
        <v>635</v>
      </c>
      <c r="L163" s="135"/>
      <c r="M163" s="135"/>
      <c r="N163" s="135"/>
      <c r="O163" s="135"/>
      <c r="P163" s="135"/>
      <c r="Q163" s="135"/>
      <c r="R163" s="135"/>
      <c r="S163" s="135"/>
      <c r="T163" s="135"/>
      <c r="U163" s="135"/>
      <c r="V163" s="135"/>
      <c r="W163" s="135"/>
      <c r="X163" s="135"/>
      <c r="Y163" s="135"/>
      <c r="Z163" s="4"/>
      <c r="AB163" s="1" t="s">
        <v>117</v>
      </c>
      <c r="AC163" s="1">
        <v>5</v>
      </c>
      <c r="AD163" s="1">
        <f t="shared" si="128"/>
        <v>35</v>
      </c>
    </row>
    <row r="164" spans="1:30" x14ac:dyDescent="0.25">
      <c r="A164" s="184"/>
      <c r="B164" s="184"/>
      <c r="C164" s="184"/>
      <c r="D164" s="190" t="s">
        <v>7</v>
      </c>
      <c r="E164" s="188">
        <v>1150</v>
      </c>
      <c r="F164" s="188" t="s">
        <v>1</v>
      </c>
      <c r="G164" s="107">
        <v>2</v>
      </c>
      <c r="H164" s="107">
        <v>6</v>
      </c>
      <c r="I164" s="55">
        <f t="shared" si="129"/>
        <v>1150</v>
      </c>
      <c r="J164" s="16">
        <f>E164-I164</f>
        <v>0</v>
      </c>
      <c r="K164" s="6" t="s">
        <v>98</v>
      </c>
      <c r="L164" s="140"/>
      <c r="M164" s="140">
        <v>200</v>
      </c>
      <c r="N164" s="140">
        <v>245</v>
      </c>
      <c r="O164" s="140">
        <v>250</v>
      </c>
      <c r="P164" s="140">
        <v>250</v>
      </c>
      <c r="Q164" s="140">
        <v>205</v>
      </c>
      <c r="R164" s="140"/>
      <c r="S164" s="140"/>
      <c r="T164" s="140"/>
      <c r="U164" s="140"/>
      <c r="V164" s="140"/>
      <c r="W164" s="140"/>
      <c r="X164" s="140"/>
      <c r="Y164" s="140"/>
      <c r="Z164" s="5"/>
      <c r="AB164" s="1" t="s">
        <v>119</v>
      </c>
      <c r="AC164" s="1"/>
      <c r="AD164" s="1">
        <f t="shared" si="128"/>
        <v>0</v>
      </c>
    </row>
    <row r="165" spans="1:30" x14ac:dyDescent="0.25">
      <c r="A165" s="184"/>
      <c r="B165" s="184"/>
      <c r="C165" s="184"/>
      <c r="D165" s="191"/>
      <c r="E165" s="189"/>
      <c r="F165" s="189" t="s">
        <v>94</v>
      </c>
      <c r="G165" s="107"/>
      <c r="H165" s="107"/>
      <c r="I165" s="55">
        <f t="shared" si="129"/>
        <v>0</v>
      </c>
      <c r="J165" s="16">
        <f>E164-I165</f>
        <v>1150</v>
      </c>
      <c r="K165" s="3" t="s">
        <v>99</v>
      </c>
      <c r="L165" s="135"/>
      <c r="M165" s="135"/>
      <c r="N165" s="135"/>
      <c r="O165" s="135"/>
      <c r="P165" s="135"/>
      <c r="Q165" s="135"/>
      <c r="R165" s="135"/>
      <c r="S165" s="135"/>
      <c r="T165" s="135"/>
      <c r="U165" s="135"/>
      <c r="V165" s="135"/>
      <c r="W165" s="135"/>
      <c r="X165" s="135"/>
      <c r="Y165" s="135"/>
      <c r="Z165" s="4"/>
      <c r="AB165" s="1" t="s">
        <v>120</v>
      </c>
      <c r="AC165" s="1">
        <v>0</v>
      </c>
      <c r="AD165" s="1">
        <f t="shared" si="128"/>
        <v>0</v>
      </c>
    </row>
    <row r="166" spans="1:30" x14ac:dyDescent="0.25">
      <c r="A166" s="184" t="s">
        <v>25</v>
      </c>
      <c r="B166" s="184" t="s">
        <v>26</v>
      </c>
      <c r="C166" s="185" t="s">
        <v>63</v>
      </c>
      <c r="D166" s="186" t="s">
        <v>6</v>
      </c>
      <c r="E166" s="188">
        <v>90</v>
      </c>
      <c r="F166" s="188" t="s">
        <v>1</v>
      </c>
      <c r="G166" s="107"/>
      <c r="H166" s="107"/>
      <c r="I166" s="55">
        <f t="shared" si="129"/>
        <v>0</v>
      </c>
      <c r="J166" s="16">
        <f>E166-I166</f>
        <v>90</v>
      </c>
      <c r="K166" s="14" t="s">
        <v>634</v>
      </c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5"/>
      <c r="AB166" s="1" t="s">
        <v>121</v>
      </c>
      <c r="AC166" s="1">
        <v>0</v>
      </c>
      <c r="AD166" s="1">
        <f t="shared" si="128"/>
        <v>0</v>
      </c>
    </row>
    <row r="167" spans="1:30" x14ac:dyDescent="0.25">
      <c r="A167" s="184"/>
      <c r="B167" s="184"/>
      <c r="C167" s="185"/>
      <c r="D167" s="187"/>
      <c r="E167" s="189"/>
      <c r="F167" s="189" t="s">
        <v>95</v>
      </c>
      <c r="G167" s="107"/>
      <c r="H167" s="107"/>
      <c r="I167" s="55">
        <f t="shared" si="129"/>
        <v>0</v>
      </c>
      <c r="J167" s="16">
        <f>E166-I167</f>
        <v>90</v>
      </c>
      <c r="K167" s="3" t="s">
        <v>635</v>
      </c>
      <c r="L167" s="135"/>
      <c r="M167" s="135"/>
      <c r="N167" s="135"/>
      <c r="O167" s="135"/>
      <c r="P167" s="135"/>
      <c r="Q167" s="135"/>
      <c r="R167" s="135"/>
      <c r="S167" s="135"/>
      <c r="T167" s="135"/>
      <c r="U167" s="135"/>
      <c r="V167" s="135"/>
      <c r="W167" s="135"/>
      <c r="X167" s="135"/>
      <c r="Y167" s="135"/>
      <c r="Z167" s="4"/>
    </row>
    <row r="168" spans="1:30" x14ac:dyDescent="0.25">
      <c r="A168" s="184"/>
      <c r="B168" s="184"/>
      <c r="C168" s="185"/>
      <c r="D168" s="190" t="s">
        <v>7</v>
      </c>
      <c r="E168" s="188">
        <v>90</v>
      </c>
      <c r="F168" s="188" t="s">
        <v>1</v>
      </c>
      <c r="G168" s="107">
        <v>7</v>
      </c>
      <c r="H168" s="107">
        <v>8</v>
      </c>
      <c r="I168" s="55">
        <f t="shared" si="129"/>
        <v>90</v>
      </c>
      <c r="J168" s="16">
        <f>E168-I168</f>
        <v>0</v>
      </c>
      <c r="K168" s="6" t="s">
        <v>98</v>
      </c>
      <c r="L168" s="140"/>
      <c r="M168" s="140"/>
      <c r="N168" s="140"/>
      <c r="O168" s="140"/>
      <c r="P168" s="140"/>
      <c r="Q168" s="140"/>
      <c r="R168" s="140">
        <v>45</v>
      </c>
      <c r="S168" s="140">
        <v>45</v>
      </c>
      <c r="T168" s="140"/>
      <c r="U168" s="140"/>
      <c r="V168" s="140"/>
      <c r="W168" s="140"/>
      <c r="X168" s="140"/>
      <c r="Y168" s="140"/>
      <c r="Z168" s="5"/>
    </row>
    <row r="169" spans="1:30" x14ac:dyDescent="0.25">
      <c r="A169" s="184"/>
      <c r="B169" s="184"/>
      <c r="C169" s="185"/>
      <c r="D169" s="191"/>
      <c r="E169" s="189"/>
      <c r="F169" s="189" t="s">
        <v>94</v>
      </c>
      <c r="G169" s="107"/>
      <c r="H169" s="107"/>
      <c r="I169" s="55">
        <f t="shared" si="129"/>
        <v>0</v>
      </c>
      <c r="J169" s="16">
        <f>E168-I169</f>
        <v>90</v>
      </c>
      <c r="K169" s="3" t="s">
        <v>99</v>
      </c>
      <c r="L169" s="135"/>
      <c r="M169" s="135"/>
      <c r="N169" s="135"/>
      <c r="O169" s="135"/>
      <c r="P169" s="135"/>
      <c r="Q169" s="135"/>
      <c r="R169" s="135"/>
      <c r="S169" s="135"/>
      <c r="T169" s="135"/>
      <c r="U169" s="135"/>
      <c r="V169" s="135"/>
      <c r="W169" s="135"/>
      <c r="X169" s="135"/>
      <c r="Y169" s="135"/>
      <c r="Z169" s="4"/>
    </row>
    <row r="170" spans="1:30" x14ac:dyDescent="0.25">
      <c r="A170" s="184"/>
      <c r="B170" s="184" t="s">
        <v>27</v>
      </c>
      <c r="C170" s="185" t="s">
        <v>62</v>
      </c>
      <c r="D170" s="186" t="s">
        <v>6</v>
      </c>
      <c r="E170" s="188">
        <v>22.7</v>
      </c>
      <c r="F170" s="188" t="s">
        <v>1</v>
      </c>
      <c r="G170" s="107"/>
      <c r="H170" s="107"/>
      <c r="I170" s="55">
        <f t="shared" si="129"/>
        <v>0</v>
      </c>
      <c r="J170" s="16">
        <f>E170-I170</f>
        <v>22.7</v>
      </c>
      <c r="K170" s="14" t="s">
        <v>634</v>
      </c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5"/>
    </row>
    <row r="171" spans="1:30" x14ac:dyDescent="0.25">
      <c r="A171" s="184"/>
      <c r="B171" s="184"/>
      <c r="C171" s="185"/>
      <c r="D171" s="187"/>
      <c r="E171" s="189"/>
      <c r="F171" s="189" t="s">
        <v>94</v>
      </c>
      <c r="G171" s="107"/>
      <c r="H171" s="107"/>
      <c r="I171" s="55">
        <f t="shared" si="129"/>
        <v>0</v>
      </c>
      <c r="J171" s="16">
        <f>E170-I171</f>
        <v>22.7</v>
      </c>
      <c r="K171" s="3" t="s">
        <v>635</v>
      </c>
      <c r="L171" s="135"/>
      <c r="M171" s="135"/>
      <c r="N171" s="135"/>
      <c r="O171" s="135"/>
      <c r="P171" s="135"/>
      <c r="Q171" s="135"/>
      <c r="R171" s="135"/>
      <c r="S171" s="135"/>
      <c r="T171" s="135"/>
      <c r="U171" s="135"/>
      <c r="V171" s="135"/>
      <c r="W171" s="135"/>
      <c r="X171" s="135"/>
      <c r="Y171" s="135"/>
      <c r="Z171" s="4"/>
    </row>
    <row r="172" spans="1:30" x14ac:dyDescent="0.25">
      <c r="A172" s="184"/>
      <c r="B172" s="184"/>
      <c r="C172" s="185"/>
      <c r="D172" s="190" t="s">
        <v>7</v>
      </c>
      <c r="E172" s="188">
        <v>22.7</v>
      </c>
      <c r="F172" s="188" t="s">
        <v>1</v>
      </c>
      <c r="G172" s="107">
        <v>7</v>
      </c>
      <c r="H172" s="107">
        <v>7</v>
      </c>
      <c r="I172" s="55">
        <f t="shared" si="129"/>
        <v>23</v>
      </c>
      <c r="J172" s="16">
        <f>E172-I172</f>
        <v>-0.30000000000000071</v>
      </c>
      <c r="K172" s="6" t="s">
        <v>98</v>
      </c>
      <c r="L172" s="140"/>
      <c r="M172" s="140"/>
      <c r="N172" s="140"/>
      <c r="O172" s="140"/>
      <c r="P172" s="140"/>
      <c r="Q172" s="140"/>
      <c r="R172" s="140">
        <v>23</v>
      </c>
      <c r="S172" s="140"/>
      <c r="T172" s="140"/>
      <c r="U172" s="140"/>
      <c r="V172" s="140"/>
      <c r="W172" s="140"/>
      <c r="X172" s="140"/>
      <c r="Y172" s="140"/>
      <c r="Z172" s="5"/>
    </row>
    <row r="173" spans="1:30" x14ac:dyDescent="0.25">
      <c r="A173" s="184"/>
      <c r="B173" s="184"/>
      <c r="C173" s="185"/>
      <c r="D173" s="191"/>
      <c r="E173" s="189"/>
      <c r="F173" s="189" t="s">
        <v>94</v>
      </c>
      <c r="G173" s="107"/>
      <c r="H173" s="107"/>
      <c r="I173" s="55">
        <f t="shared" si="129"/>
        <v>0</v>
      </c>
      <c r="J173" s="16">
        <f>E172-I173</f>
        <v>22.7</v>
      </c>
      <c r="K173" s="3" t="s">
        <v>99</v>
      </c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4"/>
    </row>
    <row r="174" spans="1:30" x14ac:dyDescent="0.25">
      <c r="A174" s="184"/>
      <c r="B174" s="184" t="s">
        <v>28</v>
      </c>
      <c r="C174" s="185" t="s">
        <v>64</v>
      </c>
      <c r="D174" s="186" t="s">
        <v>6</v>
      </c>
      <c r="E174" s="188">
        <v>90</v>
      </c>
      <c r="F174" s="188" t="s">
        <v>1</v>
      </c>
      <c r="G174" s="107"/>
      <c r="H174" s="107"/>
      <c r="I174" s="55">
        <f t="shared" si="129"/>
        <v>0</v>
      </c>
      <c r="J174" s="16">
        <f>E174-I174</f>
        <v>90</v>
      </c>
      <c r="K174" s="14" t="s">
        <v>634</v>
      </c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5"/>
    </row>
    <row r="175" spans="1:30" x14ac:dyDescent="0.25">
      <c r="A175" s="184"/>
      <c r="B175" s="184"/>
      <c r="C175" s="185"/>
      <c r="D175" s="187"/>
      <c r="E175" s="189"/>
      <c r="F175" s="189" t="s">
        <v>94</v>
      </c>
      <c r="G175" s="107"/>
      <c r="H175" s="107"/>
      <c r="I175" s="55">
        <f t="shared" si="129"/>
        <v>0</v>
      </c>
      <c r="J175" s="16">
        <f>E174-I175</f>
        <v>90</v>
      </c>
      <c r="K175" s="3" t="s">
        <v>635</v>
      </c>
      <c r="L175" s="135"/>
      <c r="M175" s="135"/>
      <c r="N175" s="135"/>
      <c r="O175" s="135"/>
      <c r="P175" s="135"/>
      <c r="Q175" s="135"/>
      <c r="R175" s="135"/>
      <c r="S175" s="135"/>
      <c r="T175" s="135"/>
      <c r="U175" s="135"/>
      <c r="V175" s="135"/>
      <c r="W175" s="135"/>
      <c r="X175" s="135"/>
      <c r="Y175" s="135"/>
      <c r="Z175" s="4"/>
    </row>
    <row r="176" spans="1:30" x14ac:dyDescent="0.25">
      <c r="A176" s="184"/>
      <c r="B176" s="184"/>
      <c r="C176" s="185"/>
      <c r="D176" s="190" t="s">
        <v>7</v>
      </c>
      <c r="E176" s="188">
        <v>90</v>
      </c>
      <c r="F176" s="188" t="s">
        <v>1</v>
      </c>
      <c r="G176" s="107">
        <v>8</v>
      </c>
      <c r="H176" s="107">
        <v>8</v>
      </c>
      <c r="I176" s="55">
        <f t="shared" si="129"/>
        <v>90</v>
      </c>
      <c r="J176" s="16">
        <f>E176-I176</f>
        <v>0</v>
      </c>
      <c r="K176" s="6" t="s">
        <v>98</v>
      </c>
      <c r="L176" s="140"/>
      <c r="M176" s="140"/>
      <c r="N176" s="140"/>
      <c r="O176" s="140"/>
      <c r="P176" s="140"/>
      <c r="Q176" s="140"/>
      <c r="R176" s="140"/>
      <c r="S176" s="140">
        <v>90</v>
      </c>
      <c r="T176" s="140"/>
      <c r="U176" s="140"/>
      <c r="V176" s="140"/>
      <c r="W176" s="140"/>
      <c r="X176" s="140"/>
      <c r="Y176" s="140"/>
      <c r="Z176" s="5"/>
    </row>
    <row r="177" spans="1:26" x14ac:dyDescent="0.25">
      <c r="A177" s="184"/>
      <c r="B177" s="184"/>
      <c r="C177" s="185"/>
      <c r="D177" s="191"/>
      <c r="E177" s="189"/>
      <c r="F177" s="189" t="s">
        <v>94</v>
      </c>
      <c r="G177" s="107"/>
      <c r="H177" s="107"/>
      <c r="I177" s="55">
        <f t="shared" si="129"/>
        <v>0</v>
      </c>
      <c r="J177" s="16">
        <f>E176-I177</f>
        <v>90</v>
      </c>
      <c r="K177" s="3" t="s">
        <v>99</v>
      </c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4"/>
    </row>
    <row r="178" spans="1:26" x14ac:dyDescent="0.25">
      <c r="A178" s="184" t="s">
        <v>29</v>
      </c>
      <c r="B178" s="184" t="s">
        <v>30</v>
      </c>
      <c r="C178" s="185" t="s">
        <v>64</v>
      </c>
      <c r="D178" s="186" t="s">
        <v>6</v>
      </c>
      <c r="E178" s="188">
        <v>94</v>
      </c>
      <c r="F178" s="188" t="s">
        <v>1</v>
      </c>
      <c r="G178" s="107"/>
      <c r="H178" s="107"/>
      <c r="I178" s="55">
        <f t="shared" si="129"/>
        <v>0</v>
      </c>
      <c r="J178" s="16">
        <f>E178-I178</f>
        <v>94</v>
      </c>
      <c r="K178" s="14" t="s">
        <v>634</v>
      </c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5"/>
    </row>
    <row r="179" spans="1:26" x14ac:dyDescent="0.25">
      <c r="A179" s="184"/>
      <c r="B179" s="184"/>
      <c r="C179" s="185"/>
      <c r="D179" s="187"/>
      <c r="E179" s="189"/>
      <c r="F179" s="189"/>
      <c r="G179" s="107"/>
      <c r="H179" s="107"/>
      <c r="I179" s="55">
        <f t="shared" si="129"/>
        <v>0</v>
      </c>
      <c r="J179" s="16">
        <f>E178-I179</f>
        <v>94</v>
      </c>
      <c r="K179" s="3" t="s">
        <v>635</v>
      </c>
      <c r="L179" s="135"/>
      <c r="M179" s="135"/>
      <c r="N179" s="135"/>
      <c r="O179" s="135"/>
      <c r="P179" s="135"/>
      <c r="Q179" s="135"/>
      <c r="R179" s="135"/>
      <c r="S179" s="135"/>
      <c r="T179" s="135"/>
      <c r="U179" s="135"/>
      <c r="V179" s="135"/>
      <c r="W179" s="135"/>
      <c r="X179" s="135"/>
      <c r="Y179" s="135"/>
      <c r="Z179" s="4"/>
    </row>
    <row r="180" spans="1:26" x14ac:dyDescent="0.25">
      <c r="A180" s="184"/>
      <c r="B180" s="184"/>
      <c r="C180" s="185"/>
      <c r="D180" s="190" t="s">
        <v>7</v>
      </c>
      <c r="E180" s="188">
        <v>94</v>
      </c>
      <c r="F180" s="188" t="s">
        <v>1</v>
      </c>
      <c r="G180" s="107">
        <v>6</v>
      </c>
      <c r="H180" s="107">
        <v>7</v>
      </c>
      <c r="I180" s="55">
        <f t="shared" si="129"/>
        <v>94</v>
      </c>
      <c r="J180" s="16">
        <f>E180-I180</f>
        <v>0</v>
      </c>
      <c r="K180" s="6" t="s">
        <v>98</v>
      </c>
      <c r="L180" s="140"/>
      <c r="M180" s="140"/>
      <c r="N180" s="140"/>
      <c r="O180" s="140"/>
      <c r="P180" s="140"/>
      <c r="Q180" s="140">
        <v>60</v>
      </c>
      <c r="R180" s="140">
        <v>34</v>
      </c>
      <c r="S180" s="140"/>
      <c r="T180" s="140"/>
      <c r="U180" s="140"/>
      <c r="V180" s="140"/>
      <c r="W180" s="140"/>
      <c r="X180" s="140"/>
      <c r="Y180" s="140"/>
      <c r="Z180" s="5"/>
    </row>
    <row r="181" spans="1:26" x14ac:dyDescent="0.25">
      <c r="A181" s="184"/>
      <c r="B181" s="184"/>
      <c r="C181" s="185"/>
      <c r="D181" s="191"/>
      <c r="E181" s="189"/>
      <c r="F181" s="189" t="s">
        <v>94</v>
      </c>
      <c r="G181" s="107"/>
      <c r="H181" s="107"/>
      <c r="I181" s="55">
        <f t="shared" si="129"/>
        <v>0</v>
      </c>
      <c r="J181" s="16">
        <f>E180-I181</f>
        <v>94</v>
      </c>
      <c r="K181" s="3" t="s">
        <v>99</v>
      </c>
      <c r="L181" s="135"/>
      <c r="M181" s="135"/>
      <c r="N181" s="135"/>
      <c r="O181" s="135"/>
      <c r="P181" s="135"/>
      <c r="Q181" s="135"/>
      <c r="R181" s="135"/>
      <c r="S181" s="135"/>
      <c r="T181" s="135"/>
      <c r="U181" s="135"/>
      <c r="V181" s="135"/>
      <c r="W181" s="135"/>
      <c r="X181" s="135"/>
      <c r="Y181" s="135"/>
      <c r="Z181" s="4"/>
    </row>
    <row r="182" spans="1:26" x14ac:dyDescent="0.25">
      <c r="A182" s="184"/>
      <c r="B182" s="184" t="s">
        <v>31</v>
      </c>
      <c r="C182" s="185" t="s">
        <v>63</v>
      </c>
      <c r="D182" s="186" t="s">
        <v>6</v>
      </c>
      <c r="E182" s="188">
        <v>28.749999999999996</v>
      </c>
      <c r="F182" s="188" t="s">
        <v>1</v>
      </c>
      <c r="G182" s="107"/>
      <c r="H182" s="107"/>
      <c r="I182" s="55">
        <f t="shared" si="129"/>
        <v>0</v>
      </c>
      <c r="J182" s="16">
        <f>E182-I182</f>
        <v>28.749999999999996</v>
      </c>
      <c r="K182" s="14" t="s">
        <v>634</v>
      </c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5"/>
    </row>
    <row r="183" spans="1:26" x14ac:dyDescent="0.25">
      <c r="A183" s="184"/>
      <c r="B183" s="184"/>
      <c r="C183" s="185"/>
      <c r="D183" s="187"/>
      <c r="E183" s="189"/>
      <c r="F183" s="189" t="s">
        <v>94</v>
      </c>
      <c r="G183" s="107"/>
      <c r="H183" s="107"/>
      <c r="I183" s="55">
        <f t="shared" si="129"/>
        <v>0</v>
      </c>
      <c r="J183" s="16">
        <f>E182-I183</f>
        <v>28.749999999999996</v>
      </c>
      <c r="K183" s="3" t="s">
        <v>635</v>
      </c>
      <c r="L183" s="135"/>
      <c r="M183" s="135"/>
      <c r="N183" s="135"/>
      <c r="O183" s="135"/>
      <c r="P183" s="135"/>
      <c r="Q183" s="135"/>
      <c r="R183" s="135"/>
      <c r="S183" s="135"/>
      <c r="T183" s="135"/>
      <c r="U183" s="135"/>
      <c r="V183" s="135"/>
      <c r="W183" s="135"/>
      <c r="X183" s="135"/>
      <c r="Y183" s="135"/>
      <c r="Z183" s="4"/>
    </row>
    <row r="184" spans="1:26" x14ac:dyDescent="0.25">
      <c r="A184" s="184"/>
      <c r="B184" s="184"/>
      <c r="C184" s="185"/>
      <c r="D184" s="190" t="s">
        <v>7</v>
      </c>
      <c r="E184" s="188">
        <v>28.749999999999996</v>
      </c>
      <c r="F184" s="188" t="s">
        <v>1</v>
      </c>
      <c r="G184" s="107">
        <v>7</v>
      </c>
      <c r="H184" s="107">
        <v>7</v>
      </c>
      <c r="I184" s="55">
        <f t="shared" si="129"/>
        <v>29</v>
      </c>
      <c r="J184" s="16">
        <f>E184-I184</f>
        <v>-0.25000000000000355</v>
      </c>
      <c r="K184" s="6" t="s">
        <v>98</v>
      </c>
      <c r="L184" s="140"/>
      <c r="M184" s="140"/>
      <c r="N184" s="140"/>
      <c r="O184" s="140"/>
      <c r="P184" s="140"/>
      <c r="Q184" s="140"/>
      <c r="R184" s="140">
        <v>29</v>
      </c>
      <c r="S184" s="140"/>
      <c r="T184" s="140"/>
      <c r="U184" s="140"/>
      <c r="V184" s="140"/>
      <c r="W184" s="140"/>
      <c r="X184" s="140"/>
      <c r="Y184" s="140"/>
      <c r="Z184" s="5"/>
    </row>
    <row r="185" spans="1:26" x14ac:dyDescent="0.25">
      <c r="A185" s="184"/>
      <c r="B185" s="184"/>
      <c r="C185" s="185"/>
      <c r="D185" s="191"/>
      <c r="E185" s="189"/>
      <c r="F185" s="189" t="s">
        <v>94</v>
      </c>
      <c r="G185" s="107"/>
      <c r="H185" s="107"/>
      <c r="I185" s="55">
        <f t="shared" si="129"/>
        <v>0</v>
      </c>
      <c r="J185" s="16">
        <f>E184-I185</f>
        <v>28.749999999999996</v>
      </c>
      <c r="K185" s="3" t="s">
        <v>99</v>
      </c>
      <c r="L185" s="135"/>
      <c r="M185" s="135"/>
      <c r="N185" s="135"/>
      <c r="O185" s="135"/>
      <c r="P185" s="135"/>
      <c r="Q185" s="135"/>
      <c r="R185" s="135"/>
      <c r="S185" s="135"/>
      <c r="T185" s="135"/>
      <c r="U185" s="135"/>
      <c r="V185" s="135"/>
      <c r="W185" s="135"/>
      <c r="X185" s="135"/>
      <c r="Y185" s="135"/>
      <c r="Z185" s="4"/>
    </row>
    <row r="186" spans="1:26" x14ac:dyDescent="0.25">
      <c r="A186" s="184" t="s">
        <v>32</v>
      </c>
      <c r="B186" s="184" t="s">
        <v>33</v>
      </c>
      <c r="C186" s="185" t="s">
        <v>61</v>
      </c>
      <c r="D186" s="186" t="s">
        <v>6</v>
      </c>
      <c r="E186" s="188">
        <v>224</v>
      </c>
      <c r="F186" s="188" t="s">
        <v>1</v>
      </c>
      <c r="G186" s="107"/>
      <c r="H186" s="107"/>
      <c r="I186" s="55">
        <f t="shared" si="129"/>
        <v>0</v>
      </c>
      <c r="J186" s="16">
        <f>E186-I186</f>
        <v>224</v>
      </c>
      <c r="K186" s="14" t="s">
        <v>634</v>
      </c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5"/>
    </row>
    <row r="187" spans="1:26" x14ac:dyDescent="0.25">
      <c r="A187" s="184"/>
      <c r="B187" s="184"/>
      <c r="C187" s="185"/>
      <c r="D187" s="187"/>
      <c r="E187" s="189"/>
      <c r="F187" s="189" t="s">
        <v>94</v>
      </c>
      <c r="G187" s="107"/>
      <c r="H187" s="107"/>
      <c r="I187" s="55">
        <f t="shared" si="129"/>
        <v>0</v>
      </c>
      <c r="J187" s="16">
        <f>E186-I187</f>
        <v>224</v>
      </c>
      <c r="K187" s="3" t="s">
        <v>635</v>
      </c>
      <c r="L187" s="135"/>
      <c r="M187" s="135"/>
      <c r="N187" s="135"/>
      <c r="O187" s="135"/>
      <c r="P187" s="135"/>
      <c r="Q187" s="135"/>
      <c r="R187" s="135"/>
      <c r="S187" s="135"/>
      <c r="T187" s="135"/>
      <c r="U187" s="135"/>
      <c r="V187" s="135"/>
      <c r="W187" s="135"/>
      <c r="X187" s="135"/>
      <c r="Y187" s="135"/>
      <c r="Z187" s="4"/>
    </row>
    <row r="188" spans="1:26" x14ac:dyDescent="0.25">
      <c r="A188" s="184"/>
      <c r="B188" s="184"/>
      <c r="C188" s="185"/>
      <c r="D188" s="190" t="s">
        <v>7</v>
      </c>
      <c r="E188" s="188">
        <v>224</v>
      </c>
      <c r="F188" s="188" t="s">
        <v>1</v>
      </c>
      <c r="G188" s="107">
        <v>6</v>
      </c>
      <c r="H188" s="107">
        <v>6</v>
      </c>
      <c r="I188" s="55">
        <f t="shared" si="129"/>
        <v>224</v>
      </c>
      <c r="J188" s="16">
        <f>E188-I188</f>
        <v>0</v>
      </c>
      <c r="K188" s="6" t="s">
        <v>98</v>
      </c>
      <c r="L188" s="140"/>
      <c r="M188" s="140"/>
      <c r="N188" s="140"/>
      <c r="O188" s="140"/>
      <c r="P188" s="140"/>
      <c r="Q188" s="140">
        <v>224</v>
      </c>
      <c r="R188" s="140"/>
      <c r="S188" s="140"/>
      <c r="T188" s="140"/>
      <c r="U188" s="140"/>
      <c r="V188" s="140"/>
      <c r="W188" s="140"/>
      <c r="X188" s="140"/>
      <c r="Y188" s="140"/>
      <c r="Z188" s="5"/>
    </row>
    <row r="189" spans="1:26" x14ac:dyDescent="0.25">
      <c r="A189" s="184"/>
      <c r="B189" s="184"/>
      <c r="C189" s="185"/>
      <c r="D189" s="191"/>
      <c r="E189" s="189"/>
      <c r="F189" s="189" t="s">
        <v>94</v>
      </c>
      <c r="G189" s="107"/>
      <c r="H189" s="107"/>
      <c r="I189" s="55">
        <f t="shared" si="129"/>
        <v>0</v>
      </c>
      <c r="J189" s="16">
        <f>E188-I189</f>
        <v>224</v>
      </c>
      <c r="K189" s="3" t="s">
        <v>99</v>
      </c>
      <c r="L189" s="135"/>
      <c r="M189" s="135"/>
      <c r="N189" s="135"/>
      <c r="O189" s="135"/>
      <c r="P189" s="135"/>
      <c r="Q189" s="135"/>
      <c r="R189" s="135"/>
      <c r="S189" s="135"/>
      <c r="T189" s="135"/>
      <c r="U189" s="135"/>
      <c r="V189" s="135"/>
      <c r="W189" s="135"/>
      <c r="X189" s="135"/>
      <c r="Y189" s="135"/>
      <c r="Z189" s="4"/>
    </row>
    <row r="190" spans="1:26" x14ac:dyDescent="0.25">
      <c r="A190" s="184"/>
      <c r="B190" s="184" t="s">
        <v>34</v>
      </c>
      <c r="C190" s="184" t="s">
        <v>45</v>
      </c>
      <c r="D190" s="186" t="s">
        <v>6</v>
      </c>
      <c r="E190" s="188">
        <v>101</v>
      </c>
      <c r="F190" s="188" t="s">
        <v>1</v>
      </c>
      <c r="G190" s="107"/>
      <c r="H190" s="107"/>
      <c r="I190" s="55">
        <f t="shared" si="129"/>
        <v>0</v>
      </c>
      <c r="J190" s="16">
        <f>E190-I190</f>
        <v>101</v>
      </c>
      <c r="K190" s="14" t="s">
        <v>634</v>
      </c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5"/>
    </row>
    <row r="191" spans="1:26" x14ac:dyDescent="0.25">
      <c r="A191" s="184"/>
      <c r="B191" s="184"/>
      <c r="C191" s="184"/>
      <c r="D191" s="187"/>
      <c r="E191" s="189"/>
      <c r="F191" s="189"/>
      <c r="G191" s="107"/>
      <c r="H191" s="107"/>
      <c r="I191" s="55">
        <f t="shared" si="129"/>
        <v>0</v>
      </c>
      <c r="J191" s="16">
        <f>E190-I191</f>
        <v>101</v>
      </c>
      <c r="K191" s="3" t="s">
        <v>635</v>
      </c>
      <c r="L191" s="135"/>
      <c r="M191" s="135"/>
      <c r="N191" s="135"/>
      <c r="O191" s="135"/>
      <c r="P191" s="135"/>
      <c r="Q191" s="135"/>
      <c r="R191" s="135"/>
      <c r="S191" s="135"/>
      <c r="T191" s="135"/>
      <c r="U191" s="135"/>
      <c r="V191" s="135"/>
      <c r="W191" s="135"/>
      <c r="X191" s="135"/>
      <c r="Y191" s="135"/>
      <c r="Z191" s="4"/>
    </row>
    <row r="192" spans="1:26" x14ac:dyDescent="0.25">
      <c r="A192" s="184"/>
      <c r="B192" s="184"/>
      <c r="C192" s="184"/>
      <c r="D192" s="190" t="s">
        <v>7</v>
      </c>
      <c r="E192" s="188">
        <v>101</v>
      </c>
      <c r="F192" s="188" t="s">
        <v>1</v>
      </c>
      <c r="G192" s="107">
        <v>2</v>
      </c>
      <c r="H192" s="107">
        <v>3</v>
      </c>
      <c r="I192" s="55">
        <f t="shared" si="129"/>
        <v>101</v>
      </c>
      <c r="J192" s="16">
        <f>E192-I192</f>
        <v>0</v>
      </c>
      <c r="K192" s="6" t="s">
        <v>98</v>
      </c>
      <c r="L192" s="140"/>
      <c r="M192" s="140">
        <v>10</v>
      </c>
      <c r="N192" s="140">
        <v>91</v>
      </c>
      <c r="O192" s="140"/>
      <c r="P192" s="140"/>
      <c r="Q192" s="140"/>
      <c r="R192" s="140"/>
      <c r="S192" s="140"/>
      <c r="T192" s="140"/>
      <c r="U192" s="140"/>
      <c r="V192" s="140"/>
      <c r="W192" s="140"/>
      <c r="X192" s="140"/>
      <c r="Y192" s="140"/>
      <c r="Z192" s="5"/>
    </row>
    <row r="193" spans="1:26" x14ac:dyDescent="0.25">
      <c r="A193" s="184"/>
      <c r="B193" s="184"/>
      <c r="C193" s="184"/>
      <c r="D193" s="191"/>
      <c r="E193" s="189"/>
      <c r="F193" s="189"/>
      <c r="G193" s="107"/>
      <c r="H193" s="107"/>
      <c r="I193" s="55">
        <f t="shared" si="129"/>
        <v>0</v>
      </c>
      <c r="J193" s="16">
        <f>E192-I193</f>
        <v>101</v>
      </c>
      <c r="K193" s="3" t="s">
        <v>99</v>
      </c>
      <c r="L193" s="135"/>
      <c r="M193" s="135"/>
      <c r="N193" s="135"/>
      <c r="O193" s="135"/>
      <c r="P193" s="135"/>
      <c r="Q193" s="135"/>
      <c r="R193" s="135"/>
      <c r="S193" s="135"/>
      <c r="T193" s="135"/>
      <c r="U193" s="135"/>
      <c r="V193" s="135"/>
      <c r="W193" s="135"/>
      <c r="X193" s="135"/>
      <c r="Y193" s="135"/>
      <c r="Z193" s="4"/>
    </row>
    <row r="194" spans="1:26" x14ac:dyDescent="0.25">
      <c r="A194" s="184"/>
      <c r="B194" s="184" t="s">
        <v>35</v>
      </c>
      <c r="C194" s="185" t="s">
        <v>65</v>
      </c>
      <c r="D194" s="186" t="s">
        <v>6</v>
      </c>
      <c r="E194" s="188">
        <v>95</v>
      </c>
      <c r="F194" s="188" t="s">
        <v>1</v>
      </c>
      <c r="G194" s="107"/>
      <c r="H194" s="107"/>
      <c r="I194" s="55">
        <f t="shared" si="129"/>
        <v>0</v>
      </c>
      <c r="J194" s="16">
        <f>E194-I194</f>
        <v>95</v>
      </c>
      <c r="K194" s="14" t="s">
        <v>634</v>
      </c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5"/>
    </row>
    <row r="195" spans="1:26" x14ac:dyDescent="0.25">
      <c r="A195" s="184"/>
      <c r="B195" s="184"/>
      <c r="C195" s="185"/>
      <c r="D195" s="187"/>
      <c r="E195" s="189"/>
      <c r="F195" s="189"/>
      <c r="G195" s="107"/>
      <c r="H195" s="107"/>
      <c r="I195" s="55">
        <f t="shared" si="129"/>
        <v>0</v>
      </c>
      <c r="J195" s="16">
        <f>E194-I195</f>
        <v>95</v>
      </c>
      <c r="K195" s="3" t="s">
        <v>635</v>
      </c>
      <c r="L195" s="135"/>
      <c r="M195" s="135"/>
      <c r="N195" s="135"/>
      <c r="O195" s="135"/>
      <c r="P195" s="135"/>
      <c r="Q195" s="135"/>
      <c r="R195" s="135"/>
      <c r="S195" s="135"/>
      <c r="T195" s="135"/>
      <c r="U195" s="135"/>
      <c r="V195" s="135"/>
      <c r="W195" s="135"/>
      <c r="X195" s="135"/>
      <c r="Y195" s="135"/>
      <c r="Z195" s="4"/>
    </row>
    <row r="196" spans="1:26" x14ac:dyDescent="0.25">
      <c r="A196" s="184"/>
      <c r="B196" s="184"/>
      <c r="C196" s="185"/>
      <c r="D196" s="190" t="s">
        <v>7</v>
      </c>
      <c r="E196" s="188">
        <v>95</v>
      </c>
      <c r="F196" s="188" t="s">
        <v>1</v>
      </c>
      <c r="G196" s="107">
        <v>7</v>
      </c>
      <c r="H196" s="107">
        <v>7</v>
      </c>
      <c r="I196" s="55">
        <f t="shared" si="129"/>
        <v>95</v>
      </c>
      <c r="J196" s="16">
        <f>E196-I196</f>
        <v>0</v>
      </c>
      <c r="K196" s="6" t="s">
        <v>98</v>
      </c>
      <c r="L196" s="140"/>
      <c r="M196" s="140"/>
      <c r="N196" s="140"/>
      <c r="O196" s="140"/>
      <c r="P196" s="140"/>
      <c r="Q196" s="140"/>
      <c r="R196" s="140">
        <v>95</v>
      </c>
      <c r="S196" s="140"/>
      <c r="T196" s="140"/>
      <c r="U196" s="140"/>
      <c r="V196" s="140"/>
      <c r="W196" s="140"/>
      <c r="X196" s="140"/>
      <c r="Y196" s="140"/>
      <c r="Z196" s="5"/>
    </row>
    <row r="197" spans="1:26" x14ac:dyDescent="0.25">
      <c r="A197" s="184"/>
      <c r="B197" s="184"/>
      <c r="C197" s="185"/>
      <c r="D197" s="191"/>
      <c r="E197" s="189">
        <v>92.25</v>
      </c>
      <c r="F197" s="189" t="s">
        <v>1</v>
      </c>
      <c r="G197" s="107"/>
      <c r="H197" s="107"/>
      <c r="I197" s="55">
        <f t="shared" si="129"/>
        <v>0</v>
      </c>
      <c r="J197" s="16">
        <f>E196-I197</f>
        <v>95</v>
      </c>
      <c r="K197" s="3" t="s">
        <v>99</v>
      </c>
      <c r="L197" s="135"/>
      <c r="M197" s="135"/>
      <c r="N197" s="135"/>
      <c r="O197" s="135"/>
      <c r="P197" s="135"/>
      <c r="Q197" s="135"/>
      <c r="R197" s="135"/>
      <c r="S197" s="135"/>
      <c r="T197" s="135"/>
      <c r="U197" s="135"/>
      <c r="V197" s="135"/>
      <c r="W197" s="135"/>
      <c r="X197" s="135"/>
      <c r="Y197" s="135"/>
      <c r="Z197" s="4"/>
    </row>
    <row r="198" spans="1:26" x14ac:dyDescent="0.25">
      <c r="A198" s="184" t="s">
        <v>36</v>
      </c>
      <c r="B198" s="184" t="s">
        <v>37</v>
      </c>
      <c r="C198" s="185" t="s">
        <v>61</v>
      </c>
      <c r="D198" s="186" t="s">
        <v>6</v>
      </c>
      <c r="E198" s="188">
        <v>115</v>
      </c>
      <c r="F198" s="188" t="s">
        <v>1</v>
      </c>
      <c r="G198" s="107"/>
      <c r="H198" s="107"/>
      <c r="I198" s="55">
        <f t="shared" si="129"/>
        <v>0</v>
      </c>
      <c r="J198" s="16">
        <f>E198-I198</f>
        <v>115</v>
      </c>
      <c r="K198" s="14" t="s">
        <v>634</v>
      </c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5"/>
    </row>
    <row r="199" spans="1:26" x14ac:dyDescent="0.25">
      <c r="A199" s="184"/>
      <c r="B199" s="184"/>
      <c r="C199" s="185"/>
      <c r="D199" s="187"/>
      <c r="E199" s="189"/>
      <c r="F199" s="189"/>
      <c r="G199" s="107"/>
      <c r="H199" s="107"/>
      <c r="I199" s="55">
        <f t="shared" si="129"/>
        <v>0</v>
      </c>
      <c r="J199" s="16">
        <f>E198-I199</f>
        <v>115</v>
      </c>
      <c r="K199" s="3" t="s">
        <v>635</v>
      </c>
      <c r="L199" s="135"/>
      <c r="M199" s="135"/>
      <c r="N199" s="135"/>
      <c r="O199" s="135"/>
      <c r="P199" s="135"/>
      <c r="Q199" s="135"/>
      <c r="R199" s="135"/>
      <c r="S199" s="135"/>
      <c r="T199" s="135"/>
      <c r="U199" s="135"/>
      <c r="V199" s="135"/>
      <c r="W199" s="135"/>
      <c r="X199" s="135"/>
      <c r="Y199" s="135"/>
      <c r="Z199" s="4"/>
    </row>
    <row r="200" spans="1:26" x14ac:dyDescent="0.25">
      <c r="A200" s="184"/>
      <c r="B200" s="184"/>
      <c r="C200" s="185"/>
      <c r="D200" s="190" t="s">
        <v>7</v>
      </c>
      <c r="E200" s="188">
        <v>115</v>
      </c>
      <c r="F200" s="188" t="s">
        <v>1</v>
      </c>
      <c r="G200" s="107">
        <v>8</v>
      </c>
      <c r="H200" s="107">
        <v>8</v>
      </c>
      <c r="I200" s="55">
        <f t="shared" si="129"/>
        <v>115</v>
      </c>
      <c r="J200" s="16">
        <f>E200-I200</f>
        <v>0</v>
      </c>
      <c r="K200" s="6" t="s">
        <v>98</v>
      </c>
      <c r="L200" s="140"/>
      <c r="M200" s="140"/>
      <c r="N200" s="140"/>
      <c r="O200" s="140"/>
      <c r="P200" s="140"/>
      <c r="Q200" s="140"/>
      <c r="R200" s="140"/>
      <c r="S200" s="140">
        <v>115</v>
      </c>
      <c r="T200" s="140"/>
      <c r="U200" s="140"/>
      <c r="V200" s="140"/>
      <c r="W200" s="140"/>
      <c r="X200" s="140"/>
      <c r="Y200" s="140"/>
      <c r="Z200" s="5"/>
    </row>
    <row r="201" spans="1:26" x14ac:dyDescent="0.25">
      <c r="A201" s="184"/>
      <c r="B201" s="184"/>
      <c r="C201" s="185"/>
      <c r="D201" s="191"/>
      <c r="E201" s="189">
        <v>91.34999999999998</v>
      </c>
      <c r="F201" s="189" t="s">
        <v>1</v>
      </c>
      <c r="G201" s="107"/>
      <c r="H201" s="107"/>
      <c r="I201" s="55">
        <f t="shared" si="129"/>
        <v>0</v>
      </c>
      <c r="J201" s="16">
        <f>E200-I201</f>
        <v>115</v>
      </c>
      <c r="K201" s="3" t="s">
        <v>99</v>
      </c>
      <c r="L201" s="135"/>
      <c r="M201" s="135"/>
      <c r="N201" s="135"/>
      <c r="O201" s="135"/>
      <c r="P201" s="135"/>
      <c r="Q201" s="135"/>
      <c r="R201" s="135"/>
      <c r="S201" s="135"/>
      <c r="T201" s="135"/>
      <c r="U201" s="135"/>
      <c r="V201" s="135"/>
      <c r="W201" s="135"/>
      <c r="X201" s="135"/>
      <c r="Y201" s="135"/>
      <c r="Z201" s="4"/>
    </row>
    <row r="202" spans="1:26" x14ac:dyDescent="0.25">
      <c r="A202" s="184"/>
      <c r="B202" s="184" t="s">
        <v>38</v>
      </c>
      <c r="C202" s="185" t="s">
        <v>61</v>
      </c>
      <c r="D202" s="186" t="s">
        <v>6</v>
      </c>
      <c r="E202" s="188">
        <v>71</v>
      </c>
      <c r="F202" s="188" t="s">
        <v>1</v>
      </c>
      <c r="G202" s="107"/>
      <c r="H202" s="107"/>
      <c r="I202" s="55">
        <f t="shared" si="129"/>
        <v>0</v>
      </c>
      <c r="J202" s="16">
        <f>E202-I202</f>
        <v>71</v>
      </c>
      <c r="K202" s="14" t="s">
        <v>634</v>
      </c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5"/>
    </row>
    <row r="203" spans="1:26" x14ac:dyDescent="0.25">
      <c r="A203" s="184"/>
      <c r="B203" s="184"/>
      <c r="C203" s="185"/>
      <c r="D203" s="187"/>
      <c r="E203" s="189"/>
      <c r="F203" s="189"/>
      <c r="G203" s="107"/>
      <c r="H203" s="107"/>
      <c r="I203" s="55">
        <f t="shared" si="129"/>
        <v>0</v>
      </c>
      <c r="J203" s="16">
        <f>E202-I203</f>
        <v>71</v>
      </c>
      <c r="K203" s="3" t="s">
        <v>635</v>
      </c>
      <c r="L203" s="135"/>
      <c r="M203" s="135"/>
      <c r="N203" s="135"/>
      <c r="O203" s="135"/>
      <c r="P203" s="135"/>
      <c r="Q203" s="135"/>
      <c r="R203" s="135"/>
      <c r="S203" s="135"/>
      <c r="T203" s="135"/>
      <c r="U203" s="135"/>
      <c r="V203" s="135"/>
      <c r="W203" s="135"/>
      <c r="X203" s="135"/>
      <c r="Y203" s="135"/>
      <c r="Z203" s="4"/>
    </row>
    <row r="204" spans="1:26" x14ac:dyDescent="0.25">
      <c r="A204" s="184"/>
      <c r="B204" s="184"/>
      <c r="C204" s="185"/>
      <c r="D204" s="190" t="s">
        <v>7</v>
      </c>
      <c r="E204" s="188">
        <v>71</v>
      </c>
      <c r="F204" s="188" t="s">
        <v>1</v>
      </c>
      <c r="G204" s="107">
        <v>8</v>
      </c>
      <c r="H204" s="107">
        <v>8</v>
      </c>
      <c r="I204" s="55">
        <f t="shared" si="129"/>
        <v>71</v>
      </c>
      <c r="J204" s="16">
        <f>E204-I204</f>
        <v>0</v>
      </c>
      <c r="K204" s="6" t="s">
        <v>98</v>
      </c>
      <c r="L204" s="140"/>
      <c r="M204" s="140"/>
      <c r="N204" s="140"/>
      <c r="O204" s="140"/>
      <c r="P204" s="140"/>
      <c r="Q204" s="140"/>
      <c r="R204" s="140"/>
      <c r="S204" s="140">
        <v>71</v>
      </c>
      <c r="T204" s="140"/>
      <c r="U204" s="140"/>
      <c r="V204" s="140"/>
      <c r="W204" s="140"/>
      <c r="X204" s="140"/>
      <c r="Y204" s="140"/>
      <c r="Z204" s="5"/>
    </row>
    <row r="205" spans="1:26" x14ac:dyDescent="0.25">
      <c r="A205" s="184"/>
      <c r="B205" s="184"/>
      <c r="C205" s="185"/>
      <c r="D205" s="191"/>
      <c r="E205" s="189">
        <v>71</v>
      </c>
      <c r="F205" s="189" t="s">
        <v>1</v>
      </c>
      <c r="G205" s="107"/>
      <c r="H205" s="107"/>
      <c r="I205" s="55">
        <f t="shared" si="129"/>
        <v>0</v>
      </c>
      <c r="J205" s="16">
        <f>E204-I205</f>
        <v>71</v>
      </c>
      <c r="K205" s="3" t="s">
        <v>99</v>
      </c>
      <c r="L205" s="135"/>
      <c r="M205" s="135"/>
      <c r="N205" s="135"/>
      <c r="O205" s="135"/>
      <c r="P205" s="135"/>
      <c r="Q205" s="135"/>
      <c r="R205" s="135"/>
      <c r="S205" s="135"/>
      <c r="T205" s="135"/>
      <c r="U205" s="135"/>
      <c r="V205" s="135"/>
      <c r="W205" s="135"/>
      <c r="X205" s="135"/>
      <c r="Y205" s="135"/>
      <c r="Z205" s="4"/>
    </row>
    <row r="206" spans="1:26" x14ac:dyDescent="0.25">
      <c r="A206" s="2" t="s">
        <v>39</v>
      </c>
      <c r="B206" s="2"/>
      <c r="C206" s="2"/>
      <c r="D206" s="4"/>
      <c r="E206" s="58"/>
      <c r="F206" s="58"/>
      <c r="G206" s="107"/>
      <c r="H206" s="107"/>
      <c r="I206" s="55"/>
      <c r="J206" s="16"/>
      <c r="K206" s="3"/>
      <c r="L206" s="135"/>
      <c r="M206" s="135"/>
      <c r="N206" s="135"/>
      <c r="O206" s="135"/>
      <c r="P206" s="135"/>
      <c r="Q206" s="135"/>
      <c r="R206" s="135"/>
      <c r="S206" s="135"/>
      <c r="T206" s="135"/>
      <c r="U206" s="135"/>
      <c r="V206" s="135"/>
      <c r="W206" s="135"/>
      <c r="X206" s="135"/>
      <c r="Y206" s="135"/>
      <c r="Z206" s="4"/>
    </row>
    <row r="207" spans="1:26" x14ac:dyDescent="0.25">
      <c r="A207" s="192" t="s">
        <v>40</v>
      </c>
      <c r="B207" s="184" t="s">
        <v>42</v>
      </c>
      <c r="C207" s="185" t="s">
        <v>66</v>
      </c>
      <c r="D207" s="186" t="s">
        <v>6</v>
      </c>
      <c r="E207" s="188">
        <v>105</v>
      </c>
      <c r="F207" s="188" t="s">
        <v>1</v>
      </c>
      <c r="G207" s="107"/>
      <c r="H207" s="107"/>
      <c r="I207" s="55">
        <f>SUM(L207:Y207)</f>
        <v>0</v>
      </c>
      <c r="J207" s="16">
        <f>E207-I207</f>
        <v>105</v>
      </c>
      <c r="K207" s="14" t="s">
        <v>634</v>
      </c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5"/>
    </row>
    <row r="208" spans="1:26" x14ac:dyDescent="0.25">
      <c r="A208" s="192"/>
      <c r="B208" s="184"/>
      <c r="C208" s="185"/>
      <c r="D208" s="187"/>
      <c r="E208" s="189"/>
      <c r="F208" s="189"/>
      <c r="G208" s="107"/>
      <c r="H208" s="107"/>
      <c r="I208" s="55">
        <f>SUM(L208:Y208)</f>
        <v>0</v>
      </c>
      <c r="J208" s="16">
        <f>E207-I208</f>
        <v>105</v>
      </c>
      <c r="K208" s="3" t="s">
        <v>635</v>
      </c>
      <c r="L208" s="135"/>
      <c r="M208" s="135"/>
      <c r="N208" s="135"/>
      <c r="O208" s="135"/>
      <c r="P208" s="135"/>
      <c r="Q208" s="135"/>
      <c r="R208" s="135"/>
      <c r="S208" s="135"/>
      <c r="T208" s="135"/>
      <c r="U208" s="135"/>
      <c r="V208" s="135"/>
      <c r="W208" s="135"/>
      <c r="X208" s="135"/>
      <c r="Y208" s="135"/>
      <c r="Z208" s="4"/>
    </row>
    <row r="209" spans="1:26" x14ac:dyDescent="0.25">
      <c r="A209" s="192"/>
      <c r="B209" s="184"/>
      <c r="C209" s="185"/>
      <c r="D209" s="190" t="s">
        <v>7</v>
      </c>
      <c r="E209" s="188">
        <v>105</v>
      </c>
      <c r="F209" s="188" t="s">
        <v>1</v>
      </c>
      <c r="G209" s="107">
        <v>7</v>
      </c>
      <c r="H209" s="107">
        <v>7</v>
      </c>
      <c r="I209" s="55">
        <f>SUM(L209:Y209)</f>
        <v>105</v>
      </c>
      <c r="J209" s="16">
        <f>E209-I209</f>
        <v>0</v>
      </c>
      <c r="K209" s="6" t="s">
        <v>98</v>
      </c>
      <c r="L209" s="140"/>
      <c r="M209" s="140"/>
      <c r="N209" s="140"/>
      <c r="O209" s="140"/>
      <c r="P209" s="140"/>
      <c r="Q209" s="140"/>
      <c r="R209" s="140">
        <v>105</v>
      </c>
      <c r="S209" s="140"/>
      <c r="T209" s="140"/>
      <c r="U209" s="140"/>
      <c r="V209" s="140"/>
      <c r="W209" s="140"/>
      <c r="X209" s="140"/>
      <c r="Y209" s="140"/>
      <c r="Z209" s="5"/>
    </row>
    <row r="210" spans="1:26" x14ac:dyDescent="0.25">
      <c r="A210" s="192"/>
      <c r="B210" s="184"/>
      <c r="C210" s="185"/>
      <c r="D210" s="191"/>
      <c r="E210" s="189"/>
      <c r="F210" s="189"/>
      <c r="G210" s="107"/>
      <c r="H210" s="107"/>
      <c r="I210" s="55">
        <f>SUM(L210:Y210)</f>
        <v>0</v>
      </c>
      <c r="J210" s="16">
        <f>E209-I210</f>
        <v>105</v>
      </c>
      <c r="K210" s="3" t="s">
        <v>99</v>
      </c>
      <c r="L210" s="135"/>
      <c r="M210" s="135"/>
      <c r="N210" s="135"/>
      <c r="O210" s="135"/>
      <c r="P210" s="135"/>
      <c r="Q210" s="135"/>
      <c r="R210" s="135"/>
      <c r="S210" s="135"/>
      <c r="T210" s="135"/>
      <c r="U210" s="135"/>
      <c r="V210" s="135"/>
      <c r="W210" s="135"/>
      <c r="X210" s="135"/>
      <c r="Y210" s="135"/>
      <c r="Z210" s="4"/>
    </row>
    <row r="211" spans="1:26" x14ac:dyDescent="0.25">
      <c r="A211" s="2" t="s">
        <v>60</v>
      </c>
      <c r="B211" s="2"/>
      <c r="C211" s="2"/>
      <c r="D211" s="4"/>
      <c r="E211" s="4"/>
      <c r="F211" s="4"/>
      <c r="G211" s="107"/>
      <c r="H211" s="107"/>
      <c r="I211" s="55"/>
      <c r="J211" s="16"/>
      <c r="K211" s="4"/>
      <c r="L211" s="135"/>
      <c r="M211" s="135"/>
      <c r="N211" s="135"/>
      <c r="O211" s="135"/>
      <c r="P211" s="135"/>
      <c r="Q211" s="135"/>
      <c r="R211" s="135"/>
      <c r="S211" s="135"/>
      <c r="T211" s="135"/>
      <c r="U211" s="135"/>
      <c r="V211" s="135"/>
      <c r="W211" s="135"/>
      <c r="X211" s="135"/>
      <c r="Y211" s="135"/>
      <c r="Z211" s="4"/>
    </row>
    <row r="212" spans="1:26" x14ac:dyDescent="0.25">
      <c r="A212" s="184" t="s">
        <v>47</v>
      </c>
      <c r="B212" s="184" t="s">
        <v>48</v>
      </c>
      <c r="C212" s="185" t="s">
        <v>66</v>
      </c>
      <c r="D212" s="186" t="s">
        <v>6</v>
      </c>
      <c r="E212" s="188">
        <v>608</v>
      </c>
      <c r="F212" s="188" t="s">
        <v>1</v>
      </c>
      <c r="G212" s="107"/>
      <c r="H212" s="107"/>
      <c r="I212" s="55">
        <f t="shared" ref="I212:I227" si="130">SUM(L212:Y212)</f>
        <v>0</v>
      </c>
      <c r="J212" s="16">
        <f>E212-I212</f>
        <v>608</v>
      </c>
      <c r="K212" s="14" t="s">
        <v>634</v>
      </c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5"/>
    </row>
    <row r="213" spans="1:26" x14ac:dyDescent="0.25">
      <c r="A213" s="184"/>
      <c r="B213" s="184"/>
      <c r="C213" s="185"/>
      <c r="D213" s="187"/>
      <c r="E213" s="189"/>
      <c r="F213" s="189"/>
      <c r="G213" s="107"/>
      <c r="H213" s="107"/>
      <c r="I213" s="55">
        <f t="shared" si="130"/>
        <v>0</v>
      </c>
      <c r="J213" s="16">
        <f>E212-I213</f>
        <v>608</v>
      </c>
      <c r="K213" s="3" t="s">
        <v>635</v>
      </c>
      <c r="L213" s="135"/>
      <c r="M213" s="135"/>
      <c r="N213" s="135"/>
      <c r="O213" s="135"/>
      <c r="P213" s="135"/>
      <c r="Q213" s="135"/>
      <c r="R213" s="135"/>
      <c r="S213" s="135"/>
      <c r="T213" s="135"/>
      <c r="U213" s="135"/>
      <c r="V213" s="135"/>
      <c r="W213" s="135"/>
      <c r="X213" s="135"/>
      <c r="Y213" s="135"/>
      <c r="Z213" s="4"/>
    </row>
    <row r="214" spans="1:26" x14ac:dyDescent="0.25">
      <c r="A214" s="184"/>
      <c r="B214" s="184"/>
      <c r="C214" s="185"/>
      <c r="D214" s="190" t="s">
        <v>7</v>
      </c>
      <c r="E214" s="188">
        <v>608</v>
      </c>
      <c r="F214" s="188" t="s">
        <v>1</v>
      </c>
      <c r="G214" s="107">
        <v>2</v>
      </c>
      <c r="H214" s="107">
        <v>5</v>
      </c>
      <c r="I214" s="55">
        <f t="shared" si="130"/>
        <v>608</v>
      </c>
      <c r="J214" s="16">
        <f>E214-I214</f>
        <v>0</v>
      </c>
      <c r="K214" s="6" t="s">
        <v>98</v>
      </c>
      <c r="L214" s="140"/>
      <c r="M214" s="140">
        <v>140</v>
      </c>
      <c r="N214" s="140">
        <v>180</v>
      </c>
      <c r="O214" s="140">
        <v>200</v>
      </c>
      <c r="P214" s="140">
        <v>88</v>
      </c>
      <c r="Q214" s="140"/>
      <c r="R214" s="140"/>
      <c r="S214" s="140"/>
      <c r="T214" s="140"/>
      <c r="U214" s="140"/>
      <c r="V214" s="140"/>
      <c r="W214" s="140"/>
      <c r="X214" s="140"/>
      <c r="Y214" s="140"/>
      <c r="Z214" s="5"/>
    </row>
    <row r="215" spans="1:26" x14ac:dyDescent="0.25">
      <c r="A215" s="184"/>
      <c r="B215" s="184"/>
      <c r="C215" s="185"/>
      <c r="D215" s="191" t="s">
        <v>7</v>
      </c>
      <c r="E215" s="189"/>
      <c r="F215" s="189"/>
      <c r="G215" s="107"/>
      <c r="H215" s="107"/>
      <c r="I215" s="55">
        <f t="shared" si="130"/>
        <v>0</v>
      </c>
      <c r="J215" s="16">
        <f>E214-I215</f>
        <v>608</v>
      </c>
      <c r="K215" s="3" t="s">
        <v>99</v>
      </c>
      <c r="L215" s="135"/>
      <c r="M215" s="135"/>
      <c r="N215" s="135"/>
      <c r="O215" s="135"/>
      <c r="P215" s="135"/>
      <c r="Q215" s="135"/>
      <c r="R215" s="135"/>
      <c r="S215" s="135"/>
      <c r="T215" s="135"/>
      <c r="U215" s="135"/>
      <c r="V215" s="135"/>
      <c r="W215" s="135"/>
      <c r="X215" s="135"/>
      <c r="Y215" s="135"/>
      <c r="Z215" s="4"/>
    </row>
    <row r="216" spans="1:26" x14ac:dyDescent="0.25">
      <c r="A216" s="184" t="s">
        <v>49</v>
      </c>
      <c r="B216" s="184" t="s">
        <v>50</v>
      </c>
      <c r="C216" s="185" t="s">
        <v>67</v>
      </c>
      <c r="D216" s="186" t="s">
        <v>6</v>
      </c>
      <c r="E216" s="188">
        <v>267</v>
      </c>
      <c r="F216" s="188" t="s">
        <v>1</v>
      </c>
      <c r="G216" s="107"/>
      <c r="H216" s="107"/>
      <c r="I216" s="55">
        <f t="shared" si="130"/>
        <v>0</v>
      </c>
      <c r="J216" s="16">
        <f>E216-I216</f>
        <v>267</v>
      </c>
      <c r="K216" s="14" t="s">
        <v>634</v>
      </c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5"/>
    </row>
    <row r="217" spans="1:26" x14ac:dyDescent="0.25">
      <c r="A217" s="184"/>
      <c r="B217" s="184"/>
      <c r="C217" s="185"/>
      <c r="D217" s="187"/>
      <c r="E217" s="189"/>
      <c r="F217" s="189"/>
      <c r="G217" s="107"/>
      <c r="H217" s="107"/>
      <c r="I217" s="55">
        <f t="shared" si="130"/>
        <v>0</v>
      </c>
      <c r="J217" s="16">
        <f>E216-I217</f>
        <v>267</v>
      </c>
      <c r="K217" s="3" t="s">
        <v>635</v>
      </c>
      <c r="L217" s="135"/>
      <c r="M217" s="135"/>
      <c r="N217" s="135"/>
      <c r="O217" s="135"/>
      <c r="P217" s="135"/>
      <c r="Q217" s="135"/>
      <c r="R217" s="135"/>
      <c r="S217" s="135"/>
      <c r="T217" s="135"/>
      <c r="U217" s="135"/>
      <c r="V217" s="135"/>
      <c r="W217" s="135"/>
      <c r="X217" s="135"/>
      <c r="Y217" s="135"/>
      <c r="Z217" s="4"/>
    </row>
    <row r="218" spans="1:26" x14ac:dyDescent="0.25">
      <c r="A218" s="184"/>
      <c r="B218" s="184"/>
      <c r="C218" s="185"/>
      <c r="D218" s="190" t="s">
        <v>7</v>
      </c>
      <c r="E218" s="188">
        <v>267</v>
      </c>
      <c r="F218" s="188" t="s">
        <v>1</v>
      </c>
      <c r="G218" s="107">
        <v>5</v>
      </c>
      <c r="H218" s="107">
        <v>6</v>
      </c>
      <c r="I218" s="55">
        <f t="shared" si="130"/>
        <v>267</v>
      </c>
      <c r="J218" s="16">
        <f>E218-I218</f>
        <v>0</v>
      </c>
      <c r="K218" s="6" t="s">
        <v>98</v>
      </c>
      <c r="L218" s="140"/>
      <c r="M218" s="140"/>
      <c r="N218" s="140"/>
      <c r="O218" s="140">
        <v>150</v>
      </c>
      <c r="P218" s="140">
        <v>117</v>
      </c>
      <c r="Q218" s="140"/>
      <c r="R218" s="140"/>
      <c r="S218" s="140"/>
      <c r="T218" s="140"/>
      <c r="U218" s="140"/>
      <c r="V218" s="140"/>
      <c r="W218" s="140"/>
      <c r="X218" s="140"/>
      <c r="Y218" s="140"/>
      <c r="Z218" s="5"/>
    </row>
    <row r="219" spans="1:26" x14ac:dyDescent="0.25">
      <c r="A219" s="184"/>
      <c r="B219" s="184"/>
      <c r="C219" s="185"/>
      <c r="D219" s="191" t="s">
        <v>7</v>
      </c>
      <c r="E219" s="189"/>
      <c r="F219" s="189"/>
      <c r="G219" s="107"/>
      <c r="H219" s="107"/>
      <c r="I219" s="55">
        <f t="shared" si="130"/>
        <v>0</v>
      </c>
      <c r="J219" s="16">
        <f>E218-I219</f>
        <v>267</v>
      </c>
      <c r="K219" s="3" t="s">
        <v>99</v>
      </c>
      <c r="L219" s="135"/>
      <c r="M219" s="135"/>
      <c r="N219" s="135"/>
      <c r="O219" s="135"/>
      <c r="P219" s="135"/>
      <c r="Q219" s="135"/>
      <c r="R219" s="135"/>
      <c r="S219" s="135"/>
      <c r="T219" s="135"/>
      <c r="U219" s="135"/>
      <c r="V219" s="135"/>
      <c r="W219" s="135"/>
      <c r="X219" s="135"/>
      <c r="Y219" s="135"/>
      <c r="Z219" s="4"/>
    </row>
    <row r="220" spans="1:26" x14ac:dyDescent="0.25">
      <c r="A220" s="184" t="s">
        <v>51</v>
      </c>
      <c r="B220" s="184" t="s">
        <v>52</v>
      </c>
      <c r="C220" s="185" t="s">
        <v>68</v>
      </c>
      <c r="D220" s="186" t="s">
        <v>6</v>
      </c>
      <c r="E220" s="188">
        <v>119</v>
      </c>
      <c r="F220" s="188" t="s">
        <v>1</v>
      </c>
      <c r="G220" s="107"/>
      <c r="H220" s="107"/>
      <c r="I220" s="55">
        <f t="shared" si="130"/>
        <v>0</v>
      </c>
      <c r="J220" s="16">
        <f>E220-I220</f>
        <v>119</v>
      </c>
      <c r="K220" s="14" t="s">
        <v>634</v>
      </c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5"/>
    </row>
    <row r="221" spans="1:26" x14ac:dyDescent="0.25">
      <c r="A221" s="184"/>
      <c r="B221" s="184"/>
      <c r="C221" s="185"/>
      <c r="D221" s="187"/>
      <c r="E221" s="189"/>
      <c r="F221" s="189"/>
      <c r="G221" s="107"/>
      <c r="H221" s="107"/>
      <c r="I221" s="55">
        <f t="shared" si="130"/>
        <v>0</v>
      </c>
      <c r="J221" s="16">
        <f>E220-I221</f>
        <v>119</v>
      </c>
      <c r="K221" s="3" t="s">
        <v>635</v>
      </c>
      <c r="L221" s="135"/>
      <c r="M221" s="135"/>
      <c r="N221" s="135"/>
      <c r="O221" s="135"/>
      <c r="P221" s="135"/>
      <c r="Q221" s="135"/>
      <c r="R221" s="135"/>
      <c r="S221" s="135"/>
      <c r="T221" s="135"/>
      <c r="U221" s="135"/>
      <c r="V221" s="135"/>
      <c r="W221" s="135"/>
      <c r="X221" s="135"/>
      <c r="Y221" s="135"/>
      <c r="Z221" s="4"/>
    </row>
    <row r="222" spans="1:26" x14ac:dyDescent="0.25">
      <c r="A222" s="184"/>
      <c r="B222" s="184"/>
      <c r="C222" s="185"/>
      <c r="D222" s="190" t="s">
        <v>7</v>
      </c>
      <c r="E222" s="188">
        <v>119</v>
      </c>
      <c r="F222" s="188" t="s">
        <v>1</v>
      </c>
      <c r="G222" s="107">
        <v>4</v>
      </c>
      <c r="H222" s="107">
        <v>5</v>
      </c>
      <c r="I222" s="55">
        <f t="shared" si="130"/>
        <v>119</v>
      </c>
      <c r="J222" s="16">
        <f>E222-I222</f>
        <v>0</v>
      </c>
      <c r="K222" s="6" t="s">
        <v>98</v>
      </c>
      <c r="L222" s="140"/>
      <c r="M222" s="140"/>
      <c r="N222" s="140"/>
      <c r="O222" s="140">
        <v>34</v>
      </c>
      <c r="P222" s="140">
        <v>85</v>
      </c>
      <c r="Q222" s="140"/>
      <c r="R222" s="140"/>
      <c r="S222" s="140"/>
      <c r="T222" s="140"/>
      <c r="U222" s="140"/>
      <c r="V222" s="140"/>
      <c r="W222" s="140"/>
      <c r="X222" s="140"/>
      <c r="Y222" s="140"/>
      <c r="Z222" s="5"/>
    </row>
    <row r="223" spans="1:26" x14ac:dyDescent="0.25">
      <c r="A223" s="184"/>
      <c r="B223" s="184"/>
      <c r="C223" s="185"/>
      <c r="D223" s="191" t="s">
        <v>7</v>
      </c>
      <c r="E223" s="189"/>
      <c r="F223" s="189"/>
      <c r="G223" s="107"/>
      <c r="H223" s="107"/>
      <c r="I223" s="55">
        <f t="shared" si="130"/>
        <v>0</v>
      </c>
      <c r="J223" s="16">
        <f>E222-I223</f>
        <v>119</v>
      </c>
      <c r="K223" s="3" t="s">
        <v>99</v>
      </c>
      <c r="L223" s="135"/>
      <c r="M223" s="135"/>
      <c r="N223" s="135"/>
      <c r="O223" s="135"/>
      <c r="P223" s="135"/>
      <c r="Q223" s="135"/>
      <c r="R223" s="135"/>
      <c r="S223" s="135"/>
      <c r="T223" s="135"/>
      <c r="U223" s="135"/>
      <c r="V223" s="135"/>
      <c r="W223" s="135"/>
      <c r="X223" s="135"/>
      <c r="Y223" s="135"/>
      <c r="Z223" s="4"/>
    </row>
    <row r="224" spans="1:26" x14ac:dyDescent="0.25">
      <c r="A224" s="184" t="s">
        <v>56</v>
      </c>
      <c r="B224" s="184" t="s">
        <v>57</v>
      </c>
      <c r="C224" s="185" t="s">
        <v>69</v>
      </c>
      <c r="D224" s="186" t="s">
        <v>6</v>
      </c>
      <c r="E224" s="188">
        <v>222</v>
      </c>
      <c r="F224" s="188" t="s">
        <v>1</v>
      </c>
      <c r="G224" s="107"/>
      <c r="H224" s="107"/>
      <c r="I224" s="55">
        <f t="shared" si="130"/>
        <v>0</v>
      </c>
      <c r="J224" s="16">
        <f>E224-I224</f>
        <v>222</v>
      </c>
      <c r="K224" s="14" t="s">
        <v>634</v>
      </c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5"/>
    </row>
    <row r="225" spans="1:26" x14ac:dyDescent="0.25">
      <c r="A225" s="184"/>
      <c r="B225" s="184"/>
      <c r="C225" s="185"/>
      <c r="D225" s="187"/>
      <c r="E225" s="189"/>
      <c r="F225" s="189"/>
      <c r="G225" s="107"/>
      <c r="H225" s="107"/>
      <c r="I225" s="55">
        <f t="shared" si="130"/>
        <v>0</v>
      </c>
      <c r="J225" s="16">
        <f>E224-I225</f>
        <v>222</v>
      </c>
      <c r="K225" s="3" t="s">
        <v>635</v>
      </c>
      <c r="L225" s="135"/>
      <c r="M225" s="135"/>
      <c r="N225" s="135"/>
      <c r="O225" s="135"/>
      <c r="P225" s="135"/>
      <c r="Q225" s="135"/>
      <c r="R225" s="135"/>
      <c r="S225" s="135"/>
      <c r="T225" s="135"/>
      <c r="U225" s="135"/>
      <c r="V225" s="135"/>
      <c r="W225" s="135"/>
      <c r="X225" s="135"/>
      <c r="Y225" s="135"/>
      <c r="Z225" s="4"/>
    </row>
    <row r="226" spans="1:26" x14ac:dyDescent="0.25">
      <c r="A226" s="184"/>
      <c r="B226" s="184"/>
      <c r="C226" s="185"/>
      <c r="D226" s="190" t="s">
        <v>7</v>
      </c>
      <c r="E226" s="188">
        <v>222</v>
      </c>
      <c r="F226" s="188" t="s">
        <v>1</v>
      </c>
      <c r="G226" s="107">
        <v>3</v>
      </c>
      <c r="H226" s="107">
        <v>5</v>
      </c>
      <c r="I226" s="55">
        <f t="shared" si="130"/>
        <v>222</v>
      </c>
      <c r="J226" s="16">
        <f>E226-I226</f>
        <v>0</v>
      </c>
      <c r="K226" s="6" t="s">
        <v>98</v>
      </c>
      <c r="L226" s="140"/>
      <c r="M226" s="140"/>
      <c r="N226" s="140">
        <v>50</v>
      </c>
      <c r="O226" s="140">
        <v>117</v>
      </c>
      <c r="P226" s="140">
        <v>55</v>
      </c>
      <c r="Q226" s="140"/>
      <c r="R226" s="140"/>
      <c r="S226" s="140"/>
      <c r="T226" s="140"/>
      <c r="U226" s="140"/>
      <c r="V226" s="140"/>
      <c r="W226" s="140"/>
      <c r="X226" s="140"/>
      <c r="Y226" s="140"/>
      <c r="Z226" s="5"/>
    </row>
    <row r="227" spans="1:26" x14ac:dyDescent="0.25">
      <c r="A227" s="184"/>
      <c r="B227" s="184"/>
      <c r="C227" s="185"/>
      <c r="D227" s="191" t="s">
        <v>7</v>
      </c>
      <c r="E227" s="189"/>
      <c r="F227" s="189"/>
      <c r="G227" s="107"/>
      <c r="H227" s="107"/>
      <c r="I227" s="55">
        <f t="shared" si="130"/>
        <v>0</v>
      </c>
      <c r="J227" s="16">
        <f>E226-I227</f>
        <v>222</v>
      </c>
      <c r="K227" s="3" t="s">
        <v>99</v>
      </c>
      <c r="L227" s="135"/>
      <c r="M227" s="135"/>
      <c r="N227" s="135"/>
      <c r="O227" s="135"/>
      <c r="P227" s="135"/>
      <c r="Q227" s="135"/>
      <c r="R227" s="135"/>
      <c r="S227" s="135"/>
      <c r="T227" s="135"/>
      <c r="U227" s="135"/>
      <c r="V227" s="135"/>
      <c r="W227" s="135"/>
      <c r="X227" s="135"/>
      <c r="Y227" s="135"/>
      <c r="Z227" s="4"/>
    </row>
  </sheetData>
  <mergeCells count="438">
    <mergeCell ref="A17:C22"/>
    <mergeCell ref="D17:D19"/>
    <mergeCell ref="E17:E19"/>
    <mergeCell ref="F17:F19"/>
    <mergeCell ref="D20:D22"/>
    <mergeCell ref="E20:E22"/>
    <mergeCell ref="F20:F22"/>
    <mergeCell ref="A5:C10"/>
    <mergeCell ref="D5:D7"/>
    <mergeCell ref="E5:E7"/>
    <mergeCell ref="F5:F7"/>
    <mergeCell ref="D8:D10"/>
    <mergeCell ref="E8:E10"/>
    <mergeCell ref="F8:F10"/>
    <mergeCell ref="A11:C16"/>
    <mergeCell ref="D11:D13"/>
    <mergeCell ref="E11:E13"/>
    <mergeCell ref="F11:F13"/>
    <mergeCell ref="D14:D16"/>
    <mergeCell ref="E14:E16"/>
    <mergeCell ref="F14:F16"/>
    <mergeCell ref="A111:A114"/>
    <mergeCell ref="B111:B114"/>
    <mergeCell ref="C111:C114"/>
    <mergeCell ref="D111:D112"/>
    <mergeCell ref="E111:E112"/>
    <mergeCell ref="F111:F112"/>
    <mergeCell ref="D113:D114"/>
    <mergeCell ref="E113:E114"/>
    <mergeCell ref="F113:F114"/>
    <mergeCell ref="A107:A110"/>
    <mergeCell ref="B107:B110"/>
    <mergeCell ref="C107:C110"/>
    <mergeCell ref="D107:D108"/>
    <mergeCell ref="E107:E108"/>
    <mergeCell ref="F107:F108"/>
    <mergeCell ref="D109:D110"/>
    <mergeCell ref="E109:E110"/>
    <mergeCell ref="F109:F110"/>
    <mergeCell ref="A103:A106"/>
    <mergeCell ref="B103:B106"/>
    <mergeCell ref="C103:C106"/>
    <mergeCell ref="D103:D104"/>
    <mergeCell ref="E103:E104"/>
    <mergeCell ref="F103:F104"/>
    <mergeCell ref="D105:D106"/>
    <mergeCell ref="E105:E106"/>
    <mergeCell ref="F105:F106"/>
    <mergeCell ref="A99:A102"/>
    <mergeCell ref="B99:B102"/>
    <mergeCell ref="C99:C102"/>
    <mergeCell ref="D99:D100"/>
    <mergeCell ref="E99:E100"/>
    <mergeCell ref="F99:F100"/>
    <mergeCell ref="D101:D102"/>
    <mergeCell ref="E101:E102"/>
    <mergeCell ref="F101:F102"/>
    <mergeCell ref="A95:A98"/>
    <mergeCell ref="B95:B98"/>
    <mergeCell ref="C95:C98"/>
    <mergeCell ref="D95:D96"/>
    <mergeCell ref="E95:E96"/>
    <mergeCell ref="F95:F96"/>
    <mergeCell ref="D97:D98"/>
    <mergeCell ref="E97:E98"/>
    <mergeCell ref="F97:F98"/>
    <mergeCell ref="A91:A94"/>
    <mergeCell ref="B91:B94"/>
    <mergeCell ref="C91:C94"/>
    <mergeCell ref="D91:D92"/>
    <mergeCell ref="E91:E92"/>
    <mergeCell ref="F91:F92"/>
    <mergeCell ref="D93:D94"/>
    <mergeCell ref="E93:E94"/>
    <mergeCell ref="F93:F94"/>
    <mergeCell ref="A87:A90"/>
    <mergeCell ref="B87:B90"/>
    <mergeCell ref="C87:C90"/>
    <mergeCell ref="D87:D88"/>
    <mergeCell ref="E87:E88"/>
    <mergeCell ref="F87:F88"/>
    <mergeCell ref="D89:D90"/>
    <mergeCell ref="E89:E90"/>
    <mergeCell ref="F89:F90"/>
    <mergeCell ref="A82:A85"/>
    <mergeCell ref="B82:B85"/>
    <mergeCell ref="C82:C85"/>
    <mergeCell ref="D82:D83"/>
    <mergeCell ref="E82:E83"/>
    <mergeCell ref="F82:F83"/>
    <mergeCell ref="D84:D85"/>
    <mergeCell ref="E84:E85"/>
    <mergeCell ref="F84:F85"/>
    <mergeCell ref="A77:A80"/>
    <mergeCell ref="B77:B80"/>
    <mergeCell ref="C77:C80"/>
    <mergeCell ref="D77:D78"/>
    <mergeCell ref="E77:E78"/>
    <mergeCell ref="F77:F78"/>
    <mergeCell ref="D79:D80"/>
    <mergeCell ref="E79:E80"/>
    <mergeCell ref="F79:F80"/>
    <mergeCell ref="A73:A76"/>
    <mergeCell ref="B73:B76"/>
    <mergeCell ref="C73:C76"/>
    <mergeCell ref="D73:D74"/>
    <mergeCell ref="E73:E74"/>
    <mergeCell ref="F73:F74"/>
    <mergeCell ref="D75:D76"/>
    <mergeCell ref="E75:E76"/>
    <mergeCell ref="F75:F76"/>
    <mergeCell ref="A69:A72"/>
    <mergeCell ref="B69:B72"/>
    <mergeCell ref="C69:C72"/>
    <mergeCell ref="D69:D70"/>
    <mergeCell ref="E69:E70"/>
    <mergeCell ref="F69:F70"/>
    <mergeCell ref="D71:D72"/>
    <mergeCell ref="E71:E72"/>
    <mergeCell ref="F71:F72"/>
    <mergeCell ref="A65:A68"/>
    <mergeCell ref="B65:B68"/>
    <mergeCell ref="C65:C68"/>
    <mergeCell ref="D65:D66"/>
    <mergeCell ref="E65:E66"/>
    <mergeCell ref="F65:F66"/>
    <mergeCell ref="D67:D68"/>
    <mergeCell ref="E67:E68"/>
    <mergeCell ref="F67:F68"/>
    <mergeCell ref="A61:A64"/>
    <mergeCell ref="B61:B64"/>
    <mergeCell ref="C61:C64"/>
    <mergeCell ref="D61:D62"/>
    <mergeCell ref="E61:E62"/>
    <mergeCell ref="F61:F62"/>
    <mergeCell ref="D63:D64"/>
    <mergeCell ref="E63:E64"/>
    <mergeCell ref="F63:F64"/>
    <mergeCell ref="A56:A59"/>
    <mergeCell ref="B56:B59"/>
    <mergeCell ref="C56:C59"/>
    <mergeCell ref="D56:D57"/>
    <mergeCell ref="E56:E57"/>
    <mergeCell ref="F56:F57"/>
    <mergeCell ref="D58:D59"/>
    <mergeCell ref="E58:E59"/>
    <mergeCell ref="F58:F59"/>
    <mergeCell ref="A52:A55"/>
    <mergeCell ref="B52:B55"/>
    <mergeCell ref="C52:C55"/>
    <mergeCell ref="D52:D53"/>
    <mergeCell ref="E52:E53"/>
    <mergeCell ref="F52:F53"/>
    <mergeCell ref="D54:D55"/>
    <mergeCell ref="E54:E55"/>
    <mergeCell ref="F54:F55"/>
    <mergeCell ref="A48:A51"/>
    <mergeCell ref="B48:B51"/>
    <mergeCell ref="C48:C51"/>
    <mergeCell ref="D48:D49"/>
    <mergeCell ref="E48:E49"/>
    <mergeCell ref="F48:F49"/>
    <mergeCell ref="D50:D51"/>
    <mergeCell ref="E50:E51"/>
    <mergeCell ref="F50:F51"/>
    <mergeCell ref="A44:A47"/>
    <mergeCell ref="B44:B47"/>
    <mergeCell ref="C44:C47"/>
    <mergeCell ref="D44:D45"/>
    <mergeCell ref="E44:E45"/>
    <mergeCell ref="F44:F45"/>
    <mergeCell ref="D46:D47"/>
    <mergeCell ref="E46:E47"/>
    <mergeCell ref="F46:F47"/>
    <mergeCell ref="A40:A43"/>
    <mergeCell ref="B40:B43"/>
    <mergeCell ref="C40:C43"/>
    <mergeCell ref="D40:D41"/>
    <mergeCell ref="E40:E41"/>
    <mergeCell ref="F40:F41"/>
    <mergeCell ref="D42:D43"/>
    <mergeCell ref="E42:E43"/>
    <mergeCell ref="F42:F43"/>
    <mergeCell ref="D32:D33"/>
    <mergeCell ref="E32:E33"/>
    <mergeCell ref="F32:F33"/>
    <mergeCell ref="D34:D35"/>
    <mergeCell ref="E34:E35"/>
    <mergeCell ref="F34:F35"/>
    <mergeCell ref="A36:A39"/>
    <mergeCell ref="B36:B39"/>
    <mergeCell ref="C36:C39"/>
    <mergeCell ref="D36:D37"/>
    <mergeCell ref="E36:E37"/>
    <mergeCell ref="F36:F37"/>
    <mergeCell ref="D38:D39"/>
    <mergeCell ref="E38:E39"/>
    <mergeCell ref="F38:F39"/>
    <mergeCell ref="A3:C3"/>
    <mergeCell ref="A24:A27"/>
    <mergeCell ref="B24:B27"/>
    <mergeCell ref="C24:C27"/>
    <mergeCell ref="D24:D25"/>
    <mergeCell ref="E24:E25"/>
    <mergeCell ref="AB24:AD24"/>
    <mergeCell ref="AB40:AD40"/>
    <mergeCell ref="F24:F25"/>
    <mergeCell ref="D26:D27"/>
    <mergeCell ref="E26:E27"/>
    <mergeCell ref="F26:F27"/>
    <mergeCell ref="A28:A31"/>
    <mergeCell ref="B28:B31"/>
    <mergeCell ref="C28:C31"/>
    <mergeCell ref="D28:D29"/>
    <mergeCell ref="E28:E29"/>
    <mergeCell ref="F28:F29"/>
    <mergeCell ref="D30:D31"/>
    <mergeCell ref="E30:E31"/>
    <mergeCell ref="F30:F31"/>
    <mergeCell ref="A32:A35"/>
    <mergeCell ref="B32:B35"/>
    <mergeCell ref="C32:C35"/>
    <mergeCell ref="A116:C116"/>
    <mergeCell ref="A137:A140"/>
    <mergeCell ref="B137:B140"/>
    <mergeCell ref="C137:C140"/>
    <mergeCell ref="D137:D138"/>
    <mergeCell ref="E137:E138"/>
    <mergeCell ref="F137:F138"/>
    <mergeCell ref="D139:D140"/>
    <mergeCell ref="E139:E140"/>
    <mergeCell ref="F139:F140"/>
    <mergeCell ref="F130:F132"/>
    <mergeCell ref="F133:F135"/>
    <mergeCell ref="D118:D120"/>
    <mergeCell ref="D121:D123"/>
    <mergeCell ref="E121:E123"/>
    <mergeCell ref="E118:E120"/>
    <mergeCell ref="F118:F120"/>
    <mergeCell ref="F121:F123"/>
    <mergeCell ref="F124:F126"/>
    <mergeCell ref="F127:F129"/>
    <mergeCell ref="A124:C129"/>
    <mergeCell ref="A130:C135"/>
    <mergeCell ref="D124:D126"/>
    <mergeCell ref="D127:D129"/>
    <mergeCell ref="A141:A144"/>
    <mergeCell ref="B141:B144"/>
    <mergeCell ref="C141:C144"/>
    <mergeCell ref="D141:D142"/>
    <mergeCell ref="E141:E142"/>
    <mergeCell ref="F141:F142"/>
    <mergeCell ref="D143:D144"/>
    <mergeCell ref="E143:E144"/>
    <mergeCell ref="F143:F144"/>
    <mergeCell ref="A145:A148"/>
    <mergeCell ref="B145:B148"/>
    <mergeCell ref="C145:C148"/>
    <mergeCell ref="D145:D146"/>
    <mergeCell ref="E145:E146"/>
    <mergeCell ref="F145:F146"/>
    <mergeCell ref="D147:D148"/>
    <mergeCell ref="E147:E148"/>
    <mergeCell ref="F147:F148"/>
    <mergeCell ref="D155:D156"/>
    <mergeCell ref="E155:E156"/>
    <mergeCell ref="F155:F156"/>
    <mergeCell ref="A149:A152"/>
    <mergeCell ref="B149:B152"/>
    <mergeCell ref="C149:C152"/>
    <mergeCell ref="D149:D150"/>
    <mergeCell ref="E149:E150"/>
    <mergeCell ref="F149:F150"/>
    <mergeCell ref="D151:D152"/>
    <mergeCell ref="E151:E152"/>
    <mergeCell ref="F151:F152"/>
    <mergeCell ref="B174:B177"/>
    <mergeCell ref="C174:C177"/>
    <mergeCell ref="D174:D175"/>
    <mergeCell ref="E174:E175"/>
    <mergeCell ref="F174:F175"/>
    <mergeCell ref="D176:D177"/>
    <mergeCell ref="E176:E177"/>
    <mergeCell ref="A162:A165"/>
    <mergeCell ref="B162:B165"/>
    <mergeCell ref="C162:C165"/>
    <mergeCell ref="D162:D163"/>
    <mergeCell ref="E162:E163"/>
    <mergeCell ref="F162:F163"/>
    <mergeCell ref="D164:D165"/>
    <mergeCell ref="E164:E165"/>
    <mergeCell ref="F164:F165"/>
    <mergeCell ref="D168:D169"/>
    <mergeCell ref="E168:E169"/>
    <mergeCell ref="F168:F169"/>
    <mergeCell ref="B170:B173"/>
    <mergeCell ref="C170:C173"/>
    <mergeCell ref="D170:D171"/>
    <mergeCell ref="E170:E171"/>
    <mergeCell ref="F170:F171"/>
    <mergeCell ref="D172:D173"/>
    <mergeCell ref="E172:E173"/>
    <mergeCell ref="F172:F173"/>
    <mergeCell ref="F176:F177"/>
    <mergeCell ref="A178:A185"/>
    <mergeCell ref="B178:B181"/>
    <mergeCell ref="C178:C181"/>
    <mergeCell ref="D178:D179"/>
    <mergeCell ref="E178:E179"/>
    <mergeCell ref="F178:F179"/>
    <mergeCell ref="D180:D181"/>
    <mergeCell ref="E180:E181"/>
    <mergeCell ref="F180:F181"/>
    <mergeCell ref="B182:B185"/>
    <mergeCell ref="C182:C185"/>
    <mergeCell ref="D182:D183"/>
    <mergeCell ref="E182:E183"/>
    <mergeCell ref="F182:F183"/>
    <mergeCell ref="D184:D185"/>
    <mergeCell ref="E184:E185"/>
    <mergeCell ref="F184:F185"/>
    <mergeCell ref="A166:A177"/>
    <mergeCell ref="B166:B169"/>
    <mergeCell ref="C166:C169"/>
    <mergeCell ref="D166:D167"/>
    <mergeCell ref="E166:E167"/>
    <mergeCell ref="F166:F167"/>
    <mergeCell ref="A186:A197"/>
    <mergeCell ref="B186:B189"/>
    <mergeCell ref="C186:C189"/>
    <mergeCell ref="D186:D187"/>
    <mergeCell ref="E186:E187"/>
    <mergeCell ref="F186:F187"/>
    <mergeCell ref="D188:D189"/>
    <mergeCell ref="E188:E189"/>
    <mergeCell ref="F188:F189"/>
    <mergeCell ref="B190:B193"/>
    <mergeCell ref="C190:C193"/>
    <mergeCell ref="D190:D191"/>
    <mergeCell ref="E190:E191"/>
    <mergeCell ref="F190:F191"/>
    <mergeCell ref="D192:D193"/>
    <mergeCell ref="E192:E193"/>
    <mergeCell ref="F192:F193"/>
    <mergeCell ref="B194:B197"/>
    <mergeCell ref="C194:C197"/>
    <mergeCell ref="D194:D195"/>
    <mergeCell ref="E194:E195"/>
    <mergeCell ref="F194:F195"/>
    <mergeCell ref="D196:D197"/>
    <mergeCell ref="E196:E197"/>
    <mergeCell ref="D200:D201"/>
    <mergeCell ref="E200:E201"/>
    <mergeCell ref="F200:F201"/>
    <mergeCell ref="B202:B205"/>
    <mergeCell ref="C202:C205"/>
    <mergeCell ref="D202:D203"/>
    <mergeCell ref="E202:E203"/>
    <mergeCell ref="F202:F203"/>
    <mergeCell ref="D204:D205"/>
    <mergeCell ref="E204:E205"/>
    <mergeCell ref="F204:F205"/>
    <mergeCell ref="F196:F197"/>
    <mergeCell ref="A198:A205"/>
    <mergeCell ref="B198:B201"/>
    <mergeCell ref="C198:C201"/>
    <mergeCell ref="D198:D199"/>
    <mergeCell ref="E198:E199"/>
    <mergeCell ref="F198:F199"/>
    <mergeCell ref="A212:A215"/>
    <mergeCell ref="B212:B215"/>
    <mergeCell ref="C212:C215"/>
    <mergeCell ref="D212:D213"/>
    <mergeCell ref="E212:E213"/>
    <mergeCell ref="F212:F213"/>
    <mergeCell ref="D214:D215"/>
    <mergeCell ref="E214:E215"/>
    <mergeCell ref="F214:F215"/>
    <mergeCell ref="A207:A210"/>
    <mergeCell ref="B207:B210"/>
    <mergeCell ref="C207:C210"/>
    <mergeCell ref="D207:D208"/>
    <mergeCell ref="E207:E208"/>
    <mergeCell ref="F207:F208"/>
    <mergeCell ref="D209:D210"/>
    <mergeCell ref="E209:E210"/>
    <mergeCell ref="F209:F210"/>
    <mergeCell ref="A216:A219"/>
    <mergeCell ref="B216:B219"/>
    <mergeCell ref="C216:C219"/>
    <mergeCell ref="D216:D217"/>
    <mergeCell ref="E216:E217"/>
    <mergeCell ref="F216:F217"/>
    <mergeCell ref="D218:D219"/>
    <mergeCell ref="E218:E219"/>
    <mergeCell ref="F218:F219"/>
    <mergeCell ref="A220:A223"/>
    <mergeCell ref="B220:B223"/>
    <mergeCell ref="C220:C223"/>
    <mergeCell ref="D220:D221"/>
    <mergeCell ref="E220:E221"/>
    <mergeCell ref="F220:F221"/>
    <mergeCell ref="D222:D223"/>
    <mergeCell ref="E222:E223"/>
    <mergeCell ref="F222:F223"/>
    <mergeCell ref="A224:A227"/>
    <mergeCell ref="B224:B227"/>
    <mergeCell ref="C224:C227"/>
    <mergeCell ref="D224:D225"/>
    <mergeCell ref="E224:E225"/>
    <mergeCell ref="F224:F225"/>
    <mergeCell ref="D226:D227"/>
    <mergeCell ref="E226:E227"/>
    <mergeCell ref="F226:F227"/>
    <mergeCell ref="D130:D132"/>
    <mergeCell ref="D133:D135"/>
    <mergeCell ref="E133:E135"/>
    <mergeCell ref="E130:E132"/>
    <mergeCell ref="E127:E129"/>
    <mergeCell ref="E124:E126"/>
    <mergeCell ref="AB146:AD146"/>
    <mergeCell ref="AB157:AD157"/>
    <mergeCell ref="A118:C123"/>
    <mergeCell ref="A157:A160"/>
    <mergeCell ref="B157:B160"/>
    <mergeCell ref="C157:C160"/>
    <mergeCell ref="D157:D158"/>
    <mergeCell ref="E157:E158"/>
    <mergeCell ref="F157:F158"/>
    <mergeCell ref="D159:D160"/>
    <mergeCell ref="E159:E160"/>
    <mergeCell ref="F159:F160"/>
    <mergeCell ref="A153:A156"/>
    <mergeCell ref="B153:B156"/>
    <mergeCell ref="C153:C156"/>
    <mergeCell ref="D153:D154"/>
    <mergeCell ref="E153:E154"/>
    <mergeCell ref="F153:F154"/>
  </mergeCells>
  <conditionalFormatting sqref="J1:J4 J23:J1048576">
    <cfRule type="cellIs" dxfId="2" priority="2" operator="lessThan">
      <formula>1</formula>
    </cfRule>
  </conditionalFormatting>
  <conditionalFormatting sqref="J1:J1048576">
    <cfRule type="cellIs" dxfId="1" priority="1" operator="lessThan">
      <formula>2</formula>
    </cfRule>
  </conditionalFormatting>
  <conditionalFormatting sqref="J116:J227">
    <cfRule type="cellIs" dxfId="0" priority="5" operator="lessThan">
      <formula>0.5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ynamicPlan">
                <anchor moveWithCells="1" sizeWithCells="1">
                  <from>
                    <xdr:col>27</xdr:col>
                    <xdr:colOff>9525</xdr:colOff>
                    <xdr:row>2</xdr:row>
                    <xdr:rowOff>95250</xdr:rowOff>
                  </from>
                  <to>
                    <xdr:col>28</xdr:col>
                    <xdr:colOff>28575</xdr:colOff>
                    <xdr:row>3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86BA4-20FC-489F-8BA7-2FD3D22E3901}">
  <sheetPr codeName="Sheet3"/>
  <dimension ref="A1:L203"/>
  <sheetViews>
    <sheetView workbookViewId="0">
      <selection activeCell="B25" sqref="B25"/>
    </sheetView>
  </sheetViews>
  <sheetFormatPr defaultRowHeight="15" x14ac:dyDescent="0.25"/>
  <cols>
    <col min="1" max="1" width="18" bestFit="1" customWidth="1"/>
    <col min="2" max="2" width="51.5703125" bestFit="1" customWidth="1"/>
    <col min="3" max="3" width="8.7109375" bestFit="1" customWidth="1"/>
    <col min="4" max="4" width="55.42578125" bestFit="1" customWidth="1"/>
    <col min="5" max="5" width="8.5703125" bestFit="1" customWidth="1"/>
    <col min="6" max="6" width="18.140625" bestFit="1" customWidth="1"/>
    <col min="8" max="8" width="9" bestFit="1" customWidth="1"/>
    <col min="9" max="9" width="11.7109375" bestFit="1" customWidth="1"/>
    <col min="10" max="10" width="21.5703125" bestFit="1" customWidth="1"/>
    <col min="11" max="11" width="26.140625" bestFit="1" customWidth="1"/>
  </cols>
  <sheetData>
    <row r="1" spans="1:12" ht="15.75" thickBot="1" x14ac:dyDescent="0.3"/>
    <row r="2" spans="1:12" ht="60.75" thickBot="1" x14ac:dyDescent="0.3">
      <c r="A2" s="19" t="s">
        <v>126</v>
      </c>
      <c r="B2" s="20" t="s">
        <v>127</v>
      </c>
      <c r="C2" s="20" t="s">
        <v>128</v>
      </c>
      <c r="D2" s="20" t="s">
        <v>129</v>
      </c>
      <c r="E2" s="20" t="s">
        <v>130</v>
      </c>
      <c r="F2" s="20" t="s">
        <v>131</v>
      </c>
      <c r="G2" s="21" t="s">
        <v>132</v>
      </c>
      <c r="H2" s="22" t="s">
        <v>133</v>
      </c>
      <c r="I2" s="22" t="s">
        <v>134</v>
      </c>
      <c r="J2" s="22" t="s">
        <v>133</v>
      </c>
      <c r="K2" s="23" t="s">
        <v>135</v>
      </c>
      <c r="L2" s="24" t="s">
        <v>136</v>
      </c>
    </row>
    <row r="3" spans="1:12" x14ac:dyDescent="0.25">
      <c r="A3" s="25" t="s">
        <v>137</v>
      </c>
      <c r="B3" s="25" t="s">
        <v>138</v>
      </c>
      <c r="C3" s="26">
        <v>1</v>
      </c>
      <c r="D3" s="26" t="s">
        <v>139</v>
      </c>
      <c r="E3" s="27" t="s">
        <v>140</v>
      </c>
      <c r="F3" s="26" t="s">
        <v>141</v>
      </c>
      <c r="G3" s="28" t="s">
        <v>142</v>
      </c>
      <c r="H3" s="29">
        <v>1</v>
      </c>
      <c r="I3" s="30" t="s">
        <v>143</v>
      </c>
      <c r="J3" s="31" t="s">
        <v>144</v>
      </c>
      <c r="K3" s="32">
        <v>45307</v>
      </c>
      <c r="L3" s="33">
        <v>45337</v>
      </c>
    </row>
    <row r="4" spans="1:12" x14ac:dyDescent="0.25">
      <c r="A4" s="25" t="s">
        <v>145</v>
      </c>
      <c r="B4" s="25" t="s">
        <v>146</v>
      </c>
      <c r="C4" s="26">
        <v>1</v>
      </c>
      <c r="D4" s="26" t="s">
        <v>139</v>
      </c>
      <c r="E4" s="26" t="s">
        <v>140</v>
      </c>
      <c r="F4" s="26" t="s">
        <v>141</v>
      </c>
      <c r="G4" s="34" t="s">
        <v>142</v>
      </c>
      <c r="H4" s="29">
        <v>1</v>
      </c>
      <c r="I4" s="30" t="s">
        <v>143</v>
      </c>
      <c r="J4" s="31" t="s">
        <v>144</v>
      </c>
      <c r="K4" s="32">
        <v>45307</v>
      </c>
      <c r="L4" s="33">
        <v>45337</v>
      </c>
    </row>
    <row r="5" spans="1:12" x14ac:dyDescent="0.25">
      <c r="A5" s="25" t="s">
        <v>147</v>
      </c>
      <c r="B5" s="25" t="s">
        <v>148</v>
      </c>
      <c r="C5" s="26">
        <v>1</v>
      </c>
      <c r="D5" s="26" t="s">
        <v>139</v>
      </c>
      <c r="E5" s="26" t="s">
        <v>140</v>
      </c>
      <c r="F5" s="26" t="s">
        <v>141</v>
      </c>
      <c r="G5" s="34" t="s">
        <v>149</v>
      </c>
      <c r="H5" s="29">
        <v>1</v>
      </c>
      <c r="I5" s="30" t="s">
        <v>143</v>
      </c>
      <c r="J5" s="31" t="s">
        <v>144</v>
      </c>
      <c r="K5" s="32">
        <v>45307</v>
      </c>
      <c r="L5" s="33">
        <v>45337</v>
      </c>
    </row>
    <row r="6" spans="1:12" x14ac:dyDescent="0.25">
      <c r="A6" s="25" t="s">
        <v>150</v>
      </c>
      <c r="B6" s="25" t="s">
        <v>151</v>
      </c>
      <c r="C6" s="26">
        <v>1</v>
      </c>
      <c r="D6" s="26" t="s">
        <v>139</v>
      </c>
      <c r="E6" s="27" t="s">
        <v>140</v>
      </c>
      <c r="F6" s="27" t="s">
        <v>141</v>
      </c>
      <c r="G6" s="34" t="s">
        <v>22</v>
      </c>
      <c r="H6" s="29">
        <v>1</v>
      </c>
      <c r="I6" s="30" t="s">
        <v>143</v>
      </c>
      <c r="J6" s="31" t="s">
        <v>144</v>
      </c>
      <c r="K6" s="32">
        <v>45307</v>
      </c>
      <c r="L6" s="33">
        <v>45337</v>
      </c>
    </row>
    <row r="7" spans="1:12" x14ac:dyDescent="0.25">
      <c r="A7" s="25" t="s">
        <v>152</v>
      </c>
      <c r="B7" s="25" t="s">
        <v>153</v>
      </c>
      <c r="C7" s="26">
        <v>1</v>
      </c>
      <c r="D7" s="26" t="s">
        <v>139</v>
      </c>
      <c r="E7" s="27" t="s">
        <v>140</v>
      </c>
      <c r="F7" s="27" t="s">
        <v>141</v>
      </c>
      <c r="G7" s="34" t="s">
        <v>22</v>
      </c>
      <c r="H7" s="29">
        <v>1</v>
      </c>
      <c r="I7" s="30" t="s">
        <v>143</v>
      </c>
      <c r="J7" s="31" t="s">
        <v>144</v>
      </c>
      <c r="K7" s="32">
        <v>45307</v>
      </c>
      <c r="L7" s="33">
        <v>45337</v>
      </c>
    </row>
    <row r="8" spans="1:12" x14ac:dyDescent="0.25">
      <c r="A8" s="25" t="s">
        <v>154</v>
      </c>
      <c r="B8" s="25" t="s">
        <v>155</v>
      </c>
      <c r="C8" s="26">
        <v>1</v>
      </c>
      <c r="D8" s="27" t="s">
        <v>139</v>
      </c>
      <c r="E8" s="27" t="s">
        <v>140</v>
      </c>
      <c r="F8" s="27" t="s">
        <v>141</v>
      </c>
      <c r="G8" s="34" t="s">
        <v>22</v>
      </c>
      <c r="H8" s="29">
        <v>1</v>
      </c>
      <c r="I8" s="30" t="s">
        <v>143</v>
      </c>
      <c r="J8" s="31" t="s">
        <v>144</v>
      </c>
      <c r="K8" s="32">
        <v>45307</v>
      </c>
      <c r="L8" s="33">
        <v>45337</v>
      </c>
    </row>
    <row r="9" spans="1:12" x14ac:dyDescent="0.25">
      <c r="A9" s="25" t="s">
        <v>156</v>
      </c>
      <c r="B9" s="25" t="s">
        <v>157</v>
      </c>
      <c r="C9" s="26">
        <v>1</v>
      </c>
      <c r="D9" s="27" t="s">
        <v>139</v>
      </c>
      <c r="E9" s="27" t="s">
        <v>140</v>
      </c>
      <c r="F9" s="27" t="s">
        <v>141</v>
      </c>
      <c r="G9" s="34" t="s">
        <v>22</v>
      </c>
      <c r="H9" s="29">
        <v>1</v>
      </c>
      <c r="I9" s="30" t="s">
        <v>143</v>
      </c>
      <c r="J9" s="31" t="s">
        <v>144</v>
      </c>
      <c r="K9" s="32">
        <v>45307</v>
      </c>
      <c r="L9" s="33">
        <v>45337</v>
      </c>
    </row>
    <row r="10" spans="1:12" x14ac:dyDescent="0.25">
      <c r="A10" s="25" t="s">
        <v>158</v>
      </c>
      <c r="B10" s="25" t="s">
        <v>159</v>
      </c>
      <c r="C10" s="26">
        <v>1</v>
      </c>
      <c r="D10" s="27" t="s">
        <v>139</v>
      </c>
      <c r="E10" s="27" t="s">
        <v>140</v>
      </c>
      <c r="F10" s="27" t="s">
        <v>141</v>
      </c>
      <c r="G10" s="34" t="s">
        <v>22</v>
      </c>
      <c r="H10" s="29">
        <v>1</v>
      </c>
      <c r="I10" s="30" t="s">
        <v>143</v>
      </c>
      <c r="J10" s="31" t="s">
        <v>144</v>
      </c>
      <c r="K10" s="32">
        <v>45307</v>
      </c>
      <c r="L10" s="33">
        <v>45350</v>
      </c>
    </row>
    <row r="11" spans="1:12" x14ac:dyDescent="0.25">
      <c r="A11" s="25" t="s">
        <v>160</v>
      </c>
      <c r="B11" s="25" t="s">
        <v>161</v>
      </c>
      <c r="C11" s="26">
        <v>1</v>
      </c>
      <c r="D11" s="27" t="s">
        <v>139</v>
      </c>
      <c r="E11" s="27" t="s">
        <v>140</v>
      </c>
      <c r="F11" s="27" t="s">
        <v>141</v>
      </c>
      <c r="G11" s="34" t="s">
        <v>125</v>
      </c>
      <c r="H11" s="29">
        <v>1</v>
      </c>
      <c r="I11" s="30" t="s">
        <v>143</v>
      </c>
      <c r="J11" s="31" t="s">
        <v>144</v>
      </c>
      <c r="K11" s="32">
        <v>45307</v>
      </c>
      <c r="L11" s="33">
        <v>45350</v>
      </c>
    </row>
    <row r="12" spans="1:12" x14ac:dyDescent="0.25">
      <c r="A12" s="25" t="s">
        <v>162</v>
      </c>
      <c r="B12" s="25" t="s">
        <v>163</v>
      </c>
      <c r="C12" s="26">
        <v>1</v>
      </c>
      <c r="D12" s="26" t="s">
        <v>139</v>
      </c>
      <c r="E12" s="27" t="s">
        <v>140</v>
      </c>
      <c r="F12" s="27" t="s">
        <v>141</v>
      </c>
      <c r="G12" s="34" t="s">
        <v>125</v>
      </c>
      <c r="H12" s="29">
        <v>1</v>
      </c>
      <c r="I12" s="30" t="s">
        <v>143</v>
      </c>
      <c r="J12" s="31" t="s">
        <v>144</v>
      </c>
      <c r="K12" s="32">
        <v>45307</v>
      </c>
      <c r="L12" s="33">
        <v>45350</v>
      </c>
    </row>
    <row r="13" spans="1:12" x14ac:dyDescent="0.25">
      <c r="A13" s="25" t="s">
        <v>164</v>
      </c>
      <c r="B13" s="25" t="s">
        <v>165</v>
      </c>
      <c r="C13" s="26">
        <v>1</v>
      </c>
      <c r="D13" s="26" t="s">
        <v>139</v>
      </c>
      <c r="E13" s="27" t="s">
        <v>140</v>
      </c>
      <c r="F13" s="27" t="s">
        <v>141</v>
      </c>
      <c r="G13" s="34" t="s">
        <v>125</v>
      </c>
      <c r="H13" s="29">
        <v>1</v>
      </c>
      <c r="I13" s="30" t="s">
        <v>143</v>
      </c>
      <c r="J13" s="31" t="s">
        <v>144</v>
      </c>
      <c r="K13" s="32">
        <v>45307</v>
      </c>
      <c r="L13" s="33">
        <v>45350</v>
      </c>
    </row>
    <row r="14" spans="1:12" x14ac:dyDescent="0.25">
      <c r="A14" s="25" t="s">
        <v>166</v>
      </c>
      <c r="B14" s="25" t="s">
        <v>167</v>
      </c>
      <c r="C14" s="26">
        <v>1</v>
      </c>
      <c r="D14" s="26" t="s">
        <v>168</v>
      </c>
      <c r="E14" s="27" t="s">
        <v>169</v>
      </c>
      <c r="F14" s="27" t="s">
        <v>170</v>
      </c>
      <c r="G14" s="34" t="s">
        <v>22</v>
      </c>
      <c r="H14" s="29">
        <v>1</v>
      </c>
      <c r="I14" s="30" t="s">
        <v>171</v>
      </c>
      <c r="J14" s="31" t="s">
        <v>172</v>
      </c>
      <c r="K14" s="32">
        <v>45245</v>
      </c>
      <c r="L14" s="33">
        <v>45371</v>
      </c>
    </row>
    <row r="15" spans="1:12" x14ac:dyDescent="0.25">
      <c r="A15" s="25" t="s">
        <v>173</v>
      </c>
      <c r="B15" s="25" t="s">
        <v>174</v>
      </c>
      <c r="C15" s="26">
        <v>1</v>
      </c>
      <c r="D15" s="26" t="s">
        <v>175</v>
      </c>
      <c r="E15" s="27" t="s">
        <v>140</v>
      </c>
      <c r="F15" s="27" t="s">
        <v>176</v>
      </c>
      <c r="G15" s="34" t="s">
        <v>142</v>
      </c>
      <c r="H15" s="29">
        <v>1</v>
      </c>
      <c r="I15" s="30" t="s">
        <v>177</v>
      </c>
      <c r="J15" s="31" t="s">
        <v>178</v>
      </c>
      <c r="K15" s="35">
        <v>45227</v>
      </c>
      <c r="L15" s="33">
        <v>45291</v>
      </c>
    </row>
    <row r="16" spans="1:12" x14ac:dyDescent="0.25">
      <c r="A16" s="25" t="s">
        <v>179</v>
      </c>
      <c r="B16" s="25" t="s">
        <v>180</v>
      </c>
      <c r="C16" s="26">
        <v>1</v>
      </c>
      <c r="D16" s="26" t="s">
        <v>175</v>
      </c>
      <c r="E16" s="27" t="s">
        <v>140</v>
      </c>
      <c r="F16" s="27" t="s">
        <v>176</v>
      </c>
      <c r="G16" s="34" t="s">
        <v>142</v>
      </c>
      <c r="H16" s="29">
        <v>1</v>
      </c>
      <c r="I16" s="30" t="s">
        <v>177</v>
      </c>
      <c r="J16" s="31" t="s">
        <v>178</v>
      </c>
      <c r="K16" s="35">
        <v>45227</v>
      </c>
      <c r="L16" s="33">
        <v>45291</v>
      </c>
    </row>
    <row r="17" spans="1:12" x14ac:dyDescent="0.25">
      <c r="A17" s="25" t="s">
        <v>181</v>
      </c>
      <c r="B17" s="25" t="s">
        <v>182</v>
      </c>
      <c r="C17" s="26">
        <v>1</v>
      </c>
      <c r="D17" s="26" t="s">
        <v>175</v>
      </c>
      <c r="E17" s="27" t="s">
        <v>140</v>
      </c>
      <c r="F17" s="27" t="s">
        <v>176</v>
      </c>
      <c r="G17" s="34" t="s">
        <v>149</v>
      </c>
      <c r="H17" s="29">
        <v>1</v>
      </c>
      <c r="I17" s="30" t="s">
        <v>183</v>
      </c>
      <c r="J17" s="31" t="s">
        <v>184</v>
      </c>
      <c r="K17" s="35">
        <v>45252</v>
      </c>
      <c r="L17" s="33">
        <v>45282</v>
      </c>
    </row>
    <row r="18" spans="1:12" x14ac:dyDescent="0.25">
      <c r="A18" s="25" t="s">
        <v>185</v>
      </c>
      <c r="B18" s="25" t="s">
        <v>186</v>
      </c>
      <c r="C18" s="26">
        <v>1</v>
      </c>
      <c r="D18" s="26" t="s">
        <v>175</v>
      </c>
      <c r="E18" s="27" t="s">
        <v>140</v>
      </c>
      <c r="F18" s="27" t="s">
        <v>176</v>
      </c>
      <c r="G18" s="34" t="s">
        <v>22</v>
      </c>
      <c r="H18" s="29">
        <v>1</v>
      </c>
      <c r="I18" s="30" t="s">
        <v>177</v>
      </c>
      <c r="J18" s="31" t="s">
        <v>178</v>
      </c>
      <c r="K18" s="35">
        <v>45227</v>
      </c>
      <c r="L18" s="33">
        <v>45290</v>
      </c>
    </row>
    <row r="19" spans="1:12" x14ac:dyDescent="0.25">
      <c r="A19" s="25" t="s">
        <v>187</v>
      </c>
      <c r="B19" s="25" t="s">
        <v>188</v>
      </c>
      <c r="C19" s="26">
        <v>1</v>
      </c>
      <c r="D19" s="26" t="s">
        <v>175</v>
      </c>
      <c r="E19" s="27" t="s">
        <v>140</v>
      </c>
      <c r="F19" s="27" t="s">
        <v>176</v>
      </c>
      <c r="G19" s="34" t="s">
        <v>22</v>
      </c>
      <c r="H19" s="29">
        <v>1</v>
      </c>
      <c r="I19" s="30" t="s">
        <v>177</v>
      </c>
      <c r="J19" s="31" t="s">
        <v>178</v>
      </c>
      <c r="K19" s="35">
        <v>45227</v>
      </c>
      <c r="L19" s="33">
        <v>45291</v>
      </c>
    </row>
    <row r="20" spans="1:12" x14ac:dyDescent="0.25">
      <c r="A20" s="25" t="s">
        <v>189</v>
      </c>
      <c r="B20" s="25" t="s">
        <v>190</v>
      </c>
      <c r="C20" s="26">
        <v>1</v>
      </c>
      <c r="D20" s="26" t="s">
        <v>175</v>
      </c>
      <c r="E20" s="27" t="s">
        <v>140</v>
      </c>
      <c r="F20" s="27" t="s">
        <v>176</v>
      </c>
      <c r="G20" s="34" t="s">
        <v>22</v>
      </c>
      <c r="H20" s="29">
        <v>1</v>
      </c>
      <c r="I20" s="30" t="s">
        <v>177</v>
      </c>
      <c r="J20" s="31" t="s">
        <v>178</v>
      </c>
      <c r="K20" s="35">
        <v>45227</v>
      </c>
      <c r="L20" s="33">
        <v>45273</v>
      </c>
    </row>
    <row r="21" spans="1:12" x14ac:dyDescent="0.25">
      <c r="A21" s="25" t="s">
        <v>191</v>
      </c>
      <c r="B21" s="25" t="s">
        <v>192</v>
      </c>
      <c r="C21" s="26">
        <v>1</v>
      </c>
      <c r="D21" s="26" t="s">
        <v>175</v>
      </c>
      <c r="E21" s="27" t="s">
        <v>140</v>
      </c>
      <c r="F21" s="27" t="s">
        <v>176</v>
      </c>
      <c r="G21" s="34" t="s">
        <v>22</v>
      </c>
      <c r="H21" s="29">
        <v>1</v>
      </c>
      <c r="I21" s="30" t="s">
        <v>183</v>
      </c>
      <c r="J21" s="31" t="s">
        <v>184</v>
      </c>
      <c r="K21" s="35">
        <v>45282</v>
      </c>
      <c r="L21" s="35">
        <v>45282</v>
      </c>
    </row>
    <row r="22" spans="1:12" x14ac:dyDescent="0.25">
      <c r="A22" s="25" t="s">
        <v>193</v>
      </c>
      <c r="B22" s="25" t="s">
        <v>194</v>
      </c>
      <c r="C22" s="26">
        <v>1</v>
      </c>
      <c r="D22" s="26" t="s">
        <v>175</v>
      </c>
      <c r="E22" s="27" t="s">
        <v>140</v>
      </c>
      <c r="F22" s="27" t="s">
        <v>176</v>
      </c>
      <c r="G22" s="34" t="s">
        <v>125</v>
      </c>
      <c r="H22" s="29">
        <v>1</v>
      </c>
      <c r="I22" s="30" t="s">
        <v>177</v>
      </c>
      <c r="J22" s="31" t="s">
        <v>178</v>
      </c>
      <c r="K22" s="35">
        <v>45227</v>
      </c>
      <c r="L22" s="36">
        <v>45238</v>
      </c>
    </row>
    <row r="23" spans="1:12" x14ac:dyDescent="0.25">
      <c r="A23" s="25" t="s">
        <v>195</v>
      </c>
      <c r="B23" s="25" t="s">
        <v>196</v>
      </c>
      <c r="C23" s="26">
        <v>1</v>
      </c>
      <c r="D23" s="26" t="s">
        <v>175</v>
      </c>
      <c r="E23" s="27" t="s">
        <v>140</v>
      </c>
      <c r="F23" s="27" t="s">
        <v>176</v>
      </c>
      <c r="G23" s="34" t="s">
        <v>125</v>
      </c>
      <c r="H23" s="29">
        <v>1</v>
      </c>
      <c r="I23" s="30" t="s">
        <v>177</v>
      </c>
      <c r="J23" s="31" t="s">
        <v>178</v>
      </c>
      <c r="K23" s="35">
        <v>45227</v>
      </c>
      <c r="L23" s="33">
        <v>45244</v>
      </c>
    </row>
    <row r="24" spans="1:12" x14ac:dyDescent="0.25">
      <c r="A24" s="25" t="s">
        <v>197</v>
      </c>
      <c r="B24" s="25" t="s">
        <v>198</v>
      </c>
      <c r="C24" s="26">
        <v>1</v>
      </c>
      <c r="D24" s="26" t="s">
        <v>175</v>
      </c>
      <c r="E24" s="27" t="s">
        <v>140</v>
      </c>
      <c r="F24" s="27" t="s">
        <v>176</v>
      </c>
      <c r="G24" s="34" t="s">
        <v>125</v>
      </c>
      <c r="H24" s="29">
        <v>1</v>
      </c>
      <c r="I24" s="30" t="s">
        <v>177</v>
      </c>
      <c r="J24" s="31" t="s">
        <v>178</v>
      </c>
      <c r="K24" s="35">
        <v>45227</v>
      </c>
      <c r="L24" s="33">
        <v>45226</v>
      </c>
    </row>
    <row r="25" spans="1:12" x14ac:dyDescent="0.25">
      <c r="A25" s="25" t="s">
        <v>199</v>
      </c>
      <c r="B25" s="25" t="s">
        <v>200</v>
      </c>
      <c r="C25" s="26">
        <v>1</v>
      </c>
      <c r="D25" s="26" t="s">
        <v>175</v>
      </c>
      <c r="E25" s="27" t="s">
        <v>140</v>
      </c>
      <c r="F25" s="27" t="s">
        <v>176</v>
      </c>
      <c r="G25" s="34" t="s">
        <v>125</v>
      </c>
      <c r="H25" s="29">
        <v>1</v>
      </c>
      <c r="I25" s="30" t="s">
        <v>177</v>
      </c>
      <c r="J25" s="31" t="s">
        <v>178</v>
      </c>
      <c r="K25" s="35">
        <v>45227</v>
      </c>
      <c r="L25" s="33">
        <v>45235</v>
      </c>
    </row>
    <row r="26" spans="1:12" x14ac:dyDescent="0.25">
      <c r="A26" s="25" t="s">
        <v>201</v>
      </c>
      <c r="B26" s="25" t="s">
        <v>202</v>
      </c>
      <c r="C26" s="26">
        <v>2</v>
      </c>
      <c r="D26" s="26" t="s">
        <v>203</v>
      </c>
      <c r="E26" s="27" t="s">
        <v>204</v>
      </c>
      <c r="F26" s="27" t="s">
        <v>205</v>
      </c>
      <c r="G26" s="34" t="s">
        <v>142</v>
      </c>
      <c r="H26" s="29">
        <v>2</v>
      </c>
      <c r="I26" s="30" t="s">
        <v>206</v>
      </c>
      <c r="J26" s="31" t="s">
        <v>207</v>
      </c>
      <c r="K26" s="35" t="s">
        <v>208</v>
      </c>
      <c r="L26" s="33">
        <v>45260</v>
      </c>
    </row>
    <row r="27" spans="1:12" x14ac:dyDescent="0.25">
      <c r="A27" s="25" t="s">
        <v>209</v>
      </c>
      <c r="B27" s="25" t="s">
        <v>210</v>
      </c>
      <c r="C27" s="26">
        <v>2</v>
      </c>
      <c r="D27" s="26" t="s">
        <v>203</v>
      </c>
      <c r="E27" s="27" t="s">
        <v>204</v>
      </c>
      <c r="F27" s="27" t="s">
        <v>205</v>
      </c>
      <c r="G27" s="34" t="s">
        <v>22</v>
      </c>
      <c r="H27" s="29">
        <v>2</v>
      </c>
      <c r="I27" s="30" t="s">
        <v>206</v>
      </c>
      <c r="J27" s="31" t="s">
        <v>207</v>
      </c>
      <c r="K27" s="35" t="s">
        <v>208</v>
      </c>
      <c r="L27" s="37" t="s">
        <v>211</v>
      </c>
    </row>
    <row r="28" spans="1:12" x14ac:dyDescent="0.25">
      <c r="A28" s="25" t="s">
        <v>212</v>
      </c>
      <c r="B28" s="25" t="s">
        <v>213</v>
      </c>
      <c r="C28" s="26">
        <v>2</v>
      </c>
      <c r="D28" s="26" t="s">
        <v>214</v>
      </c>
      <c r="E28" s="27" t="s">
        <v>140</v>
      </c>
      <c r="F28" s="27" t="s">
        <v>215</v>
      </c>
      <c r="G28" s="34" t="s">
        <v>22</v>
      </c>
      <c r="H28" s="29">
        <v>2</v>
      </c>
      <c r="I28" s="30" t="s">
        <v>216</v>
      </c>
      <c r="J28" s="31" t="s">
        <v>217</v>
      </c>
      <c r="K28" s="38">
        <v>45158</v>
      </c>
      <c r="L28" s="35">
        <v>45245</v>
      </c>
    </row>
    <row r="29" spans="1:12" x14ac:dyDescent="0.25">
      <c r="A29" s="25" t="s">
        <v>218</v>
      </c>
      <c r="B29" s="25" t="s">
        <v>219</v>
      </c>
      <c r="C29" s="26">
        <v>2</v>
      </c>
      <c r="D29" s="26" t="s">
        <v>214</v>
      </c>
      <c r="E29" s="27" t="s">
        <v>140</v>
      </c>
      <c r="F29" s="27" t="s">
        <v>215</v>
      </c>
      <c r="G29" s="34" t="s">
        <v>22</v>
      </c>
      <c r="H29" s="29">
        <v>2</v>
      </c>
      <c r="I29" s="30" t="s">
        <v>216</v>
      </c>
      <c r="J29" s="31" t="s">
        <v>217</v>
      </c>
      <c r="K29" s="38">
        <v>45158</v>
      </c>
      <c r="L29" s="35">
        <v>45260</v>
      </c>
    </row>
    <row r="30" spans="1:12" x14ac:dyDescent="0.25">
      <c r="A30" s="25" t="s">
        <v>220</v>
      </c>
      <c r="B30" s="25" t="s">
        <v>221</v>
      </c>
      <c r="C30" s="26">
        <v>1</v>
      </c>
      <c r="D30" s="26" t="s">
        <v>222</v>
      </c>
      <c r="E30" s="27" t="s">
        <v>140</v>
      </c>
      <c r="F30" s="27" t="s">
        <v>223</v>
      </c>
      <c r="G30" s="34" t="s">
        <v>142</v>
      </c>
      <c r="H30" s="29">
        <v>1</v>
      </c>
      <c r="I30" s="30" t="s">
        <v>183</v>
      </c>
      <c r="J30" s="31" t="s">
        <v>224</v>
      </c>
      <c r="K30" s="33">
        <v>45350</v>
      </c>
      <c r="L30" s="33">
        <v>45291</v>
      </c>
    </row>
    <row r="31" spans="1:12" x14ac:dyDescent="0.25">
      <c r="A31" s="25" t="s">
        <v>225</v>
      </c>
      <c r="B31" s="25" t="s">
        <v>221</v>
      </c>
      <c r="C31" s="26">
        <v>1</v>
      </c>
      <c r="D31" s="26" t="s">
        <v>222</v>
      </c>
      <c r="E31" s="27" t="s">
        <v>140</v>
      </c>
      <c r="F31" s="27" t="s">
        <v>223</v>
      </c>
      <c r="G31" s="34" t="s">
        <v>22</v>
      </c>
      <c r="H31" s="29">
        <v>1</v>
      </c>
      <c r="I31" s="30" t="s">
        <v>183</v>
      </c>
      <c r="J31" s="31" t="s">
        <v>224</v>
      </c>
      <c r="K31" s="33">
        <v>45350</v>
      </c>
      <c r="L31" s="33">
        <v>45291</v>
      </c>
    </row>
    <row r="32" spans="1:12" x14ac:dyDescent="0.25">
      <c r="A32" s="25" t="s">
        <v>226</v>
      </c>
      <c r="B32" s="25" t="s">
        <v>227</v>
      </c>
      <c r="C32" s="26">
        <v>2</v>
      </c>
      <c r="D32" s="26" t="s">
        <v>228</v>
      </c>
      <c r="E32" s="27" t="s">
        <v>140</v>
      </c>
      <c r="F32" s="27" t="s">
        <v>229</v>
      </c>
      <c r="G32" s="34" t="s">
        <v>142</v>
      </c>
      <c r="H32" s="29">
        <v>2</v>
      </c>
      <c r="I32" s="30" t="s">
        <v>177</v>
      </c>
      <c r="J32" s="31" t="s">
        <v>230</v>
      </c>
      <c r="K32" s="38">
        <v>45275</v>
      </c>
      <c r="L32" s="35">
        <v>45275</v>
      </c>
    </row>
    <row r="33" spans="1:12" x14ac:dyDescent="0.25">
      <c r="A33" s="25" t="s">
        <v>231</v>
      </c>
      <c r="B33" s="25" t="s">
        <v>232</v>
      </c>
      <c r="C33" s="26">
        <v>1</v>
      </c>
      <c r="D33" s="26" t="s">
        <v>228</v>
      </c>
      <c r="E33" s="26" t="s">
        <v>140</v>
      </c>
      <c r="F33" s="27" t="s">
        <v>229</v>
      </c>
      <c r="G33" s="34" t="s">
        <v>142</v>
      </c>
      <c r="H33" s="29">
        <v>1</v>
      </c>
      <c r="I33" s="30" t="s">
        <v>177</v>
      </c>
      <c r="J33" s="31" t="s">
        <v>233</v>
      </c>
      <c r="K33" s="35">
        <v>45291</v>
      </c>
      <c r="L33" s="33">
        <v>45312</v>
      </c>
    </row>
    <row r="34" spans="1:12" x14ac:dyDescent="0.25">
      <c r="A34" s="25" t="s">
        <v>234</v>
      </c>
      <c r="B34" s="25" t="s">
        <v>235</v>
      </c>
      <c r="C34" s="26">
        <v>1</v>
      </c>
      <c r="D34" s="26" t="s">
        <v>228</v>
      </c>
      <c r="E34" s="27" t="s">
        <v>140</v>
      </c>
      <c r="F34" s="26" t="s">
        <v>229</v>
      </c>
      <c r="G34" s="34" t="s">
        <v>142</v>
      </c>
      <c r="H34" s="29">
        <v>1</v>
      </c>
      <c r="I34" s="30" t="s">
        <v>177</v>
      </c>
      <c r="J34" s="31" t="s">
        <v>233</v>
      </c>
      <c r="K34" s="35">
        <v>45291</v>
      </c>
      <c r="L34" s="33">
        <v>45315</v>
      </c>
    </row>
    <row r="35" spans="1:12" x14ac:dyDescent="0.25">
      <c r="A35" s="25" t="s">
        <v>236</v>
      </c>
      <c r="B35" s="25" t="s">
        <v>237</v>
      </c>
      <c r="C35" s="26">
        <v>1</v>
      </c>
      <c r="D35" s="26" t="s">
        <v>228</v>
      </c>
      <c r="E35" s="27" t="s">
        <v>140</v>
      </c>
      <c r="F35" s="26" t="s">
        <v>229</v>
      </c>
      <c r="G35" s="34" t="s">
        <v>149</v>
      </c>
      <c r="H35" s="29">
        <v>1</v>
      </c>
      <c r="I35" s="30" t="s">
        <v>177</v>
      </c>
      <c r="J35" s="31" t="s">
        <v>233</v>
      </c>
      <c r="K35" s="35">
        <v>45291</v>
      </c>
      <c r="L35" s="33">
        <v>45322</v>
      </c>
    </row>
    <row r="36" spans="1:12" x14ac:dyDescent="0.25">
      <c r="A36" s="25" t="s">
        <v>238</v>
      </c>
      <c r="B36" s="25" t="s">
        <v>239</v>
      </c>
      <c r="C36" s="26">
        <v>2</v>
      </c>
      <c r="D36" s="26" t="s">
        <v>228</v>
      </c>
      <c r="E36" s="27" t="s">
        <v>140</v>
      </c>
      <c r="F36" s="26" t="s">
        <v>229</v>
      </c>
      <c r="G36" s="34" t="s">
        <v>22</v>
      </c>
      <c r="H36" s="29">
        <v>2</v>
      </c>
      <c r="I36" s="30" t="s">
        <v>177</v>
      </c>
      <c r="J36" s="31" t="s">
        <v>233</v>
      </c>
      <c r="K36" s="35">
        <v>45291</v>
      </c>
      <c r="L36" s="33">
        <v>45322</v>
      </c>
    </row>
    <row r="37" spans="1:12" x14ac:dyDescent="0.25">
      <c r="A37" s="25" t="s">
        <v>240</v>
      </c>
      <c r="B37" s="25" t="s">
        <v>241</v>
      </c>
      <c r="C37" s="26">
        <v>2</v>
      </c>
      <c r="D37" s="26" t="s">
        <v>228</v>
      </c>
      <c r="E37" s="27" t="s">
        <v>140</v>
      </c>
      <c r="F37" s="26" t="s">
        <v>229</v>
      </c>
      <c r="G37" s="34" t="s">
        <v>22</v>
      </c>
      <c r="H37" s="29">
        <v>2</v>
      </c>
      <c r="I37" s="30" t="s">
        <v>177</v>
      </c>
      <c r="J37" s="31" t="s">
        <v>233</v>
      </c>
      <c r="K37" s="35">
        <v>45291</v>
      </c>
      <c r="L37" s="33">
        <v>45315</v>
      </c>
    </row>
    <row r="38" spans="1:12" x14ac:dyDescent="0.25">
      <c r="A38" s="25" t="s">
        <v>242</v>
      </c>
      <c r="B38" s="25" t="s">
        <v>243</v>
      </c>
      <c r="C38" s="26">
        <v>1</v>
      </c>
      <c r="D38" s="26" t="s">
        <v>228</v>
      </c>
      <c r="E38" s="27" t="s">
        <v>140</v>
      </c>
      <c r="F38" s="26" t="s">
        <v>229</v>
      </c>
      <c r="G38" s="34" t="s">
        <v>22</v>
      </c>
      <c r="H38" s="29">
        <v>1</v>
      </c>
      <c r="I38" s="30" t="s">
        <v>177</v>
      </c>
      <c r="J38" s="31" t="s">
        <v>233</v>
      </c>
      <c r="K38" s="35">
        <v>45291</v>
      </c>
      <c r="L38" s="33">
        <v>45312</v>
      </c>
    </row>
    <row r="39" spans="1:12" x14ac:dyDescent="0.25">
      <c r="A39" s="25" t="s">
        <v>244</v>
      </c>
      <c r="B39" s="25" t="s">
        <v>245</v>
      </c>
      <c r="C39" s="26">
        <v>2</v>
      </c>
      <c r="D39" s="26" t="s">
        <v>228</v>
      </c>
      <c r="E39" s="27" t="s">
        <v>140</v>
      </c>
      <c r="F39" s="26" t="s">
        <v>229</v>
      </c>
      <c r="G39" s="34" t="s">
        <v>22</v>
      </c>
      <c r="H39" s="29">
        <v>2</v>
      </c>
      <c r="I39" s="30" t="s">
        <v>177</v>
      </c>
      <c r="J39" s="31" t="s">
        <v>233</v>
      </c>
      <c r="K39" s="35">
        <v>45291</v>
      </c>
      <c r="L39" s="33">
        <v>45316</v>
      </c>
    </row>
    <row r="40" spans="1:12" x14ac:dyDescent="0.25">
      <c r="A40" s="25" t="s">
        <v>246</v>
      </c>
      <c r="B40" s="25" t="s">
        <v>247</v>
      </c>
      <c r="C40" s="26">
        <v>2</v>
      </c>
      <c r="D40" s="26" t="s">
        <v>228</v>
      </c>
      <c r="E40" s="27" t="s">
        <v>140</v>
      </c>
      <c r="F40" s="26" t="s">
        <v>229</v>
      </c>
      <c r="G40" s="34" t="s">
        <v>125</v>
      </c>
      <c r="H40" s="29">
        <v>2</v>
      </c>
      <c r="I40" s="30" t="s">
        <v>177</v>
      </c>
      <c r="J40" s="31" t="s">
        <v>233</v>
      </c>
      <c r="K40" s="35">
        <v>45291</v>
      </c>
      <c r="L40" s="33">
        <v>45322</v>
      </c>
    </row>
    <row r="41" spans="1:12" x14ac:dyDescent="0.25">
      <c r="A41" s="25" t="s">
        <v>248</v>
      </c>
      <c r="B41" s="25" t="s">
        <v>249</v>
      </c>
      <c r="C41" s="26">
        <v>2</v>
      </c>
      <c r="D41" s="26" t="s">
        <v>228</v>
      </c>
      <c r="E41" s="27" t="s">
        <v>140</v>
      </c>
      <c r="F41" s="26" t="s">
        <v>229</v>
      </c>
      <c r="G41" s="34" t="s">
        <v>125</v>
      </c>
      <c r="H41" s="29">
        <v>2</v>
      </c>
      <c r="I41" s="30" t="s">
        <v>177</v>
      </c>
      <c r="J41" s="31" t="s">
        <v>233</v>
      </c>
      <c r="K41" s="35">
        <v>45291</v>
      </c>
      <c r="L41" s="33">
        <v>45316</v>
      </c>
    </row>
    <row r="42" spans="1:12" x14ac:dyDescent="0.25">
      <c r="A42" s="25" t="s">
        <v>250</v>
      </c>
      <c r="B42" s="25" t="s">
        <v>251</v>
      </c>
      <c r="C42" s="26">
        <v>4</v>
      </c>
      <c r="D42" s="26" t="s">
        <v>228</v>
      </c>
      <c r="E42" s="27" t="s">
        <v>140</v>
      </c>
      <c r="F42" s="26" t="s">
        <v>229</v>
      </c>
      <c r="G42" s="34" t="s">
        <v>125</v>
      </c>
      <c r="H42" s="29">
        <v>4</v>
      </c>
      <c r="I42" s="30" t="s">
        <v>177</v>
      </c>
      <c r="J42" s="31" t="s">
        <v>233</v>
      </c>
      <c r="K42" s="35">
        <v>45291</v>
      </c>
      <c r="L42" s="33">
        <v>45310</v>
      </c>
    </row>
    <row r="43" spans="1:12" x14ac:dyDescent="0.25">
      <c r="A43" s="25" t="s">
        <v>252</v>
      </c>
      <c r="B43" s="25" t="s">
        <v>227</v>
      </c>
      <c r="C43" s="26">
        <v>4</v>
      </c>
      <c r="D43" s="26" t="s">
        <v>253</v>
      </c>
      <c r="E43" s="27" t="s">
        <v>140</v>
      </c>
      <c r="F43" s="26" t="s">
        <v>229</v>
      </c>
      <c r="G43" s="34" t="s">
        <v>142</v>
      </c>
      <c r="H43" s="29">
        <v>4</v>
      </c>
      <c r="I43" s="30" t="s">
        <v>143</v>
      </c>
      <c r="J43" s="31" t="s">
        <v>254</v>
      </c>
      <c r="K43" s="32">
        <v>45321</v>
      </c>
      <c r="L43" s="33">
        <v>45350</v>
      </c>
    </row>
    <row r="44" spans="1:12" x14ac:dyDescent="0.25">
      <c r="A44" s="25" t="s">
        <v>255</v>
      </c>
      <c r="B44" s="25" t="s">
        <v>227</v>
      </c>
      <c r="C44" s="26">
        <v>1</v>
      </c>
      <c r="D44" s="26" t="s">
        <v>253</v>
      </c>
      <c r="E44" s="27" t="s">
        <v>140</v>
      </c>
      <c r="F44" s="26" t="s">
        <v>229</v>
      </c>
      <c r="G44" s="34" t="s">
        <v>142</v>
      </c>
      <c r="H44" s="29">
        <v>1</v>
      </c>
      <c r="I44" s="30" t="s">
        <v>177</v>
      </c>
      <c r="J44" s="31" t="s">
        <v>233</v>
      </c>
      <c r="K44" s="38">
        <v>45304</v>
      </c>
      <c r="L44" s="33">
        <v>45337</v>
      </c>
    </row>
    <row r="45" spans="1:12" x14ac:dyDescent="0.25">
      <c r="A45" s="25" t="s">
        <v>256</v>
      </c>
      <c r="B45" s="25" t="s">
        <v>227</v>
      </c>
      <c r="C45" s="26">
        <v>1</v>
      </c>
      <c r="D45" s="26" t="s">
        <v>253</v>
      </c>
      <c r="E45" s="27" t="s">
        <v>140</v>
      </c>
      <c r="F45" s="27" t="s">
        <v>229</v>
      </c>
      <c r="G45" s="34" t="s">
        <v>142</v>
      </c>
      <c r="H45" s="29">
        <v>1</v>
      </c>
      <c r="I45" s="30" t="s">
        <v>177</v>
      </c>
      <c r="J45" s="31" t="s">
        <v>233</v>
      </c>
      <c r="K45" s="38">
        <v>45304</v>
      </c>
      <c r="L45" s="33">
        <v>45335</v>
      </c>
    </row>
    <row r="46" spans="1:12" x14ac:dyDescent="0.25">
      <c r="A46" s="25" t="s">
        <v>257</v>
      </c>
      <c r="B46" s="25" t="s">
        <v>258</v>
      </c>
      <c r="C46" s="26">
        <v>2</v>
      </c>
      <c r="D46" s="26" t="s">
        <v>253</v>
      </c>
      <c r="E46" s="26" t="s">
        <v>140</v>
      </c>
      <c r="F46" s="26" t="s">
        <v>229</v>
      </c>
      <c r="G46" s="34" t="s">
        <v>142</v>
      </c>
      <c r="H46" s="29">
        <v>2</v>
      </c>
      <c r="I46" s="30" t="s">
        <v>143</v>
      </c>
      <c r="J46" s="31" t="s">
        <v>254</v>
      </c>
      <c r="K46" s="32">
        <v>45321</v>
      </c>
      <c r="L46" s="33">
        <v>45350</v>
      </c>
    </row>
    <row r="47" spans="1:12" x14ac:dyDescent="0.25">
      <c r="A47" s="25" t="s">
        <v>259</v>
      </c>
      <c r="B47" s="25" t="s">
        <v>260</v>
      </c>
      <c r="C47" s="26">
        <v>2</v>
      </c>
      <c r="D47" s="26" t="s">
        <v>253</v>
      </c>
      <c r="E47" s="27" t="s">
        <v>140</v>
      </c>
      <c r="F47" s="27" t="s">
        <v>229</v>
      </c>
      <c r="G47" s="34" t="s">
        <v>149</v>
      </c>
      <c r="H47" s="29">
        <v>2</v>
      </c>
      <c r="I47" s="30" t="s">
        <v>143</v>
      </c>
      <c r="J47" s="31" t="s">
        <v>254</v>
      </c>
      <c r="K47" s="32">
        <v>45321</v>
      </c>
      <c r="L47" s="33">
        <v>45350</v>
      </c>
    </row>
    <row r="48" spans="1:12" x14ac:dyDescent="0.25">
      <c r="A48" s="25" t="s">
        <v>261</v>
      </c>
      <c r="B48" s="25" t="s">
        <v>262</v>
      </c>
      <c r="C48" s="26">
        <v>2</v>
      </c>
      <c r="D48" s="26" t="s">
        <v>253</v>
      </c>
      <c r="E48" s="27" t="s">
        <v>140</v>
      </c>
      <c r="F48" s="27" t="s">
        <v>229</v>
      </c>
      <c r="G48" s="34" t="s">
        <v>149</v>
      </c>
      <c r="H48" s="29">
        <v>2</v>
      </c>
      <c r="I48" s="30" t="s">
        <v>143</v>
      </c>
      <c r="J48" s="31" t="s">
        <v>254</v>
      </c>
      <c r="K48" s="32">
        <v>45321</v>
      </c>
      <c r="L48" s="33">
        <v>45350</v>
      </c>
    </row>
    <row r="49" spans="1:12" x14ac:dyDescent="0.25">
      <c r="A49" s="25" t="s">
        <v>263</v>
      </c>
      <c r="B49" s="25" t="s">
        <v>264</v>
      </c>
      <c r="C49" s="26">
        <v>3</v>
      </c>
      <c r="D49" s="26" t="s">
        <v>253</v>
      </c>
      <c r="E49" s="27" t="s">
        <v>140</v>
      </c>
      <c r="F49" s="27" t="s">
        <v>229</v>
      </c>
      <c r="G49" s="34" t="s">
        <v>149</v>
      </c>
      <c r="H49" s="29">
        <v>3</v>
      </c>
      <c r="I49" s="30" t="s">
        <v>143</v>
      </c>
      <c r="J49" s="31" t="s">
        <v>254</v>
      </c>
      <c r="K49" s="32">
        <v>45321</v>
      </c>
      <c r="L49" s="33">
        <v>45350</v>
      </c>
    </row>
    <row r="50" spans="1:12" x14ac:dyDescent="0.25">
      <c r="A50" s="25" t="s">
        <v>265</v>
      </c>
      <c r="B50" s="25" t="s">
        <v>266</v>
      </c>
      <c r="C50" s="26">
        <v>1</v>
      </c>
      <c r="D50" s="26" t="s">
        <v>253</v>
      </c>
      <c r="E50" s="27" t="s">
        <v>140</v>
      </c>
      <c r="F50" s="27" t="s">
        <v>229</v>
      </c>
      <c r="G50" s="34" t="s">
        <v>22</v>
      </c>
      <c r="H50" s="29">
        <v>1</v>
      </c>
      <c r="I50" s="30" t="s">
        <v>143</v>
      </c>
      <c r="J50" s="31" t="s">
        <v>254</v>
      </c>
      <c r="K50" s="32">
        <v>45321</v>
      </c>
      <c r="L50" s="33">
        <v>45350</v>
      </c>
    </row>
    <row r="51" spans="1:12" x14ac:dyDescent="0.25">
      <c r="A51" s="25" t="s">
        <v>267</v>
      </c>
      <c r="B51" s="25" t="s">
        <v>268</v>
      </c>
      <c r="C51" s="26">
        <v>2</v>
      </c>
      <c r="D51" s="26" t="s">
        <v>253</v>
      </c>
      <c r="E51" s="27" t="s">
        <v>140</v>
      </c>
      <c r="F51" s="27" t="s">
        <v>229</v>
      </c>
      <c r="G51" s="34" t="s">
        <v>22</v>
      </c>
      <c r="H51" s="29">
        <v>2</v>
      </c>
      <c r="I51" s="30" t="s">
        <v>143</v>
      </c>
      <c r="J51" s="31" t="s">
        <v>254</v>
      </c>
      <c r="K51" s="32">
        <v>45321</v>
      </c>
      <c r="L51" s="33">
        <v>45350</v>
      </c>
    </row>
    <row r="52" spans="1:12" x14ac:dyDescent="0.25">
      <c r="A52" s="25" t="s">
        <v>269</v>
      </c>
      <c r="B52" s="25" t="s">
        <v>270</v>
      </c>
      <c r="C52" s="26">
        <v>1</v>
      </c>
      <c r="D52" s="26" t="s">
        <v>271</v>
      </c>
      <c r="E52" s="27" t="s">
        <v>140</v>
      </c>
      <c r="F52" s="27" t="s">
        <v>229</v>
      </c>
      <c r="G52" s="34" t="s">
        <v>22</v>
      </c>
      <c r="H52" s="29">
        <v>1</v>
      </c>
      <c r="I52" s="30" t="s">
        <v>143</v>
      </c>
      <c r="J52" s="31" t="s">
        <v>254</v>
      </c>
      <c r="K52" s="32">
        <v>45214</v>
      </c>
      <c r="L52" s="33">
        <v>45337</v>
      </c>
    </row>
    <row r="53" spans="1:12" x14ac:dyDescent="0.25">
      <c r="A53" s="25" t="s">
        <v>272</v>
      </c>
      <c r="B53" s="25" t="s">
        <v>273</v>
      </c>
      <c r="C53" s="26">
        <v>1</v>
      </c>
      <c r="D53" s="26" t="s">
        <v>274</v>
      </c>
      <c r="E53" s="27" t="s">
        <v>140</v>
      </c>
      <c r="F53" s="27" t="s">
        <v>229</v>
      </c>
      <c r="G53" s="34" t="s">
        <v>22</v>
      </c>
      <c r="H53" s="29">
        <v>1</v>
      </c>
      <c r="I53" s="30" t="s">
        <v>183</v>
      </c>
      <c r="J53" s="31" t="s">
        <v>275</v>
      </c>
      <c r="K53" s="38">
        <v>45291</v>
      </c>
      <c r="L53" s="33">
        <v>45291</v>
      </c>
    </row>
    <row r="54" spans="1:12" x14ac:dyDescent="0.25">
      <c r="A54" s="25" t="s">
        <v>276</v>
      </c>
      <c r="B54" s="25" t="s">
        <v>277</v>
      </c>
      <c r="C54" s="26">
        <v>1</v>
      </c>
      <c r="D54" s="26" t="s">
        <v>253</v>
      </c>
      <c r="E54" s="27" t="s">
        <v>140</v>
      </c>
      <c r="F54" s="27" t="s">
        <v>229</v>
      </c>
      <c r="G54" s="34" t="s">
        <v>22</v>
      </c>
      <c r="H54" s="29">
        <v>1</v>
      </c>
      <c r="I54" s="30" t="s">
        <v>177</v>
      </c>
      <c r="J54" s="31" t="s">
        <v>233</v>
      </c>
      <c r="K54" s="38">
        <v>45304</v>
      </c>
      <c r="L54" s="33">
        <v>45337</v>
      </c>
    </row>
    <row r="55" spans="1:12" x14ac:dyDescent="0.25">
      <c r="A55" s="25" t="s">
        <v>278</v>
      </c>
      <c r="B55" s="25" t="s">
        <v>279</v>
      </c>
      <c r="C55" s="26">
        <v>1</v>
      </c>
      <c r="D55" s="26" t="s">
        <v>253</v>
      </c>
      <c r="E55" s="27" t="s">
        <v>140</v>
      </c>
      <c r="F55" s="27" t="s">
        <v>229</v>
      </c>
      <c r="G55" s="34" t="s">
        <v>22</v>
      </c>
      <c r="H55" s="29">
        <v>1</v>
      </c>
      <c r="I55" s="30" t="s">
        <v>143</v>
      </c>
      <c r="J55" s="31" t="s">
        <v>254</v>
      </c>
      <c r="K55" s="32">
        <v>45321</v>
      </c>
      <c r="L55" s="33">
        <v>45350</v>
      </c>
    </row>
    <row r="56" spans="1:12" x14ac:dyDescent="0.25">
      <c r="A56" s="25" t="s">
        <v>280</v>
      </c>
      <c r="B56" s="25" t="s">
        <v>281</v>
      </c>
      <c r="C56" s="26">
        <v>1</v>
      </c>
      <c r="D56" s="26" t="s">
        <v>253</v>
      </c>
      <c r="E56" s="27" t="s">
        <v>140</v>
      </c>
      <c r="F56" s="27" t="s">
        <v>229</v>
      </c>
      <c r="G56" s="34" t="s">
        <v>22</v>
      </c>
      <c r="H56" s="29">
        <v>1</v>
      </c>
      <c r="I56" s="30" t="s">
        <v>143</v>
      </c>
      <c r="J56" s="31" t="s">
        <v>254</v>
      </c>
      <c r="K56" s="32">
        <v>45321</v>
      </c>
      <c r="L56" s="33">
        <v>45350</v>
      </c>
    </row>
    <row r="57" spans="1:12" x14ac:dyDescent="0.25">
      <c r="A57" s="25" t="s">
        <v>282</v>
      </c>
      <c r="B57" s="25" t="s">
        <v>283</v>
      </c>
      <c r="C57" s="26">
        <v>1</v>
      </c>
      <c r="D57" s="26" t="s">
        <v>253</v>
      </c>
      <c r="E57" s="27" t="s">
        <v>140</v>
      </c>
      <c r="F57" s="27" t="s">
        <v>229</v>
      </c>
      <c r="G57" s="34" t="s">
        <v>22</v>
      </c>
      <c r="H57" s="29">
        <v>1</v>
      </c>
      <c r="I57" s="30" t="s">
        <v>177</v>
      </c>
      <c r="J57" s="31" t="s">
        <v>233</v>
      </c>
      <c r="K57" s="38">
        <v>45304</v>
      </c>
      <c r="L57" s="33">
        <v>45334</v>
      </c>
    </row>
    <row r="58" spans="1:12" x14ac:dyDescent="0.25">
      <c r="A58" s="25" t="s">
        <v>284</v>
      </c>
      <c r="B58" s="25" t="s">
        <v>285</v>
      </c>
      <c r="C58" s="26">
        <v>1</v>
      </c>
      <c r="D58" s="26" t="s">
        <v>253</v>
      </c>
      <c r="E58" s="27" t="s">
        <v>140</v>
      </c>
      <c r="F58" s="27" t="s">
        <v>229</v>
      </c>
      <c r="G58" s="34" t="s">
        <v>22</v>
      </c>
      <c r="H58" s="29">
        <v>1</v>
      </c>
      <c r="I58" s="30" t="s">
        <v>143</v>
      </c>
      <c r="J58" s="31" t="s">
        <v>254</v>
      </c>
      <c r="K58" s="32">
        <v>45321</v>
      </c>
      <c r="L58" s="33">
        <v>45350</v>
      </c>
    </row>
    <row r="59" spans="1:12" x14ac:dyDescent="0.25">
      <c r="A59" s="25" t="s">
        <v>286</v>
      </c>
      <c r="B59" s="25" t="s">
        <v>287</v>
      </c>
      <c r="C59" s="26">
        <v>1</v>
      </c>
      <c r="D59" s="26" t="s">
        <v>253</v>
      </c>
      <c r="E59" s="27" t="s">
        <v>140</v>
      </c>
      <c r="F59" s="27" t="s">
        <v>229</v>
      </c>
      <c r="G59" s="34" t="s">
        <v>22</v>
      </c>
      <c r="H59" s="29">
        <v>1</v>
      </c>
      <c r="I59" s="30" t="s">
        <v>143</v>
      </c>
      <c r="J59" s="31" t="s">
        <v>254</v>
      </c>
      <c r="K59" s="32">
        <v>45321</v>
      </c>
      <c r="L59" s="33">
        <v>45350</v>
      </c>
    </row>
    <row r="60" spans="1:12" x14ac:dyDescent="0.25">
      <c r="A60" s="25" t="s">
        <v>288</v>
      </c>
      <c r="B60" s="25" t="s">
        <v>289</v>
      </c>
      <c r="C60" s="26">
        <v>1</v>
      </c>
      <c r="D60" s="26" t="s">
        <v>253</v>
      </c>
      <c r="E60" s="27" t="s">
        <v>140</v>
      </c>
      <c r="F60" s="26" t="s">
        <v>229</v>
      </c>
      <c r="G60" s="34" t="s">
        <v>22</v>
      </c>
      <c r="H60" s="29">
        <v>1</v>
      </c>
      <c r="I60" s="30" t="s">
        <v>143</v>
      </c>
      <c r="J60" s="31" t="s">
        <v>254</v>
      </c>
      <c r="K60" s="32">
        <v>45321</v>
      </c>
      <c r="L60" s="33">
        <v>45350</v>
      </c>
    </row>
    <row r="61" spans="1:12" x14ac:dyDescent="0.25">
      <c r="A61" s="25" t="s">
        <v>290</v>
      </c>
      <c r="B61" s="25" t="s">
        <v>291</v>
      </c>
      <c r="C61" s="26">
        <v>1</v>
      </c>
      <c r="D61" s="26" t="s">
        <v>253</v>
      </c>
      <c r="E61" s="27" t="s">
        <v>140</v>
      </c>
      <c r="F61" s="26" t="s">
        <v>229</v>
      </c>
      <c r="G61" s="34" t="s">
        <v>22</v>
      </c>
      <c r="H61" s="29">
        <v>1</v>
      </c>
      <c r="I61" s="30" t="s">
        <v>143</v>
      </c>
      <c r="J61" s="31" t="s">
        <v>254</v>
      </c>
      <c r="K61" s="32">
        <v>45321</v>
      </c>
      <c r="L61" s="33">
        <v>45350</v>
      </c>
    </row>
    <row r="62" spans="1:12" x14ac:dyDescent="0.25">
      <c r="A62" s="25" t="s">
        <v>292</v>
      </c>
      <c r="B62" s="25" t="s">
        <v>293</v>
      </c>
      <c r="C62" s="26">
        <v>2</v>
      </c>
      <c r="D62" s="26" t="s">
        <v>253</v>
      </c>
      <c r="E62" s="27" t="s">
        <v>140</v>
      </c>
      <c r="F62" s="26" t="s">
        <v>229</v>
      </c>
      <c r="G62" s="34" t="s">
        <v>22</v>
      </c>
      <c r="H62" s="29">
        <v>2</v>
      </c>
      <c r="I62" s="30" t="s">
        <v>177</v>
      </c>
      <c r="J62" s="31" t="s">
        <v>233</v>
      </c>
      <c r="K62" s="38">
        <v>45287</v>
      </c>
      <c r="L62" s="33">
        <v>45332</v>
      </c>
    </row>
    <row r="63" spans="1:12" x14ac:dyDescent="0.25">
      <c r="A63" s="25" t="s">
        <v>294</v>
      </c>
      <c r="B63" s="25" t="s">
        <v>295</v>
      </c>
      <c r="C63" s="26">
        <v>1</v>
      </c>
      <c r="D63" s="26" t="s">
        <v>253</v>
      </c>
      <c r="E63" s="27" t="s">
        <v>140</v>
      </c>
      <c r="F63" s="26" t="s">
        <v>229</v>
      </c>
      <c r="G63" s="34" t="s">
        <v>125</v>
      </c>
      <c r="H63" s="29">
        <v>1</v>
      </c>
      <c r="I63" s="30" t="s">
        <v>143</v>
      </c>
      <c r="J63" s="31" t="s">
        <v>254</v>
      </c>
      <c r="K63" s="32">
        <v>45321</v>
      </c>
      <c r="L63" s="33">
        <v>45350</v>
      </c>
    </row>
    <row r="64" spans="1:12" x14ac:dyDescent="0.25">
      <c r="A64" s="25" t="s">
        <v>296</v>
      </c>
      <c r="B64" s="25" t="s">
        <v>297</v>
      </c>
      <c r="C64" s="26">
        <v>1</v>
      </c>
      <c r="D64" s="26" t="s">
        <v>253</v>
      </c>
      <c r="E64" s="26" t="s">
        <v>140</v>
      </c>
      <c r="F64" s="26" t="s">
        <v>229</v>
      </c>
      <c r="G64" s="34" t="s">
        <v>125</v>
      </c>
      <c r="H64" s="29">
        <v>1</v>
      </c>
      <c r="I64" s="30" t="s">
        <v>143</v>
      </c>
      <c r="J64" s="31" t="s">
        <v>254</v>
      </c>
      <c r="K64" s="32">
        <v>45321</v>
      </c>
      <c r="L64" s="33">
        <v>45350</v>
      </c>
    </row>
    <row r="65" spans="1:12" x14ac:dyDescent="0.25">
      <c r="A65" s="25" t="s">
        <v>298</v>
      </c>
      <c r="B65" s="25" t="s">
        <v>299</v>
      </c>
      <c r="C65" s="26">
        <v>1</v>
      </c>
      <c r="D65" s="26" t="s">
        <v>253</v>
      </c>
      <c r="E65" s="26" t="s">
        <v>140</v>
      </c>
      <c r="F65" s="26" t="s">
        <v>229</v>
      </c>
      <c r="G65" s="34" t="s">
        <v>125</v>
      </c>
      <c r="H65" s="29">
        <v>1</v>
      </c>
      <c r="I65" s="30" t="s">
        <v>143</v>
      </c>
      <c r="J65" s="31" t="s">
        <v>254</v>
      </c>
      <c r="K65" s="32">
        <v>45321</v>
      </c>
      <c r="L65" s="33">
        <v>45350</v>
      </c>
    </row>
    <row r="66" spans="1:12" x14ac:dyDescent="0.25">
      <c r="A66" s="25" t="s">
        <v>300</v>
      </c>
      <c r="B66" s="25" t="s">
        <v>301</v>
      </c>
      <c r="C66" s="26">
        <v>1</v>
      </c>
      <c r="D66" s="26" t="s">
        <v>253</v>
      </c>
      <c r="E66" s="26" t="s">
        <v>140</v>
      </c>
      <c r="F66" s="26" t="s">
        <v>229</v>
      </c>
      <c r="G66" s="34" t="s">
        <v>125</v>
      </c>
      <c r="H66" s="29">
        <v>1</v>
      </c>
      <c r="I66" s="30" t="s">
        <v>143</v>
      </c>
      <c r="J66" s="31" t="s">
        <v>254</v>
      </c>
      <c r="K66" s="32">
        <v>45321</v>
      </c>
      <c r="L66" s="33">
        <v>45350</v>
      </c>
    </row>
    <row r="67" spans="1:12" x14ac:dyDescent="0.25">
      <c r="A67" s="25" t="s">
        <v>302</v>
      </c>
      <c r="B67" s="25" t="s">
        <v>303</v>
      </c>
      <c r="C67" s="26">
        <v>2</v>
      </c>
      <c r="D67" s="26" t="s">
        <v>253</v>
      </c>
      <c r="E67" s="26" t="s">
        <v>140</v>
      </c>
      <c r="F67" s="26" t="s">
        <v>229</v>
      </c>
      <c r="G67" s="34" t="s">
        <v>125</v>
      </c>
      <c r="H67" s="29">
        <v>2</v>
      </c>
      <c r="I67" s="30" t="s">
        <v>143</v>
      </c>
      <c r="J67" s="31" t="s">
        <v>254</v>
      </c>
      <c r="K67" s="32">
        <v>45321</v>
      </c>
      <c r="L67" s="33">
        <v>45350</v>
      </c>
    </row>
    <row r="68" spans="1:12" x14ac:dyDescent="0.25">
      <c r="A68" s="25" t="s">
        <v>304</v>
      </c>
      <c r="B68" s="25" t="s">
        <v>305</v>
      </c>
      <c r="C68" s="26">
        <v>1</v>
      </c>
      <c r="D68" s="26" t="s">
        <v>253</v>
      </c>
      <c r="E68" s="26" t="s">
        <v>140</v>
      </c>
      <c r="F68" s="26" t="s">
        <v>229</v>
      </c>
      <c r="G68" s="34" t="s">
        <v>125</v>
      </c>
      <c r="H68" s="29">
        <v>1</v>
      </c>
      <c r="I68" s="30" t="s">
        <v>143</v>
      </c>
      <c r="J68" s="31" t="s">
        <v>254</v>
      </c>
      <c r="K68" s="32">
        <v>45321</v>
      </c>
      <c r="L68" s="33">
        <v>45350</v>
      </c>
    </row>
    <row r="69" spans="1:12" x14ac:dyDescent="0.25">
      <c r="A69" s="25" t="s">
        <v>306</v>
      </c>
      <c r="B69" s="25" t="s">
        <v>307</v>
      </c>
      <c r="C69" s="26">
        <v>1</v>
      </c>
      <c r="D69" s="26" t="s">
        <v>308</v>
      </c>
      <c r="E69" s="27" t="s">
        <v>140</v>
      </c>
      <c r="F69" s="27" t="s">
        <v>229</v>
      </c>
      <c r="G69" s="34" t="s">
        <v>142</v>
      </c>
      <c r="H69" s="29">
        <v>1</v>
      </c>
      <c r="I69" s="30" t="s">
        <v>177</v>
      </c>
      <c r="J69" s="31" t="s">
        <v>309</v>
      </c>
      <c r="K69" s="38">
        <v>45236</v>
      </c>
      <c r="L69" s="33">
        <v>45250</v>
      </c>
    </row>
    <row r="70" spans="1:12" x14ac:dyDescent="0.25">
      <c r="A70" s="25" t="s">
        <v>310</v>
      </c>
      <c r="B70" s="25" t="s">
        <v>311</v>
      </c>
      <c r="C70" s="26">
        <v>1</v>
      </c>
      <c r="D70" s="26" t="s">
        <v>312</v>
      </c>
      <c r="E70" s="27" t="s">
        <v>140</v>
      </c>
      <c r="F70" s="27" t="s">
        <v>229</v>
      </c>
      <c r="G70" s="34" t="s">
        <v>22</v>
      </c>
      <c r="H70" s="29">
        <v>1</v>
      </c>
      <c r="I70" s="30" t="s">
        <v>177</v>
      </c>
      <c r="J70" s="31" t="s">
        <v>309</v>
      </c>
      <c r="K70" s="38">
        <v>45297</v>
      </c>
      <c r="L70" s="33">
        <v>45297</v>
      </c>
    </row>
    <row r="71" spans="1:12" x14ac:dyDescent="0.25">
      <c r="A71" s="25" t="s">
        <v>313</v>
      </c>
      <c r="B71" s="25" t="s">
        <v>314</v>
      </c>
      <c r="C71" s="26">
        <v>1</v>
      </c>
      <c r="D71" s="26" t="s">
        <v>308</v>
      </c>
      <c r="E71" s="27" t="s">
        <v>140</v>
      </c>
      <c r="F71" s="27" t="s">
        <v>229</v>
      </c>
      <c r="G71" s="34" t="s">
        <v>22</v>
      </c>
      <c r="H71" s="29">
        <v>1</v>
      </c>
      <c r="I71" s="30" t="s">
        <v>177</v>
      </c>
      <c r="J71" s="31" t="s">
        <v>309</v>
      </c>
      <c r="K71" s="38">
        <v>45236</v>
      </c>
      <c r="L71" s="33">
        <v>45250</v>
      </c>
    </row>
    <row r="72" spans="1:12" x14ac:dyDescent="0.25">
      <c r="A72" s="25" t="s">
        <v>315</v>
      </c>
      <c r="B72" s="25" t="s">
        <v>316</v>
      </c>
      <c r="C72" s="26">
        <v>2</v>
      </c>
      <c r="D72" s="26" t="s">
        <v>271</v>
      </c>
      <c r="E72" s="27" t="s">
        <v>140</v>
      </c>
      <c r="F72" s="27" t="s">
        <v>229</v>
      </c>
      <c r="G72" s="34" t="s">
        <v>125</v>
      </c>
      <c r="H72" s="29">
        <v>2</v>
      </c>
      <c r="I72" s="30" t="s">
        <v>143</v>
      </c>
      <c r="J72" s="31" t="s">
        <v>254</v>
      </c>
      <c r="K72" s="32">
        <v>45214</v>
      </c>
      <c r="L72" s="33">
        <v>45337</v>
      </c>
    </row>
    <row r="73" spans="1:12" x14ac:dyDescent="0.25">
      <c r="A73" s="25" t="s">
        <v>317</v>
      </c>
      <c r="B73" s="25" t="s">
        <v>318</v>
      </c>
      <c r="C73" s="26">
        <v>1</v>
      </c>
      <c r="D73" s="26" t="s">
        <v>308</v>
      </c>
      <c r="E73" s="27" t="s">
        <v>140</v>
      </c>
      <c r="F73" s="27" t="s">
        <v>229</v>
      </c>
      <c r="G73" s="34" t="s">
        <v>22</v>
      </c>
      <c r="H73" s="29">
        <v>1</v>
      </c>
      <c r="I73" s="30" t="s">
        <v>177</v>
      </c>
      <c r="J73" s="31" t="s">
        <v>309</v>
      </c>
      <c r="K73" s="38">
        <v>45236</v>
      </c>
      <c r="L73" s="33">
        <v>45250</v>
      </c>
    </row>
    <row r="74" spans="1:12" x14ac:dyDescent="0.25">
      <c r="A74" s="25" t="s">
        <v>319</v>
      </c>
      <c r="B74" s="25" t="s">
        <v>320</v>
      </c>
      <c r="C74" s="26">
        <v>1</v>
      </c>
      <c r="D74" s="26" t="s">
        <v>271</v>
      </c>
      <c r="E74" s="27" t="s">
        <v>140</v>
      </c>
      <c r="F74" s="27" t="s">
        <v>229</v>
      </c>
      <c r="G74" s="34" t="s">
        <v>125</v>
      </c>
      <c r="H74" s="29">
        <v>1</v>
      </c>
      <c r="I74" s="30" t="s">
        <v>143</v>
      </c>
      <c r="J74" s="31" t="s">
        <v>254</v>
      </c>
      <c r="K74" s="32">
        <v>45214</v>
      </c>
      <c r="L74" s="33">
        <v>45337</v>
      </c>
    </row>
    <row r="75" spans="1:12" x14ac:dyDescent="0.25">
      <c r="A75" s="25" t="s">
        <v>321</v>
      </c>
      <c r="B75" s="25" t="s">
        <v>322</v>
      </c>
      <c r="C75" s="26">
        <v>1</v>
      </c>
      <c r="D75" s="26" t="s">
        <v>312</v>
      </c>
      <c r="E75" s="27" t="s">
        <v>140</v>
      </c>
      <c r="F75" s="27" t="s">
        <v>229</v>
      </c>
      <c r="G75" s="34" t="s">
        <v>125</v>
      </c>
      <c r="H75" s="29">
        <v>1</v>
      </c>
      <c r="I75" s="30" t="s">
        <v>177</v>
      </c>
      <c r="J75" s="31" t="s">
        <v>309</v>
      </c>
      <c r="K75" s="38">
        <v>45297</v>
      </c>
      <c r="L75" s="33">
        <v>45297</v>
      </c>
    </row>
    <row r="76" spans="1:12" x14ac:dyDescent="0.25">
      <c r="A76" s="25" t="s">
        <v>323</v>
      </c>
      <c r="B76" s="25" t="s">
        <v>324</v>
      </c>
      <c r="C76" s="26">
        <v>1</v>
      </c>
      <c r="D76" s="26" t="s">
        <v>271</v>
      </c>
      <c r="E76" s="27" t="s">
        <v>140</v>
      </c>
      <c r="F76" s="27" t="s">
        <v>229</v>
      </c>
      <c r="G76" s="34" t="s">
        <v>142</v>
      </c>
      <c r="H76" s="29">
        <v>1</v>
      </c>
      <c r="I76" s="30" t="s">
        <v>177</v>
      </c>
      <c r="J76" s="31" t="s">
        <v>325</v>
      </c>
      <c r="K76" s="38">
        <v>45276</v>
      </c>
      <c r="L76" s="33">
        <v>45321</v>
      </c>
    </row>
    <row r="77" spans="1:12" x14ac:dyDescent="0.25">
      <c r="A77" s="25" t="s">
        <v>326</v>
      </c>
      <c r="B77" s="25" t="s">
        <v>327</v>
      </c>
      <c r="C77" s="26">
        <v>1</v>
      </c>
      <c r="D77" s="26" t="s">
        <v>271</v>
      </c>
      <c r="E77" s="27" t="s">
        <v>140</v>
      </c>
      <c r="F77" s="27" t="s">
        <v>229</v>
      </c>
      <c r="G77" s="34" t="s">
        <v>149</v>
      </c>
      <c r="H77" s="29">
        <v>1</v>
      </c>
      <c r="I77" s="30" t="s">
        <v>177</v>
      </c>
      <c r="J77" s="31" t="s">
        <v>325</v>
      </c>
      <c r="K77" s="38">
        <v>45276</v>
      </c>
      <c r="L77" s="33">
        <v>45313</v>
      </c>
    </row>
    <row r="78" spans="1:12" x14ac:dyDescent="0.25">
      <c r="A78" s="25" t="s">
        <v>328</v>
      </c>
      <c r="B78" s="25" t="s">
        <v>329</v>
      </c>
      <c r="C78" s="26">
        <v>1</v>
      </c>
      <c r="D78" s="26" t="s">
        <v>271</v>
      </c>
      <c r="E78" s="27" t="s">
        <v>140</v>
      </c>
      <c r="F78" s="27" t="s">
        <v>229</v>
      </c>
      <c r="G78" s="34" t="s">
        <v>149</v>
      </c>
      <c r="H78" s="29">
        <v>1</v>
      </c>
      <c r="I78" s="30" t="s">
        <v>177</v>
      </c>
      <c r="J78" s="31" t="s">
        <v>325</v>
      </c>
      <c r="K78" s="38">
        <v>45276</v>
      </c>
      <c r="L78" s="33">
        <v>45318</v>
      </c>
    </row>
    <row r="79" spans="1:12" x14ac:dyDescent="0.25">
      <c r="A79" s="25" t="s">
        <v>330</v>
      </c>
      <c r="B79" s="25" t="s">
        <v>331</v>
      </c>
      <c r="C79" s="26">
        <v>1</v>
      </c>
      <c r="D79" s="26" t="s">
        <v>271</v>
      </c>
      <c r="E79" s="27" t="s">
        <v>140</v>
      </c>
      <c r="F79" s="27" t="s">
        <v>229</v>
      </c>
      <c r="G79" s="34" t="s">
        <v>22</v>
      </c>
      <c r="H79" s="29">
        <v>1</v>
      </c>
      <c r="I79" s="30" t="s">
        <v>177</v>
      </c>
      <c r="J79" s="31" t="s">
        <v>325</v>
      </c>
      <c r="K79" s="38">
        <v>45276</v>
      </c>
      <c r="L79" s="33">
        <v>45316</v>
      </c>
    </row>
    <row r="80" spans="1:12" x14ac:dyDescent="0.25">
      <c r="A80" s="25" t="s">
        <v>332</v>
      </c>
      <c r="B80" s="25" t="s">
        <v>333</v>
      </c>
      <c r="C80" s="26">
        <v>2</v>
      </c>
      <c r="D80" s="26" t="s">
        <v>271</v>
      </c>
      <c r="E80" s="27" t="s">
        <v>140</v>
      </c>
      <c r="F80" s="27" t="s">
        <v>229</v>
      </c>
      <c r="G80" s="34" t="s">
        <v>22</v>
      </c>
      <c r="H80" s="29">
        <v>2</v>
      </c>
      <c r="I80" s="30" t="s">
        <v>177</v>
      </c>
      <c r="J80" s="31" t="s">
        <v>325</v>
      </c>
      <c r="K80" s="38">
        <v>45276</v>
      </c>
      <c r="L80" s="33">
        <v>45321</v>
      </c>
    </row>
    <row r="81" spans="1:12" x14ac:dyDescent="0.25">
      <c r="A81" s="25" t="s">
        <v>334</v>
      </c>
      <c r="B81" s="25" t="s">
        <v>335</v>
      </c>
      <c r="C81" s="26">
        <v>1</v>
      </c>
      <c r="D81" s="26" t="s">
        <v>271</v>
      </c>
      <c r="E81" s="27" t="s">
        <v>140</v>
      </c>
      <c r="F81" s="27" t="s">
        <v>229</v>
      </c>
      <c r="G81" s="34" t="s">
        <v>22</v>
      </c>
      <c r="H81" s="29">
        <v>1</v>
      </c>
      <c r="I81" s="30" t="s">
        <v>177</v>
      </c>
      <c r="J81" s="31" t="s">
        <v>325</v>
      </c>
      <c r="K81" s="38">
        <v>45276</v>
      </c>
      <c r="L81" s="33">
        <v>45322</v>
      </c>
    </row>
    <row r="82" spans="1:12" x14ac:dyDescent="0.25">
      <c r="A82" s="25" t="s">
        <v>336</v>
      </c>
      <c r="B82" s="25" t="s">
        <v>337</v>
      </c>
      <c r="C82" s="26">
        <v>1</v>
      </c>
      <c r="D82" s="26" t="s">
        <v>271</v>
      </c>
      <c r="E82" s="27" t="s">
        <v>140</v>
      </c>
      <c r="F82" s="27" t="s">
        <v>229</v>
      </c>
      <c r="G82" s="34" t="s">
        <v>22</v>
      </c>
      <c r="H82" s="29">
        <v>1</v>
      </c>
      <c r="I82" s="30" t="s">
        <v>177</v>
      </c>
      <c r="J82" s="31" t="s">
        <v>325</v>
      </c>
      <c r="K82" s="38">
        <v>45276</v>
      </c>
      <c r="L82" s="33">
        <v>45318</v>
      </c>
    </row>
    <row r="83" spans="1:12" x14ac:dyDescent="0.25">
      <c r="A83" s="25" t="s">
        <v>338</v>
      </c>
      <c r="B83" s="25" t="s">
        <v>339</v>
      </c>
      <c r="C83" s="26">
        <v>1</v>
      </c>
      <c r="D83" s="26" t="s">
        <v>271</v>
      </c>
      <c r="E83" s="27" t="s">
        <v>140</v>
      </c>
      <c r="F83" s="27" t="s">
        <v>229</v>
      </c>
      <c r="G83" s="34" t="s">
        <v>125</v>
      </c>
      <c r="H83" s="29">
        <v>1</v>
      </c>
      <c r="I83" s="30" t="s">
        <v>177</v>
      </c>
      <c r="J83" s="31" t="s">
        <v>325</v>
      </c>
      <c r="K83" s="38">
        <v>45276</v>
      </c>
      <c r="L83" s="33">
        <v>45313</v>
      </c>
    </row>
    <row r="84" spans="1:12" x14ac:dyDescent="0.25">
      <c r="A84" s="25" t="s">
        <v>340</v>
      </c>
      <c r="B84" s="25" t="s">
        <v>341</v>
      </c>
      <c r="C84" s="26">
        <v>2</v>
      </c>
      <c r="D84" s="26" t="s">
        <v>342</v>
      </c>
      <c r="E84" s="27" t="s">
        <v>140</v>
      </c>
      <c r="F84" s="27" t="s">
        <v>343</v>
      </c>
      <c r="G84" s="34" t="s">
        <v>142</v>
      </c>
      <c r="H84" s="29">
        <v>2</v>
      </c>
      <c r="I84" s="30" t="s">
        <v>183</v>
      </c>
      <c r="J84" s="31" t="s">
        <v>344</v>
      </c>
      <c r="K84" s="38">
        <v>45306</v>
      </c>
      <c r="L84" s="35">
        <v>45275</v>
      </c>
    </row>
    <row r="85" spans="1:12" x14ac:dyDescent="0.25">
      <c r="A85" s="25" t="s">
        <v>345</v>
      </c>
      <c r="B85" s="25" t="s">
        <v>346</v>
      </c>
      <c r="C85" s="26">
        <v>2</v>
      </c>
      <c r="D85" s="26" t="s">
        <v>347</v>
      </c>
      <c r="E85" s="27" t="s">
        <v>140</v>
      </c>
      <c r="F85" s="27" t="s">
        <v>343</v>
      </c>
      <c r="G85" s="34" t="s">
        <v>149</v>
      </c>
      <c r="H85" s="29">
        <v>2</v>
      </c>
      <c r="I85" s="30" t="s">
        <v>183</v>
      </c>
      <c r="J85" s="31" t="s">
        <v>348</v>
      </c>
      <c r="K85" s="33">
        <v>45350</v>
      </c>
      <c r="L85" s="33">
        <v>45307</v>
      </c>
    </row>
    <row r="86" spans="1:12" x14ac:dyDescent="0.25">
      <c r="A86" s="25" t="s">
        <v>349</v>
      </c>
      <c r="B86" s="25" t="s">
        <v>350</v>
      </c>
      <c r="C86" s="26">
        <v>2</v>
      </c>
      <c r="D86" s="26" t="s">
        <v>347</v>
      </c>
      <c r="E86" s="27" t="s">
        <v>140</v>
      </c>
      <c r="F86" s="27" t="s">
        <v>343</v>
      </c>
      <c r="G86" s="34" t="s">
        <v>125</v>
      </c>
      <c r="H86" s="29">
        <v>2</v>
      </c>
      <c r="I86" s="30" t="s">
        <v>183</v>
      </c>
      <c r="J86" s="31" t="s">
        <v>348</v>
      </c>
      <c r="K86" s="33">
        <v>45350</v>
      </c>
      <c r="L86" s="33">
        <v>45307</v>
      </c>
    </row>
    <row r="87" spans="1:12" x14ac:dyDescent="0.25">
      <c r="A87" s="25" t="s">
        <v>351</v>
      </c>
      <c r="B87" s="25" t="s">
        <v>277</v>
      </c>
      <c r="C87" s="26">
        <v>1</v>
      </c>
      <c r="D87" s="26" t="s">
        <v>352</v>
      </c>
      <c r="E87" s="27" t="s">
        <v>140</v>
      </c>
      <c r="F87" s="27" t="s">
        <v>353</v>
      </c>
      <c r="G87" s="34" t="s">
        <v>142</v>
      </c>
      <c r="H87" s="29">
        <v>1</v>
      </c>
      <c r="I87" s="30" t="s">
        <v>216</v>
      </c>
      <c r="J87" s="31" t="s">
        <v>354</v>
      </c>
      <c r="K87" s="38">
        <v>45197</v>
      </c>
      <c r="L87" s="35">
        <v>45260</v>
      </c>
    </row>
    <row r="88" spans="1:12" x14ac:dyDescent="0.25">
      <c r="A88" s="25" t="s">
        <v>355</v>
      </c>
      <c r="B88" s="25" t="s">
        <v>356</v>
      </c>
      <c r="C88" s="26">
        <v>1</v>
      </c>
      <c r="D88" s="26" t="s">
        <v>352</v>
      </c>
      <c r="E88" s="27" t="s">
        <v>140</v>
      </c>
      <c r="F88" s="27" t="s">
        <v>353</v>
      </c>
      <c r="G88" s="34" t="s">
        <v>142</v>
      </c>
      <c r="H88" s="29">
        <v>1</v>
      </c>
      <c r="I88" s="30" t="s">
        <v>216</v>
      </c>
      <c r="J88" s="31" t="s">
        <v>354</v>
      </c>
      <c r="K88" s="38">
        <v>45197</v>
      </c>
      <c r="L88" s="35">
        <v>45319</v>
      </c>
    </row>
    <row r="89" spans="1:12" x14ac:dyDescent="0.25">
      <c r="A89" s="25" t="s">
        <v>357</v>
      </c>
      <c r="B89" s="25" t="s">
        <v>358</v>
      </c>
      <c r="C89" s="26">
        <v>1</v>
      </c>
      <c r="D89" s="26" t="s">
        <v>352</v>
      </c>
      <c r="E89" s="27" t="s">
        <v>140</v>
      </c>
      <c r="F89" s="27" t="s">
        <v>353</v>
      </c>
      <c r="G89" s="34" t="s">
        <v>149</v>
      </c>
      <c r="H89" s="29">
        <v>1</v>
      </c>
      <c r="I89" s="30" t="s">
        <v>216</v>
      </c>
      <c r="J89" s="31" t="s">
        <v>354</v>
      </c>
      <c r="K89" s="38">
        <v>45197</v>
      </c>
      <c r="L89" s="35">
        <v>45319</v>
      </c>
    </row>
    <row r="90" spans="1:12" x14ac:dyDescent="0.25">
      <c r="A90" s="25" t="s">
        <v>359</v>
      </c>
      <c r="B90" s="25" t="s">
        <v>360</v>
      </c>
      <c r="C90" s="26">
        <v>1</v>
      </c>
      <c r="D90" s="26" t="s">
        <v>361</v>
      </c>
      <c r="E90" s="27" t="s">
        <v>140</v>
      </c>
      <c r="F90" s="27" t="s">
        <v>362</v>
      </c>
      <c r="G90" s="34" t="s">
        <v>22</v>
      </c>
      <c r="H90" s="29">
        <v>1</v>
      </c>
      <c r="I90" s="30" t="s">
        <v>183</v>
      </c>
      <c r="J90" s="31" t="s">
        <v>363</v>
      </c>
      <c r="K90" s="38">
        <v>45337</v>
      </c>
      <c r="L90" s="33">
        <v>45337</v>
      </c>
    </row>
    <row r="91" spans="1:12" x14ac:dyDescent="0.25">
      <c r="A91" s="25" t="s">
        <v>364</v>
      </c>
      <c r="B91" s="25" t="s">
        <v>365</v>
      </c>
      <c r="C91" s="26">
        <v>1</v>
      </c>
      <c r="D91" s="26" t="s">
        <v>361</v>
      </c>
      <c r="E91" s="27" t="s">
        <v>140</v>
      </c>
      <c r="F91" s="27" t="s">
        <v>362</v>
      </c>
      <c r="G91" s="34" t="s">
        <v>22</v>
      </c>
      <c r="H91" s="29">
        <v>1</v>
      </c>
      <c r="I91" s="30" t="s">
        <v>183</v>
      </c>
      <c r="J91" s="31" t="s">
        <v>363</v>
      </c>
      <c r="K91" s="38">
        <v>45337</v>
      </c>
      <c r="L91" s="33">
        <v>45337</v>
      </c>
    </row>
    <row r="92" spans="1:12" x14ac:dyDescent="0.25">
      <c r="A92" s="25" t="s">
        <v>366</v>
      </c>
      <c r="B92" s="25" t="s">
        <v>367</v>
      </c>
      <c r="C92" s="26">
        <v>1</v>
      </c>
      <c r="D92" s="26" t="s">
        <v>368</v>
      </c>
      <c r="E92" s="27" t="s">
        <v>140</v>
      </c>
      <c r="F92" s="27" t="s">
        <v>369</v>
      </c>
      <c r="G92" s="34" t="s">
        <v>125</v>
      </c>
      <c r="H92" s="29">
        <v>1</v>
      </c>
      <c r="I92" s="30" t="s">
        <v>183</v>
      </c>
      <c r="J92" s="31" t="s">
        <v>370</v>
      </c>
      <c r="K92" s="33">
        <v>45307</v>
      </c>
      <c r="L92" s="33">
        <v>45280</v>
      </c>
    </row>
    <row r="93" spans="1:12" x14ac:dyDescent="0.25">
      <c r="A93" s="25" t="s">
        <v>371</v>
      </c>
      <c r="B93" s="25" t="s">
        <v>372</v>
      </c>
      <c r="C93" s="26">
        <v>1</v>
      </c>
      <c r="D93" s="26" t="s">
        <v>372</v>
      </c>
      <c r="E93" s="27" t="s">
        <v>140</v>
      </c>
      <c r="F93" s="27" t="s">
        <v>373</v>
      </c>
      <c r="G93" s="34" t="s">
        <v>142</v>
      </c>
      <c r="H93" s="39">
        <v>0</v>
      </c>
      <c r="I93" s="30" t="s">
        <v>206</v>
      </c>
      <c r="J93" s="31"/>
      <c r="K93" s="38"/>
      <c r="L93" s="33">
        <v>45352</v>
      </c>
    </row>
    <row r="94" spans="1:12" x14ac:dyDescent="0.25">
      <c r="A94" s="25" t="s">
        <v>374</v>
      </c>
      <c r="B94" s="25" t="s">
        <v>375</v>
      </c>
      <c r="C94" s="26">
        <v>2</v>
      </c>
      <c r="D94" s="26" t="s">
        <v>376</v>
      </c>
      <c r="E94" s="27" t="s">
        <v>204</v>
      </c>
      <c r="F94" s="27" t="s">
        <v>377</v>
      </c>
      <c r="G94" s="34" t="s">
        <v>142</v>
      </c>
      <c r="H94" s="39">
        <v>2</v>
      </c>
      <c r="I94" s="30" t="s">
        <v>143</v>
      </c>
      <c r="J94" s="31" t="s">
        <v>378</v>
      </c>
      <c r="K94" s="32">
        <v>45213</v>
      </c>
      <c r="L94" s="40">
        <v>45383</v>
      </c>
    </row>
    <row r="95" spans="1:12" x14ac:dyDescent="0.25">
      <c r="A95" s="25" t="s">
        <v>379</v>
      </c>
      <c r="B95" s="25" t="s">
        <v>380</v>
      </c>
      <c r="C95" s="26">
        <v>2</v>
      </c>
      <c r="D95" s="26" t="s">
        <v>381</v>
      </c>
      <c r="E95" s="27" t="s">
        <v>204</v>
      </c>
      <c r="F95" s="27" t="s">
        <v>377</v>
      </c>
      <c r="G95" s="34" t="s">
        <v>142</v>
      </c>
      <c r="H95" s="39">
        <v>2</v>
      </c>
      <c r="I95" s="30" t="s">
        <v>171</v>
      </c>
      <c r="J95" s="31" t="s">
        <v>382</v>
      </c>
      <c r="K95" s="38">
        <v>45199</v>
      </c>
      <c r="L95" s="40">
        <v>45323</v>
      </c>
    </row>
    <row r="96" spans="1:12" x14ac:dyDescent="0.25">
      <c r="A96" s="25" t="s">
        <v>383</v>
      </c>
      <c r="B96" s="25" t="s">
        <v>384</v>
      </c>
      <c r="C96" s="26">
        <v>2</v>
      </c>
      <c r="D96" s="26" t="s">
        <v>376</v>
      </c>
      <c r="E96" s="27" t="s">
        <v>204</v>
      </c>
      <c r="F96" s="27" t="s">
        <v>377</v>
      </c>
      <c r="G96" s="34" t="s">
        <v>142</v>
      </c>
      <c r="H96" s="39">
        <v>2</v>
      </c>
      <c r="I96" s="30" t="s">
        <v>143</v>
      </c>
      <c r="J96" s="31" t="s">
        <v>378</v>
      </c>
      <c r="K96" s="32">
        <v>45213</v>
      </c>
      <c r="L96" s="40">
        <v>45383</v>
      </c>
    </row>
    <row r="97" spans="1:12" x14ac:dyDescent="0.25">
      <c r="A97" s="25" t="s">
        <v>385</v>
      </c>
      <c r="B97" s="25" t="s">
        <v>386</v>
      </c>
      <c r="C97" s="26">
        <v>2</v>
      </c>
      <c r="D97" s="26" t="s">
        <v>376</v>
      </c>
      <c r="E97" s="27" t="s">
        <v>204</v>
      </c>
      <c r="F97" s="27" t="s">
        <v>377</v>
      </c>
      <c r="G97" s="34" t="s">
        <v>142</v>
      </c>
      <c r="H97" s="39">
        <v>2</v>
      </c>
      <c r="I97" s="30" t="s">
        <v>143</v>
      </c>
      <c r="J97" s="31" t="s">
        <v>378</v>
      </c>
      <c r="K97" s="32">
        <v>45213</v>
      </c>
      <c r="L97" s="40">
        <v>45383</v>
      </c>
    </row>
    <row r="98" spans="1:12" x14ac:dyDescent="0.25">
      <c r="A98" s="25" t="s">
        <v>387</v>
      </c>
      <c r="B98" s="25" t="s">
        <v>388</v>
      </c>
      <c r="C98" s="26">
        <v>2</v>
      </c>
      <c r="D98" s="26" t="s">
        <v>388</v>
      </c>
      <c r="E98" s="27" t="s">
        <v>204</v>
      </c>
      <c r="F98" s="27" t="s">
        <v>377</v>
      </c>
      <c r="G98" s="34" t="s">
        <v>142</v>
      </c>
      <c r="H98" s="39">
        <v>2</v>
      </c>
      <c r="I98" s="30" t="s">
        <v>171</v>
      </c>
      <c r="J98" s="31" t="s">
        <v>389</v>
      </c>
      <c r="K98" s="38">
        <v>45286</v>
      </c>
      <c r="L98" s="41">
        <v>45261</v>
      </c>
    </row>
    <row r="99" spans="1:12" x14ac:dyDescent="0.25">
      <c r="A99" s="25" t="s">
        <v>390</v>
      </c>
      <c r="B99" s="25" t="s">
        <v>391</v>
      </c>
      <c r="C99" s="26">
        <v>2</v>
      </c>
      <c r="D99" s="26" t="s">
        <v>392</v>
      </c>
      <c r="E99" s="27" t="s">
        <v>204</v>
      </c>
      <c r="F99" s="27" t="s">
        <v>377</v>
      </c>
      <c r="G99" s="34" t="s">
        <v>142</v>
      </c>
      <c r="H99" s="39">
        <v>2</v>
      </c>
      <c r="I99" s="30" t="s">
        <v>171</v>
      </c>
      <c r="J99" s="31" t="s">
        <v>393</v>
      </c>
      <c r="K99" s="38">
        <v>45376</v>
      </c>
      <c r="L99" s="40">
        <v>45352</v>
      </c>
    </row>
    <row r="100" spans="1:12" x14ac:dyDescent="0.25">
      <c r="A100" s="25" t="s">
        <v>394</v>
      </c>
      <c r="B100" s="25" t="s">
        <v>395</v>
      </c>
      <c r="C100" s="26">
        <v>2</v>
      </c>
      <c r="D100" s="26" t="s">
        <v>381</v>
      </c>
      <c r="E100" s="27" t="s">
        <v>204</v>
      </c>
      <c r="F100" s="27" t="s">
        <v>377</v>
      </c>
      <c r="G100" s="34" t="s">
        <v>142</v>
      </c>
      <c r="H100" s="39">
        <v>2</v>
      </c>
      <c r="I100" s="30" t="s">
        <v>171</v>
      </c>
      <c r="J100" s="31" t="s">
        <v>393</v>
      </c>
      <c r="K100" s="38">
        <v>45199</v>
      </c>
      <c r="L100" s="40">
        <v>45261</v>
      </c>
    </row>
    <row r="101" spans="1:12" x14ac:dyDescent="0.25">
      <c r="A101" s="25" t="s">
        <v>396</v>
      </c>
      <c r="B101" s="25" t="s">
        <v>397</v>
      </c>
      <c r="C101" s="26">
        <v>2</v>
      </c>
      <c r="D101" s="26" t="s">
        <v>392</v>
      </c>
      <c r="E101" s="27" t="s">
        <v>204</v>
      </c>
      <c r="F101" s="27" t="s">
        <v>377</v>
      </c>
      <c r="G101" s="34" t="s">
        <v>142</v>
      </c>
      <c r="H101" s="39">
        <v>2</v>
      </c>
      <c r="I101" s="30" t="s">
        <v>171</v>
      </c>
      <c r="J101" s="31" t="s">
        <v>393</v>
      </c>
      <c r="K101" s="38">
        <v>45376</v>
      </c>
      <c r="L101" s="40">
        <v>45352</v>
      </c>
    </row>
    <row r="102" spans="1:12" x14ac:dyDescent="0.25">
      <c r="A102" s="25" t="s">
        <v>398</v>
      </c>
      <c r="B102" s="25" t="s">
        <v>399</v>
      </c>
      <c r="C102" s="26">
        <v>2</v>
      </c>
      <c r="D102" s="26" t="s">
        <v>392</v>
      </c>
      <c r="E102" s="27" t="s">
        <v>204</v>
      </c>
      <c r="F102" s="27" t="s">
        <v>377</v>
      </c>
      <c r="G102" s="34" t="s">
        <v>142</v>
      </c>
      <c r="H102" s="39">
        <v>2</v>
      </c>
      <c r="I102" s="30" t="s">
        <v>171</v>
      </c>
      <c r="J102" s="31" t="s">
        <v>393</v>
      </c>
      <c r="K102" s="38">
        <v>45376</v>
      </c>
      <c r="L102" s="40">
        <v>45352</v>
      </c>
    </row>
    <row r="103" spans="1:12" x14ac:dyDescent="0.25">
      <c r="A103" s="25" t="s">
        <v>400</v>
      </c>
      <c r="B103" s="25" t="s">
        <v>401</v>
      </c>
      <c r="C103" s="26">
        <v>2</v>
      </c>
      <c r="D103" s="26" t="s">
        <v>392</v>
      </c>
      <c r="E103" s="27" t="s">
        <v>204</v>
      </c>
      <c r="F103" s="27" t="s">
        <v>377</v>
      </c>
      <c r="G103" s="34" t="s">
        <v>142</v>
      </c>
      <c r="H103" s="39">
        <v>2</v>
      </c>
      <c r="I103" s="30" t="s">
        <v>171</v>
      </c>
      <c r="J103" s="31" t="s">
        <v>393</v>
      </c>
      <c r="K103" s="38">
        <v>45376</v>
      </c>
      <c r="L103" s="40">
        <v>45352</v>
      </c>
    </row>
    <row r="104" spans="1:12" x14ac:dyDescent="0.25">
      <c r="A104" s="25" t="s">
        <v>402</v>
      </c>
      <c r="B104" s="25" t="s">
        <v>403</v>
      </c>
      <c r="C104" s="26">
        <v>2</v>
      </c>
      <c r="D104" s="26" t="s">
        <v>404</v>
      </c>
      <c r="E104" s="27" t="s">
        <v>204</v>
      </c>
      <c r="F104" s="27" t="s">
        <v>377</v>
      </c>
      <c r="G104" s="34" t="s">
        <v>142</v>
      </c>
      <c r="H104" s="29">
        <v>2</v>
      </c>
      <c r="I104" s="30" t="s">
        <v>143</v>
      </c>
      <c r="J104" s="31" t="s">
        <v>405</v>
      </c>
      <c r="K104" s="32">
        <v>45168</v>
      </c>
      <c r="L104" s="41">
        <v>45261</v>
      </c>
    </row>
    <row r="105" spans="1:12" x14ac:dyDescent="0.25">
      <c r="A105" s="25" t="s">
        <v>406</v>
      </c>
      <c r="B105" s="25" t="s">
        <v>407</v>
      </c>
      <c r="C105" s="26">
        <v>2</v>
      </c>
      <c r="D105" s="26" t="s">
        <v>381</v>
      </c>
      <c r="E105" s="27" t="s">
        <v>204</v>
      </c>
      <c r="F105" s="27" t="s">
        <v>377</v>
      </c>
      <c r="G105" s="34" t="s">
        <v>149</v>
      </c>
      <c r="H105" s="39">
        <v>2</v>
      </c>
      <c r="I105" s="30" t="s">
        <v>171</v>
      </c>
      <c r="J105" s="31" t="s">
        <v>408</v>
      </c>
      <c r="K105" s="38">
        <v>45231</v>
      </c>
      <c r="L105" s="41">
        <v>45261</v>
      </c>
    </row>
    <row r="106" spans="1:12" x14ac:dyDescent="0.25">
      <c r="A106" s="25" t="s">
        <v>409</v>
      </c>
      <c r="B106" s="25" t="s">
        <v>410</v>
      </c>
      <c r="C106" s="26">
        <v>3</v>
      </c>
      <c r="D106" s="26" t="s">
        <v>381</v>
      </c>
      <c r="E106" s="27" t="s">
        <v>204</v>
      </c>
      <c r="F106" s="27" t="s">
        <v>377</v>
      </c>
      <c r="G106" s="34" t="s">
        <v>149</v>
      </c>
      <c r="H106" s="39">
        <v>3</v>
      </c>
      <c r="I106" s="30" t="s">
        <v>171</v>
      </c>
      <c r="J106" s="31" t="s">
        <v>393</v>
      </c>
      <c r="K106" s="38">
        <v>45260</v>
      </c>
      <c r="L106" s="40">
        <v>45323</v>
      </c>
    </row>
    <row r="107" spans="1:12" x14ac:dyDescent="0.25">
      <c r="A107" s="25" t="s">
        <v>411</v>
      </c>
      <c r="B107" s="25" t="s">
        <v>412</v>
      </c>
      <c r="C107" s="26">
        <v>2</v>
      </c>
      <c r="D107" s="26" t="s">
        <v>381</v>
      </c>
      <c r="E107" s="27" t="s">
        <v>204</v>
      </c>
      <c r="F107" s="27" t="s">
        <v>377</v>
      </c>
      <c r="G107" s="34" t="s">
        <v>149</v>
      </c>
      <c r="H107" s="39">
        <v>2</v>
      </c>
      <c r="I107" s="30" t="s">
        <v>171</v>
      </c>
      <c r="J107" s="31" t="s">
        <v>408</v>
      </c>
      <c r="K107" s="38">
        <v>45231</v>
      </c>
      <c r="L107" s="41">
        <v>45261</v>
      </c>
    </row>
    <row r="108" spans="1:12" x14ac:dyDescent="0.25">
      <c r="A108" s="25" t="s">
        <v>413</v>
      </c>
      <c r="B108" s="25" t="s">
        <v>414</v>
      </c>
      <c r="C108" s="26">
        <v>2</v>
      </c>
      <c r="D108" s="26" t="s">
        <v>381</v>
      </c>
      <c r="E108" s="27" t="s">
        <v>204</v>
      </c>
      <c r="F108" s="27" t="s">
        <v>377</v>
      </c>
      <c r="G108" s="34" t="s">
        <v>149</v>
      </c>
      <c r="H108" s="39">
        <v>2</v>
      </c>
      <c r="I108" s="30" t="s">
        <v>171</v>
      </c>
      <c r="J108" s="31" t="s">
        <v>408</v>
      </c>
      <c r="K108" s="38">
        <v>45231</v>
      </c>
      <c r="L108" s="41">
        <v>45261</v>
      </c>
    </row>
    <row r="109" spans="1:12" x14ac:dyDescent="0.25">
      <c r="A109" s="25" t="s">
        <v>415</v>
      </c>
      <c r="B109" s="25" t="s">
        <v>403</v>
      </c>
      <c r="C109" s="26">
        <v>2</v>
      </c>
      <c r="D109" s="26" t="s">
        <v>404</v>
      </c>
      <c r="E109" s="27" t="s">
        <v>204</v>
      </c>
      <c r="F109" s="27" t="s">
        <v>377</v>
      </c>
      <c r="G109" s="34" t="s">
        <v>22</v>
      </c>
      <c r="H109" s="29">
        <v>2</v>
      </c>
      <c r="I109" s="30" t="s">
        <v>143</v>
      </c>
      <c r="J109" s="31" t="s">
        <v>405</v>
      </c>
      <c r="K109" s="32">
        <v>45199</v>
      </c>
      <c r="L109" s="41">
        <v>45261</v>
      </c>
    </row>
    <row r="110" spans="1:12" x14ac:dyDescent="0.25">
      <c r="A110" s="25" t="s">
        <v>416</v>
      </c>
      <c r="B110" s="25" t="s">
        <v>417</v>
      </c>
      <c r="C110" s="26">
        <v>2</v>
      </c>
      <c r="D110" s="26" t="s">
        <v>376</v>
      </c>
      <c r="E110" s="27" t="s">
        <v>204</v>
      </c>
      <c r="F110" s="27" t="s">
        <v>377</v>
      </c>
      <c r="G110" s="34" t="s">
        <v>22</v>
      </c>
      <c r="H110" s="29">
        <v>2</v>
      </c>
      <c r="I110" s="30" t="s">
        <v>143</v>
      </c>
      <c r="J110" s="31" t="s">
        <v>378</v>
      </c>
      <c r="K110" s="32">
        <v>45213</v>
      </c>
      <c r="L110" s="40">
        <v>45383</v>
      </c>
    </row>
    <row r="111" spans="1:12" x14ac:dyDescent="0.25">
      <c r="A111" s="25" t="s">
        <v>418</v>
      </c>
      <c r="B111" s="25" t="s">
        <v>419</v>
      </c>
      <c r="C111" s="26">
        <v>2</v>
      </c>
      <c r="D111" s="26" t="s">
        <v>376</v>
      </c>
      <c r="E111" s="27" t="s">
        <v>204</v>
      </c>
      <c r="F111" s="27" t="s">
        <v>377</v>
      </c>
      <c r="G111" s="34" t="s">
        <v>22</v>
      </c>
      <c r="H111" s="29">
        <v>2</v>
      </c>
      <c r="I111" s="30" t="s">
        <v>143</v>
      </c>
      <c r="J111" s="31" t="s">
        <v>378</v>
      </c>
      <c r="K111" s="32">
        <v>45213</v>
      </c>
      <c r="L111" s="40">
        <v>45383</v>
      </c>
    </row>
    <row r="112" spans="1:12" x14ac:dyDescent="0.25">
      <c r="A112" s="25" t="s">
        <v>420</v>
      </c>
      <c r="B112" s="25" t="s">
        <v>421</v>
      </c>
      <c r="C112" s="26">
        <v>2</v>
      </c>
      <c r="D112" s="26" t="s">
        <v>381</v>
      </c>
      <c r="E112" s="27" t="s">
        <v>204</v>
      </c>
      <c r="F112" s="27" t="s">
        <v>377</v>
      </c>
      <c r="G112" s="34" t="s">
        <v>22</v>
      </c>
      <c r="H112" s="29">
        <v>2</v>
      </c>
      <c r="I112" s="30" t="s">
        <v>171</v>
      </c>
      <c r="J112" s="31" t="s">
        <v>408</v>
      </c>
      <c r="K112" s="38">
        <v>45170</v>
      </c>
      <c r="L112" s="41">
        <v>45261</v>
      </c>
    </row>
    <row r="113" spans="1:12" x14ac:dyDescent="0.25">
      <c r="A113" s="25" t="s">
        <v>422</v>
      </c>
      <c r="B113" s="25" t="s">
        <v>423</v>
      </c>
      <c r="C113" s="26">
        <v>2</v>
      </c>
      <c r="D113" s="26" t="s">
        <v>381</v>
      </c>
      <c r="E113" s="27" t="s">
        <v>204</v>
      </c>
      <c r="F113" s="27" t="s">
        <v>377</v>
      </c>
      <c r="G113" s="34" t="s">
        <v>22</v>
      </c>
      <c r="H113" s="29">
        <v>2</v>
      </c>
      <c r="I113" s="30" t="s">
        <v>171</v>
      </c>
      <c r="J113" s="31" t="s">
        <v>408</v>
      </c>
      <c r="K113" s="38">
        <v>45170</v>
      </c>
      <c r="L113" s="41">
        <v>45261</v>
      </c>
    </row>
    <row r="114" spans="1:12" x14ac:dyDescent="0.25">
      <c r="A114" s="25" t="s">
        <v>424</v>
      </c>
      <c r="B114" s="25" t="s">
        <v>425</v>
      </c>
      <c r="C114" s="26">
        <v>2</v>
      </c>
      <c r="D114" s="26" t="s">
        <v>381</v>
      </c>
      <c r="E114" s="27" t="s">
        <v>204</v>
      </c>
      <c r="F114" s="27" t="s">
        <v>377</v>
      </c>
      <c r="G114" s="34" t="s">
        <v>22</v>
      </c>
      <c r="H114" s="29">
        <v>2</v>
      </c>
      <c r="I114" s="30" t="s">
        <v>171</v>
      </c>
      <c r="J114" s="31" t="s">
        <v>393</v>
      </c>
      <c r="K114" s="38">
        <v>45199</v>
      </c>
      <c r="L114" s="40">
        <v>45323</v>
      </c>
    </row>
    <row r="115" spans="1:12" x14ac:dyDescent="0.25">
      <c r="A115" s="25" t="s">
        <v>426</v>
      </c>
      <c r="B115" s="25" t="s">
        <v>427</v>
      </c>
      <c r="C115" s="26">
        <v>2</v>
      </c>
      <c r="D115" s="26" t="s">
        <v>404</v>
      </c>
      <c r="E115" s="27" t="s">
        <v>204</v>
      </c>
      <c r="F115" s="27" t="s">
        <v>377</v>
      </c>
      <c r="G115" s="34" t="s">
        <v>125</v>
      </c>
      <c r="H115" s="29">
        <v>2</v>
      </c>
      <c r="I115" s="30" t="s">
        <v>171</v>
      </c>
      <c r="J115" s="31" t="s">
        <v>382</v>
      </c>
      <c r="K115" s="38">
        <v>45238</v>
      </c>
      <c r="L115" s="40">
        <v>45231</v>
      </c>
    </row>
    <row r="116" spans="1:12" x14ac:dyDescent="0.25">
      <c r="A116" s="25" t="s">
        <v>428</v>
      </c>
      <c r="B116" s="25" t="s">
        <v>429</v>
      </c>
      <c r="C116" s="26">
        <v>2</v>
      </c>
      <c r="D116" s="26" t="s">
        <v>376</v>
      </c>
      <c r="E116" s="26" t="s">
        <v>204</v>
      </c>
      <c r="F116" s="27" t="s">
        <v>377</v>
      </c>
      <c r="G116" s="34" t="s">
        <v>22</v>
      </c>
      <c r="H116" s="29">
        <v>2</v>
      </c>
      <c r="I116" s="30" t="s">
        <v>143</v>
      </c>
      <c r="J116" s="31" t="s">
        <v>378</v>
      </c>
      <c r="K116" s="32">
        <v>45213</v>
      </c>
      <c r="L116" s="40">
        <v>45383</v>
      </c>
    </row>
    <row r="117" spans="1:12" x14ac:dyDescent="0.25">
      <c r="A117" s="25" t="s">
        <v>430</v>
      </c>
      <c r="B117" s="25" t="s">
        <v>431</v>
      </c>
      <c r="C117" s="26">
        <v>2</v>
      </c>
      <c r="D117" s="26" t="s">
        <v>381</v>
      </c>
      <c r="E117" s="26" t="s">
        <v>204</v>
      </c>
      <c r="F117" s="27" t="s">
        <v>377</v>
      </c>
      <c r="G117" s="34" t="s">
        <v>22</v>
      </c>
      <c r="H117" s="29">
        <v>2</v>
      </c>
      <c r="I117" s="30" t="s">
        <v>171</v>
      </c>
      <c r="J117" s="31" t="s">
        <v>382</v>
      </c>
      <c r="K117" s="38">
        <v>45199</v>
      </c>
      <c r="L117" s="40">
        <v>45261</v>
      </c>
    </row>
    <row r="118" spans="1:12" x14ac:dyDescent="0.25">
      <c r="A118" s="25" t="s">
        <v>432</v>
      </c>
      <c r="B118" s="25" t="s">
        <v>433</v>
      </c>
      <c r="C118" s="26">
        <v>2</v>
      </c>
      <c r="D118" s="26" t="s">
        <v>434</v>
      </c>
      <c r="E118" s="27" t="s">
        <v>204</v>
      </c>
      <c r="F118" s="26" t="s">
        <v>377</v>
      </c>
      <c r="G118" s="34" t="s">
        <v>22</v>
      </c>
      <c r="H118" s="29">
        <v>2</v>
      </c>
      <c r="I118" s="30" t="s">
        <v>171</v>
      </c>
      <c r="J118" s="31" t="s">
        <v>435</v>
      </c>
      <c r="K118" s="38">
        <v>45275</v>
      </c>
      <c r="L118" s="40">
        <v>45352</v>
      </c>
    </row>
    <row r="119" spans="1:12" x14ac:dyDescent="0.25">
      <c r="A119" s="25" t="s">
        <v>436</v>
      </c>
      <c r="B119" s="25" t="s">
        <v>437</v>
      </c>
      <c r="C119" s="26">
        <v>2</v>
      </c>
      <c r="D119" s="26" t="s">
        <v>381</v>
      </c>
      <c r="E119" s="27" t="s">
        <v>204</v>
      </c>
      <c r="F119" s="26" t="s">
        <v>377</v>
      </c>
      <c r="G119" s="34" t="s">
        <v>22</v>
      </c>
      <c r="H119" s="29">
        <v>2</v>
      </c>
      <c r="I119" s="30" t="s">
        <v>171</v>
      </c>
      <c r="J119" s="31" t="s">
        <v>393</v>
      </c>
      <c r="K119" s="38">
        <v>45199</v>
      </c>
      <c r="L119" s="40">
        <v>45261</v>
      </c>
    </row>
    <row r="120" spans="1:12" x14ac:dyDescent="0.25">
      <c r="A120" s="25" t="s">
        <v>438</v>
      </c>
      <c r="B120" s="25" t="s">
        <v>439</v>
      </c>
      <c r="C120" s="26">
        <v>2</v>
      </c>
      <c r="D120" s="26" t="s">
        <v>381</v>
      </c>
      <c r="E120" s="27" t="s">
        <v>204</v>
      </c>
      <c r="F120" s="26" t="s">
        <v>377</v>
      </c>
      <c r="G120" s="34" t="s">
        <v>22</v>
      </c>
      <c r="H120" s="29">
        <v>2</v>
      </c>
      <c r="I120" s="30" t="s">
        <v>171</v>
      </c>
      <c r="J120" s="31" t="s">
        <v>382</v>
      </c>
      <c r="K120" s="38">
        <v>45199</v>
      </c>
      <c r="L120" s="40">
        <v>45261</v>
      </c>
    </row>
    <row r="121" spans="1:12" x14ac:dyDescent="0.25">
      <c r="A121" s="25" t="s">
        <v>440</v>
      </c>
      <c r="B121" s="25" t="s">
        <v>441</v>
      </c>
      <c r="C121" s="26">
        <v>2</v>
      </c>
      <c r="D121" s="26" t="s">
        <v>381</v>
      </c>
      <c r="E121" s="27" t="s">
        <v>204</v>
      </c>
      <c r="F121" s="26" t="s">
        <v>377</v>
      </c>
      <c r="G121" s="34" t="s">
        <v>22</v>
      </c>
      <c r="H121" s="29">
        <v>2</v>
      </c>
      <c r="I121" s="30" t="s">
        <v>171</v>
      </c>
      <c r="J121" s="31" t="s">
        <v>393</v>
      </c>
      <c r="K121" s="38">
        <v>45199</v>
      </c>
      <c r="L121" s="40">
        <v>45323</v>
      </c>
    </row>
    <row r="122" spans="1:12" x14ac:dyDescent="0.25">
      <c r="A122" s="25" t="s">
        <v>442</v>
      </c>
      <c r="B122" s="25" t="s">
        <v>443</v>
      </c>
      <c r="C122" s="26">
        <v>2</v>
      </c>
      <c r="D122" s="26" t="s">
        <v>381</v>
      </c>
      <c r="E122" s="27" t="s">
        <v>204</v>
      </c>
      <c r="F122" s="26" t="s">
        <v>377</v>
      </c>
      <c r="G122" s="34" t="s">
        <v>22</v>
      </c>
      <c r="H122" s="29">
        <v>2</v>
      </c>
      <c r="I122" s="30" t="s">
        <v>171</v>
      </c>
      <c r="J122" s="31" t="s">
        <v>382</v>
      </c>
      <c r="K122" s="38">
        <v>45199</v>
      </c>
      <c r="L122" s="40">
        <v>45261</v>
      </c>
    </row>
    <row r="123" spans="1:12" x14ac:dyDescent="0.25">
      <c r="A123" s="25" t="s">
        <v>444</v>
      </c>
      <c r="B123" s="25" t="s">
        <v>445</v>
      </c>
      <c r="C123" s="26">
        <v>2</v>
      </c>
      <c r="D123" s="26" t="s">
        <v>434</v>
      </c>
      <c r="E123" s="27" t="s">
        <v>204</v>
      </c>
      <c r="F123" s="26" t="s">
        <v>377</v>
      </c>
      <c r="G123" s="34" t="s">
        <v>22</v>
      </c>
      <c r="H123" s="29">
        <v>2</v>
      </c>
      <c r="I123" s="30" t="s">
        <v>171</v>
      </c>
      <c r="J123" s="31" t="s">
        <v>435</v>
      </c>
      <c r="K123" s="38">
        <v>45275</v>
      </c>
      <c r="L123" s="40">
        <v>45352</v>
      </c>
    </row>
    <row r="124" spans="1:12" x14ac:dyDescent="0.25">
      <c r="A124" s="25" t="s">
        <v>446</v>
      </c>
      <c r="B124" s="25" t="s">
        <v>447</v>
      </c>
      <c r="C124" s="26">
        <v>2</v>
      </c>
      <c r="D124" s="26" t="s">
        <v>434</v>
      </c>
      <c r="E124" s="27" t="s">
        <v>204</v>
      </c>
      <c r="F124" s="26" t="s">
        <v>377</v>
      </c>
      <c r="G124" s="34" t="s">
        <v>125</v>
      </c>
      <c r="H124" s="29">
        <v>2</v>
      </c>
      <c r="I124" s="30" t="s">
        <v>171</v>
      </c>
      <c r="J124" s="31" t="s">
        <v>435</v>
      </c>
      <c r="K124" s="38">
        <v>45275</v>
      </c>
      <c r="L124" s="40">
        <v>45352</v>
      </c>
    </row>
    <row r="125" spans="1:12" x14ac:dyDescent="0.25">
      <c r="A125" s="25" t="s">
        <v>448</v>
      </c>
      <c r="B125" s="25" t="s">
        <v>449</v>
      </c>
      <c r="C125" s="26">
        <v>2</v>
      </c>
      <c r="D125" s="26" t="s">
        <v>381</v>
      </c>
      <c r="E125" s="27" t="s">
        <v>204</v>
      </c>
      <c r="F125" s="26" t="s">
        <v>377</v>
      </c>
      <c r="G125" s="34" t="s">
        <v>125</v>
      </c>
      <c r="H125" s="29">
        <v>2</v>
      </c>
      <c r="I125" s="30" t="s">
        <v>171</v>
      </c>
      <c r="J125" s="31" t="s">
        <v>408</v>
      </c>
      <c r="K125" s="38">
        <v>45170</v>
      </c>
      <c r="L125" s="41">
        <v>45261</v>
      </c>
    </row>
    <row r="126" spans="1:12" x14ac:dyDescent="0.25">
      <c r="A126" s="25" t="s">
        <v>450</v>
      </c>
      <c r="B126" s="25" t="s">
        <v>451</v>
      </c>
      <c r="C126" s="26">
        <v>3</v>
      </c>
      <c r="D126" s="26" t="s">
        <v>381</v>
      </c>
      <c r="E126" s="27" t="s">
        <v>204</v>
      </c>
      <c r="F126" s="26" t="s">
        <v>377</v>
      </c>
      <c r="G126" s="34" t="s">
        <v>125</v>
      </c>
      <c r="H126" s="29">
        <v>3</v>
      </c>
      <c r="I126" s="30" t="s">
        <v>171</v>
      </c>
      <c r="J126" s="31" t="s">
        <v>393</v>
      </c>
      <c r="K126" s="38">
        <v>45260</v>
      </c>
      <c r="L126" s="40">
        <v>45323</v>
      </c>
    </row>
    <row r="127" spans="1:12" x14ac:dyDescent="0.25">
      <c r="A127" s="25" t="s">
        <v>452</v>
      </c>
      <c r="B127" s="25" t="s">
        <v>453</v>
      </c>
      <c r="C127" s="26">
        <v>2</v>
      </c>
      <c r="D127" s="26" t="s">
        <v>381</v>
      </c>
      <c r="E127" s="27" t="s">
        <v>204</v>
      </c>
      <c r="F127" s="26" t="s">
        <v>377</v>
      </c>
      <c r="G127" s="34" t="s">
        <v>125</v>
      </c>
      <c r="H127" s="29">
        <v>2</v>
      </c>
      <c r="I127" s="30" t="s">
        <v>171</v>
      </c>
      <c r="J127" s="31" t="s">
        <v>382</v>
      </c>
      <c r="K127" s="38">
        <v>45199</v>
      </c>
      <c r="L127" s="40">
        <v>45261</v>
      </c>
    </row>
    <row r="128" spans="1:12" x14ac:dyDescent="0.25">
      <c r="A128" s="25" t="s">
        <v>454</v>
      </c>
      <c r="B128" s="25" t="s">
        <v>455</v>
      </c>
      <c r="C128" s="26">
        <v>2</v>
      </c>
      <c r="D128" s="26" t="s">
        <v>376</v>
      </c>
      <c r="E128" s="27" t="s">
        <v>204</v>
      </c>
      <c r="F128" s="26" t="s">
        <v>377</v>
      </c>
      <c r="G128" s="34" t="s">
        <v>125</v>
      </c>
      <c r="H128" s="29">
        <v>2</v>
      </c>
      <c r="I128" s="30" t="s">
        <v>143</v>
      </c>
      <c r="J128" s="31" t="s">
        <v>378</v>
      </c>
      <c r="K128" s="32">
        <v>45213</v>
      </c>
      <c r="L128" s="40">
        <v>45383</v>
      </c>
    </row>
    <row r="129" spans="1:12" x14ac:dyDescent="0.25">
      <c r="A129" s="42" t="s">
        <v>456</v>
      </c>
      <c r="B129" s="25" t="s">
        <v>457</v>
      </c>
      <c r="C129" s="26">
        <v>2</v>
      </c>
      <c r="D129" s="26" t="s">
        <v>434</v>
      </c>
      <c r="E129" s="27" t="s">
        <v>204</v>
      </c>
      <c r="F129" s="26" t="s">
        <v>377</v>
      </c>
      <c r="G129" s="34" t="s">
        <v>125</v>
      </c>
      <c r="H129" s="29">
        <v>2</v>
      </c>
      <c r="I129" s="30" t="s">
        <v>171</v>
      </c>
      <c r="J129" s="31" t="s">
        <v>435</v>
      </c>
      <c r="K129" s="38">
        <v>45275</v>
      </c>
      <c r="L129" s="40">
        <v>45352</v>
      </c>
    </row>
    <row r="130" spans="1:12" x14ac:dyDescent="0.25">
      <c r="A130" s="25" t="s">
        <v>458</v>
      </c>
      <c r="B130" s="25" t="s">
        <v>459</v>
      </c>
      <c r="C130" s="26">
        <v>2</v>
      </c>
      <c r="D130" s="26" t="s">
        <v>381</v>
      </c>
      <c r="E130" s="27" t="s">
        <v>204</v>
      </c>
      <c r="F130" s="26" t="s">
        <v>377</v>
      </c>
      <c r="G130" s="34" t="s">
        <v>125</v>
      </c>
      <c r="H130" s="29">
        <v>2</v>
      </c>
      <c r="I130" s="30" t="s">
        <v>171</v>
      </c>
      <c r="J130" s="31" t="s">
        <v>393</v>
      </c>
      <c r="K130" s="38">
        <v>45199</v>
      </c>
      <c r="L130" s="40">
        <v>45323</v>
      </c>
    </row>
    <row r="131" spans="1:12" x14ac:dyDescent="0.25">
      <c r="A131" s="25" t="s">
        <v>460</v>
      </c>
      <c r="B131" s="25" t="s">
        <v>461</v>
      </c>
      <c r="C131" s="26">
        <v>3</v>
      </c>
      <c r="D131" s="26" t="s">
        <v>381</v>
      </c>
      <c r="E131" s="27" t="s">
        <v>204</v>
      </c>
      <c r="F131" s="26" t="s">
        <v>377</v>
      </c>
      <c r="G131" s="34" t="s">
        <v>125</v>
      </c>
      <c r="H131" s="29">
        <v>3</v>
      </c>
      <c r="I131" s="30" t="s">
        <v>171</v>
      </c>
      <c r="J131" s="31" t="s">
        <v>393</v>
      </c>
      <c r="K131" s="38">
        <v>45260</v>
      </c>
      <c r="L131" s="40">
        <v>45323</v>
      </c>
    </row>
    <row r="132" spans="1:12" x14ac:dyDescent="0.25">
      <c r="A132" s="25" t="s">
        <v>462</v>
      </c>
      <c r="B132" s="25" t="s">
        <v>463</v>
      </c>
      <c r="C132" s="26">
        <v>2</v>
      </c>
      <c r="D132" s="26" t="s">
        <v>376</v>
      </c>
      <c r="E132" s="27" t="s">
        <v>204</v>
      </c>
      <c r="F132" s="26" t="s">
        <v>377</v>
      </c>
      <c r="G132" s="34" t="s">
        <v>125</v>
      </c>
      <c r="H132" s="29">
        <v>2</v>
      </c>
      <c r="I132" s="30" t="s">
        <v>143</v>
      </c>
      <c r="J132" s="31" t="s">
        <v>378</v>
      </c>
      <c r="K132" s="32">
        <v>45213</v>
      </c>
      <c r="L132" s="40">
        <v>45383</v>
      </c>
    </row>
    <row r="133" spans="1:12" x14ac:dyDescent="0.25">
      <c r="A133" s="25" t="s">
        <v>464</v>
      </c>
      <c r="B133" s="25" t="s">
        <v>465</v>
      </c>
      <c r="C133" s="26">
        <v>2</v>
      </c>
      <c r="D133" s="26" t="s">
        <v>392</v>
      </c>
      <c r="E133" s="27" t="s">
        <v>204</v>
      </c>
      <c r="F133" s="26" t="s">
        <v>377</v>
      </c>
      <c r="G133" s="34" t="s">
        <v>125</v>
      </c>
      <c r="H133" s="29">
        <v>2</v>
      </c>
      <c r="I133" s="30" t="s">
        <v>171</v>
      </c>
      <c r="J133" s="31" t="s">
        <v>393</v>
      </c>
      <c r="K133" s="38">
        <v>45376</v>
      </c>
      <c r="L133" s="40">
        <v>45352</v>
      </c>
    </row>
    <row r="134" spans="1:12" x14ac:dyDescent="0.25">
      <c r="A134" s="25" t="s">
        <v>466</v>
      </c>
      <c r="B134" s="25" t="s">
        <v>467</v>
      </c>
      <c r="C134" s="26">
        <v>2</v>
      </c>
      <c r="D134" s="26" t="s">
        <v>381</v>
      </c>
      <c r="E134" s="27" t="s">
        <v>204</v>
      </c>
      <c r="F134" s="26" t="s">
        <v>377</v>
      </c>
      <c r="G134" s="34" t="s">
        <v>125</v>
      </c>
      <c r="H134" s="29">
        <v>2</v>
      </c>
      <c r="I134" s="30" t="s">
        <v>171</v>
      </c>
      <c r="J134" s="31" t="s">
        <v>393</v>
      </c>
      <c r="K134" s="38">
        <v>45199</v>
      </c>
      <c r="L134" s="40">
        <v>45323</v>
      </c>
    </row>
    <row r="135" spans="1:12" x14ac:dyDescent="0.25">
      <c r="A135" s="25" t="s">
        <v>468</v>
      </c>
      <c r="B135" s="25" t="s">
        <v>441</v>
      </c>
      <c r="C135" s="26">
        <v>2</v>
      </c>
      <c r="D135" s="26" t="s">
        <v>381</v>
      </c>
      <c r="E135" s="27" t="s">
        <v>204</v>
      </c>
      <c r="F135" s="26" t="s">
        <v>377</v>
      </c>
      <c r="G135" s="34" t="s">
        <v>125</v>
      </c>
      <c r="H135" s="29">
        <v>2</v>
      </c>
      <c r="I135" s="30" t="s">
        <v>171</v>
      </c>
      <c r="J135" s="31" t="s">
        <v>408</v>
      </c>
      <c r="K135" s="38">
        <v>45170</v>
      </c>
      <c r="L135" s="41">
        <v>45292</v>
      </c>
    </row>
    <row r="136" spans="1:12" x14ac:dyDescent="0.25">
      <c r="A136" s="25" t="s">
        <v>469</v>
      </c>
      <c r="B136" s="25" t="s">
        <v>470</v>
      </c>
      <c r="C136" s="26">
        <v>2</v>
      </c>
      <c r="D136" s="26" t="s">
        <v>392</v>
      </c>
      <c r="E136" s="27" t="s">
        <v>204</v>
      </c>
      <c r="F136" s="26" t="s">
        <v>377</v>
      </c>
      <c r="G136" s="34" t="s">
        <v>125</v>
      </c>
      <c r="H136" s="29">
        <v>2</v>
      </c>
      <c r="I136" s="30" t="s">
        <v>171</v>
      </c>
      <c r="J136" s="31" t="s">
        <v>393</v>
      </c>
      <c r="K136" s="38">
        <v>45376</v>
      </c>
      <c r="L136" s="40">
        <v>45352</v>
      </c>
    </row>
    <row r="137" spans="1:12" x14ac:dyDescent="0.25">
      <c r="A137" s="25" t="s">
        <v>471</v>
      </c>
      <c r="B137" s="25" t="s">
        <v>472</v>
      </c>
      <c r="C137" s="26">
        <v>2</v>
      </c>
      <c r="D137" s="26" t="s">
        <v>392</v>
      </c>
      <c r="E137" s="27" t="s">
        <v>204</v>
      </c>
      <c r="F137" s="27" t="s">
        <v>377</v>
      </c>
      <c r="G137" s="34" t="s">
        <v>125</v>
      </c>
      <c r="H137" s="29">
        <v>2</v>
      </c>
      <c r="I137" s="30" t="s">
        <v>171</v>
      </c>
      <c r="J137" s="31" t="s">
        <v>393</v>
      </c>
      <c r="K137" s="38">
        <v>45376</v>
      </c>
      <c r="L137" s="40">
        <v>45352</v>
      </c>
    </row>
    <row r="138" spans="1:12" x14ac:dyDescent="0.25">
      <c r="A138" s="25" t="s">
        <v>473</v>
      </c>
      <c r="B138" s="25" t="s">
        <v>474</v>
      </c>
      <c r="C138" s="26">
        <v>2</v>
      </c>
      <c r="D138" s="26" t="s">
        <v>381</v>
      </c>
      <c r="E138" s="26" t="s">
        <v>204</v>
      </c>
      <c r="F138" s="26" t="s">
        <v>377</v>
      </c>
      <c r="G138" s="34" t="s">
        <v>142</v>
      </c>
      <c r="H138" s="39">
        <v>2</v>
      </c>
      <c r="I138" s="30" t="s">
        <v>171</v>
      </c>
      <c r="J138" s="31" t="s">
        <v>408</v>
      </c>
      <c r="K138" s="38">
        <v>45170</v>
      </c>
      <c r="L138" s="41">
        <v>45292</v>
      </c>
    </row>
    <row r="139" spans="1:12" x14ac:dyDescent="0.25">
      <c r="A139" s="25" t="s">
        <v>475</v>
      </c>
      <c r="B139" s="25" t="s">
        <v>476</v>
      </c>
      <c r="C139" s="26">
        <v>2</v>
      </c>
      <c r="D139" s="26" t="s">
        <v>381</v>
      </c>
      <c r="E139" s="26" t="s">
        <v>204</v>
      </c>
      <c r="F139" s="26" t="s">
        <v>377</v>
      </c>
      <c r="G139" s="34" t="s">
        <v>142</v>
      </c>
      <c r="H139" s="39">
        <v>2</v>
      </c>
      <c r="I139" s="30" t="s">
        <v>171</v>
      </c>
      <c r="J139" s="31" t="s">
        <v>382</v>
      </c>
      <c r="K139" s="38">
        <v>45199</v>
      </c>
      <c r="L139" s="40">
        <v>45261</v>
      </c>
    </row>
    <row r="140" spans="1:12" x14ac:dyDescent="0.25">
      <c r="A140" s="25" t="s">
        <v>477</v>
      </c>
      <c r="B140" s="25" t="s">
        <v>478</v>
      </c>
      <c r="C140" s="26">
        <v>2</v>
      </c>
      <c r="D140" s="26" t="s">
        <v>381</v>
      </c>
      <c r="E140" s="26" t="s">
        <v>204</v>
      </c>
      <c r="F140" s="26" t="s">
        <v>377</v>
      </c>
      <c r="G140" s="34" t="s">
        <v>149</v>
      </c>
      <c r="H140" s="39">
        <v>2</v>
      </c>
      <c r="I140" s="30" t="s">
        <v>171</v>
      </c>
      <c r="J140" s="31" t="s">
        <v>408</v>
      </c>
      <c r="K140" s="38">
        <v>45170</v>
      </c>
      <c r="L140" s="41">
        <v>45292</v>
      </c>
    </row>
    <row r="141" spans="1:12" x14ac:dyDescent="0.25">
      <c r="A141" s="25" t="s">
        <v>479</v>
      </c>
      <c r="B141" s="25" t="s">
        <v>480</v>
      </c>
      <c r="C141" s="26">
        <v>2</v>
      </c>
      <c r="D141" s="26" t="s">
        <v>381</v>
      </c>
      <c r="E141" s="27" t="s">
        <v>204</v>
      </c>
      <c r="F141" s="27" t="s">
        <v>377</v>
      </c>
      <c r="G141" s="34" t="s">
        <v>125</v>
      </c>
      <c r="H141" s="29">
        <v>2</v>
      </c>
      <c r="I141" s="30" t="s">
        <v>171</v>
      </c>
      <c r="J141" s="31" t="s">
        <v>393</v>
      </c>
      <c r="K141" s="38">
        <v>45199</v>
      </c>
      <c r="L141" s="40">
        <v>45323</v>
      </c>
    </row>
    <row r="142" spans="1:12" x14ac:dyDescent="0.25">
      <c r="A142" s="25" t="s">
        <v>481</v>
      </c>
      <c r="B142" s="25" t="s">
        <v>482</v>
      </c>
      <c r="C142" s="26">
        <v>2</v>
      </c>
      <c r="D142" s="26" t="s">
        <v>381</v>
      </c>
      <c r="E142" s="27" t="s">
        <v>204</v>
      </c>
      <c r="F142" s="27" t="s">
        <v>377</v>
      </c>
      <c r="G142" s="34" t="s">
        <v>125</v>
      </c>
      <c r="H142" s="29">
        <v>2</v>
      </c>
      <c r="I142" s="30" t="s">
        <v>171</v>
      </c>
      <c r="J142" s="31" t="s">
        <v>393</v>
      </c>
      <c r="K142" s="38">
        <v>45260</v>
      </c>
      <c r="L142" s="40">
        <v>45323</v>
      </c>
    </row>
    <row r="143" spans="1:12" x14ac:dyDescent="0.25">
      <c r="A143" s="25" t="s">
        <v>483</v>
      </c>
      <c r="B143" s="25" t="s">
        <v>484</v>
      </c>
      <c r="C143" s="26">
        <v>2</v>
      </c>
      <c r="D143" s="26" t="s">
        <v>485</v>
      </c>
      <c r="E143" s="27" t="s">
        <v>204</v>
      </c>
      <c r="F143" s="27" t="s">
        <v>377</v>
      </c>
      <c r="G143" s="34" t="s">
        <v>142</v>
      </c>
      <c r="H143" s="29">
        <v>2</v>
      </c>
      <c r="I143" s="30" t="s">
        <v>171</v>
      </c>
      <c r="J143" s="31" t="s">
        <v>382</v>
      </c>
      <c r="K143" s="38">
        <v>45245</v>
      </c>
      <c r="L143" s="40">
        <v>45231</v>
      </c>
    </row>
    <row r="144" spans="1:12" x14ac:dyDescent="0.25">
      <c r="A144" s="25" t="s">
        <v>486</v>
      </c>
      <c r="B144" s="25" t="s">
        <v>487</v>
      </c>
      <c r="C144" s="26">
        <v>2</v>
      </c>
      <c r="D144" s="26" t="s">
        <v>485</v>
      </c>
      <c r="E144" s="27" t="s">
        <v>204</v>
      </c>
      <c r="F144" s="27" t="s">
        <v>377</v>
      </c>
      <c r="G144" s="34" t="s">
        <v>125</v>
      </c>
      <c r="H144" s="29">
        <v>2</v>
      </c>
      <c r="I144" s="30" t="s">
        <v>171</v>
      </c>
      <c r="J144" s="31" t="s">
        <v>382</v>
      </c>
      <c r="K144" s="38">
        <v>45245</v>
      </c>
      <c r="L144" s="40">
        <v>45231</v>
      </c>
    </row>
    <row r="145" spans="1:12" x14ac:dyDescent="0.25">
      <c r="A145" s="42" t="s">
        <v>488</v>
      </c>
      <c r="B145" s="25" t="s">
        <v>489</v>
      </c>
      <c r="C145" s="26">
        <v>2</v>
      </c>
      <c r="D145" s="26" t="s">
        <v>489</v>
      </c>
      <c r="E145" s="27" t="s">
        <v>204</v>
      </c>
      <c r="F145" s="27" t="s">
        <v>377</v>
      </c>
      <c r="G145" s="34" t="s">
        <v>125</v>
      </c>
      <c r="H145" s="43">
        <v>2</v>
      </c>
      <c r="I145" s="30" t="s">
        <v>171</v>
      </c>
      <c r="J145" s="31" t="s">
        <v>490</v>
      </c>
      <c r="K145" s="38">
        <v>45274</v>
      </c>
      <c r="L145" s="41">
        <v>45261</v>
      </c>
    </row>
    <row r="146" spans="1:12" x14ac:dyDescent="0.25">
      <c r="A146" s="25" t="s">
        <v>491</v>
      </c>
      <c r="B146" s="25" t="s">
        <v>492</v>
      </c>
      <c r="C146" s="26">
        <v>1</v>
      </c>
      <c r="D146" s="26" t="s">
        <v>493</v>
      </c>
      <c r="E146" s="27" t="s">
        <v>140</v>
      </c>
      <c r="F146" s="27" t="s">
        <v>494</v>
      </c>
      <c r="G146" s="34" t="s">
        <v>142</v>
      </c>
      <c r="H146" s="29">
        <v>1</v>
      </c>
      <c r="I146" s="30" t="s">
        <v>183</v>
      </c>
      <c r="J146" s="31" t="s">
        <v>495</v>
      </c>
      <c r="K146" s="38">
        <v>45233</v>
      </c>
      <c r="L146" s="33">
        <v>45250</v>
      </c>
    </row>
    <row r="147" spans="1:12" x14ac:dyDescent="0.25">
      <c r="A147" s="25" t="s">
        <v>496</v>
      </c>
      <c r="B147" s="25" t="s">
        <v>497</v>
      </c>
      <c r="C147" s="26">
        <v>1</v>
      </c>
      <c r="D147" s="26" t="s">
        <v>493</v>
      </c>
      <c r="E147" s="27" t="s">
        <v>140</v>
      </c>
      <c r="F147" s="27" t="s">
        <v>494</v>
      </c>
      <c r="G147" s="34" t="s">
        <v>22</v>
      </c>
      <c r="H147" s="29">
        <v>1</v>
      </c>
      <c r="I147" s="30" t="s">
        <v>183</v>
      </c>
      <c r="J147" s="31" t="s">
        <v>498</v>
      </c>
      <c r="K147" s="38">
        <v>45241</v>
      </c>
      <c r="L147" s="35">
        <v>45244</v>
      </c>
    </row>
    <row r="148" spans="1:12" x14ac:dyDescent="0.25">
      <c r="A148" s="25" t="s">
        <v>499</v>
      </c>
      <c r="B148" s="25" t="s">
        <v>500</v>
      </c>
      <c r="C148" s="26">
        <v>3</v>
      </c>
      <c r="D148" s="26" t="s">
        <v>493</v>
      </c>
      <c r="E148" s="27" t="s">
        <v>140</v>
      </c>
      <c r="F148" s="27" t="s">
        <v>494</v>
      </c>
      <c r="G148" s="34" t="s">
        <v>22</v>
      </c>
      <c r="H148" s="29">
        <v>3</v>
      </c>
      <c r="I148" s="30" t="s">
        <v>183</v>
      </c>
      <c r="J148" s="31" t="s">
        <v>498</v>
      </c>
      <c r="K148" s="38">
        <v>45241</v>
      </c>
      <c r="L148" s="35">
        <v>45282</v>
      </c>
    </row>
    <row r="149" spans="1:12" x14ac:dyDescent="0.25">
      <c r="A149" s="25" t="s">
        <v>501</v>
      </c>
      <c r="B149" s="25" t="s">
        <v>502</v>
      </c>
      <c r="C149" s="26">
        <v>1</v>
      </c>
      <c r="D149" s="26" t="s">
        <v>493</v>
      </c>
      <c r="E149" s="27" t="s">
        <v>140</v>
      </c>
      <c r="F149" s="27" t="s">
        <v>494</v>
      </c>
      <c r="G149" s="34" t="s">
        <v>125</v>
      </c>
      <c r="H149" s="29">
        <v>1</v>
      </c>
      <c r="I149" s="30" t="s">
        <v>183</v>
      </c>
      <c r="J149" s="31" t="s">
        <v>498</v>
      </c>
      <c r="K149" s="38">
        <v>45241</v>
      </c>
      <c r="L149" s="35">
        <v>45241</v>
      </c>
    </row>
    <row r="150" spans="1:12" x14ac:dyDescent="0.25">
      <c r="A150" s="25" t="s">
        <v>503</v>
      </c>
      <c r="B150" s="25" t="s">
        <v>504</v>
      </c>
      <c r="C150" s="26">
        <v>2</v>
      </c>
      <c r="D150" s="26" t="s">
        <v>493</v>
      </c>
      <c r="E150" s="27" t="s">
        <v>140</v>
      </c>
      <c r="F150" s="27" t="s">
        <v>494</v>
      </c>
      <c r="G150" s="34" t="s">
        <v>125</v>
      </c>
      <c r="H150" s="29">
        <v>2</v>
      </c>
      <c r="I150" s="30" t="s">
        <v>183</v>
      </c>
      <c r="J150" s="31" t="s">
        <v>498</v>
      </c>
      <c r="K150" s="38">
        <v>45241</v>
      </c>
      <c r="L150" s="33">
        <v>45291</v>
      </c>
    </row>
    <row r="151" spans="1:12" x14ac:dyDescent="0.25">
      <c r="A151" s="25" t="s">
        <v>505</v>
      </c>
      <c r="B151" s="25" t="s">
        <v>506</v>
      </c>
      <c r="C151" s="26">
        <v>1</v>
      </c>
      <c r="D151" s="26" t="s">
        <v>493</v>
      </c>
      <c r="E151" s="27" t="s">
        <v>140</v>
      </c>
      <c r="F151" s="27" t="s">
        <v>494</v>
      </c>
      <c r="G151" s="34" t="s">
        <v>125</v>
      </c>
      <c r="H151" s="29">
        <v>1</v>
      </c>
      <c r="I151" s="30" t="s">
        <v>183</v>
      </c>
      <c r="J151" s="31" t="s">
        <v>498</v>
      </c>
      <c r="K151" s="38">
        <v>45241</v>
      </c>
      <c r="L151" s="33">
        <v>45288</v>
      </c>
    </row>
    <row r="152" spans="1:12" x14ac:dyDescent="0.25">
      <c r="A152" s="25" t="s">
        <v>507</v>
      </c>
      <c r="B152" s="25" t="s">
        <v>508</v>
      </c>
      <c r="C152" s="26">
        <v>1</v>
      </c>
      <c r="D152" s="26" t="s">
        <v>493</v>
      </c>
      <c r="E152" s="27" t="s">
        <v>140</v>
      </c>
      <c r="F152" s="27" t="s">
        <v>494</v>
      </c>
      <c r="G152" s="34" t="s">
        <v>125</v>
      </c>
      <c r="H152" s="29">
        <v>1</v>
      </c>
      <c r="I152" s="30" t="s">
        <v>183</v>
      </c>
      <c r="J152" s="31" t="s">
        <v>498</v>
      </c>
      <c r="K152" s="38">
        <v>45241</v>
      </c>
      <c r="L152" s="33">
        <v>45285</v>
      </c>
    </row>
    <row r="153" spans="1:12" x14ac:dyDescent="0.25">
      <c r="A153" s="25" t="s">
        <v>509</v>
      </c>
      <c r="B153" s="25" t="s">
        <v>510</v>
      </c>
      <c r="C153" s="26">
        <v>1</v>
      </c>
      <c r="D153" s="26" t="s">
        <v>511</v>
      </c>
      <c r="E153" s="27" t="s">
        <v>140</v>
      </c>
      <c r="F153" s="27" t="s">
        <v>512</v>
      </c>
      <c r="G153" s="34" t="s">
        <v>513</v>
      </c>
      <c r="H153" s="29">
        <v>1</v>
      </c>
      <c r="I153" s="30" t="s">
        <v>216</v>
      </c>
      <c r="J153" s="31" t="s">
        <v>217</v>
      </c>
      <c r="K153" s="38">
        <v>45298</v>
      </c>
      <c r="L153" s="35">
        <v>45287</v>
      </c>
    </row>
    <row r="154" spans="1:12" x14ac:dyDescent="0.25">
      <c r="A154" s="25" t="s">
        <v>514</v>
      </c>
      <c r="B154" s="25" t="s">
        <v>515</v>
      </c>
      <c r="C154" s="26">
        <v>1</v>
      </c>
      <c r="D154" s="26" t="s">
        <v>511</v>
      </c>
      <c r="E154" s="27" t="s">
        <v>140</v>
      </c>
      <c r="F154" s="27" t="s">
        <v>512</v>
      </c>
      <c r="G154" s="34" t="s">
        <v>142</v>
      </c>
      <c r="H154" s="29">
        <v>1</v>
      </c>
      <c r="I154" s="30" t="s">
        <v>216</v>
      </c>
      <c r="J154" s="31" t="s">
        <v>217</v>
      </c>
      <c r="K154" s="38">
        <v>45298</v>
      </c>
      <c r="L154" s="35">
        <v>45287</v>
      </c>
    </row>
    <row r="155" spans="1:12" x14ac:dyDescent="0.25">
      <c r="A155" s="25" t="s">
        <v>516</v>
      </c>
      <c r="B155" s="25" t="s">
        <v>517</v>
      </c>
      <c r="C155" s="26">
        <v>1</v>
      </c>
      <c r="D155" s="26" t="s">
        <v>511</v>
      </c>
      <c r="E155" s="27" t="s">
        <v>140</v>
      </c>
      <c r="F155" s="27" t="s">
        <v>512</v>
      </c>
      <c r="G155" s="34" t="s">
        <v>142</v>
      </c>
      <c r="H155" s="29">
        <v>1</v>
      </c>
      <c r="I155" s="30" t="s">
        <v>216</v>
      </c>
      <c r="J155" s="31" t="s">
        <v>217</v>
      </c>
      <c r="K155" s="38">
        <v>45298</v>
      </c>
      <c r="L155" s="35">
        <v>45306</v>
      </c>
    </row>
    <row r="156" spans="1:12" x14ac:dyDescent="0.25">
      <c r="A156" s="25" t="s">
        <v>518</v>
      </c>
      <c r="B156" s="25" t="s">
        <v>519</v>
      </c>
      <c r="C156" s="26">
        <v>1</v>
      </c>
      <c r="D156" s="26" t="s">
        <v>520</v>
      </c>
      <c r="E156" s="27" t="s">
        <v>140</v>
      </c>
      <c r="F156" s="27" t="s">
        <v>512</v>
      </c>
      <c r="G156" s="34" t="s">
        <v>142</v>
      </c>
      <c r="H156" s="29">
        <v>1</v>
      </c>
      <c r="I156" s="30" t="s">
        <v>216</v>
      </c>
      <c r="J156" s="31" t="s">
        <v>521</v>
      </c>
      <c r="K156" s="38">
        <v>45275</v>
      </c>
      <c r="L156" s="35">
        <v>45350</v>
      </c>
    </row>
    <row r="157" spans="1:12" x14ac:dyDescent="0.25">
      <c r="A157" s="25" t="s">
        <v>522</v>
      </c>
      <c r="B157" s="25" t="s">
        <v>523</v>
      </c>
      <c r="C157" s="26">
        <v>1</v>
      </c>
      <c r="D157" s="26" t="s">
        <v>511</v>
      </c>
      <c r="E157" s="27" t="s">
        <v>140</v>
      </c>
      <c r="F157" s="27" t="s">
        <v>512</v>
      </c>
      <c r="G157" s="34" t="s">
        <v>142</v>
      </c>
      <c r="H157" s="29">
        <v>1</v>
      </c>
      <c r="I157" s="30" t="s">
        <v>216</v>
      </c>
      <c r="J157" s="31" t="s">
        <v>217</v>
      </c>
      <c r="K157" s="38">
        <v>45298</v>
      </c>
      <c r="L157" s="35">
        <v>45306</v>
      </c>
    </row>
    <row r="158" spans="1:12" x14ac:dyDescent="0.25">
      <c r="A158" s="25" t="s">
        <v>524</v>
      </c>
      <c r="B158" s="25" t="s">
        <v>525</v>
      </c>
      <c r="C158" s="26">
        <v>1</v>
      </c>
      <c r="D158" s="26" t="s">
        <v>511</v>
      </c>
      <c r="E158" s="27" t="s">
        <v>140</v>
      </c>
      <c r="F158" s="27" t="s">
        <v>512</v>
      </c>
      <c r="G158" s="34" t="s">
        <v>142</v>
      </c>
      <c r="H158" s="29">
        <v>1</v>
      </c>
      <c r="I158" s="30" t="s">
        <v>216</v>
      </c>
      <c r="J158" s="31" t="s">
        <v>217</v>
      </c>
      <c r="K158" s="38">
        <v>45298</v>
      </c>
      <c r="L158" s="35">
        <v>45285</v>
      </c>
    </row>
    <row r="159" spans="1:12" x14ac:dyDescent="0.25">
      <c r="A159" s="25" t="s">
        <v>526</v>
      </c>
      <c r="B159" s="25" t="s">
        <v>527</v>
      </c>
      <c r="C159" s="26">
        <v>2</v>
      </c>
      <c r="D159" s="26" t="s">
        <v>511</v>
      </c>
      <c r="E159" s="27" t="s">
        <v>140</v>
      </c>
      <c r="F159" s="27" t="s">
        <v>512</v>
      </c>
      <c r="G159" s="34" t="s">
        <v>142</v>
      </c>
      <c r="H159" s="29">
        <v>2</v>
      </c>
      <c r="I159" s="30" t="s">
        <v>216</v>
      </c>
      <c r="J159" s="31" t="s">
        <v>217</v>
      </c>
      <c r="K159" s="38">
        <v>45298</v>
      </c>
      <c r="L159" s="35">
        <v>45287</v>
      </c>
    </row>
    <row r="160" spans="1:12" x14ac:dyDescent="0.25">
      <c r="A160" s="25" t="s">
        <v>528</v>
      </c>
      <c r="B160" s="25" t="s">
        <v>529</v>
      </c>
      <c r="C160" s="26">
        <v>1</v>
      </c>
      <c r="D160" s="26" t="s">
        <v>511</v>
      </c>
      <c r="E160" s="27" t="s">
        <v>140</v>
      </c>
      <c r="F160" s="27" t="s">
        <v>512</v>
      </c>
      <c r="G160" s="34" t="s">
        <v>142</v>
      </c>
      <c r="H160" s="29">
        <v>1</v>
      </c>
      <c r="I160" s="30" t="s">
        <v>216</v>
      </c>
      <c r="J160" s="31" t="s">
        <v>217</v>
      </c>
      <c r="K160" s="38">
        <v>45298</v>
      </c>
      <c r="L160" s="35">
        <v>45306</v>
      </c>
    </row>
    <row r="161" spans="1:12" x14ac:dyDescent="0.25">
      <c r="A161" s="25" t="s">
        <v>530</v>
      </c>
      <c r="B161" s="25" t="s">
        <v>531</v>
      </c>
      <c r="C161" s="26">
        <v>1</v>
      </c>
      <c r="D161" s="26" t="s">
        <v>511</v>
      </c>
      <c r="E161" s="27" t="s">
        <v>140</v>
      </c>
      <c r="F161" s="27" t="s">
        <v>512</v>
      </c>
      <c r="G161" s="34" t="s">
        <v>142</v>
      </c>
      <c r="H161" s="29">
        <v>1</v>
      </c>
      <c r="I161" s="30" t="s">
        <v>216</v>
      </c>
      <c r="J161" s="31" t="s">
        <v>217</v>
      </c>
      <c r="K161" s="38">
        <v>45298</v>
      </c>
      <c r="L161" s="35">
        <v>45287</v>
      </c>
    </row>
    <row r="162" spans="1:12" x14ac:dyDescent="0.25">
      <c r="A162" s="25" t="s">
        <v>532</v>
      </c>
      <c r="B162" s="25" t="s">
        <v>533</v>
      </c>
      <c r="C162" s="26">
        <v>1</v>
      </c>
      <c r="D162" s="26" t="s">
        <v>511</v>
      </c>
      <c r="E162" s="27" t="s">
        <v>140</v>
      </c>
      <c r="F162" s="27" t="s">
        <v>512</v>
      </c>
      <c r="G162" s="34" t="s">
        <v>142</v>
      </c>
      <c r="H162" s="29">
        <v>1</v>
      </c>
      <c r="I162" s="30" t="s">
        <v>216</v>
      </c>
      <c r="J162" s="31" t="s">
        <v>217</v>
      </c>
      <c r="K162" s="38">
        <v>45298</v>
      </c>
      <c r="L162" s="35">
        <v>45287</v>
      </c>
    </row>
    <row r="163" spans="1:12" x14ac:dyDescent="0.25">
      <c r="A163" s="25" t="s">
        <v>534</v>
      </c>
      <c r="B163" s="25" t="s">
        <v>535</v>
      </c>
      <c r="C163" s="26">
        <v>1</v>
      </c>
      <c r="D163" s="26" t="s">
        <v>511</v>
      </c>
      <c r="E163" s="27" t="s">
        <v>140</v>
      </c>
      <c r="F163" s="27" t="s">
        <v>512</v>
      </c>
      <c r="G163" s="34" t="s">
        <v>142</v>
      </c>
      <c r="H163" s="29">
        <v>1</v>
      </c>
      <c r="I163" s="30" t="s">
        <v>216</v>
      </c>
      <c r="J163" s="31" t="s">
        <v>217</v>
      </c>
      <c r="K163" s="38">
        <v>45298</v>
      </c>
      <c r="L163" s="35">
        <v>45285</v>
      </c>
    </row>
    <row r="164" spans="1:12" x14ac:dyDescent="0.25">
      <c r="A164" s="25" t="s">
        <v>536</v>
      </c>
      <c r="B164" s="25" t="s">
        <v>537</v>
      </c>
      <c r="C164" s="26">
        <v>1</v>
      </c>
      <c r="D164" s="26" t="s">
        <v>511</v>
      </c>
      <c r="E164" s="27" t="s">
        <v>140</v>
      </c>
      <c r="F164" s="27" t="s">
        <v>512</v>
      </c>
      <c r="G164" s="34" t="s">
        <v>142</v>
      </c>
      <c r="H164" s="29">
        <v>1</v>
      </c>
      <c r="I164" s="30" t="s">
        <v>216</v>
      </c>
      <c r="J164" s="31" t="s">
        <v>217</v>
      </c>
      <c r="K164" s="38">
        <v>45298</v>
      </c>
      <c r="L164" s="35">
        <v>45306</v>
      </c>
    </row>
    <row r="165" spans="1:12" x14ac:dyDescent="0.25">
      <c r="A165" s="25" t="s">
        <v>538</v>
      </c>
      <c r="B165" s="25" t="s">
        <v>539</v>
      </c>
      <c r="C165" s="26">
        <v>1</v>
      </c>
      <c r="D165" s="26" t="s">
        <v>511</v>
      </c>
      <c r="E165" s="27" t="s">
        <v>140</v>
      </c>
      <c r="F165" s="27" t="s">
        <v>512</v>
      </c>
      <c r="G165" s="34" t="s">
        <v>149</v>
      </c>
      <c r="H165" s="29">
        <v>1</v>
      </c>
      <c r="I165" s="30" t="s">
        <v>216</v>
      </c>
      <c r="J165" s="31" t="s">
        <v>217</v>
      </c>
      <c r="K165" s="38">
        <v>45298</v>
      </c>
      <c r="L165" s="35">
        <v>45287</v>
      </c>
    </row>
    <row r="166" spans="1:12" x14ac:dyDescent="0.25">
      <c r="A166" s="25" t="s">
        <v>540</v>
      </c>
      <c r="B166" s="25" t="s">
        <v>541</v>
      </c>
      <c r="C166" s="26">
        <v>1</v>
      </c>
      <c r="D166" s="26" t="s">
        <v>511</v>
      </c>
      <c r="E166" s="27" t="s">
        <v>140</v>
      </c>
      <c r="F166" s="27" t="s">
        <v>512</v>
      </c>
      <c r="G166" s="34" t="s">
        <v>149</v>
      </c>
      <c r="H166" s="29">
        <v>1</v>
      </c>
      <c r="I166" s="30" t="s">
        <v>216</v>
      </c>
      <c r="J166" s="31" t="s">
        <v>217</v>
      </c>
      <c r="K166" s="38">
        <v>45298</v>
      </c>
      <c r="L166" s="35">
        <v>45287</v>
      </c>
    </row>
    <row r="167" spans="1:12" x14ac:dyDescent="0.25">
      <c r="A167" s="25" t="s">
        <v>542</v>
      </c>
      <c r="B167" s="25" t="s">
        <v>543</v>
      </c>
      <c r="C167" s="26">
        <v>1</v>
      </c>
      <c r="D167" s="26" t="s">
        <v>511</v>
      </c>
      <c r="E167" s="27" t="s">
        <v>140</v>
      </c>
      <c r="F167" s="27" t="s">
        <v>512</v>
      </c>
      <c r="G167" s="34" t="s">
        <v>149</v>
      </c>
      <c r="H167" s="29">
        <v>1</v>
      </c>
      <c r="I167" s="30" t="s">
        <v>216</v>
      </c>
      <c r="J167" s="31" t="s">
        <v>217</v>
      </c>
      <c r="K167" s="38">
        <v>45298</v>
      </c>
      <c r="L167" s="35">
        <v>45287</v>
      </c>
    </row>
    <row r="168" spans="1:12" x14ac:dyDescent="0.25">
      <c r="A168" s="25" t="s">
        <v>544</v>
      </c>
      <c r="B168" s="25" t="s">
        <v>545</v>
      </c>
      <c r="C168" s="26">
        <v>1</v>
      </c>
      <c r="D168" s="26" t="s">
        <v>511</v>
      </c>
      <c r="E168" s="27" t="s">
        <v>140</v>
      </c>
      <c r="F168" s="27" t="s">
        <v>512</v>
      </c>
      <c r="G168" s="34" t="s">
        <v>149</v>
      </c>
      <c r="H168" s="29">
        <v>1</v>
      </c>
      <c r="I168" s="30" t="s">
        <v>216</v>
      </c>
      <c r="J168" s="31" t="s">
        <v>217</v>
      </c>
      <c r="K168" s="38">
        <v>45298</v>
      </c>
      <c r="L168" s="35">
        <v>45306</v>
      </c>
    </row>
    <row r="169" spans="1:12" x14ac:dyDescent="0.25">
      <c r="A169" s="25" t="s">
        <v>546</v>
      </c>
      <c r="B169" s="25" t="s">
        <v>547</v>
      </c>
      <c r="C169" s="26">
        <v>1</v>
      </c>
      <c r="D169" s="26" t="s">
        <v>511</v>
      </c>
      <c r="E169" s="27" t="s">
        <v>140</v>
      </c>
      <c r="F169" s="27" t="s">
        <v>512</v>
      </c>
      <c r="G169" s="34" t="s">
        <v>22</v>
      </c>
      <c r="H169" s="29">
        <v>1</v>
      </c>
      <c r="I169" s="30" t="s">
        <v>216</v>
      </c>
      <c r="J169" s="31" t="s">
        <v>217</v>
      </c>
      <c r="K169" s="38">
        <v>45298</v>
      </c>
      <c r="L169" s="35">
        <v>45306</v>
      </c>
    </row>
    <row r="170" spans="1:12" x14ac:dyDescent="0.25">
      <c r="A170" s="25" t="s">
        <v>548</v>
      </c>
      <c r="B170" s="25" t="s">
        <v>549</v>
      </c>
      <c r="C170" s="26">
        <v>1</v>
      </c>
      <c r="D170" s="26" t="s">
        <v>511</v>
      </c>
      <c r="E170" s="27" t="s">
        <v>140</v>
      </c>
      <c r="F170" s="27" t="s">
        <v>512</v>
      </c>
      <c r="G170" s="34" t="s">
        <v>22</v>
      </c>
      <c r="H170" s="29">
        <v>1</v>
      </c>
      <c r="I170" s="30" t="s">
        <v>216</v>
      </c>
      <c r="J170" s="31" t="s">
        <v>217</v>
      </c>
      <c r="K170" s="38">
        <v>45298</v>
      </c>
      <c r="L170" s="35">
        <v>45306</v>
      </c>
    </row>
    <row r="171" spans="1:12" x14ac:dyDescent="0.25">
      <c r="A171" s="25" t="s">
        <v>550</v>
      </c>
      <c r="B171" s="25" t="s">
        <v>551</v>
      </c>
      <c r="C171" s="26">
        <v>2</v>
      </c>
      <c r="D171" s="26" t="s">
        <v>511</v>
      </c>
      <c r="E171" s="27" t="s">
        <v>140</v>
      </c>
      <c r="F171" s="27" t="s">
        <v>512</v>
      </c>
      <c r="G171" s="34" t="s">
        <v>22</v>
      </c>
      <c r="H171" s="29">
        <v>2</v>
      </c>
      <c r="I171" s="30" t="s">
        <v>216</v>
      </c>
      <c r="J171" s="31" t="s">
        <v>217</v>
      </c>
      <c r="K171" s="38">
        <v>45298</v>
      </c>
      <c r="L171" s="35">
        <v>45306</v>
      </c>
    </row>
    <row r="172" spans="1:12" x14ac:dyDescent="0.25">
      <c r="A172" s="25" t="s">
        <v>552</v>
      </c>
      <c r="B172" s="25" t="s">
        <v>553</v>
      </c>
      <c r="C172" s="26">
        <v>2</v>
      </c>
      <c r="D172" s="26" t="s">
        <v>511</v>
      </c>
      <c r="E172" s="27" t="s">
        <v>140</v>
      </c>
      <c r="F172" s="27" t="s">
        <v>512</v>
      </c>
      <c r="G172" s="34" t="s">
        <v>22</v>
      </c>
      <c r="H172" s="29">
        <v>2</v>
      </c>
      <c r="I172" s="30" t="s">
        <v>216</v>
      </c>
      <c r="J172" s="31" t="s">
        <v>217</v>
      </c>
      <c r="K172" s="38">
        <v>45298</v>
      </c>
      <c r="L172" s="35">
        <v>45306</v>
      </c>
    </row>
    <row r="173" spans="1:12" x14ac:dyDescent="0.25">
      <c r="A173" s="25" t="s">
        <v>554</v>
      </c>
      <c r="B173" s="25" t="s">
        <v>555</v>
      </c>
      <c r="C173" s="26">
        <v>1</v>
      </c>
      <c r="D173" s="26" t="s">
        <v>511</v>
      </c>
      <c r="E173" s="27" t="s">
        <v>140</v>
      </c>
      <c r="F173" s="27" t="s">
        <v>512</v>
      </c>
      <c r="G173" s="34" t="s">
        <v>22</v>
      </c>
      <c r="H173" s="29">
        <v>1</v>
      </c>
      <c r="I173" s="30" t="s">
        <v>216</v>
      </c>
      <c r="J173" s="31" t="s">
        <v>217</v>
      </c>
      <c r="K173" s="38">
        <v>45298</v>
      </c>
      <c r="L173" s="35">
        <v>45306</v>
      </c>
    </row>
    <row r="174" spans="1:12" x14ac:dyDescent="0.25">
      <c r="A174" s="25" t="s">
        <v>556</v>
      </c>
      <c r="B174" s="25" t="s">
        <v>515</v>
      </c>
      <c r="C174" s="26">
        <v>1</v>
      </c>
      <c r="D174" s="26" t="s">
        <v>214</v>
      </c>
      <c r="E174" s="27" t="s">
        <v>140</v>
      </c>
      <c r="F174" s="27" t="s">
        <v>512</v>
      </c>
      <c r="G174" s="34" t="s">
        <v>22</v>
      </c>
      <c r="H174" s="29">
        <v>1</v>
      </c>
      <c r="I174" s="30" t="s">
        <v>216</v>
      </c>
      <c r="J174" s="31" t="s">
        <v>217</v>
      </c>
      <c r="K174" s="38">
        <v>45107</v>
      </c>
      <c r="L174" s="35">
        <v>45260</v>
      </c>
    </row>
    <row r="175" spans="1:12" x14ac:dyDescent="0.25">
      <c r="A175" s="25" t="s">
        <v>557</v>
      </c>
      <c r="B175" s="25" t="s">
        <v>558</v>
      </c>
      <c r="C175" s="26">
        <v>1</v>
      </c>
      <c r="D175" s="26" t="s">
        <v>511</v>
      </c>
      <c r="E175" s="26" t="s">
        <v>140</v>
      </c>
      <c r="F175" s="27" t="s">
        <v>512</v>
      </c>
      <c r="G175" s="34" t="s">
        <v>22</v>
      </c>
      <c r="H175" s="29">
        <v>1</v>
      </c>
      <c r="I175" s="30" t="s">
        <v>216</v>
      </c>
      <c r="J175" s="31" t="s">
        <v>217</v>
      </c>
      <c r="K175" s="38">
        <v>45298</v>
      </c>
      <c r="L175" s="35">
        <v>45306</v>
      </c>
    </row>
    <row r="176" spans="1:12" x14ac:dyDescent="0.25">
      <c r="A176" s="25" t="s">
        <v>559</v>
      </c>
      <c r="B176" s="25" t="s">
        <v>560</v>
      </c>
      <c r="C176" s="26">
        <v>1</v>
      </c>
      <c r="D176" s="26" t="s">
        <v>511</v>
      </c>
      <c r="E176" s="26" t="s">
        <v>140</v>
      </c>
      <c r="F176" s="27" t="s">
        <v>512</v>
      </c>
      <c r="G176" s="34" t="s">
        <v>22</v>
      </c>
      <c r="H176" s="29">
        <v>1</v>
      </c>
      <c r="I176" s="30" t="s">
        <v>216</v>
      </c>
      <c r="J176" s="31" t="s">
        <v>217</v>
      </c>
      <c r="K176" s="38">
        <v>45298</v>
      </c>
      <c r="L176" s="35">
        <v>45306</v>
      </c>
    </row>
    <row r="177" spans="1:12" x14ac:dyDescent="0.25">
      <c r="A177" s="25" t="s">
        <v>561</v>
      </c>
      <c r="B177" s="25" t="s">
        <v>562</v>
      </c>
      <c r="C177" s="26">
        <v>1</v>
      </c>
      <c r="D177" s="26" t="s">
        <v>563</v>
      </c>
      <c r="E177" s="26" t="s">
        <v>140</v>
      </c>
      <c r="F177" s="27" t="s">
        <v>512</v>
      </c>
      <c r="G177" s="34" t="s">
        <v>22</v>
      </c>
      <c r="H177" s="29">
        <v>1</v>
      </c>
      <c r="I177" s="30" t="s">
        <v>216</v>
      </c>
      <c r="J177" s="31" t="s">
        <v>217</v>
      </c>
      <c r="K177" s="38">
        <v>45350</v>
      </c>
      <c r="L177" s="35">
        <v>45350</v>
      </c>
    </row>
    <row r="178" spans="1:12" x14ac:dyDescent="0.25">
      <c r="A178" s="25" t="s">
        <v>564</v>
      </c>
      <c r="B178" s="25" t="s">
        <v>565</v>
      </c>
      <c r="C178" s="26">
        <v>1</v>
      </c>
      <c r="D178" s="26" t="s">
        <v>511</v>
      </c>
      <c r="E178" s="26" t="s">
        <v>140</v>
      </c>
      <c r="F178" s="27" t="s">
        <v>512</v>
      </c>
      <c r="G178" s="34" t="s">
        <v>22</v>
      </c>
      <c r="H178" s="29">
        <v>1</v>
      </c>
      <c r="I178" s="30" t="s">
        <v>216</v>
      </c>
      <c r="J178" s="31" t="s">
        <v>217</v>
      </c>
      <c r="K178" s="38">
        <v>45298</v>
      </c>
      <c r="L178" s="35">
        <v>45287</v>
      </c>
    </row>
    <row r="179" spans="1:12" x14ac:dyDescent="0.25">
      <c r="A179" s="25" t="s">
        <v>566</v>
      </c>
      <c r="B179" s="25" t="s">
        <v>567</v>
      </c>
      <c r="C179" s="26">
        <v>1</v>
      </c>
      <c r="D179" s="26" t="s">
        <v>563</v>
      </c>
      <c r="E179" s="27" t="s">
        <v>140</v>
      </c>
      <c r="F179" s="26" t="s">
        <v>512</v>
      </c>
      <c r="G179" s="34" t="s">
        <v>22</v>
      </c>
      <c r="H179" s="29">
        <v>1</v>
      </c>
      <c r="I179" s="30" t="s">
        <v>216</v>
      </c>
      <c r="J179" s="31" t="s">
        <v>217</v>
      </c>
      <c r="K179" s="38">
        <v>45350</v>
      </c>
      <c r="L179" s="35">
        <v>45350</v>
      </c>
    </row>
    <row r="180" spans="1:12" x14ac:dyDescent="0.25">
      <c r="A180" s="25" t="s">
        <v>568</v>
      </c>
      <c r="B180" s="25" t="s">
        <v>569</v>
      </c>
      <c r="C180" s="26">
        <v>1</v>
      </c>
      <c r="D180" s="26" t="s">
        <v>511</v>
      </c>
      <c r="E180" s="27" t="s">
        <v>140</v>
      </c>
      <c r="F180" s="26" t="s">
        <v>512</v>
      </c>
      <c r="G180" s="34" t="s">
        <v>22</v>
      </c>
      <c r="H180" s="29">
        <v>1</v>
      </c>
      <c r="I180" s="30" t="s">
        <v>216</v>
      </c>
      <c r="J180" s="31" t="s">
        <v>217</v>
      </c>
      <c r="K180" s="38">
        <v>45298</v>
      </c>
      <c r="L180" s="35">
        <v>45288</v>
      </c>
    </row>
    <row r="181" spans="1:12" x14ac:dyDescent="0.25">
      <c r="A181" s="25" t="s">
        <v>570</v>
      </c>
      <c r="B181" s="25" t="s">
        <v>571</v>
      </c>
      <c r="C181" s="26">
        <v>1</v>
      </c>
      <c r="D181" s="26" t="s">
        <v>511</v>
      </c>
      <c r="E181" s="27" t="s">
        <v>140</v>
      </c>
      <c r="F181" s="26" t="s">
        <v>512</v>
      </c>
      <c r="G181" s="34" t="s">
        <v>22</v>
      </c>
      <c r="H181" s="29">
        <v>1</v>
      </c>
      <c r="I181" s="30" t="s">
        <v>216</v>
      </c>
      <c r="J181" s="31" t="s">
        <v>217</v>
      </c>
      <c r="K181" s="38">
        <v>45298</v>
      </c>
      <c r="L181" s="35">
        <v>45287</v>
      </c>
    </row>
    <row r="182" spans="1:12" x14ac:dyDescent="0.25">
      <c r="A182" s="25" t="s">
        <v>572</v>
      </c>
      <c r="B182" s="25" t="s">
        <v>573</v>
      </c>
      <c r="C182" s="26">
        <v>1</v>
      </c>
      <c r="D182" s="26" t="s">
        <v>511</v>
      </c>
      <c r="E182" s="27" t="s">
        <v>140</v>
      </c>
      <c r="F182" s="26" t="s">
        <v>512</v>
      </c>
      <c r="G182" s="34" t="s">
        <v>22</v>
      </c>
      <c r="H182" s="29">
        <v>1</v>
      </c>
      <c r="I182" s="30" t="s">
        <v>216</v>
      </c>
      <c r="J182" s="31" t="s">
        <v>217</v>
      </c>
      <c r="K182" s="38">
        <v>45298</v>
      </c>
      <c r="L182" s="35">
        <v>45306</v>
      </c>
    </row>
    <row r="183" spans="1:12" x14ac:dyDescent="0.25">
      <c r="A183" s="25" t="s">
        <v>574</v>
      </c>
      <c r="B183" s="25" t="s">
        <v>575</v>
      </c>
      <c r="C183" s="26">
        <v>1</v>
      </c>
      <c r="D183" s="26" t="s">
        <v>511</v>
      </c>
      <c r="E183" s="27" t="s">
        <v>140</v>
      </c>
      <c r="F183" s="26" t="s">
        <v>512</v>
      </c>
      <c r="G183" s="34" t="s">
        <v>22</v>
      </c>
      <c r="H183" s="29">
        <v>1</v>
      </c>
      <c r="I183" s="30" t="s">
        <v>216</v>
      </c>
      <c r="J183" s="31" t="s">
        <v>217</v>
      </c>
      <c r="K183" s="38">
        <v>45298</v>
      </c>
      <c r="L183" s="35">
        <v>45306</v>
      </c>
    </row>
    <row r="184" spans="1:12" x14ac:dyDescent="0.25">
      <c r="A184" s="25" t="s">
        <v>576</v>
      </c>
      <c r="B184" s="25" t="s">
        <v>577</v>
      </c>
      <c r="C184" s="26">
        <v>1</v>
      </c>
      <c r="D184" s="26" t="s">
        <v>511</v>
      </c>
      <c r="E184" s="27" t="s">
        <v>140</v>
      </c>
      <c r="F184" s="26" t="s">
        <v>512</v>
      </c>
      <c r="G184" s="34" t="s">
        <v>22</v>
      </c>
      <c r="H184" s="29">
        <v>1</v>
      </c>
      <c r="I184" s="30" t="s">
        <v>216</v>
      </c>
      <c r="J184" s="31" t="s">
        <v>217</v>
      </c>
      <c r="K184" s="38">
        <v>45298</v>
      </c>
      <c r="L184" s="35">
        <v>45306</v>
      </c>
    </row>
    <row r="185" spans="1:12" x14ac:dyDescent="0.25">
      <c r="A185" s="25" t="s">
        <v>578</v>
      </c>
      <c r="B185" s="25" t="s">
        <v>579</v>
      </c>
      <c r="C185" s="26">
        <v>2</v>
      </c>
      <c r="D185" s="26" t="s">
        <v>511</v>
      </c>
      <c r="E185" s="27" t="s">
        <v>140</v>
      </c>
      <c r="F185" s="26" t="s">
        <v>512</v>
      </c>
      <c r="G185" s="34" t="s">
        <v>22</v>
      </c>
      <c r="H185" s="29">
        <v>2</v>
      </c>
      <c r="I185" s="30" t="s">
        <v>216</v>
      </c>
      <c r="J185" s="31" t="s">
        <v>217</v>
      </c>
      <c r="K185" s="38">
        <v>45298</v>
      </c>
      <c r="L185" s="35">
        <v>45306</v>
      </c>
    </row>
    <row r="186" spans="1:12" x14ac:dyDescent="0.25">
      <c r="A186" s="25" t="s">
        <v>580</v>
      </c>
      <c r="B186" s="25" t="s">
        <v>581</v>
      </c>
      <c r="C186" s="26">
        <v>1</v>
      </c>
      <c r="D186" s="26" t="s">
        <v>511</v>
      </c>
      <c r="E186" s="27" t="s">
        <v>140</v>
      </c>
      <c r="F186" s="26" t="s">
        <v>512</v>
      </c>
      <c r="G186" s="34" t="s">
        <v>22</v>
      </c>
      <c r="H186" s="29">
        <v>1</v>
      </c>
      <c r="I186" s="30" t="s">
        <v>216</v>
      </c>
      <c r="J186" s="31" t="s">
        <v>217</v>
      </c>
      <c r="K186" s="38">
        <v>45298</v>
      </c>
      <c r="L186" s="35">
        <v>45306</v>
      </c>
    </row>
    <row r="187" spans="1:12" x14ac:dyDescent="0.25">
      <c r="A187" s="25" t="s">
        <v>582</v>
      </c>
      <c r="B187" s="25" t="s">
        <v>583</v>
      </c>
      <c r="C187" s="26">
        <v>1</v>
      </c>
      <c r="D187" s="26" t="s">
        <v>511</v>
      </c>
      <c r="E187" s="27" t="s">
        <v>140</v>
      </c>
      <c r="F187" s="26" t="s">
        <v>512</v>
      </c>
      <c r="G187" s="34" t="s">
        <v>22</v>
      </c>
      <c r="H187" s="29">
        <v>1</v>
      </c>
      <c r="I187" s="30" t="s">
        <v>216</v>
      </c>
      <c r="J187" s="31" t="s">
        <v>217</v>
      </c>
      <c r="K187" s="38">
        <v>45298</v>
      </c>
      <c r="L187" s="35">
        <v>45306</v>
      </c>
    </row>
    <row r="188" spans="1:12" x14ac:dyDescent="0.25">
      <c r="A188" s="25" t="s">
        <v>584</v>
      </c>
      <c r="B188" s="25" t="s">
        <v>585</v>
      </c>
      <c r="C188" s="26">
        <v>1</v>
      </c>
      <c r="D188" s="26" t="s">
        <v>511</v>
      </c>
      <c r="E188" s="27" t="s">
        <v>140</v>
      </c>
      <c r="F188" s="26" t="s">
        <v>512</v>
      </c>
      <c r="G188" s="34" t="s">
        <v>125</v>
      </c>
      <c r="H188" s="29">
        <v>1</v>
      </c>
      <c r="I188" s="30" t="s">
        <v>216</v>
      </c>
      <c r="J188" s="31" t="s">
        <v>217</v>
      </c>
      <c r="K188" s="38">
        <v>45298</v>
      </c>
      <c r="L188" s="35">
        <v>45288</v>
      </c>
    </row>
    <row r="189" spans="1:12" x14ac:dyDescent="0.25">
      <c r="A189" s="25" t="s">
        <v>586</v>
      </c>
      <c r="B189" s="25" t="s">
        <v>587</v>
      </c>
      <c r="C189" s="26">
        <v>1</v>
      </c>
      <c r="D189" s="26" t="s">
        <v>511</v>
      </c>
      <c r="E189" s="27" t="s">
        <v>140</v>
      </c>
      <c r="F189" s="26" t="s">
        <v>512</v>
      </c>
      <c r="G189" s="34" t="s">
        <v>125</v>
      </c>
      <c r="H189" s="29">
        <v>1</v>
      </c>
      <c r="I189" s="30" t="s">
        <v>216</v>
      </c>
      <c r="J189" s="31" t="s">
        <v>217</v>
      </c>
      <c r="K189" s="38">
        <v>45298</v>
      </c>
      <c r="L189" s="35">
        <v>45287</v>
      </c>
    </row>
    <row r="190" spans="1:12" x14ac:dyDescent="0.25">
      <c r="A190" s="25" t="s">
        <v>588</v>
      </c>
      <c r="B190" s="25" t="s">
        <v>589</v>
      </c>
      <c r="C190" s="26">
        <v>1</v>
      </c>
      <c r="D190" s="26" t="s">
        <v>511</v>
      </c>
      <c r="E190" s="27" t="s">
        <v>140</v>
      </c>
      <c r="F190" s="26" t="s">
        <v>512</v>
      </c>
      <c r="G190" s="34" t="s">
        <v>125</v>
      </c>
      <c r="H190" s="29">
        <v>1</v>
      </c>
      <c r="I190" s="30" t="s">
        <v>216</v>
      </c>
      <c r="J190" s="31" t="s">
        <v>217</v>
      </c>
      <c r="K190" s="38">
        <v>45298</v>
      </c>
      <c r="L190" s="35">
        <v>45288</v>
      </c>
    </row>
    <row r="191" spans="1:12" x14ac:dyDescent="0.25">
      <c r="A191" s="25" t="s">
        <v>590</v>
      </c>
      <c r="B191" s="25" t="s">
        <v>591</v>
      </c>
      <c r="C191" s="26">
        <v>1</v>
      </c>
      <c r="D191" s="26" t="s">
        <v>347</v>
      </c>
      <c r="E191" s="27" t="s">
        <v>140</v>
      </c>
      <c r="F191" s="26" t="s">
        <v>512</v>
      </c>
      <c r="G191" s="34" t="s">
        <v>125</v>
      </c>
      <c r="H191" s="29">
        <v>1</v>
      </c>
      <c r="I191" s="30" t="s">
        <v>183</v>
      </c>
      <c r="J191" s="31" t="s">
        <v>348</v>
      </c>
      <c r="K191" s="33">
        <v>45350</v>
      </c>
      <c r="L191" s="33">
        <v>45307</v>
      </c>
    </row>
    <row r="192" spans="1:12" x14ac:dyDescent="0.25">
      <c r="A192" s="25" t="s">
        <v>592</v>
      </c>
      <c r="B192" s="25" t="s">
        <v>593</v>
      </c>
      <c r="C192" s="26">
        <v>1</v>
      </c>
      <c r="D192" s="26" t="s">
        <v>520</v>
      </c>
      <c r="E192" s="27" t="s">
        <v>140</v>
      </c>
      <c r="F192" s="26" t="s">
        <v>512</v>
      </c>
      <c r="G192" s="34" t="s">
        <v>125</v>
      </c>
      <c r="H192" s="29">
        <v>1</v>
      </c>
      <c r="I192" s="30" t="s">
        <v>216</v>
      </c>
      <c r="J192" s="31" t="s">
        <v>521</v>
      </c>
      <c r="K192" s="38">
        <v>45275</v>
      </c>
      <c r="L192" s="35">
        <v>45350</v>
      </c>
    </row>
    <row r="193" spans="1:12" x14ac:dyDescent="0.25">
      <c r="A193" s="25" t="s">
        <v>594</v>
      </c>
      <c r="B193" s="25" t="s">
        <v>595</v>
      </c>
      <c r="C193" s="26">
        <v>1</v>
      </c>
      <c r="D193" s="26" t="s">
        <v>511</v>
      </c>
      <c r="E193" s="27" t="s">
        <v>140</v>
      </c>
      <c r="F193" s="26" t="s">
        <v>512</v>
      </c>
      <c r="G193" s="34" t="s">
        <v>125</v>
      </c>
      <c r="H193" s="29">
        <v>1</v>
      </c>
      <c r="I193" s="30" t="s">
        <v>216</v>
      </c>
      <c r="J193" s="31" t="s">
        <v>217</v>
      </c>
      <c r="K193" s="38">
        <v>45298</v>
      </c>
      <c r="L193" s="35">
        <v>45306</v>
      </c>
    </row>
    <row r="194" spans="1:12" x14ac:dyDescent="0.25">
      <c r="A194" s="25" t="s">
        <v>596</v>
      </c>
      <c r="B194" s="25" t="s">
        <v>597</v>
      </c>
      <c r="C194" s="26">
        <v>1</v>
      </c>
      <c r="D194" s="26" t="s">
        <v>511</v>
      </c>
      <c r="E194" s="27" t="s">
        <v>140</v>
      </c>
      <c r="F194" s="26" t="s">
        <v>512</v>
      </c>
      <c r="G194" s="34" t="s">
        <v>125</v>
      </c>
      <c r="H194" s="29">
        <v>1</v>
      </c>
      <c r="I194" s="30" t="s">
        <v>216</v>
      </c>
      <c r="J194" s="31" t="s">
        <v>217</v>
      </c>
      <c r="K194" s="38">
        <v>45298</v>
      </c>
      <c r="L194" s="35">
        <v>45306</v>
      </c>
    </row>
    <row r="195" spans="1:12" x14ac:dyDescent="0.25">
      <c r="A195" s="25" t="s">
        <v>598</v>
      </c>
      <c r="B195" s="25" t="s">
        <v>599</v>
      </c>
      <c r="C195" s="26">
        <v>1</v>
      </c>
      <c r="D195" s="26" t="s">
        <v>347</v>
      </c>
      <c r="E195" s="27" t="s">
        <v>140</v>
      </c>
      <c r="F195" s="27" t="s">
        <v>512</v>
      </c>
      <c r="G195" s="34" t="s">
        <v>125</v>
      </c>
      <c r="H195" s="29">
        <v>1</v>
      </c>
      <c r="I195" s="30" t="s">
        <v>183</v>
      </c>
      <c r="J195" s="31" t="s">
        <v>348</v>
      </c>
      <c r="K195" s="33">
        <v>45350</v>
      </c>
      <c r="L195" s="33">
        <v>45307</v>
      </c>
    </row>
    <row r="196" spans="1:12" x14ac:dyDescent="0.25">
      <c r="A196" s="25" t="s">
        <v>600</v>
      </c>
      <c r="B196" s="25" t="s">
        <v>601</v>
      </c>
      <c r="C196" s="26">
        <v>1</v>
      </c>
      <c r="D196" s="26" t="s">
        <v>511</v>
      </c>
      <c r="E196" s="27" t="s">
        <v>140</v>
      </c>
      <c r="F196" s="27" t="s">
        <v>512</v>
      </c>
      <c r="G196" s="34" t="s">
        <v>125</v>
      </c>
      <c r="H196" s="29">
        <v>1</v>
      </c>
      <c r="I196" s="30" t="s">
        <v>216</v>
      </c>
      <c r="J196" s="31" t="s">
        <v>217</v>
      </c>
      <c r="K196" s="38">
        <v>45298</v>
      </c>
      <c r="L196" s="35">
        <v>45306</v>
      </c>
    </row>
    <row r="197" spans="1:12" x14ac:dyDescent="0.25">
      <c r="A197" s="25" t="s">
        <v>602</v>
      </c>
      <c r="B197" s="25" t="s">
        <v>603</v>
      </c>
      <c r="C197" s="26">
        <v>1</v>
      </c>
      <c r="D197" s="26" t="s">
        <v>511</v>
      </c>
      <c r="E197" s="27" t="s">
        <v>140</v>
      </c>
      <c r="F197" s="27" t="s">
        <v>512</v>
      </c>
      <c r="G197" s="34" t="s">
        <v>125</v>
      </c>
      <c r="H197" s="29">
        <v>1</v>
      </c>
      <c r="I197" s="30" t="s">
        <v>216</v>
      </c>
      <c r="J197" s="31" t="s">
        <v>217</v>
      </c>
      <c r="K197" s="38">
        <v>45298</v>
      </c>
      <c r="L197" s="35">
        <v>45287</v>
      </c>
    </row>
    <row r="198" spans="1:12" x14ac:dyDescent="0.25">
      <c r="A198" s="25" t="s">
        <v>604</v>
      </c>
      <c r="B198" s="25" t="s">
        <v>605</v>
      </c>
      <c r="C198" s="26">
        <v>1</v>
      </c>
      <c r="D198" s="26" t="s">
        <v>511</v>
      </c>
      <c r="E198" s="27" t="s">
        <v>140</v>
      </c>
      <c r="F198" s="27" t="s">
        <v>512</v>
      </c>
      <c r="G198" s="34" t="s">
        <v>125</v>
      </c>
      <c r="H198" s="29">
        <v>1</v>
      </c>
      <c r="I198" s="30" t="s">
        <v>216</v>
      </c>
      <c r="J198" s="31" t="s">
        <v>217</v>
      </c>
      <c r="K198" s="38">
        <v>45298</v>
      </c>
      <c r="L198" s="35">
        <v>45290</v>
      </c>
    </row>
    <row r="199" spans="1:12" x14ac:dyDescent="0.25">
      <c r="A199" s="25" t="s">
        <v>606</v>
      </c>
      <c r="B199" s="25" t="s">
        <v>531</v>
      </c>
      <c r="C199" s="26">
        <v>1</v>
      </c>
      <c r="D199" s="26" t="s">
        <v>214</v>
      </c>
      <c r="E199" s="27" t="s">
        <v>140</v>
      </c>
      <c r="F199" s="27" t="s">
        <v>512</v>
      </c>
      <c r="G199" s="34" t="s">
        <v>125</v>
      </c>
      <c r="H199" s="29">
        <v>1</v>
      </c>
      <c r="I199" s="30" t="s">
        <v>216</v>
      </c>
      <c r="J199" s="31" t="s">
        <v>217</v>
      </c>
      <c r="K199" s="38">
        <v>45137</v>
      </c>
      <c r="L199" s="35">
        <v>45275</v>
      </c>
    </row>
    <row r="200" spans="1:12" x14ac:dyDescent="0.25">
      <c r="A200" s="44" t="s">
        <v>607</v>
      </c>
      <c r="B200" s="44" t="s">
        <v>608</v>
      </c>
      <c r="C200" s="26">
        <v>1</v>
      </c>
      <c r="D200" s="26" t="s">
        <v>511</v>
      </c>
      <c r="E200" s="27" t="s">
        <v>140</v>
      </c>
      <c r="F200" s="27" t="s">
        <v>512</v>
      </c>
      <c r="G200" s="34" t="s">
        <v>125</v>
      </c>
      <c r="H200" s="29">
        <v>1</v>
      </c>
      <c r="I200" s="30" t="s">
        <v>216</v>
      </c>
      <c r="J200" s="31" t="s">
        <v>217</v>
      </c>
      <c r="K200" s="38">
        <v>45298</v>
      </c>
      <c r="L200" s="35">
        <v>45287</v>
      </c>
    </row>
    <row r="201" spans="1:12" x14ac:dyDescent="0.25">
      <c r="A201" s="44" t="s">
        <v>609</v>
      </c>
      <c r="B201" s="44" t="s">
        <v>610</v>
      </c>
      <c r="C201" s="26">
        <v>1</v>
      </c>
      <c r="D201" s="26" t="s">
        <v>511</v>
      </c>
      <c r="E201" s="27" t="s">
        <v>140</v>
      </c>
      <c r="F201" s="27" t="s">
        <v>512</v>
      </c>
      <c r="G201" s="34" t="s">
        <v>125</v>
      </c>
      <c r="H201" s="29">
        <v>1</v>
      </c>
      <c r="I201" s="30" t="s">
        <v>216</v>
      </c>
      <c r="J201" s="31" t="s">
        <v>217</v>
      </c>
      <c r="K201" s="38">
        <v>45298</v>
      </c>
      <c r="L201" s="35">
        <v>45287</v>
      </c>
    </row>
    <row r="202" spans="1:12" x14ac:dyDescent="0.25">
      <c r="A202" s="44" t="s">
        <v>611</v>
      </c>
      <c r="B202" s="44" t="s">
        <v>581</v>
      </c>
      <c r="C202" s="26">
        <v>1</v>
      </c>
      <c r="D202" s="26" t="s">
        <v>511</v>
      </c>
      <c r="E202" s="27" t="s">
        <v>140</v>
      </c>
      <c r="F202" s="27" t="s">
        <v>512</v>
      </c>
      <c r="G202" s="34" t="s">
        <v>125</v>
      </c>
      <c r="H202" s="29">
        <v>1</v>
      </c>
      <c r="I202" s="30" t="s">
        <v>216</v>
      </c>
      <c r="J202" s="31" t="s">
        <v>217</v>
      </c>
      <c r="K202" s="38">
        <v>45298</v>
      </c>
      <c r="L202" s="35">
        <v>45287</v>
      </c>
    </row>
    <row r="203" spans="1:12" ht="15.75" thickBot="1" x14ac:dyDescent="0.3">
      <c r="A203" s="45" t="s">
        <v>612</v>
      </c>
      <c r="B203" s="45" t="s">
        <v>613</v>
      </c>
      <c r="C203" s="46">
        <v>1</v>
      </c>
      <c r="D203" s="46" t="s">
        <v>511</v>
      </c>
      <c r="E203" s="46" t="s">
        <v>140</v>
      </c>
      <c r="F203" s="46" t="s">
        <v>512</v>
      </c>
      <c r="G203" s="47" t="s">
        <v>125</v>
      </c>
      <c r="H203" s="48">
        <v>1</v>
      </c>
      <c r="I203" s="30" t="s">
        <v>216</v>
      </c>
      <c r="J203" s="31" t="s">
        <v>217</v>
      </c>
      <c r="K203" s="38">
        <v>45298</v>
      </c>
      <c r="L203" s="35">
        <v>45287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44C90-0180-4297-92D5-D7B4F7FAD5D2}">
  <sheetPr codeName="Sheet4"/>
  <dimension ref="B1:E24"/>
  <sheetViews>
    <sheetView workbookViewId="0">
      <selection activeCell="I7" sqref="I7"/>
    </sheetView>
  </sheetViews>
  <sheetFormatPr defaultRowHeight="15" x14ac:dyDescent="0.25"/>
  <cols>
    <col min="1" max="1" width="5.28515625" customWidth="1"/>
    <col min="2" max="2" width="10" bestFit="1" customWidth="1"/>
  </cols>
  <sheetData>
    <row r="1" spans="2:5" ht="15.75" thickBot="1" x14ac:dyDescent="0.3"/>
    <row r="2" spans="2:5" x14ac:dyDescent="0.25">
      <c r="B2" s="207" t="s">
        <v>636</v>
      </c>
      <c r="C2" s="208"/>
      <c r="D2" s="208"/>
      <c r="E2" s="209"/>
    </row>
    <row r="3" spans="2:5" x14ac:dyDescent="0.25">
      <c r="B3" s="145" t="s">
        <v>108</v>
      </c>
      <c r="C3" s="1">
        <v>9046.7999999999993</v>
      </c>
      <c r="D3" s="1">
        <v>6031.2000000000007</v>
      </c>
      <c r="E3" s="146">
        <v>13158.800000000005</v>
      </c>
    </row>
    <row r="4" spans="2:5" x14ac:dyDescent="0.25">
      <c r="B4" s="145" t="s">
        <v>12</v>
      </c>
      <c r="C4" s="1">
        <v>8071.4219999999987</v>
      </c>
      <c r="D4" s="1">
        <v>5380.9480000000003</v>
      </c>
      <c r="E4" s="146">
        <v>10152.429999999991</v>
      </c>
    </row>
    <row r="5" spans="2:5" x14ac:dyDescent="0.25">
      <c r="B5" s="145" t="s">
        <v>14</v>
      </c>
      <c r="C5" s="1">
        <v>3834.6</v>
      </c>
      <c r="D5" s="1">
        <v>2556.4</v>
      </c>
      <c r="E5" s="146">
        <v>5115.3700000000035</v>
      </c>
    </row>
    <row r="6" spans="2:5" x14ac:dyDescent="0.25">
      <c r="B6" s="145" t="s">
        <v>16</v>
      </c>
      <c r="C6" s="1">
        <v>781.8</v>
      </c>
      <c r="D6" s="1">
        <v>521.20000000000005</v>
      </c>
      <c r="E6" s="146">
        <v>2063.1400000000012</v>
      </c>
    </row>
    <row r="7" spans="2:5" x14ac:dyDescent="0.25">
      <c r="B7" s="145" t="s">
        <v>18</v>
      </c>
      <c r="C7" s="1">
        <v>910.5</v>
      </c>
      <c r="D7" s="1">
        <v>607</v>
      </c>
      <c r="E7" s="146">
        <v>2332.5400000000004</v>
      </c>
    </row>
    <row r="8" spans="2:5" x14ac:dyDescent="0.25">
      <c r="B8" s="145" t="s">
        <v>629</v>
      </c>
      <c r="C8" s="1">
        <v>24129.407999999999</v>
      </c>
      <c r="D8" s="1">
        <v>16086.272000000001</v>
      </c>
      <c r="E8" s="146">
        <v>61484.165000000168</v>
      </c>
    </row>
    <row r="9" spans="2:5" x14ac:dyDescent="0.25">
      <c r="B9" s="145" t="s">
        <v>20</v>
      </c>
      <c r="C9" s="1">
        <v>14571</v>
      </c>
      <c r="D9" s="1">
        <v>9714</v>
      </c>
      <c r="E9" s="146">
        <v>21318.93000000004</v>
      </c>
    </row>
    <row r="10" spans="2:5" x14ac:dyDescent="0.25">
      <c r="B10" s="145" t="s">
        <v>630</v>
      </c>
      <c r="C10" s="1">
        <v>26460.287999999997</v>
      </c>
      <c r="D10" s="1">
        <v>17640.191999999999</v>
      </c>
      <c r="E10" s="146">
        <v>64412.849999999853</v>
      </c>
    </row>
    <row r="11" spans="2:5" x14ac:dyDescent="0.25">
      <c r="B11" s="145" t="s">
        <v>631</v>
      </c>
      <c r="C11" s="1">
        <v>2119.35</v>
      </c>
      <c r="D11" s="1">
        <v>1412.9</v>
      </c>
      <c r="E11" s="146">
        <v>5308.9599999999937</v>
      </c>
    </row>
    <row r="12" spans="2:5" x14ac:dyDescent="0.25">
      <c r="B12" s="145" t="s">
        <v>632</v>
      </c>
      <c r="C12" s="1">
        <v>1954.6499999999999</v>
      </c>
      <c r="D12" s="1">
        <v>1303.1000000000001</v>
      </c>
      <c r="E12" s="146">
        <v>13001.449999999999</v>
      </c>
    </row>
    <row r="13" spans="2:5" x14ac:dyDescent="0.25">
      <c r="B13" s="145" t="s">
        <v>25</v>
      </c>
      <c r="C13" s="1">
        <v>8961.384</v>
      </c>
      <c r="D13" s="1">
        <v>5974.2560000000003</v>
      </c>
      <c r="E13" s="146">
        <v>10926.450000000008</v>
      </c>
    </row>
    <row r="14" spans="2:5" x14ac:dyDescent="0.25">
      <c r="B14" s="145" t="s">
        <v>29</v>
      </c>
      <c r="C14" s="1">
        <v>2512.35</v>
      </c>
      <c r="D14" s="1">
        <v>1674.9</v>
      </c>
      <c r="E14" s="146">
        <v>3413.0100000000029</v>
      </c>
    </row>
    <row r="15" spans="2:5" x14ac:dyDescent="0.25">
      <c r="B15" s="145" t="s">
        <v>32</v>
      </c>
      <c r="C15" s="1">
        <v>16443.371999999999</v>
      </c>
      <c r="D15" s="1">
        <v>10962.248</v>
      </c>
      <c r="E15" s="146">
        <v>24565.114000000023</v>
      </c>
    </row>
    <row r="16" spans="2:5" x14ac:dyDescent="0.25">
      <c r="B16" s="145" t="s">
        <v>36</v>
      </c>
      <c r="C16" s="1">
        <v>12562.5</v>
      </c>
      <c r="D16" s="1">
        <v>8375</v>
      </c>
      <c r="E16" s="146">
        <v>19235.863000000005</v>
      </c>
    </row>
    <row r="17" spans="2:5" x14ac:dyDescent="0.25">
      <c r="B17" s="145" t="s">
        <v>40</v>
      </c>
      <c r="C17" s="1">
        <v>3122.3819999999996</v>
      </c>
      <c r="D17" s="1">
        <v>2081.5879999999997</v>
      </c>
      <c r="E17" s="146">
        <v>6150.0199999999968</v>
      </c>
    </row>
    <row r="18" spans="2:5" x14ac:dyDescent="0.25">
      <c r="B18" s="145" t="s">
        <v>633</v>
      </c>
      <c r="C18" s="1">
        <v>16891.079999999998</v>
      </c>
      <c r="D18" s="1">
        <v>11260.720000000001</v>
      </c>
      <c r="E18" s="146">
        <v>40663.590000000011</v>
      </c>
    </row>
    <row r="19" spans="2:5" x14ac:dyDescent="0.25">
      <c r="B19" s="145" t="s">
        <v>49</v>
      </c>
      <c r="C19" s="1">
        <v>10455.75</v>
      </c>
      <c r="D19" s="1">
        <v>6970.5</v>
      </c>
      <c r="E19" s="146">
        <v>14676.239999999983</v>
      </c>
    </row>
    <row r="20" spans="2:5" x14ac:dyDescent="0.25">
      <c r="B20" s="145" t="s">
        <v>51</v>
      </c>
      <c r="C20" s="1">
        <v>4576.1099999999997</v>
      </c>
      <c r="D20" s="1">
        <v>3050.7400000000002</v>
      </c>
      <c r="E20" s="146">
        <v>5279.520000000005</v>
      </c>
    </row>
    <row r="21" spans="2:5" x14ac:dyDescent="0.25">
      <c r="B21" s="145" t="s">
        <v>53</v>
      </c>
      <c r="C21" s="1">
        <v>1888.9499999999998</v>
      </c>
      <c r="D21" s="1">
        <v>1259.3000000000002</v>
      </c>
      <c r="E21" s="146">
        <v>2532.2299999999968</v>
      </c>
    </row>
    <row r="22" spans="2:5" x14ac:dyDescent="0.25">
      <c r="B22" s="145" t="s">
        <v>55</v>
      </c>
      <c r="C22" s="1">
        <v>4635</v>
      </c>
      <c r="D22" s="1">
        <v>3090</v>
      </c>
      <c r="E22" s="146">
        <v>6884.3299999999972</v>
      </c>
    </row>
    <row r="23" spans="2:5" x14ac:dyDescent="0.25">
      <c r="B23" s="145" t="s">
        <v>56</v>
      </c>
      <c r="C23" s="1">
        <v>12511.29</v>
      </c>
      <c r="D23" s="1">
        <v>8340.86</v>
      </c>
      <c r="E23" s="146">
        <v>19914.349999999999</v>
      </c>
    </row>
    <row r="24" spans="2:5" ht="15.75" thickBot="1" x14ac:dyDescent="0.3">
      <c r="B24" s="147" t="s">
        <v>58</v>
      </c>
      <c r="C24" s="148">
        <v>1533.3</v>
      </c>
      <c r="D24" s="148">
        <v>1022.2</v>
      </c>
      <c r="E24" s="149">
        <v>3868.2899999999991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Main</vt:lpstr>
      <vt:lpstr>Equipments</vt:lpstr>
      <vt:lpstr>AG_PipingData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 Ranjan Boxi</dc:creator>
  <cp:lastModifiedBy>Sunil Chandel</cp:lastModifiedBy>
  <cp:lastPrinted>2023-07-29T09:09:39Z</cp:lastPrinted>
  <dcterms:created xsi:type="dcterms:W3CDTF">2015-06-05T18:17:20Z</dcterms:created>
  <dcterms:modified xsi:type="dcterms:W3CDTF">2023-12-12T08:04:00Z</dcterms:modified>
</cp:coreProperties>
</file>