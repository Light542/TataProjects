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ataprojects4-my.sharepoint.com/personal/sunilchandel_tataprojects_com/Documents/Work/DPR/"/>
    </mc:Choice>
  </mc:AlternateContent>
  <xr:revisionPtr revIDLastSave="109" documentId="13_ncr:1_{572A321A-83BC-4277-B310-C88266182115}" xr6:coauthVersionLast="47" xr6:coauthVersionMax="47" xr10:uidLastSave="{64828FFE-32B9-44A5-AE64-B541A8E9A641}"/>
  <bookViews>
    <workbookView xWindow="-120" yWindow="-120" windowWidth="29040" windowHeight="15720" tabRatio="833" activeTab="1" xr2:uid="{00000000-000D-0000-FFFF-FFFF00000000}"/>
  </bookViews>
  <sheets>
    <sheet name="DASHBOARD" sheetId="8" r:id="rId1"/>
    <sheet name="Main" sheetId="4" r:id="rId2"/>
    <sheet name="CIVIL_STORAGE" sheetId="7" r:id="rId3"/>
    <sheet name="PIPING_STORAGE" sheetId="11" r:id="rId4"/>
    <sheet name="STRUCT_STORAGE" sheetId="14" r:id="rId5"/>
    <sheet name="CIVIL_FORM_TABLE" sheetId="6" r:id="rId6"/>
    <sheet name="PIPING_FORM_TABLE" sheetId="9" r:id="rId7"/>
    <sheet name="STRUCT_FORM_TABLE" sheetId="13" r:id="rId8"/>
    <sheet name="CIVIL_RAW" sheetId="3" r:id="rId9"/>
    <sheet name="PIPING_RAW" sheetId="10" r:id="rId10"/>
    <sheet name="STRUCT_RAW" sheetId="12" r:id="rId11"/>
    <sheet name="_56F9DC9755BA473782653E2940F9" sheetId="2" state="veryHidden" r:id="rId12"/>
  </sheets>
  <definedNames>
    <definedName name="_56F9DC9755BA473782653E2940F9FormId">"0VFMyVAyGkeb-XHl4WeiIyUgrLPzP-RAio0vem-Mo2hUMTNEUzU2V1pHSFVaT1VWNk9TN1IwTUpSUy4u"</definedName>
    <definedName name="_56F9DC9755BA473782653E2940F9ResponseSheet">"Form1"</definedName>
    <definedName name="_56F9DC9755BA473782653E2940F9SourceDocId">"{21f2fee9-008c-4f1a-b444-c953700c6753}"</definedName>
    <definedName name="ExternalData_1" localSheetId="5" hidden="1">'CIVIL_FORM_TABLE'!$A$1:$DB$4</definedName>
    <definedName name="ExternalData_1" localSheetId="1" hidden="1">Main!$B$5:$K$18</definedName>
    <definedName name="ExternalData_1" localSheetId="6" hidden="1">PIPING_FORM_TABLE!$A$1:$CR$2</definedName>
    <definedName name="ExternalData_1" localSheetId="7" hidden="1">STRUCT_FORM_TABLE!$A$1:$CH$2</definedName>
    <definedName name="ExternalData_2" localSheetId="1" hidden="1">Main!$M$5:$U$6</definedName>
    <definedName name="ExternalData_3" localSheetId="1" hidden="1">Main!$W$5:$AD$6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4" l="1"/>
  <c r="B5" i="12"/>
  <c r="B6" i="12"/>
  <c r="B7" i="12"/>
  <c r="B8" i="12"/>
  <c r="B9" i="12"/>
  <c r="B10" i="12"/>
  <c r="B11" i="12"/>
  <c r="B12" i="12"/>
  <c r="B13" i="12"/>
  <c r="B14" i="12"/>
  <c r="B15" i="12"/>
  <c r="B5" i="10"/>
  <c r="B6" i="10"/>
  <c r="B7" i="10"/>
  <c r="B8" i="10"/>
  <c r="B9" i="10"/>
  <c r="B10" i="10"/>
  <c r="B11" i="10"/>
  <c r="B12" i="10"/>
  <c r="B13" i="10"/>
  <c r="B14" i="10"/>
  <c r="B15" i="10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I2" i="4" l="1" a="1"/>
  <c r="I2" i="4" s="1"/>
  <c r="G2" i="4" a="1"/>
  <c r="G2" i="4" s="1"/>
  <c r="H2" i="4" a="1"/>
  <c r="H2" i="4" s="1"/>
  <c r="F2" i="4" a="1"/>
  <c r="F2" i="4" s="1"/>
  <c r="E2" i="4" a="1"/>
  <c r="E2" i="4" s="1"/>
  <c r="D2" i="4" l="1" a="1"/>
  <c r="D2" i="4" s="1"/>
  <c r="D13" i="6" a="1"/>
  <c r="D13" i="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C33373B-845D-4155-917B-2D86F907DE9C}" keepAlive="1" name="Query - CIVIL_FORM_TABLE" description="Connection to the 'CIVIL_FORM_TABLE' query in the workbook." type="5" refreshedVersion="8" background="1" saveData="1">
    <dbPr connection="Provider=Microsoft.Mashup.OleDb.1;Data Source=$Workbook$;Location=CIVIL_FORM_TABLE;Extended Properties=&quot;&quot;" command="SELECT * FROM [CIVIL_FORM_TABLE]"/>
  </connection>
  <connection id="2" xr16:uid="{9940438C-7F23-4854-BD34-EED5B3E878AB}" keepAlive="1" name="Query - DATE" description="Connection to the 'DATE' query in the workbook." type="5" refreshedVersion="8" background="1" saveData="1">
    <dbPr connection="Provider=Microsoft.Mashup.OleDb.1;Data Source=$Workbook$;Location=DATE;Extended Properties=&quot;&quot;" command="SELECT * FROM [DATE]"/>
  </connection>
  <connection id="3" xr16:uid="{BD5E9A89-0257-41C7-BB8E-1DA676708A58}" keepAlive="1" name="Query - PIPING_FORM_TABLE" description="Connection to the 'PIPING_FORM_TABLE' query in the workbook." type="5" refreshedVersion="8" background="1" saveData="1">
    <dbPr connection="Provider=Microsoft.Mashup.OleDb.1;Data Source=$Workbook$;Location=PIPING_FORM_TABLE;Extended Properties=&quot;&quot;" command="SELECT * FROM [PIPING_FORM_TABLE]"/>
  </connection>
  <connection id="4" xr16:uid="{CE175F0D-E30F-40F8-90EB-82816E8619B8}" keepAlive="1" name="Query - RAW_CIVIL" description="Connection to the 'RAW_CIVIL' query in the workbook." type="5" refreshedVersion="8" background="1" saveData="1">
    <dbPr connection="Provider=Microsoft.Mashup.OleDb.1;Data Source=$Workbook$;Location=RAW_CIVIL;Extended Properties=&quot;&quot;" command="SELECT * FROM [RAW_CIVIL]"/>
  </connection>
  <connection id="5" xr16:uid="{F084B255-382A-4F6A-B3A7-F8FA47DA39A8}" keepAlive="1" name="Query - ROW_PIPING" description="Connection to the 'ROW_PIPING' query in the workbook." type="5" refreshedVersion="8" background="1" saveData="1">
    <dbPr connection="Provider=Microsoft.Mashup.OleDb.1;Data Source=$Workbook$;Location=ROW_PIPING;Extended Properties=&quot;&quot;" command="SELECT * FROM [ROW_PIPING]"/>
  </connection>
  <connection id="6" xr16:uid="{C463329E-D709-42D5-8512-B482F06D8384}" keepAlive="1" name="Query - ROW_STRUCT" description="Connection to the 'ROW_STRUCT' query in the workbook." type="5" refreshedVersion="8" background="1" saveData="1">
    <dbPr connection="Provider=Microsoft.Mashup.OleDb.1;Data Source=$Workbook$;Location=ROW_STRUCT;Extended Properties=&quot;&quot;" command="SELECT * FROM [ROW_STRUCT]"/>
  </connection>
  <connection id="7" xr16:uid="{AAAC998D-3E8F-4925-A83D-7856B081EBE7}" keepAlive="1" name="Query - SelectDate" description="Connection to the 'SelectDate' query in the workbook." type="5" refreshedVersion="0" background="1">
    <dbPr connection="Provider=Microsoft.Mashup.OleDb.1;Data Source=$Workbook$;Location=SelectDate;Extended Properties=&quot;&quot;" command="SELECT * FROM [SelectDate]"/>
  </connection>
  <connection id="8" xr16:uid="{A25DAB58-580C-4E12-A548-B4A360489298}" keepAlive="1" name="Query - SourcePath" description="Connection to the 'SourcePath' query in the workbook." type="5" refreshedVersion="0" background="1">
    <dbPr connection="Provider=Microsoft.Mashup.OleDb.1;Data Source=$Workbook$;Location=SourcePath;Extended Properties=&quot;&quot;" command="SELECT * FROM [SourcePath]"/>
  </connection>
  <connection id="9" xr16:uid="{658904E2-B1B4-4B97-B2A6-0B0055212796}" keepAlive="1" name="Query - STRUCT_FORM_TABLE" description="Connection to the 'STRUCT_FORM_TABLE' query in the workbook." type="5" refreshedVersion="8" background="1" saveData="1">
    <dbPr connection="Provider=Microsoft.Mashup.OleDb.1;Data Source=$Workbook$;Location=STRUCT_FORM_TABLE;Extended Properties=&quot;&quot;" command="SELECT * FROM [STRUCT_FORM_TABL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<sst xmlns="http://schemas.openxmlformats.org/spreadsheetml/2006/main" count="719" uniqueCount="204">
  <si>
    <t>Date</t>
  </si>
  <si>
    <t>CIVIL_ENTRIES</t>
  </si>
  <si>
    <t>CIVIL_ROWS</t>
  </si>
  <si>
    <t>DATE</t>
  </si>
  <si>
    <t>AREA</t>
  </si>
  <si>
    <t>COMMODITY</t>
  </si>
  <si>
    <t>TAG NO.</t>
  </si>
  <si>
    <t>TAG LETTER</t>
  </si>
  <si>
    <t>UOM</t>
  </si>
  <si>
    <t>QTY</t>
  </si>
  <si>
    <t>WORK TYPE</t>
  </si>
  <si>
    <t>REMARKS/DESCRIPTION</t>
  </si>
  <si>
    <t>CONTROL ROOM/1825</t>
  </si>
  <si>
    <t>CUM</t>
  </si>
  <si>
    <t>NHT/1833</t>
  </si>
  <si>
    <t>CIVIL</t>
  </si>
  <si>
    <t>COLUMN (C)</t>
  </si>
  <si>
    <t>CRWS MANHOLE</t>
  </si>
  <si>
    <t>MT</t>
  </si>
  <si>
    <t>PIPE RACK (PR)</t>
  </si>
  <si>
    <t>ID</t>
  </si>
  <si>
    <t>Start time</t>
  </si>
  <si>
    <t>Completion time</t>
  </si>
  <si>
    <t>Email</t>
  </si>
  <si>
    <t>Name</t>
  </si>
  <si>
    <t>Last modified time</t>
  </si>
  <si>
    <t>END THE FORM</t>
  </si>
  <si>
    <t>AREA2</t>
  </si>
  <si>
    <t>COMMODITY2</t>
  </si>
  <si>
    <t>TAG NO.2</t>
  </si>
  <si>
    <t>TAG LETTER2</t>
  </si>
  <si>
    <t>UOM2</t>
  </si>
  <si>
    <t>QTY2</t>
  </si>
  <si>
    <t>WORK TYPE2</t>
  </si>
  <si>
    <t>REMARKS/DESCRIPTION2</t>
  </si>
  <si>
    <t>END THE FORM2</t>
  </si>
  <si>
    <t>AREA3</t>
  </si>
  <si>
    <t>COMMODITY3</t>
  </si>
  <si>
    <t>TAG NO.3</t>
  </si>
  <si>
    <t>TAG LETTER3</t>
  </si>
  <si>
    <t>UOM3</t>
  </si>
  <si>
    <t>QTY3</t>
  </si>
  <si>
    <t>WORK TYPE3</t>
  </si>
  <si>
    <t>REMARKS/DESCRIPTION3</t>
  </si>
  <si>
    <t>END THE FORM3</t>
  </si>
  <si>
    <t>AREA4</t>
  </si>
  <si>
    <t>COMMODITY4</t>
  </si>
  <si>
    <t>TAG NO.4</t>
  </si>
  <si>
    <t>TAG LETTER4</t>
  </si>
  <si>
    <t>UOM4</t>
  </si>
  <si>
    <t>QTY4</t>
  </si>
  <si>
    <t>WORK TYPE4</t>
  </si>
  <si>
    <t>REMARKS/DESCRIPTION4</t>
  </si>
  <si>
    <t>END THE FORM4</t>
  </si>
  <si>
    <t>AREA5</t>
  </si>
  <si>
    <t>COMMODITY5</t>
  </si>
  <si>
    <t>TAG NO.5</t>
  </si>
  <si>
    <t>TAG LETTER5</t>
  </si>
  <si>
    <t>UOM5</t>
  </si>
  <si>
    <t>QTY5</t>
  </si>
  <si>
    <t>WORK TYPE5</t>
  </si>
  <si>
    <t>REMARKS/DESCRIPTION5</t>
  </si>
  <si>
    <t>END THE FORM5</t>
  </si>
  <si>
    <t>AREA6</t>
  </si>
  <si>
    <t>COMMODITY6</t>
  </si>
  <si>
    <t>TAG NO.6</t>
  </si>
  <si>
    <t>TAG LETTER6</t>
  </si>
  <si>
    <t>UOM6</t>
  </si>
  <si>
    <t>QTY6</t>
  </si>
  <si>
    <t>WORK TYPE6</t>
  </si>
  <si>
    <t>REMARKS/DESCRIPTION6</t>
  </si>
  <si>
    <t>END THE FORM6</t>
  </si>
  <si>
    <t>AREA7</t>
  </si>
  <si>
    <t>COMMODITY7</t>
  </si>
  <si>
    <t>TAG NO.7</t>
  </si>
  <si>
    <t>TAG LETTER7</t>
  </si>
  <si>
    <t>UOM7</t>
  </si>
  <si>
    <t>QTY7</t>
  </si>
  <si>
    <t>WORK TYPE7</t>
  </si>
  <si>
    <t>REMARKS/DESCRIPTION7</t>
  </si>
  <si>
    <t>END THE FORM7</t>
  </si>
  <si>
    <t>AREA8</t>
  </si>
  <si>
    <t>COMMODITY8</t>
  </si>
  <si>
    <t>TAG NO.8</t>
  </si>
  <si>
    <t>TAG LETTER8</t>
  </si>
  <si>
    <t>UOM8</t>
  </si>
  <si>
    <t>QTY8</t>
  </si>
  <si>
    <t>WORK TYPE8</t>
  </si>
  <si>
    <t>REMARKS/DESCRIPTION8</t>
  </si>
  <si>
    <t>END THE FORM8</t>
  </si>
  <si>
    <t>AREA9</t>
  </si>
  <si>
    <t>COMMODITY9</t>
  </si>
  <si>
    <t>TAG NO.9</t>
  </si>
  <si>
    <t>TAG LETTER9</t>
  </si>
  <si>
    <t>UOM9</t>
  </si>
  <si>
    <t>QTY9</t>
  </si>
  <si>
    <t>WORK TYPE9</t>
  </si>
  <si>
    <t>REMARKS/DESCRIPTION9</t>
  </si>
  <si>
    <t>END THE FORM9</t>
  </si>
  <si>
    <t>AREA10</t>
  </si>
  <si>
    <t>COMMODITY10</t>
  </si>
  <si>
    <t>TAG NO.10</t>
  </si>
  <si>
    <t>TAG LETTER10</t>
  </si>
  <si>
    <t>UOM10</t>
  </si>
  <si>
    <t>QTY10</t>
  </si>
  <si>
    <t>WORK TYPE10</t>
  </si>
  <si>
    <t>REMARKS/DESCRIPTION10</t>
  </si>
  <si>
    <t>F</t>
  </si>
  <si>
    <t>0VFMyVAyGkeb-XHl4WeiIyUgrLPzP-RAio0vem-Mo2hUMTNEUzU2V1pHSFVaT1VWNk9TN1IwTUpSUy4u</t>
  </si>
  <si>
    <t>Form1</t>
  </si>
  <si>
    <t>{21f2fee9-008c-4f1a-b444-c953700c6753}</t>
  </si>
  <si>
    <t>VENDOR</t>
  </si>
  <si>
    <t>VENDOR2</t>
  </si>
  <si>
    <t>VENDOR3</t>
  </si>
  <si>
    <t>VENDOR4</t>
  </si>
  <si>
    <t>VENDOR5</t>
  </si>
  <si>
    <t>VENDOR6</t>
  </si>
  <si>
    <t>VENDOR7</t>
  </si>
  <si>
    <t>VENDOR8</t>
  </si>
  <si>
    <t>VENDOR9</t>
  </si>
  <si>
    <t>VENDOR10</t>
  </si>
  <si>
    <t>RCC</t>
  </si>
  <si>
    <t>NSU/1834</t>
  </si>
  <si>
    <t>AG/UG</t>
  </si>
  <si>
    <t>SERVICE</t>
  </si>
  <si>
    <t>AG/UG2</t>
  </si>
  <si>
    <t>SERVICE2</t>
  </si>
  <si>
    <t>AG/UG3</t>
  </si>
  <si>
    <t>SERVICE3</t>
  </si>
  <si>
    <t>SERVICE4</t>
  </si>
  <si>
    <t>AG/UG4</t>
  </si>
  <si>
    <t>AG/UG5</t>
  </si>
  <si>
    <t>SERVICE5</t>
  </si>
  <si>
    <t>AG/UG6</t>
  </si>
  <si>
    <t>SERVICE6</t>
  </si>
  <si>
    <t>AG/UG7</t>
  </si>
  <si>
    <t>SERVICE7</t>
  </si>
  <si>
    <t>AG/UG8</t>
  </si>
  <si>
    <t>SERVICE8</t>
  </si>
  <si>
    <t>AG/UG9</t>
  </si>
  <si>
    <t>SERVICE9</t>
  </si>
  <si>
    <t>AG/UG10</t>
  </si>
  <si>
    <t>SERVICE10</t>
  </si>
  <si>
    <t>REMARKS</t>
  </si>
  <si>
    <t>REMARKS2</t>
  </si>
  <si>
    <t>REMARKS3</t>
  </si>
  <si>
    <t>REMARKS4</t>
  </si>
  <si>
    <t>REMARKS5</t>
  </si>
  <si>
    <t>REMARKS6</t>
  </si>
  <si>
    <t>REMARKS7</t>
  </si>
  <si>
    <t>REMARKS8</t>
  </si>
  <si>
    <t>REMARKS9</t>
  </si>
  <si>
    <t>REMARKS10</t>
  </si>
  <si>
    <t>PIPING_ENTRIES</t>
  </si>
  <si>
    <t>PIPING_ROWS</t>
  </si>
  <si>
    <t>STRUCT_ENTRIES</t>
  </si>
  <si>
    <t>STRUCT_ROWS</t>
  </si>
  <si>
    <t>PIPING</t>
  </si>
  <si>
    <t>STRUCTURE</t>
  </si>
  <si>
    <t>UG</t>
  </si>
  <si>
    <t>DEMAC</t>
  </si>
  <si>
    <t>OCTAMAX/1836</t>
  </si>
  <si>
    <t>DEPT</t>
  </si>
  <si>
    <t>OWS Manholes</t>
  </si>
  <si>
    <t>PENEX/1835</t>
  </si>
  <si>
    <t xml:space="preserve">Dhumad &amp; Ms block </t>
  </si>
  <si>
    <t>All</t>
  </si>
  <si>
    <t>FIELD FIT-UP</t>
  </si>
  <si>
    <t xml:space="preserve">Fabrication </t>
  </si>
  <si>
    <t>IM</t>
  </si>
  <si>
    <t>60</t>
  </si>
  <si>
    <t>ERECTION</t>
  </si>
  <si>
    <t>100</t>
  </si>
  <si>
    <t>Shop and field weld</t>
  </si>
  <si>
    <t xml:space="preserve">Welding </t>
  </si>
  <si>
    <t>PR03</t>
  </si>
  <si>
    <t>RCC Wall</t>
  </si>
  <si>
    <t>SQM</t>
  </si>
  <si>
    <t>SHUTTERING</t>
  </si>
  <si>
    <t>HECTA</t>
  </si>
  <si>
    <t>REBAR TYING</t>
  </si>
  <si>
    <t>PUMP (P)</t>
  </si>
  <si>
    <t>KARINDA</t>
  </si>
  <si>
    <t>End of Data</t>
  </si>
  <si>
    <t>EXCHANGER (E)</t>
  </si>
  <si>
    <t>EXCAVATION</t>
  </si>
  <si>
    <t>VK</t>
  </si>
  <si>
    <t>Plinth Beam</t>
  </si>
  <si>
    <t>anonymous</t>
  </si>
  <si>
    <t>1</t>
  </si>
  <si>
    <t>NO</t>
  </si>
  <si>
    <t>2</t>
  </si>
  <si>
    <t>3</t>
  </si>
  <si>
    <t>4</t>
  </si>
  <si>
    <t>5</t>
  </si>
  <si>
    <t>6</t>
  </si>
  <si>
    <t>7</t>
  </si>
  <si>
    <t>8</t>
  </si>
  <si>
    <t>9</t>
  </si>
  <si>
    <t>0</t>
  </si>
  <si>
    <t>HEATER (F)</t>
  </si>
  <si>
    <t>30</t>
  </si>
  <si>
    <t>YES</t>
  </si>
  <si>
    <t>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</si>
</sst>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theme="9" tint="0.39997558519241921"/>
      </bottom>
      <diagonal/>
    </border>
    <border>
      <left/>
      <right/>
      <top style="thin">
        <color theme="4"/>
      </top>
      <bottom/>
      <diagonal/>
    </border>
    <border>
      <left/>
      <right/>
      <top style="thin">
        <color theme="9" tint="0.39997558519241921"/>
      </top>
      <bottom/>
      <diagonal/>
    </border>
    <border>
      <left style="thin">
        <color theme="4"/>
      </left>
      <right/>
      <top/>
      <bottom style="thin">
        <color theme="9" tint="0.39997558519241921"/>
      </bottom>
      <diagonal/>
    </border>
    <border>
      <left/>
      <right style="thin">
        <color theme="4"/>
      </right>
      <top/>
      <bottom style="thin">
        <color theme="9" tint="0.3999755851924192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8">
    <xf numFmtId="0" fontId="0" fillId="0" borderId="0" xfId="0"/>
    <xf numFmtId="14" fontId="0" fillId="0" borderId="0" xfId="0" applyNumberFormat="1"/>
    <xf numFmtId="22" fontId="0" fillId="0" borderId="0" xfId="0" applyNumberFormat="1"/>
    <xf numFmtId="9" fontId="0" fillId="0" borderId="0" xfId="1" applyFont="1"/>
    <xf numFmtId="2" fontId="0" fillId="0" borderId="0" xfId="0" applyNumberFormat="1"/>
    <xf numFmtId="0" fontId="0" fillId="0" borderId="1" xfId="0" applyBorder="1"/>
    <xf numFmtId="0" fontId="5" fillId="0" borderId="1" xfId="0" applyFont="1" applyBorder="1"/>
    <xf numFmtId="0" fontId="5" fillId="0" borderId="4" xfId="0" applyFont="1" applyBorder="1"/>
    <xf numFmtId="0" fontId="5" fillId="0" borderId="5" xfId="0" applyFont="1" applyBorder="1"/>
    <xf numFmtId="14" fontId="0" fillId="0" borderId="2" xfId="0" applyNumberFormat="1" applyBorder="1"/>
    <xf numFmtId="0" fontId="0" fillId="0" borderId="2" xfId="0" applyBorder="1"/>
    <xf numFmtId="0" fontId="0" fillId="3" borderId="0" xfId="0" applyFill="1"/>
    <xf numFmtId="0" fontId="5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14" fontId="0" fillId="0" borderId="3" xfId="0" applyNumberFormat="1" applyFont="1" applyFill="1" applyBorder="1"/>
    <xf numFmtId="0" fontId="0" fillId="0" borderId="0" xfId="0" applyNumberFormat="1"/>
  </cellXfs>
  <cellStyles count="2">
    <cellStyle name="Normal" xfId="0" builtinId="0"/>
    <cellStyle name="Percent" xfId="1" builtinId="5"/>
  </cellStyles>
  <dxfs count="91">
    <dxf>
      <numFmt numFmtId="19" formatCode="dd/mm/yyyy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9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9" tint="0.39997558519241921"/>
        </top>
        <bottom/>
      </border>
    </dxf>
    <dxf>
      <numFmt numFmtId="19" formatCode="dd/mm/yyyy"/>
    </dxf>
    <dxf>
      <numFmt numFmtId="19" formatCode="dd/mm/yyyy"/>
    </dxf>
    <dxf>
      <numFmt numFmtId="27" formatCode="dd/mm/yyyy\ hh:mm"/>
    </dxf>
    <dxf>
      <numFmt numFmtId="27" formatCode="dd/mm/yyyy\ hh:mm"/>
    </dxf>
    <dxf>
      <numFmt numFmtId="19" formatCode="dd/mm/yyyy"/>
    </dxf>
    <dxf>
      <numFmt numFmtId="27" formatCode="dd/mm/yyyy\ hh:mm"/>
    </dxf>
    <dxf>
      <numFmt numFmtId="27" formatCode="dd/mm/yyyy\ hh:mm"/>
    </dxf>
    <dxf>
      <numFmt numFmtId="19" formatCode="dd/mm/yyyy"/>
    </dxf>
    <dxf>
      <numFmt numFmtId="27" formatCode="dd/mm/yyyy\ hh:mm"/>
    </dxf>
    <dxf>
      <numFmt numFmtId="27" formatCode="dd/mm/yyyy\ h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9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9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9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9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9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9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9" tint="0.39997558519241921"/>
        </top>
        <bottom/>
      </border>
    </dxf>
    <dxf>
      <border outline="0">
        <top style="thin">
          <color theme="9" tint="0.39997558519241921"/>
        </top>
      </border>
    </dxf>
    <dxf>
      <border outline="0"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9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9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9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9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9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9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9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9" tint="0.39997558519241921"/>
        </top>
        <bottom/>
      </border>
    </dxf>
    <dxf>
      <border outline="0">
        <top style="thin">
          <color theme="9" tint="0.39997558519241921"/>
        </top>
      </border>
    </dxf>
    <dxf>
      <border outline="0"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/>
        </top>
        <bottom/>
      </border>
    </dxf>
    <dxf>
      <border outline="0">
        <top style="thin">
          <color theme="4"/>
        </top>
      </border>
    </dxf>
    <dxf>
      <border outline="0">
        <left style="thin">
          <color theme="4"/>
        </left>
        <right style="thin">
          <color theme="4"/>
        </right>
        <top style="thin">
          <color theme="9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outline="0">
        <top style="thin">
          <color theme="9" tint="0.39997558519241921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top style="thin">
          <color theme="9" tint="0.39997558519241921"/>
        </top>
      </border>
    </dxf>
    <dxf>
      <border outline="0">
        <bottom style="thin">
          <color theme="9" tint="0.39997558519241921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solid">
          <fgColor indexed="64"/>
          <bgColor theme="7"/>
        </patternFill>
      </fill>
    </dxf>
    <dxf>
      <fill>
        <patternFill patternType="solid">
          <fgColor indexed="64"/>
          <bgColor theme="7"/>
        </patternFill>
      </fill>
    </dxf>
    <dxf>
      <numFmt numFmtId="2" formatCode="0.00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1143000</xdr:colOff>
          <xdr:row>0</xdr:row>
          <xdr:rowOff>28575</xdr:rowOff>
        </xdr:from>
        <xdr:to>
          <xdr:col>11</xdr:col>
          <xdr:colOff>828675</xdr:colOff>
          <xdr:row>2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ShowProgress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219075</xdr:colOff>
          <xdr:row>0</xdr:row>
          <xdr:rowOff>38100</xdr:rowOff>
        </xdr:from>
        <xdr:to>
          <xdr:col>14</xdr:col>
          <xdr:colOff>285750</xdr:colOff>
          <xdr:row>2</xdr:row>
          <xdr:rowOff>114300</xdr:rowOff>
        </xdr:to>
        <xdr:sp macro="" textlink="">
          <xdr:nvSpPr>
            <xdr:cNvPr id="2145" name="Button 97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1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StoreData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228600</xdr:colOff>
          <xdr:row>0</xdr:row>
          <xdr:rowOff>38100</xdr:rowOff>
        </xdr:from>
        <xdr:to>
          <xdr:col>10</xdr:col>
          <xdr:colOff>942975</xdr:colOff>
          <xdr:row>2</xdr:row>
          <xdr:rowOff>104775</xdr:rowOff>
        </xdr:to>
        <xdr:sp macro="" textlink="">
          <xdr:nvSpPr>
            <xdr:cNvPr id="2146" name="Button 98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1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52D5D8A1-4532-479D-A659-2213007C09A9}" autoFormatId="16" applyNumberFormats="0" applyBorderFormats="0" applyFontFormats="0" applyPatternFormats="0" applyAlignmentFormats="0" applyWidthHeightFormats="0">
  <queryTableRefresh nextId="11">
    <queryTableFields count="10">
      <queryTableField id="1" name="DATE" tableColumnId="1"/>
      <queryTableField id="2" name="AREA" tableColumnId="2"/>
      <queryTableField id="3" name="COMMODITY" tableColumnId="3"/>
      <queryTableField id="4" name="TAG NO." tableColumnId="4"/>
      <queryTableField id="5" name="TAG LETTER" tableColumnId="5"/>
      <queryTableField id="6" name="UOM" tableColumnId="6"/>
      <queryTableField id="7" name="QTY" tableColumnId="7"/>
      <queryTableField id="8" name="WORK TYPE" tableColumnId="8"/>
      <queryTableField id="9" name="VENDOR" tableColumnId="9"/>
      <queryTableField id="10" name="REMARKS/DESCRIPTION" tableColumnId="1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" xr16:uid="{4FEAABE8-69DF-4E13-8BB2-0A24D44BEDF4}" autoFormatId="16" applyNumberFormats="0" applyBorderFormats="0" applyFontFormats="0" applyPatternFormats="0" applyAlignmentFormats="0" applyWidthHeightFormats="0">
  <queryTableRefresh nextId="62">
    <queryTableFields count="9">
      <queryTableField id="1" name="DATE" tableColumnId="1"/>
      <queryTableField id="2" name="AREA" tableColumnId="2"/>
      <queryTableField id="3" name="AG/UG" tableColumnId="3"/>
      <queryTableField id="4" name="SERVICE" tableColumnId="4"/>
      <queryTableField id="5" name="UOM" tableColumnId="5"/>
      <queryTableField id="6" name="QTY" tableColumnId="6"/>
      <queryTableField id="7" name="WORK TYPE" tableColumnId="7"/>
      <queryTableField id="8" name="VENDOR" tableColumnId="8"/>
      <queryTableField id="9" name="REMARKS/DESCRIPTION" tableColumnId="9"/>
    </queryTableFields>
    <queryTableDeletedFields count="52">
      <deletedField name="Column1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1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</queryTableDeleted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6" xr16:uid="{905E7585-E8EB-4261-B7A7-C968079FDF67}" autoFormatId="16" applyNumberFormats="0" applyBorderFormats="0" applyFontFormats="0" applyPatternFormats="0" applyAlignmentFormats="0" applyWidthHeightFormats="0">
  <queryTableRefresh nextId="9">
    <queryTableFields count="8">
      <queryTableField id="1" name="DATE" tableColumnId="1"/>
      <queryTableField id="2" name="AREA" tableColumnId="2"/>
      <queryTableField id="3" name="COMMODITY" tableColumnId="3"/>
      <queryTableField id="4" name="TAG NO." tableColumnId="4"/>
      <queryTableField id="5" name="TAG LETTER" tableColumnId="5"/>
      <queryTableField id="6" name="UOM" tableColumnId="6"/>
      <queryTableField id="7" name="QTY" tableColumnId="7"/>
      <queryTableField id="8" name="REMARKS" tableColumnId="8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1B5BB268-2243-47D5-BD2C-D11FB8149867}" autoFormatId="16" applyNumberFormats="0" applyBorderFormats="0" applyFontFormats="0" applyPatternFormats="0" applyAlignmentFormats="0" applyWidthHeightFormats="0">
  <queryTableRefresh nextId="117">
    <queryTableFields count="106">
      <queryTableField id="1" name="ID" tableColumnId="1"/>
      <queryTableField id="2" name="Start time" tableColumnId="2"/>
      <queryTableField id="3" name="Completion time" tableColumnId="3"/>
      <queryTableField id="4" name="Email" tableColumnId="4"/>
      <queryTableField id="5" name="Name" tableColumnId="5"/>
      <queryTableField id="6" name="Last modified time" tableColumnId="6"/>
      <queryTableField id="7" name="DATE" tableColumnId="7"/>
      <queryTableField id="8" name="AREA" tableColumnId="8"/>
      <queryTableField id="9" name="COMMODITY" tableColumnId="9"/>
      <queryTableField id="10" name="TAG NO." tableColumnId="10"/>
      <queryTableField id="11" name="TAG LETTER" tableColumnId="11"/>
      <queryTableField id="12" name="UOM" tableColumnId="12"/>
      <queryTableField id="13" name="QTY" tableColumnId="13"/>
      <queryTableField id="14" name="WORK TYPE" tableColumnId="14"/>
      <queryTableField id="97" name="VENDOR" tableColumnId="97"/>
      <queryTableField id="15" name="REMARKS/DESCRIPTION" tableColumnId="15"/>
      <queryTableField id="16" name="END THE FORM" tableColumnId="16"/>
      <queryTableField id="17" name="AREA2" tableColumnId="17"/>
      <queryTableField id="18" name="COMMODITY2" tableColumnId="18"/>
      <queryTableField id="19" name="TAG NO.2" tableColumnId="19"/>
      <queryTableField id="20" name="TAG LETTER2" tableColumnId="20"/>
      <queryTableField id="21" name="UOM2" tableColumnId="21"/>
      <queryTableField id="22" name="QTY2" tableColumnId="22"/>
      <queryTableField id="23" name="WORK TYPE2" tableColumnId="23"/>
      <queryTableField id="98" name="VENDOR2" tableColumnId="98"/>
      <queryTableField id="24" name="REMARKS/DESCRIPTION2" tableColumnId="24"/>
      <queryTableField id="25" name="END THE FORM2" tableColumnId="25"/>
      <queryTableField id="26" name="AREA3" tableColumnId="26"/>
      <queryTableField id="27" name="COMMODITY3" tableColumnId="27"/>
      <queryTableField id="28" name="TAG NO.3" tableColumnId="28"/>
      <queryTableField id="29" name="TAG LETTER3" tableColumnId="29"/>
      <queryTableField id="30" name="UOM3" tableColumnId="30"/>
      <queryTableField id="31" name="QTY3" tableColumnId="31"/>
      <queryTableField id="32" name="WORK TYPE3" tableColumnId="32"/>
      <queryTableField id="99" name="VENDOR3" tableColumnId="99"/>
      <queryTableField id="33" name="REMARKS/DESCRIPTION3" tableColumnId="33"/>
      <queryTableField id="34" name="END THE FORM3" tableColumnId="34"/>
      <queryTableField id="35" name="AREA4" tableColumnId="35"/>
      <queryTableField id="36" name="COMMODITY4" tableColumnId="36"/>
      <queryTableField id="37" name="TAG NO.4" tableColumnId="37"/>
      <queryTableField id="38" name="TAG LETTER4" tableColumnId="38"/>
      <queryTableField id="39" name="UOM4" tableColumnId="39"/>
      <queryTableField id="40" name="QTY4" tableColumnId="40"/>
      <queryTableField id="41" name="WORK TYPE4" tableColumnId="41"/>
      <queryTableField id="100" name="VENDOR4" tableColumnId="100"/>
      <queryTableField id="42" name="REMARKS/DESCRIPTION4" tableColumnId="42"/>
      <queryTableField id="43" name="END THE FORM4" tableColumnId="43"/>
      <queryTableField id="44" name="AREA5" tableColumnId="44"/>
      <queryTableField id="45" name="COMMODITY5" tableColumnId="45"/>
      <queryTableField id="46" name="TAG NO.5" tableColumnId="46"/>
      <queryTableField id="47" name="TAG LETTER5" tableColumnId="47"/>
      <queryTableField id="48" name="UOM5" tableColumnId="48"/>
      <queryTableField id="49" name="QTY5" tableColumnId="49"/>
      <queryTableField id="50" name="WORK TYPE5" tableColumnId="50"/>
      <queryTableField id="101" name="VENDOR5" tableColumnId="101"/>
      <queryTableField id="51" name="REMARKS/DESCRIPTION5" tableColumnId="51"/>
      <queryTableField id="52" name="END THE FORM5" tableColumnId="52"/>
      <queryTableField id="53" name="AREA6" tableColumnId="53"/>
      <queryTableField id="54" name="COMMODITY6" tableColumnId="54"/>
      <queryTableField id="55" name="TAG NO.6" tableColumnId="55"/>
      <queryTableField id="56" name="TAG LETTER6" tableColumnId="56"/>
      <queryTableField id="57" name="UOM6" tableColumnId="57"/>
      <queryTableField id="58" name="QTY6" tableColumnId="58"/>
      <queryTableField id="59" name="WORK TYPE6" tableColumnId="59"/>
      <queryTableField id="102" name="VENDOR6" tableColumnId="102"/>
      <queryTableField id="60" name="REMARKS/DESCRIPTION6" tableColumnId="60"/>
      <queryTableField id="61" name="END THE FORM6" tableColumnId="61"/>
      <queryTableField id="62" name="AREA7" tableColumnId="62"/>
      <queryTableField id="63" name="COMMODITY7" tableColumnId="63"/>
      <queryTableField id="64" name="TAG NO.7" tableColumnId="64"/>
      <queryTableField id="65" name="TAG LETTER7" tableColumnId="65"/>
      <queryTableField id="66" name="UOM7" tableColumnId="66"/>
      <queryTableField id="67" name="QTY7" tableColumnId="67"/>
      <queryTableField id="68" name="WORK TYPE7" tableColumnId="68"/>
      <queryTableField id="103" name="VENDOR7" tableColumnId="103"/>
      <queryTableField id="69" name="REMARKS/DESCRIPTION7" tableColumnId="69"/>
      <queryTableField id="70" name="END THE FORM7" tableColumnId="70"/>
      <queryTableField id="71" name="AREA8" tableColumnId="71"/>
      <queryTableField id="72" name="COMMODITY8" tableColumnId="72"/>
      <queryTableField id="73" name="TAG NO.8" tableColumnId="73"/>
      <queryTableField id="74" name="TAG LETTER8" tableColumnId="74"/>
      <queryTableField id="75" name="UOM8" tableColumnId="75"/>
      <queryTableField id="76" name="QTY8" tableColumnId="76"/>
      <queryTableField id="77" name="WORK TYPE8" tableColumnId="77"/>
      <queryTableField id="104" name="VENDOR8" tableColumnId="104"/>
      <queryTableField id="78" name="REMARKS/DESCRIPTION8" tableColumnId="78"/>
      <queryTableField id="79" name="END THE FORM8" tableColumnId="79"/>
      <queryTableField id="80" name="AREA9" tableColumnId="80"/>
      <queryTableField id="81" name="COMMODITY9" tableColumnId="81"/>
      <queryTableField id="82" name="TAG NO.9" tableColumnId="82"/>
      <queryTableField id="83" name="TAG LETTER9" tableColumnId="83"/>
      <queryTableField id="84" name="UOM9" tableColumnId="84"/>
      <queryTableField id="85" name="QTY9" tableColumnId="85"/>
      <queryTableField id="86" name="WORK TYPE9" tableColumnId="86"/>
      <queryTableField id="105" name="VENDOR9" tableColumnId="105"/>
      <queryTableField id="87" name="REMARKS/DESCRIPTION9" tableColumnId="87"/>
      <queryTableField id="88" name="END THE FORM9" tableColumnId="88"/>
      <queryTableField id="89" name="AREA10" tableColumnId="89"/>
      <queryTableField id="90" name="COMMODITY10" tableColumnId="90"/>
      <queryTableField id="91" name="TAG NO.10" tableColumnId="91"/>
      <queryTableField id="92" name="TAG LETTER10" tableColumnId="92"/>
      <queryTableField id="93" name="UOM10" tableColumnId="93"/>
      <queryTableField id="94" name="QTY10" tableColumnId="94"/>
      <queryTableField id="95" name="WORK TYPE10" tableColumnId="95"/>
      <queryTableField id="106" name="VENDOR10" tableColumnId="106"/>
      <queryTableField id="96" name="REMARKS/DESCRIPTION10" tableColumnId="96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B56DA3A6-17E9-4198-A3B8-4FEC596C2CD8}" autoFormatId="16" applyNumberFormats="0" applyBorderFormats="0" applyFontFormats="0" applyPatternFormats="0" applyAlignmentFormats="0" applyWidthHeightFormats="0">
  <queryTableRefresh nextId="99">
    <queryTableFields count="96">
      <queryTableField id="1" name="ID" tableColumnId="1"/>
      <queryTableField id="2" name="Start time" tableColumnId="2"/>
      <queryTableField id="3" name="Completion time" tableColumnId="3"/>
      <queryTableField id="4" name="Email" tableColumnId="4"/>
      <queryTableField id="5" name="Name" tableColumnId="5"/>
      <queryTableField id="6" name="Last modified time" tableColumnId="6"/>
      <queryTableField id="7" name="DATE" tableColumnId="7"/>
      <queryTableField id="8" name="AREA" tableColumnId="8"/>
      <queryTableField id="9" name="AG/UG" tableColumnId="9"/>
      <queryTableField id="10" name="SERVICE" tableColumnId="10"/>
      <queryTableField id="11" name="UOM" tableColumnId="11"/>
      <queryTableField id="12" name="QTY" tableColumnId="12"/>
      <queryTableField id="13" name="WORK TYPE" tableColumnId="13"/>
      <queryTableField id="14" name="VENDOR" tableColumnId="14"/>
      <queryTableField id="15" name="REMARKS/DESCRIPTION" tableColumnId="15"/>
      <queryTableField id="16" name="END THE FORM" tableColumnId="16"/>
      <queryTableField id="17" name="AREA2" tableColumnId="17"/>
      <queryTableField id="18" name="AG/UG2" tableColumnId="18"/>
      <queryTableField id="19" name="SERVICE2" tableColumnId="19"/>
      <queryTableField id="20" name="UOM2" tableColumnId="20"/>
      <queryTableField id="21" name="QTY2" tableColumnId="21"/>
      <queryTableField id="22" name="WORK TYPE2" tableColumnId="22"/>
      <queryTableField id="23" name="VENDOR2" tableColumnId="23"/>
      <queryTableField id="24" name="REMARKS/DESCRIPTION2" tableColumnId="24"/>
      <queryTableField id="25" name="END THE FORM2" tableColumnId="25"/>
      <queryTableField id="26" name="AREA3" tableColumnId="26"/>
      <queryTableField id="27" name="AG/UG3" tableColumnId="27"/>
      <queryTableField id="28" name="SERVICE3" tableColumnId="28"/>
      <queryTableField id="29" name="UOM3" tableColumnId="29"/>
      <queryTableField id="30" name="QTY3" tableColumnId="30"/>
      <queryTableField id="31" name="WORK TYPE3" tableColumnId="31"/>
      <queryTableField id="32" name="VENDOR3" tableColumnId="32"/>
      <queryTableField id="33" name="REMARKS/DESCRIPTION3" tableColumnId="33"/>
      <queryTableField id="34" name="END THE FORM3" tableColumnId="34"/>
      <queryTableField id="36" name="AREA4" tableColumnId="36"/>
      <queryTableField id="37" name="AG/UG4" tableColumnId="37"/>
      <queryTableField id="35" name="SERVICE4" tableColumnId="35"/>
      <queryTableField id="38" name="UOM4" tableColumnId="38"/>
      <queryTableField id="39" name="QTY4" tableColumnId="39"/>
      <queryTableField id="40" name="WORK TYPE4" tableColumnId="40"/>
      <queryTableField id="41" name="VENDOR4" tableColumnId="41"/>
      <queryTableField id="42" name="REMARKS/DESCRIPTION4" tableColumnId="42"/>
      <queryTableField id="43" name="END THE FORM4" tableColumnId="43"/>
      <queryTableField id="44" name="AREA5" tableColumnId="44"/>
      <queryTableField id="45" name="AG/UG5" tableColumnId="45"/>
      <queryTableField id="46" name="SERVICE5" tableColumnId="46"/>
      <queryTableField id="47" name="UOM5" tableColumnId="47"/>
      <queryTableField id="48" name="QTY5" tableColumnId="48"/>
      <queryTableField id="49" name="WORK TYPE5" tableColumnId="49"/>
      <queryTableField id="50" name="VENDOR5" tableColumnId="50"/>
      <queryTableField id="51" name="REMARKS/DESCRIPTION5" tableColumnId="51"/>
      <queryTableField id="52" name="END THE FORM5" tableColumnId="52"/>
      <queryTableField id="53" name="AREA6" tableColumnId="53"/>
      <queryTableField id="54" name="AG/UG6" tableColumnId="54"/>
      <queryTableField id="55" name="SERVICE6" tableColumnId="55"/>
      <queryTableField id="56" name="UOM6" tableColumnId="56"/>
      <queryTableField id="57" name="QTY6" tableColumnId="57"/>
      <queryTableField id="58" name="WORK TYPE6" tableColumnId="58"/>
      <queryTableField id="59" name="VENDOR6" tableColumnId="59"/>
      <queryTableField id="60" name="REMARKS/DESCRIPTION6" tableColumnId="60"/>
      <queryTableField id="61" name="END THE FORM6" tableColumnId="61"/>
      <queryTableField id="62" name="AREA7" tableColumnId="62"/>
      <queryTableField id="63" name="AG/UG7" tableColumnId="63"/>
      <queryTableField id="64" name="SERVICE7" tableColumnId="64"/>
      <queryTableField id="65" name="UOM7" tableColumnId="65"/>
      <queryTableField id="66" name="QTY7" tableColumnId="66"/>
      <queryTableField id="67" name="WORK TYPE7" tableColumnId="67"/>
      <queryTableField id="68" name="VENDOR7" tableColumnId="68"/>
      <queryTableField id="69" name="REMARKS/DESCRIPTION7" tableColumnId="69"/>
      <queryTableField id="70" name="END THE FORM7" tableColumnId="70"/>
      <queryTableField id="71" name="AREA8" tableColumnId="71"/>
      <queryTableField id="72" name="AG/UG8" tableColumnId="72"/>
      <queryTableField id="73" name="SERVICE8" tableColumnId="73"/>
      <queryTableField id="74" name="UOM8" tableColumnId="74"/>
      <queryTableField id="75" name="QTY8" tableColumnId="75"/>
      <queryTableField id="76" name="WORK TYPE8" tableColumnId="76"/>
      <queryTableField id="77" name="VENDOR8" tableColumnId="77"/>
      <queryTableField id="78" name="REMARKS/DESCRIPTION8" tableColumnId="78"/>
      <queryTableField id="79" name="END THE FORM8" tableColumnId="79"/>
      <queryTableField id="80" name="AREA9" tableColumnId="80"/>
      <queryTableField id="81" name="AG/UG9" tableColumnId="81"/>
      <queryTableField id="82" name="SERVICE9" tableColumnId="82"/>
      <queryTableField id="83" name="UOM9" tableColumnId="83"/>
      <queryTableField id="84" name="QTY9" tableColumnId="84"/>
      <queryTableField id="85" name="WORK TYPE9" tableColumnId="85"/>
      <queryTableField id="86" name="VENDOR9" tableColumnId="86"/>
      <queryTableField id="87" name="REMARKS/DESCRIPTION9" tableColumnId="87"/>
      <queryTableField id="88" name="END THE FORM9" tableColumnId="88"/>
      <queryTableField id="89" name="AREA10" tableColumnId="89"/>
      <queryTableField id="90" name="AG/UG10" tableColumnId="90"/>
      <queryTableField id="91" name="SERVICE10" tableColumnId="91"/>
      <queryTableField id="92" name="UOM10" tableColumnId="92"/>
      <queryTableField id="93" name="QTY10" tableColumnId="93"/>
      <queryTableField id="94" name="WORK TYPE10" tableColumnId="94"/>
      <queryTableField id="95" name="VENDOR10" tableColumnId="95"/>
      <queryTableField id="96" name="REMARKS/DESCRIPTION10" tableColumnId="96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9" xr16:uid="{9E832EB6-1A80-438F-907F-202FDA176B35}" autoFormatId="16" applyNumberFormats="0" applyBorderFormats="0" applyFontFormats="0" applyPatternFormats="0" applyAlignmentFormats="0" applyWidthHeightFormats="0">
  <queryTableRefresh nextId="87">
    <queryTableFields count="86">
      <queryTableField id="1" name="ID" tableColumnId="1"/>
      <queryTableField id="2" name="Start time" tableColumnId="2"/>
      <queryTableField id="3" name="Completion time" tableColumnId="3"/>
      <queryTableField id="4" name="Email" tableColumnId="4"/>
      <queryTableField id="5" name="Name" tableColumnId="5"/>
      <queryTableField id="6" name="Last modified time" tableColumnId="6"/>
      <queryTableField id="7" name="DATE" tableColumnId="7"/>
      <queryTableField id="8" name="AREA" tableColumnId="8"/>
      <queryTableField id="9" name="COMMODITY" tableColumnId="9"/>
      <queryTableField id="10" name="TAG NO." tableColumnId="10"/>
      <queryTableField id="11" name="TAG LETTER" tableColumnId="11"/>
      <queryTableField id="12" name="UOM" tableColumnId="12"/>
      <queryTableField id="13" name="QTY" tableColumnId="13"/>
      <queryTableField id="14" name="REMARKS" tableColumnId="14"/>
      <queryTableField id="15" name="END THE FORM" tableColumnId="15"/>
      <queryTableField id="16" name="AREA2" tableColumnId="16"/>
      <queryTableField id="17" name="COMMODITY2" tableColumnId="17"/>
      <queryTableField id="18" name="TAG NO.2" tableColumnId="18"/>
      <queryTableField id="19" name="TAG LETTER2" tableColumnId="19"/>
      <queryTableField id="20" name="UOM2" tableColumnId="20"/>
      <queryTableField id="21" name="QTY2" tableColumnId="21"/>
      <queryTableField id="22" name="REMARKS2" tableColumnId="22"/>
      <queryTableField id="23" name="END THE FORM2" tableColumnId="23"/>
      <queryTableField id="24" name="AREA3" tableColumnId="24"/>
      <queryTableField id="25" name="COMMODITY3" tableColumnId="25"/>
      <queryTableField id="26" name="TAG NO.3" tableColumnId="26"/>
      <queryTableField id="27" name="TAG LETTER3" tableColumnId="27"/>
      <queryTableField id="28" name="UOM3" tableColumnId="28"/>
      <queryTableField id="29" name="QTY3" tableColumnId="29"/>
      <queryTableField id="30" name="REMARKS3" tableColumnId="30"/>
      <queryTableField id="31" name="END THE FORM3" tableColumnId="31"/>
      <queryTableField id="32" name="AREA4" tableColumnId="32"/>
      <queryTableField id="33" name="COMMODITY4" tableColumnId="33"/>
      <queryTableField id="34" name="TAG NO.4" tableColumnId="34"/>
      <queryTableField id="35" name="TAG LETTER4" tableColumnId="35"/>
      <queryTableField id="36" name="UOM4" tableColumnId="36"/>
      <queryTableField id="37" name="QTY4" tableColumnId="37"/>
      <queryTableField id="38" name="REMARKS4" tableColumnId="38"/>
      <queryTableField id="39" name="END THE FORM4" tableColumnId="39"/>
      <queryTableField id="40" name="AREA5" tableColumnId="40"/>
      <queryTableField id="41" name="COMMODITY5" tableColumnId="41"/>
      <queryTableField id="42" name="TAG NO.5" tableColumnId="42"/>
      <queryTableField id="43" name="TAG LETTER5" tableColumnId="43"/>
      <queryTableField id="44" name="UOM5" tableColumnId="44"/>
      <queryTableField id="45" name="QTY5" tableColumnId="45"/>
      <queryTableField id="46" name="REMARKS5" tableColumnId="46"/>
      <queryTableField id="47" name="END THE FORM5" tableColumnId="47"/>
      <queryTableField id="48" name="AREA6" tableColumnId="48"/>
      <queryTableField id="49" name="COMMODITY6" tableColumnId="49"/>
      <queryTableField id="50" name="TAG NO.6" tableColumnId="50"/>
      <queryTableField id="51" name="TAG LETTER6" tableColumnId="51"/>
      <queryTableField id="52" name="UOM6" tableColumnId="52"/>
      <queryTableField id="53" name="QTY6" tableColumnId="53"/>
      <queryTableField id="54" name="REMARKS6" tableColumnId="54"/>
      <queryTableField id="55" name="END THE FORM6" tableColumnId="55"/>
      <queryTableField id="56" name="AREA7" tableColumnId="56"/>
      <queryTableField id="57" name="COMMODITY7" tableColumnId="57"/>
      <queryTableField id="58" name="TAG NO.7" tableColumnId="58"/>
      <queryTableField id="59" name="TAG LETTER7" tableColumnId="59"/>
      <queryTableField id="60" name="UOM7" tableColumnId="60"/>
      <queryTableField id="61" name="QTY7" tableColumnId="61"/>
      <queryTableField id="62" name="REMARKS7" tableColumnId="62"/>
      <queryTableField id="63" name="END THE FORM7" tableColumnId="63"/>
      <queryTableField id="64" name="AREA8" tableColumnId="64"/>
      <queryTableField id="65" name="COMMODITY8" tableColumnId="65"/>
      <queryTableField id="66" name="TAG NO.8" tableColumnId="66"/>
      <queryTableField id="67" name="TAG LETTER8" tableColumnId="67"/>
      <queryTableField id="68" name="UOM8" tableColumnId="68"/>
      <queryTableField id="69" name="QTY8" tableColumnId="69"/>
      <queryTableField id="70" name="REMARKS8" tableColumnId="70"/>
      <queryTableField id="71" name="END THE FORM8" tableColumnId="71"/>
      <queryTableField id="72" name="AREA9" tableColumnId="72"/>
      <queryTableField id="73" name="COMMODITY9" tableColumnId="73"/>
      <queryTableField id="74" name="TAG NO.9" tableColumnId="74"/>
      <queryTableField id="75" name="TAG LETTER9" tableColumnId="75"/>
      <queryTableField id="76" name="UOM9" tableColumnId="76"/>
      <queryTableField id="77" name="QTY9" tableColumnId="77"/>
      <queryTableField id="78" name="REMARKS9" tableColumnId="78"/>
      <queryTableField id="79" name="END THE FORM9" tableColumnId="79"/>
      <queryTableField id="80" name="AREA10" tableColumnId="80"/>
      <queryTableField id="81" name="COMMODITY10" tableColumnId="81"/>
      <queryTableField id="82" name="TAG NO.10" tableColumnId="82"/>
      <queryTableField id="83" name="TAG LETTER10" tableColumnId="83"/>
      <queryTableField id="84" name="UOM10" tableColumnId="84"/>
      <queryTableField id="85" name="QTY10" tableColumnId="85"/>
      <queryTableField id="86" name="REMARKS10" tableColumnId="86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12EDD0C-856C-44B4-BD98-29A422F6C095}" name="DATE" displayName="DATE" ref="C1:C2" totalsRowShown="0">
  <autoFilter ref="C1:C2" xr:uid="{812EDD0C-856C-44B4-BD98-29A422F6C095}"/>
  <tableColumns count="1">
    <tableColumn id="1" xr3:uid="{9ACC2E79-796C-46D8-A1EC-FCFCFA44C49C}" name="Date" dataDxfId="90">
      <calculatedColumnFormula>TODAY()-1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933DC50-CF64-4CE7-96DD-125D486D387E}" name="ROWS" displayName="ROWS" ref="D1:I2" totalsRowShown="0">
  <autoFilter ref="D1:I2" xr:uid="{2933DC50-CF64-4CE7-96DD-125D486D387E}"/>
  <tableColumns count="6">
    <tableColumn id="1" xr3:uid="{16A497A3-9B0B-4770-863A-E02EFEB86303}" name="CIVIL_ENTRIES" dataDxfId="89">
      <calculatedColumnFormula array="1">COUNT(ROW(CIVIL_FORM_TABLE[Start time]))</calculatedColumnFormula>
    </tableColumn>
    <tableColumn id="2" xr3:uid="{2AD2B6AE-CC2F-405B-A647-CD8CFB96AA6E}" name="CIVIL_ROWS">
      <calculatedColumnFormula array="1">COUNT(ROW(CIVIL_PROGRESS[]))-1</calculatedColumnFormula>
    </tableColumn>
    <tableColumn id="3" xr3:uid="{9FA5B185-4A42-41FC-B60B-FF14934A446E}" name="PIPING_ENTRIES" dataDxfId="88">
      <calculatedColumnFormula array="1">COUNT(ROW(PIPING_FORM_TABLE[Start time]))</calculatedColumnFormula>
    </tableColumn>
    <tableColumn id="4" xr3:uid="{E2A8B601-14BD-4F31-BC88-3C4EB36189C4}" name="PIPING_ROWS" dataDxfId="87">
      <calculatedColumnFormula array="1">COUNT(ROW(PIPING_PROGRESS[]))-1</calculatedColumnFormula>
    </tableColumn>
    <tableColumn id="5" xr3:uid="{68AE8AD5-48F6-45BE-8CCB-A1EB6397D23A}" name="STRUCT_ENTRIES">
      <calculatedColumnFormula array="1">COUNT(ROW(STRUCT_FORM_TABLE[Start time]))</calculatedColumnFormula>
    </tableColumn>
    <tableColumn id="6" xr3:uid="{92C36631-E1E8-424F-AAA7-4761F312D08F}" name="STRUCT_ROWS">
      <calculatedColumnFormula array="1">COUNT(ROW(STRUCT_PROGRESS[]))-1</calculatedColumnFormula>
    </tableColumn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FD0B310-013B-44C9-BD2F-A46D3F8E02D2}" name="CIVIL_PROGRESS" displayName="CIVIL_PROGRESS" ref="B5:K18" tableType="queryTable" totalsRowShown="0">
  <autoFilter ref="B5:K18" xr:uid="{3FD0B310-013B-44C9-BD2F-A46D3F8E02D2}"/>
  <tableColumns count="10">
    <tableColumn id="1" xr3:uid="{4E1A571A-C7A7-4540-B166-809C8070CDC3}" uniqueName="1" name="DATE" queryTableFieldId="1" dataDxfId="8"/>
    <tableColumn id="2" xr3:uid="{1FC84F8F-5BD1-422B-82F2-1D0B55267C72}" uniqueName="2" name="AREA" queryTableFieldId="2" dataDxfId="7"/>
    <tableColumn id="3" xr3:uid="{03B1D8CC-DCE2-496D-AE91-5DD0C2EDB6BE}" uniqueName="3" name="COMMODITY" queryTableFieldId="3" dataDxfId="6"/>
    <tableColumn id="4" xr3:uid="{872A11B2-3C7E-4ED8-9348-3F23836ECE19}" uniqueName="4" name="TAG NO." queryTableFieldId="4"/>
    <tableColumn id="5" xr3:uid="{E1880CED-A64A-4568-A482-E983AC37D817}" uniqueName="5" name="TAG LETTER" queryTableFieldId="5" dataDxfId="5"/>
    <tableColumn id="6" xr3:uid="{EBB75112-28D2-4627-A1BE-97F1DF4FBD0C}" uniqueName="6" name="UOM" queryTableFieldId="6" dataDxfId="4"/>
    <tableColumn id="7" xr3:uid="{30A8A6BF-EE5C-4A84-9E92-DC85F1C3600A}" uniqueName="7" name="QTY" queryTableFieldId="7"/>
    <tableColumn id="8" xr3:uid="{42A32881-458A-48E0-8C64-57BA509F1A2C}" uniqueName="8" name="WORK TYPE" queryTableFieldId="8" dataDxfId="3"/>
    <tableColumn id="9" xr3:uid="{7B35D03D-D5EA-44C9-8377-4D128A0A011B}" uniqueName="9" name="VENDOR" queryTableFieldId="9"/>
    <tableColumn id="10" xr3:uid="{66B5653A-F6D8-442D-9172-4CBC210D1836}" uniqueName="10" name="REMARKS/DESCRIPTION" queryTableFieldId="10" dataDxf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078A9D0-CC1A-450B-9847-FC8046A2AD10}" name="PIPING_PROGRESS" displayName="PIPING_PROGRESS" ref="M5:U6" tableType="queryTable" totalsRowShown="0">
  <autoFilter ref="M5:U6" xr:uid="{6078A9D0-CC1A-450B-9847-FC8046A2AD10}"/>
  <tableColumns count="9">
    <tableColumn id="1" xr3:uid="{97B8F392-90A4-408B-9272-8F4E305F62F5}" uniqueName="1" name="DATE" queryTableFieldId="1" dataDxfId="1"/>
    <tableColumn id="2" xr3:uid="{8B6F06C6-7262-42AA-952D-81005013405F}" uniqueName="2" name="AREA" queryTableFieldId="2"/>
    <tableColumn id="3" xr3:uid="{125D5678-E2C0-43EA-8810-0BFD9494F131}" uniqueName="3" name="AG/UG" queryTableFieldId="3"/>
    <tableColumn id="4" xr3:uid="{57ED433A-8534-4D98-B0B8-EEF9247A4BAA}" uniqueName="4" name="SERVICE" queryTableFieldId="4"/>
    <tableColumn id="5" xr3:uid="{63BA631F-2960-442F-BF1B-8DE6118AADF1}" uniqueName="5" name="UOM" queryTableFieldId="5"/>
    <tableColumn id="6" xr3:uid="{4F88FA74-68FF-49C5-A3F0-3BA4EC36AD66}" uniqueName="6" name="QTY" queryTableFieldId="6"/>
    <tableColumn id="7" xr3:uid="{87FCF4B4-66AE-4985-BA8D-D78C3E3F2988}" uniqueName="7" name="WORK TYPE" queryTableFieldId="7"/>
    <tableColumn id="8" xr3:uid="{57817371-2486-4322-A153-885FD934C5E0}" uniqueName="8" name="VENDOR" queryTableFieldId="8"/>
    <tableColumn id="9" xr3:uid="{B2066219-4F49-46D7-98BB-FC38EDC810AA}" uniqueName="9" name="REMARKS/DESCRIPTION" queryTableFieldId="9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0658D05-1099-4F52-9BCC-58E329AD9D0E}" name="STRUCT_PROGRESS" displayName="STRUCT_PROGRESS" ref="W5:AD6" tableType="queryTable" totalsRowShown="0">
  <autoFilter ref="W5:AD6" xr:uid="{40658D05-1099-4F52-9BCC-58E329AD9D0E}"/>
  <tableColumns count="8">
    <tableColumn id="1" xr3:uid="{E43F5C08-B310-44BC-807E-F3A7157167EE}" uniqueName="1" name="DATE" queryTableFieldId="1" dataDxfId="0"/>
    <tableColumn id="2" xr3:uid="{AEFE957D-1D2D-4F14-9410-B2095E868FDF}" uniqueName="2" name="AREA" queryTableFieldId="2" dataDxfId="86"/>
    <tableColumn id="3" xr3:uid="{222CB150-7EDA-43B3-B4D0-CEA704FB8C7D}" uniqueName="3" name="COMMODITY" queryTableFieldId="3" dataDxfId="85"/>
    <tableColumn id="4" xr3:uid="{08311BB8-8307-44B0-9A96-0EA7365017C2}" uniqueName="4" name="TAG NO." queryTableFieldId="4"/>
    <tableColumn id="5" xr3:uid="{5EB6B6CD-A3AA-4DD4-8B5B-DD8E92EDE0BD}" uniqueName="5" name="TAG LETTER" queryTableFieldId="5" dataDxfId="84"/>
    <tableColumn id="6" xr3:uid="{8839C1CC-3AA9-4955-96AA-BDD63CB18871}" uniqueName="6" name="UOM" queryTableFieldId="6" dataDxfId="83"/>
    <tableColumn id="7" xr3:uid="{2876ABE5-48BB-455A-95AA-04C453892198}" uniqueName="7" name="QTY" queryTableFieldId="7"/>
    <tableColumn id="8" xr3:uid="{8C1F48FB-D535-42C8-9B01-173E7746F6A5}" uniqueName="8" name="REMARKS" queryTableFieldId="8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7AE5129-D9C7-4BC3-AE50-53C786ED979A}" name="Table3" displayName="Table3" ref="A2:J17" totalsRowShown="0" headerRowBorderDxfId="82" tableBorderDxfId="81">
  <autoFilter ref="A2:J17" xr:uid="{D7AE5129-D9C7-4BC3-AE50-53C786ED979A}"/>
  <tableColumns count="10">
    <tableColumn id="1" xr3:uid="{698F2B69-223C-4C50-AC6A-C216C00899E6}" name="DATE"/>
    <tableColumn id="2" xr3:uid="{A99877FA-7258-4CD7-8BF7-A42A6D27419A}" name="AREA"/>
    <tableColumn id="3" xr3:uid="{3B4F50D1-6BBF-4FEB-AB1F-DF2F928DCB27}" name="COMMODITY"/>
    <tableColumn id="4" xr3:uid="{20CC16FA-056F-44C4-AAA9-B9699D11A1BB}" name="TAG NO."/>
    <tableColumn id="5" xr3:uid="{07D2D790-67A7-4234-8C51-D011D2E703D8}" name="TAG LETTER"/>
    <tableColumn id="6" xr3:uid="{A195253A-1A22-4CCF-AF16-3120B7DF5086}" name="UOM"/>
    <tableColumn id="7" xr3:uid="{A048F979-7902-4EC3-91BB-FE86AF773E97}" name="QTY"/>
    <tableColumn id="8" xr3:uid="{6105B626-EE08-4CAB-9C57-8082F492972C}" name="WORK TYPE"/>
    <tableColumn id="9" xr3:uid="{52535737-A3D2-401A-97FB-A912CDC8CDB9}" name="VENDOR"/>
    <tableColumn id="10" xr3:uid="{154AC1E9-92CC-44BC-8E0C-358F69437BB9}" name="REMARKS/DESCRIPTION"/>
  </tableColumns>
  <tableStyleInfo name="TableStyleLight1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86E53B0-70A6-4F75-B8BC-00A6E4C1C6AC}" name="Table15" displayName="Table15" ref="A2:I7" totalsRowShown="0" headerRowDxfId="80" dataDxfId="78" headerRowBorderDxfId="79" tableBorderDxfId="77">
  <autoFilter ref="A2:I7" xr:uid="{F86E53B0-70A6-4F75-B8BC-00A6E4C1C6AC}"/>
  <tableColumns count="9">
    <tableColumn id="1" xr3:uid="{607C5C5E-4662-4301-AF7B-3569E98A0CE7}" name="DATE" dataDxfId="76"/>
    <tableColumn id="2" xr3:uid="{DFF212F4-06A8-4B04-9481-B63D36384E9F}" name="AREA" dataDxfId="75"/>
    <tableColumn id="3" xr3:uid="{33BA9443-7BC8-4901-AB9C-AC178E38B4D6}" name="AG/UG" dataDxfId="74"/>
    <tableColumn id="4" xr3:uid="{D4617A48-3C39-4666-B49F-B57B699CF719}" name="SERVICE" dataDxfId="73"/>
    <tableColumn id="5" xr3:uid="{9CFAFD98-7EF0-4B94-ABC3-02A62DE8F3CC}" name="UOM" dataDxfId="72"/>
    <tableColumn id="6" xr3:uid="{5340B450-5977-4400-9F68-049F88990D03}" name="QTY" dataDxfId="71"/>
    <tableColumn id="7" xr3:uid="{64D90CFC-DEF4-4FCC-8AAA-ABFE00C891D2}" name="WORK TYPE" dataDxfId="70"/>
    <tableColumn id="8" xr3:uid="{EBDFBD48-8164-44AC-95A8-4A50E2A6F0CF}" name="VENDOR" dataDxfId="69"/>
    <tableColumn id="9" xr3:uid="{7732B820-45BF-4400-8DE6-EC7F7E339D53}" name="REMARKS/DESCRIPTION" dataDxfId="68"/>
  </tableColumns>
  <tableStyleInfo name="TableStyleLight1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16D741E-A902-4549-9E6A-A2722DE21394}" name="Table17" displayName="Table17" ref="A2:H5" totalsRowShown="0" headerRowDxfId="67" dataDxfId="65" headerRowBorderDxfId="66" tableBorderDxfId="64" totalsRowBorderDxfId="63">
  <autoFilter ref="A2:H5" xr:uid="{A16D741E-A902-4549-9E6A-A2722DE21394}"/>
  <tableColumns count="8">
    <tableColumn id="1" xr3:uid="{A859FF76-B6DD-4B12-8077-F957035A15F8}" name="DATE" dataDxfId="62"/>
    <tableColumn id="2" xr3:uid="{75573F3A-6F4F-439E-928E-AF18F73A4064}" name="AREA" dataDxfId="61"/>
    <tableColumn id="3" xr3:uid="{06447B6D-BDF7-457C-93BB-EA7848C9B8B5}" name="COMMODITY" dataDxfId="60"/>
    <tableColumn id="4" xr3:uid="{9C06EB20-E93A-4B67-8F72-B202272F92EB}" name="TAG NO." dataDxfId="59"/>
    <tableColumn id="5" xr3:uid="{F3C0E06C-8EE4-4BEB-AA9A-891B0085E369}" name="TAG LETTER" dataDxfId="58"/>
    <tableColumn id="6" xr3:uid="{C6FD74EE-852E-4676-8229-F99157C05B66}" name="UOM" dataDxfId="57"/>
    <tableColumn id="7" xr3:uid="{39F70BC8-42CF-4C26-8040-6BE32022B464}" name="QTY" dataDxfId="56"/>
    <tableColumn id="8" xr3:uid="{6AC9421C-267E-4FC5-858C-742CF653371D}" name="REMARKS" dataDxfId="55"/>
  </tableColumns>
  <tableStyleInfo name="TableStyleLight1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3960AF6-CCDC-404F-B8BB-117941992FD0}" name="CIVIL_FORM_TABLE" displayName="CIVIL_FORM_TABLE" ref="A1:DB4" tableType="queryTable" totalsRowShown="0">
  <autoFilter ref="A1:DB4" xr:uid="{53960AF6-CCDC-404F-B8BB-117941992FD0}"/>
  <tableColumns count="106">
    <tableColumn id="1" xr3:uid="{DA2ACE02-DDA2-42A4-B510-FEB2D5FB1592}" uniqueName="1" name="ID" queryTableFieldId="1"/>
    <tableColumn id="2" xr3:uid="{BFD4688B-0B58-445E-BDE6-0E383CB7F2B2}" uniqueName="2" name="Start time" queryTableFieldId="2" dataDxfId="17"/>
    <tableColumn id="3" xr3:uid="{DDA0925B-00A6-482E-AF90-6B3B8EA25ED7}" uniqueName="3" name="Completion time" queryTableFieldId="3" dataDxfId="16"/>
    <tableColumn id="4" xr3:uid="{2C245E00-B217-437A-AA0C-9D266036053B}" uniqueName="4" name="Email" queryTableFieldId="4"/>
    <tableColumn id="5" xr3:uid="{D4A0686A-1D55-4B25-B2DC-9A3937D8CF35}" uniqueName="5" name="Name" queryTableFieldId="5"/>
    <tableColumn id="6" xr3:uid="{5BC4C431-52B5-40E5-A4D4-B8B78B8FEFB5}" uniqueName="6" name="Last modified time" queryTableFieldId="6"/>
    <tableColumn id="7" xr3:uid="{3070978F-AEF4-4BD3-99DC-860BFB042B00}" uniqueName="7" name="DATE" queryTableFieldId="7" dataDxfId="15"/>
    <tableColumn id="8" xr3:uid="{F5EB2B50-2348-4999-B8A9-23D356B5557F}" uniqueName="8" name="AREA" queryTableFieldId="8"/>
    <tableColumn id="9" xr3:uid="{624D0CFE-B461-45CA-8193-A4E3957A3C60}" uniqueName="9" name="COMMODITY" queryTableFieldId="9"/>
    <tableColumn id="10" xr3:uid="{39DECAF4-32FF-45FD-8906-5653994A01C6}" uniqueName="10" name="TAG NO." queryTableFieldId="10"/>
    <tableColumn id="11" xr3:uid="{CA0FC658-0106-422C-B5F2-E9DF4435FAFD}" uniqueName="11" name="TAG LETTER" queryTableFieldId="11"/>
    <tableColumn id="12" xr3:uid="{3745CBA2-E07E-44FE-AE50-14F0F73EA444}" uniqueName="12" name="UOM" queryTableFieldId="12"/>
    <tableColumn id="13" xr3:uid="{163F2AF0-BB28-4E4C-9C4A-58EA3E0280F6}" uniqueName="13" name="QTY" queryTableFieldId="13"/>
    <tableColumn id="14" xr3:uid="{90711C02-9133-4628-8BCF-3C80B636F7A7}" uniqueName="14" name="WORK TYPE" queryTableFieldId="14"/>
    <tableColumn id="97" xr3:uid="{65297149-95B3-471D-9326-F46DB32F3BEE}" uniqueName="97" name="VENDOR" queryTableFieldId="97"/>
    <tableColumn id="15" xr3:uid="{C31A4C6D-2A92-4D4C-8A7E-87320DA45B07}" uniqueName="15" name="REMARKS/DESCRIPTION" queryTableFieldId="15"/>
    <tableColumn id="16" xr3:uid="{15C11B1E-8013-4686-9FEE-9BB202F286F4}" uniqueName="16" name="END THE FORM" queryTableFieldId="16"/>
    <tableColumn id="17" xr3:uid="{1BEB3127-1570-4BAF-9A03-C53DB25C1D80}" uniqueName="17" name="AREA2" queryTableFieldId="17"/>
    <tableColumn id="18" xr3:uid="{D52785AF-EB2B-4A4D-8873-666AAC1C8DAD}" uniqueName="18" name="COMMODITY2" queryTableFieldId="18"/>
    <tableColumn id="19" xr3:uid="{A6FFE5A1-5A7E-4A74-9E92-E0658C5C0A58}" uniqueName="19" name="TAG NO.2" queryTableFieldId="19"/>
    <tableColumn id="20" xr3:uid="{DC4CB9BA-84A4-4870-91B9-AE9666077892}" uniqueName="20" name="TAG LETTER2" queryTableFieldId="20"/>
    <tableColumn id="21" xr3:uid="{FCC426D9-15E6-4FA4-9B61-6B94FBAE8040}" uniqueName="21" name="UOM2" queryTableFieldId="21"/>
    <tableColumn id="22" xr3:uid="{8266DC4B-5C45-4188-B029-5C16C4AFC51E}" uniqueName="22" name="QTY2" queryTableFieldId="22"/>
    <tableColumn id="23" xr3:uid="{170F25E6-8936-4927-B78C-1D08866FE871}" uniqueName="23" name="WORK TYPE2" queryTableFieldId="23"/>
    <tableColumn id="98" xr3:uid="{22C224CA-5DD2-4D41-AD63-B38FF3C23599}" uniqueName="98" name="VENDOR2" queryTableFieldId="98"/>
    <tableColumn id="24" xr3:uid="{0FB5C341-9FCC-4CAE-98EA-D87ADB647FFA}" uniqueName="24" name="REMARKS/DESCRIPTION2" queryTableFieldId="24"/>
    <tableColumn id="25" xr3:uid="{D03F0468-1030-4DF0-A77C-A48587D417C3}" uniqueName="25" name="END THE FORM2" queryTableFieldId="25"/>
    <tableColumn id="26" xr3:uid="{743E6D08-6978-4287-8C6D-90D48E8ED921}" uniqueName="26" name="AREA3" queryTableFieldId="26"/>
    <tableColumn id="27" xr3:uid="{129E05AD-479A-461E-A830-CE478A06AD6A}" uniqueName="27" name="COMMODITY3" queryTableFieldId="27"/>
    <tableColumn id="28" xr3:uid="{C0FBCEB9-74CB-45A4-B975-44EA81591A5C}" uniqueName="28" name="TAG NO.3" queryTableFieldId="28"/>
    <tableColumn id="29" xr3:uid="{98301A53-5321-43FE-9185-F3A87B22E782}" uniqueName="29" name="TAG LETTER3" queryTableFieldId="29"/>
    <tableColumn id="30" xr3:uid="{C84AA2E7-5905-4AD6-99D9-00E8842F870C}" uniqueName="30" name="UOM3" queryTableFieldId="30"/>
    <tableColumn id="31" xr3:uid="{16C0A1AB-E5D0-4AAC-9417-4CC349B5CA1E}" uniqueName="31" name="QTY3" queryTableFieldId="31"/>
    <tableColumn id="32" xr3:uid="{49024DC7-142B-4CEE-8AFD-7DA8AE030080}" uniqueName="32" name="WORK TYPE3" queryTableFieldId="32"/>
    <tableColumn id="99" xr3:uid="{710D4AB2-2F12-4E0B-B823-CE539A2A51F6}" uniqueName="99" name="VENDOR3" queryTableFieldId="99"/>
    <tableColumn id="33" xr3:uid="{08EB6C4B-53AF-4B41-A422-C895960882A5}" uniqueName="33" name="REMARKS/DESCRIPTION3" queryTableFieldId="33"/>
    <tableColumn id="34" xr3:uid="{A3198157-97A6-46E7-A520-CE61354D84E3}" uniqueName="34" name="END THE FORM3" queryTableFieldId="34"/>
    <tableColumn id="35" xr3:uid="{3804FB50-8E47-4627-B857-F2020640093C}" uniqueName="35" name="AREA4" queryTableFieldId="35"/>
    <tableColumn id="36" xr3:uid="{9E0DA906-682B-4BE3-AE64-E6324C5D2536}" uniqueName="36" name="COMMODITY4" queryTableFieldId="36"/>
    <tableColumn id="37" xr3:uid="{508588B9-93E0-4091-AA80-EBE0F9EA737E}" uniqueName="37" name="TAG NO.4" queryTableFieldId="37"/>
    <tableColumn id="38" xr3:uid="{7395FEC0-D4DB-4563-A7E5-346933772D74}" uniqueName="38" name="TAG LETTER4" queryTableFieldId="38"/>
    <tableColumn id="39" xr3:uid="{8D26D0E9-8E8E-442C-A695-22F3AF875D28}" uniqueName="39" name="UOM4" queryTableFieldId="39"/>
    <tableColumn id="40" xr3:uid="{1845202E-D1CA-4930-A06F-8411626FDE23}" uniqueName="40" name="QTY4" queryTableFieldId="40"/>
    <tableColumn id="41" xr3:uid="{8BEA0043-A9C3-4269-92B7-5CDF63169DA4}" uniqueName="41" name="WORK TYPE4" queryTableFieldId="41"/>
    <tableColumn id="100" xr3:uid="{1E0A2D16-782C-405F-9A8B-247EDFE393C1}" uniqueName="100" name="VENDOR4" queryTableFieldId="100"/>
    <tableColumn id="42" xr3:uid="{B8B394B5-4129-489F-9E90-D1A5BB7EB21D}" uniqueName="42" name="REMARKS/DESCRIPTION4" queryTableFieldId="42"/>
    <tableColumn id="43" xr3:uid="{FD4228DB-F39C-4D38-B8CE-C386731C3AC2}" uniqueName="43" name="END THE FORM4" queryTableFieldId="43"/>
    <tableColumn id="44" xr3:uid="{1EE75D47-005F-46CF-9D00-7CA02999E76D}" uniqueName="44" name="AREA5" queryTableFieldId="44"/>
    <tableColumn id="45" xr3:uid="{80766361-657F-4587-8AA5-DE4DBB5761D6}" uniqueName="45" name="COMMODITY5" queryTableFieldId="45"/>
    <tableColumn id="46" xr3:uid="{CA2EF225-F26F-4F80-AD75-05FC1384DDF4}" uniqueName="46" name="TAG NO.5" queryTableFieldId="46"/>
    <tableColumn id="47" xr3:uid="{AC4065E1-BCE4-4922-BCC4-EC01CFC792DD}" uniqueName="47" name="TAG LETTER5" queryTableFieldId="47"/>
    <tableColumn id="48" xr3:uid="{E64A6311-6EA6-4E4F-A57E-0E28716BAEBF}" uniqueName="48" name="UOM5" queryTableFieldId="48"/>
    <tableColumn id="49" xr3:uid="{E004DCF5-3A2C-4A8E-BA23-7FC1DC76BA42}" uniqueName="49" name="QTY5" queryTableFieldId="49"/>
    <tableColumn id="50" xr3:uid="{9C354F3D-4227-43E9-B3EE-A6B90BE33618}" uniqueName="50" name="WORK TYPE5" queryTableFieldId="50"/>
    <tableColumn id="101" xr3:uid="{618907A6-F4F7-4A7A-8452-6CAD4682573A}" uniqueName="101" name="VENDOR5" queryTableFieldId="101"/>
    <tableColumn id="51" xr3:uid="{12AA4801-9A07-475C-868B-C31DFC22E316}" uniqueName="51" name="REMARKS/DESCRIPTION5" queryTableFieldId="51"/>
    <tableColumn id="52" xr3:uid="{099EB252-B721-4F62-A198-A7FC7B6F0A5A}" uniqueName="52" name="END THE FORM5" queryTableFieldId="52"/>
    <tableColumn id="53" xr3:uid="{C83C3CCB-00B2-4529-87E5-380AE76345E0}" uniqueName="53" name="AREA6" queryTableFieldId="53"/>
    <tableColumn id="54" xr3:uid="{89CC29C1-B30D-4A6C-BD7B-649749BC8C9C}" uniqueName="54" name="COMMODITY6" queryTableFieldId="54"/>
    <tableColumn id="55" xr3:uid="{70BB48FE-97A7-4671-AAF2-BFF83A828B6B}" uniqueName="55" name="TAG NO.6" queryTableFieldId="55"/>
    <tableColumn id="56" xr3:uid="{57A9BA65-4971-4C65-87A8-B8B03EA7DAD4}" uniqueName="56" name="TAG LETTER6" queryTableFieldId="56"/>
    <tableColumn id="57" xr3:uid="{361E77BA-40D1-4A59-99D0-C50915162DBB}" uniqueName="57" name="UOM6" queryTableFieldId="57"/>
    <tableColumn id="58" xr3:uid="{C89BD676-6CA1-44D7-9C1A-6B86C3481000}" uniqueName="58" name="QTY6" queryTableFieldId="58"/>
    <tableColumn id="59" xr3:uid="{6AAF41F6-04C0-4D10-A951-0C2AAC3E23C2}" uniqueName="59" name="WORK TYPE6" queryTableFieldId="59"/>
    <tableColumn id="102" xr3:uid="{C50EAF4D-C79B-4CD0-9014-FD8A03F0D921}" uniqueName="102" name="VENDOR6" queryTableFieldId="102"/>
    <tableColumn id="60" xr3:uid="{EE0D2150-E2A4-454F-988A-80116E544F8B}" uniqueName="60" name="REMARKS/DESCRIPTION6" queryTableFieldId="60"/>
    <tableColumn id="61" xr3:uid="{CF670617-F5B6-4884-B9F1-1E7A59840076}" uniqueName="61" name="END THE FORM6" queryTableFieldId="61"/>
    <tableColumn id="62" xr3:uid="{FCD9282A-67F6-4937-8E69-8C4AAC8BD5C6}" uniqueName="62" name="AREA7" queryTableFieldId="62"/>
    <tableColumn id="63" xr3:uid="{E1D5C84A-EF18-4AC2-B5CF-0588334F7FB2}" uniqueName="63" name="COMMODITY7" queryTableFieldId="63"/>
    <tableColumn id="64" xr3:uid="{07121D14-4D19-4A92-9404-7CC43B2F681D}" uniqueName="64" name="TAG NO.7" queryTableFieldId="64"/>
    <tableColumn id="65" xr3:uid="{A3D98AB2-1BBD-4093-8D85-084F5C205179}" uniqueName="65" name="TAG LETTER7" queryTableFieldId="65"/>
    <tableColumn id="66" xr3:uid="{264E4388-2B27-487F-A1FB-F6D1BC18DD7E}" uniqueName="66" name="UOM7" queryTableFieldId="66"/>
    <tableColumn id="67" xr3:uid="{E95B8797-C475-4BDB-A7CA-F1AFB4CE1018}" uniqueName="67" name="QTY7" queryTableFieldId="67"/>
    <tableColumn id="68" xr3:uid="{0A1E56F4-56F4-461B-B3FE-5C7D863A5E63}" uniqueName="68" name="WORK TYPE7" queryTableFieldId="68"/>
    <tableColumn id="103" xr3:uid="{6D504555-745F-49FC-81A3-A69E8C67738F}" uniqueName="103" name="VENDOR7" queryTableFieldId="103"/>
    <tableColumn id="69" xr3:uid="{2AA6C608-3DC3-4C0C-9B04-2C7B37E9E77A}" uniqueName="69" name="REMARKS/DESCRIPTION7" queryTableFieldId="69"/>
    <tableColumn id="70" xr3:uid="{CFB3C4EC-8F8C-4C55-B51C-1752581BFFD9}" uniqueName="70" name="END THE FORM7" queryTableFieldId="70"/>
    <tableColumn id="71" xr3:uid="{50AB14C7-5079-4BA4-AE95-D736FEFB1C2D}" uniqueName="71" name="AREA8" queryTableFieldId="71"/>
    <tableColumn id="72" xr3:uid="{345CD39C-F8C2-437C-B4EA-36D002E47229}" uniqueName="72" name="COMMODITY8" queryTableFieldId="72"/>
    <tableColumn id="73" xr3:uid="{68C4C444-D041-4E1B-82E1-9872E2580B25}" uniqueName="73" name="TAG NO.8" queryTableFieldId="73"/>
    <tableColumn id="74" xr3:uid="{14C5A8B7-6800-407F-963D-42CA9764DA56}" uniqueName="74" name="TAG LETTER8" queryTableFieldId="74"/>
    <tableColumn id="75" xr3:uid="{409D5AB3-DBCB-4DD6-8D36-CEAD690E55D1}" uniqueName="75" name="UOM8" queryTableFieldId="75"/>
    <tableColumn id="76" xr3:uid="{AAD8086F-570C-4B4A-BFE8-FEE097678230}" uniqueName="76" name="QTY8" queryTableFieldId="76"/>
    <tableColumn id="77" xr3:uid="{00A4C35E-BC05-4B94-AC90-B63592CDCCC6}" uniqueName="77" name="WORK TYPE8" queryTableFieldId="77"/>
    <tableColumn id="104" xr3:uid="{06281292-783B-499C-A058-8E2631B9E934}" uniqueName="104" name="VENDOR8" queryTableFieldId="104"/>
    <tableColumn id="78" xr3:uid="{B669CFDB-D6E6-41FA-95A8-419ABD846681}" uniqueName="78" name="REMARKS/DESCRIPTION8" queryTableFieldId="78"/>
    <tableColumn id="79" xr3:uid="{747F14A0-904A-4542-8A74-E09344D47E93}" uniqueName="79" name="END THE FORM8" queryTableFieldId="79"/>
    <tableColumn id="80" xr3:uid="{C45CF673-C91A-4B47-8D3A-74965361A077}" uniqueName="80" name="AREA9" queryTableFieldId="80"/>
    <tableColumn id="81" xr3:uid="{9C378DC5-5EF8-47E3-B6C1-393BBA63FB70}" uniqueName="81" name="COMMODITY9" queryTableFieldId="81"/>
    <tableColumn id="82" xr3:uid="{2B131FCE-CA40-4A88-8AA9-56E84A9308C9}" uniqueName="82" name="TAG NO.9" queryTableFieldId="82"/>
    <tableColumn id="83" xr3:uid="{69A2F2DF-3189-4734-AA75-8962B614B92C}" uniqueName="83" name="TAG LETTER9" queryTableFieldId="83"/>
    <tableColumn id="84" xr3:uid="{8A15B9DD-EFA8-4FFB-B79A-08E388A0559F}" uniqueName="84" name="UOM9" queryTableFieldId="84"/>
    <tableColumn id="85" xr3:uid="{AAB1349A-A53D-4846-8535-EFF756986EBE}" uniqueName="85" name="QTY9" queryTableFieldId="85"/>
    <tableColumn id="86" xr3:uid="{E7D6B732-F51F-41B1-BCBD-D2E83C355A4D}" uniqueName="86" name="WORK TYPE9" queryTableFieldId="86"/>
    <tableColumn id="105" xr3:uid="{010BD6D4-51A2-49DD-A383-9A56529F4490}" uniqueName="105" name="VENDOR9" queryTableFieldId="105"/>
    <tableColumn id="87" xr3:uid="{7C50CE18-A7D5-49CE-BE4D-0A264A9B6BE3}" uniqueName="87" name="REMARKS/DESCRIPTION9" queryTableFieldId="87"/>
    <tableColumn id="88" xr3:uid="{E4DA0E99-DD04-44C4-8035-F77FC7855571}" uniqueName="88" name="END THE FORM9" queryTableFieldId="88"/>
    <tableColumn id="89" xr3:uid="{A569D192-D4EC-49EC-806E-05A0238820E6}" uniqueName="89" name="AREA10" queryTableFieldId="89"/>
    <tableColumn id="90" xr3:uid="{FC9B2CC5-44BD-4769-89CE-AE2495D26A08}" uniqueName="90" name="COMMODITY10" queryTableFieldId="90"/>
    <tableColumn id="91" xr3:uid="{ED063678-7C9A-48C1-8DCC-312154C00681}" uniqueName="91" name="TAG NO.10" queryTableFieldId="91"/>
    <tableColumn id="92" xr3:uid="{947204DD-B671-441B-AD2D-633405D7997E}" uniqueName="92" name="TAG LETTER10" queryTableFieldId="92"/>
    <tableColumn id="93" xr3:uid="{7E6F5DE5-023A-4E3E-B1C4-51AFA1D38480}" uniqueName="93" name="UOM10" queryTableFieldId="93"/>
    <tableColumn id="94" xr3:uid="{EB8059B4-7195-4D2F-B78A-60E10E030491}" uniqueName="94" name="QTY10" queryTableFieldId="94"/>
    <tableColumn id="95" xr3:uid="{01891D95-E94E-47EF-BA45-EC5276776E14}" uniqueName="95" name="WORK TYPE10" queryTableFieldId="95"/>
    <tableColumn id="106" xr3:uid="{6C661AF7-B534-42CE-961D-F5773EB5D339}" uniqueName="106" name="VENDOR10" queryTableFieldId="106"/>
    <tableColumn id="96" xr3:uid="{63C1BE04-1793-4F5C-8F43-0863CD728774}" uniqueName="96" name="REMARKS/DESCRIPTION10" queryTableFieldId="96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DC5F724-3CD0-4F82-8EAD-C55DB28BC406}" name="PIPING_FORM_TABLE" displayName="PIPING_FORM_TABLE" ref="A1:CR2" tableType="queryTable" insertRow="1" totalsRowShown="0">
  <autoFilter ref="A1:CR2" xr:uid="{4DC5F724-3CD0-4F82-8EAD-C55DB28BC406}"/>
  <tableColumns count="96">
    <tableColumn id="1" xr3:uid="{B92210FA-D767-42E6-9FFF-D9A269B97F81}" uniqueName="1" name="ID" queryTableFieldId="1"/>
    <tableColumn id="2" xr3:uid="{393E18E2-E6C5-4D4D-9B90-86414E4D4CD4}" uniqueName="2" name="Start time" queryTableFieldId="2" dataDxfId="20"/>
    <tableColumn id="3" xr3:uid="{35A21F67-54B1-42A8-AB58-0F3429C8B786}" uniqueName="3" name="Completion time" queryTableFieldId="3" dataDxfId="19"/>
    <tableColumn id="4" xr3:uid="{6DBE56B4-8B48-428C-BED4-A9C1BBE2579D}" uniqueName="4" name="Email" queryTableFieldId="4"/>
    <tableColumn id="5" xr3:uid="{FCE98440-F8B8-4774-B416-4875326B3778}" uniqueName="5" name="Name" queryTableFieldId="5"/>
    <tableColumn id="6" xr3:uid="{471A46C8-A52A-440F-B144-CAE11D6ECA50}" uniqueName="6" name="Last modified time" queryTableFieldId="6"/>
    <tableColumn id="7" xr3:uid="{88F6F7E2-AFFE-4BDB-A6E8-51B83E86F5DC}" uniqueName="7" name="DATE" queryTableFieldId="7" dataDxfId="18"/>
    <tableColumn id="8" xr3:uid="{EF3649E3-402F-4D0F-BE23-1750C8706D45}" uniqueName="8" name="AREA" queryTableFieldId="8"/>
    <tableColumn id="9" xr3:uid="{CC5D6398-DBED-4F6B-80D7-A2F35DC263A1}" uniqueName="9" name="AG/UG" queryTableFieldId="9"/>
    <tableColumn id="10" xr3:uid="{6F415A9C-5FFD-43BD-80DF-63F472CCB249}" uniqueName="10" name="SERVICE" queryTableFieldId="10"/>
    <tableColumn id="11" xr3:uid="{40106BC7-87DF-4B4F-A26D-EF7F885972E8}" uniqueName="11" name="UOM" queryTableFieldId="11"/>
    <tableColumn id="12" xr3:uid="{105472B6-4E31-4AD9-8987-0D3A438D2FED}" uniqueName="12" name="QTY" queryTableFieldId="12"/>
    <tableColumn id="13" xr3:uid="{29A1A92D-ACC3-4AB0-B9F3-96A82F7ED19A}" uniqueName="13" name="WORK TYPE" queryTableFieldId="13"/>
    <tableColumn id="14" xr3:uid="{3EB54C7C-F6E0-4CAA-A987-D0714374DB85}" uniqueName="14" name="VENDOR" queryTableFieldId="14"/>
    <tableColumn id="15" xr3:uid="{D3010DE6-CBEB-4825-B044-A8F2874141B6}" uniqueName="15" name="REMARKS/DESCRIPTION" queryTableFieldId="15"/>
    <tableColumn id="16" xr3:uid="{36CA7183-9E95-4F14-B18B-3FDC46D5A31E}" uniqueName="16" name="END THE FORM" queryTableFieldId="16"/>
    <tableColumn id="17" xr3:uid="{28EC400D-713F-4002-8E40-F543C1321AB9}" uniqueName="17" name="AREA2" queryTableFieldId="17"/>
    <tableColumn id="18" xr3:uid="{1DA4A59C-2634-4702-BB1A-E4DA21B78737}" uniqueName="18" name="AG/UG2" queryTableFieldId="18"/>
    <tableColumn id="19" xr3:uid="{25E2D7B6-454F-4258-92BC-AAA1F8A0E224}" uniqueName="19" name="SERVICE2" queryTableFieldId="19"/>
    <tableColumn id="20" xr3:uid="{9269980D-99F1-46F8-8FC4-81589D9E2532}" uniqueName="20" name="UOM2" queryTableFieldId="20"/>
    <tableColumn id="21" xr3:uid="{ACEF17D9-BF80-49A7-A666-C78CE1695ADC}" uniqueName="21" name="QTY2" queryTableFieldId="21"/>
    <tableColumn id="22" xr3:uid="{EB99F244-6026-4AE6-A58C-9278F8F3543C}" uniqueName="22" name="WORK TYPE2" queryTableFieldId="22"/>
    <tableColumn id="23" xr3:uid="{13BA0207-7D73-466C-9124-845B7AE50440}" uniqueName="23" name="VENDOR2" queryTableFieldId="23"/>
    <tableColumn id="24" xr3:uid="{751A2F25-D864-46F0-83AA-E11665B3F75A}" uniqueName="24" name="REMARKS/DESCRIPTION2" queryTableFieldId="24"/>
    <tableColumn id="25" xr3:uid="{FB13249D-6F1C-45BC-A35A-0AB9AC5212A5}" uniqueName="25" name="END THE FORM2" queryTableFieldId="25"/>
    <tableColumn id="26" xr3:uid="{276016F9-79F8-4910-97CC-1E3B5313EAC4}" uniqueName="26" name="AREA3" queryTableFieldId="26"/>
    <tableColumn id="27" xr3:uid="{086E4BB8-BC47-48AD-AD21-5D7F63C5A913}" uniqueName="27" name="AG/UG3" queryTableFieldId="27"/>
    <tableColumn id="28" xr3:uid="{9AE2C9D7-895E-4221-B023-D6804B545EEA}" uniqueName="28" name="SERVICE3" queryTableFieldId="28"/>
    <tableColumn id="29" xr3:uid="{17F979C2-DC72-494D-9CFD-4C918FDB835C}" uniqueName="29" name="UOM3" queryTableFieldId="29"/>
    <tableColumn id="30" xr3:uid="{371A50E6-B71E-4460-928D-71BCC3D5115A}" uniqueName="30" name="QTY3" queryTableFieldId="30"/>
    <tableColumn id="31" xr3:uid="{CFCA7214-F067-4946-8FD5-3FCBA9761BFB}" uniqueName="31" name="WORK TYPE3" queryTableFieldId="31"/>
    <tableColumn id="32" xr3:uid="{31BAF7AD-73EA-4480-B6FE-0E9C31BAE65D}" uniqueName="32" name="VENDOR3" queryTableFieldId="32"/>
    <tableColumn id="33" xr3:uid="{7C170EE7-94E0-4456-835C-681594113113}" uniqueName="33" name="REMARKS/DESCRIPTION3" queryTableFieldId="33"/>
    <tableColumn id="34" xr3:uid="{A1ED3174-879B-4D2A-8CB1-54E71627D8E9}" uniqueName="34" name="END THE FORM3" queryTableFieldId="34"/>
    <tableColumn id="36" xr3:uid="{1BE8EABA-2C87-4CF8-827A-7C8856FF0823}" uniqueName="36" name="AREA4" queryTableFieldId="36"/>
    <tableColumn id="37" xr3:uid="{A1C48018-1D65-406A-8AA8-71470257665F}" uniqueName="37" name="AG/UG4" queryTableFieldId="37"/>
    <tableColumn id="35" xr3:uid="{3DDC37F9-E867-4416-8FFB-EE7E6B0DC75A}" uniqueName="35" name="SERVICE4" queryTableFieldId="35"/>
    <tableColumn id="38" xr3:uid="{CEE0EAE4-19ED-4CE6-9DD6-E970D1175094}" uniqueName="38" name="UOM4" queryTableFieldId="38"/>
    <tableColumn id="39" xr3:uid="{58F6B919-B53D-46BB-922F-8BF7F9564419}" uniqueName="39" name="QTY4" queryTableFieldId="39"/>
    <tableColumn id="40" xr3:uid="{AE4411D7-FD44-4C71-83CE-745CED93F21B}" uniqueName="40" name="WORK TYPE4" queryTableFieldId="40"/>
    <tableColumn id="41" xr3:uid="{7079983B-DA66-4E89-8837-7AB60D79FBBA}" uniqueName="41" name="VENDOR4" queryTableFieldId="41"/>
    <tableColumn id="42" xr3:uid="{F2C81EE1-75CF-4118-B0E8-666BF4301508}" uniqueName="42" name="REMARKS/DESCRIPTION4" queryTableFieldId="42"/>
    <tableColumn id="43" xr3:uid="{56B271EC-F177-42B5-B1AB-41ACB9BB82C7}" uniqueName="43" name="END THE FORM4" queryTableFieldId="43"/>
    <tableColumn id="44" xr3:uid="{F243C1B5-93A3-4F62-B5E4-DC03E930B128}" uniqueName="44" name="AREA5" queryTableFieldId="44"/>
    <tableColumn id="45" xr3:uid="{B3F70524-9FB4-4383-A844-C9B50D172EDE}" uniqueName="45" name="AG/UG5" queryTableFieldId="45"/>
    <tableColumn id="46" xr3:uid="{BE06B876-C892-494D-918F-39986B9A8D92}" uniqueName="46" name="SERVICE5" queryTableFieldId="46"/>
    <tableColumn id="47" xr3:uid="{55E6C898-3449-4DF8-ADEA-47ADEE997E30}" uniqueName="47" name="UOM5" queryTableFieldId="47"/>
    <tableColumn id="48" xr3:uid="{4FC78E60-E3E7-4535-BF72-EB5A8A5501D7}" uniqueName="48" name="QTY5" queryTableFieldId="48"/>
    <tableColumn id="49" xr3:uid="{371C900B-3640-4301-A903-375EE58E891E}" uniqueName="49" name="WORK TYPE5" queryTableFieldId="49"/>
    <tableColumn id="50" xr3:uid="{22EEFE9E-85ED-4AAB-8EF0-254243DA75D9}" uniqueName="50" name="VENDOR5" queryTableFieldId="50"/>
    <tableColumn id="51" xr3:uid="{DA7D4577-612A-4F63-9CF4-3CB8BF119CB4}" uniqueName="51" name="REMARKS/DESCRIPTION5" queryTableFieldId="51"/>
    <tableColumn id="52" xr3:uid="{BFAEE966-7FA2-4FEC-AB8D-0878C6267137}" uniqueName="52" name="END THE FORM5" queryTableFieldId="52"/>
    <tableColumn id="53" xr3:uid="{636F5436-D81A-4C1C-BAAE-CDF940DF7ED6}" uniqueName="53" name="AREA6" queryTableFieldId="53"/>
    <tableColumn id="54" xr3:uid="{26D4C3C4-8D6F-4E66-A886-BA17539A57B2}" uniqueName="54" name="AG/UG6" queryTableFieldId="54"/>
    <tableColumn id="55" xr3:uid="{C803F8FB-6EAE-484D-8AA7-D94CCAC953C6}" uniqueName="55" name="SERVICE6" queryTableFieldId="55"/>
    <tableColumn id="56" xr3:uid="{FAD67D49-BE78-4E24-BDFE-B5CE1C7B4A1D}" uniqueName="56" name="UOM6" queryTableFieldId="56"/>
    <tableColumn id="57" xr3:uid="{C8AB6374-EBEA-4768-A0EE-A3B13A5F5BE7}" uniqueName="57" name="QTY6" queryTableFieldId="57"/>
    <tableColumn id="58" xr3:uid="{A150DE0A-45FF-4FEB-9508-90967E9F0E3F}" uniqueName="58" name="WORK TYPE6" queryTableFieldId="58"/>
    <tableColumn id="59" xr3:uid="{C7E21CDE-5F1C-44FA-89FC-6CAF6BD829BB}" uniqueName="59" name="VENDOR6" queryTableFieldId="59"/>
    <tableColumn id="60" xr3:uid="{37538BDA-8464-4E2A-B8F6-33C700A0AD93}" uniqueName="60" name="REMARKS/DESCRIPTION6" queryTableFieldId="60"/>
    <tableColumn id="61" xr3:uid="{2FC6B82B-D064-4353-B2B3-DF02549AFDF9}" uniqueName="61" name="END THE FORM6" queryTableFieldId="61"/>
    <tableColumn id="62" xr3:uid="{64BC4076-828B-448F-B2B6-351FB20F2C9F}" uniqueName="62" name="AREA7" queryTableFieldId="62"/>
    <tableColumn id="63" xr3:uid="{1D6D4461-1396-47C4-8C71-18B7F226388E}" uniqueName="63" name="AG/UG7" queryTableFieldId="63"/>
    <tableColumn id="64" xr3:uid="{8FC94585-AC4C-4C6E-ABFB-C3714563E7CC}" uniqueName="64" name="SERVICE7" queryTableFieldId="64"/>
    <tableColumn id="65" xr3:uid="{B9014F0D-F7CB-405A-9C71-9D6D8EF56B9B}" uniqueName="65" name="UOM7" queryTableFieldId="65"/>
    <tableColumn id="66" xr3:uid="{A4C1D0B8-CB43-442F-B7EB-B7A5722BAC2A}" uniqueName="66" name="QTY7" queryTableFieldId="66"/>
    <tableColumn id="67" xr3:uid="{3CEDA74A-859E-4D0D-B3F0-432D4518C830}" uniqueName="67" name="WORK TYPE7" queryTableFieldId="67"/>
    <tableColumn id="68" xr3:uid="{C4634C7C-15AE-455B-836C-6A5BF49F399E}" uniqueName="68" name="VENDOR7" queryTableFieldId="68"/>
    <tableColumn id="69" xr3:uid="{68E5BC01-CF6B-4D42-B053-8B2B3C78FA86}" uniqueName="69" name="REMARKS/DESCRIPTION7" queryTableFieldId="69"/>
    <tableColumn id="70" xr3:uid="{64D88C5F-A638-49FF-B607-F4434585DA2E}" uniqueName="70" name="END THE FORM7" queryTableFieldId="70"/>
    <tableColumn id="71" xr3:uid="{251B116C-1AD1-43E5-AD17-F52423AE7E38}" uniqueName="71" name="AREA8" queryTableFieldId="71"/>
    <tableColumn id="72" xr3:uid="{7E08438C-E7B1-40CB-888E-511C8B771D9E}" uniqueName="72" name="AG/UG8" queryTableFieldId="72"/>
    <tableColumn id="73" xr3:uid="{CA422027-015E-4BA5-A256-AFEE18527D62}" uniqueName="73" name="SERVICE8" queryTableFieldId="73"/>
    <tableColumn id="74" xr3:uid="{5E4A9400-7B7D-4F56-A2E8-7621BFC4144E}" uniqueName="74" name="UOM8" queryTableFieldId="74"/>
    <tableColumn id="75" xr3:uid="{D047A4DA-581D-4FE7-98DF-7AE36F424536}" uniqueName="75" name="QTY8" queryTableFieldId="75"/>
    <tableColumn id="76" xr3:uid="{F1C774A6-DDDC-425E-8251-C3FFA3A7B9F4}" uniqueName="76" name="WORK TYPE8" queryTableFieldId="76"/>
    <tableColumn id="77" xr3:uid="{01AD7643-F954-4399-BFB8-46FA49DEC80B}" uniqueName="77" name="VENDOR8" queryTableFieldId="77"/>
    <tableColumn id="78" xr3:uid="{4DF974F1-10D7-458F-B520-D1945D173DFC}" uniqueName="78" name="REMARKS/DESCRIPTION8" queryTableFieldId="78"/>
    <tableColumn id="79" xr3:uid="{94FB8925-AA12-4AA2-9927-8035A8485FBA}" uniqueName="79" name="END THE FORM8" queryTableFieldId="79"/>
    <tableColumn id="80" xr3:uid="{75E69898-0496-49AB-A12D-5D4F859D32DE}" uniqueName="80" name="AREA9" queryTableFieldId="80"/>
    <tableColumn id="81" xr3:uid="{13CA580D-37B4-420C-98E0-676E49791467}" uniqueName="81" name="AG/UG9" queryTableFieldId="81"/>
    <tableColumn id="82" xr3:uid="{E6580AE2-BA5F-46F3-A8D7-79FF92B9D434}" uniqueName="82" name="SERVICE9" queryTableFieldId="82"/>
    <tableColumn id="83" xr3:uid="{D073BB95-A951-4DD7-B4B7-E0CC1534923D}" uniqueName="83" name="UOM9" queryTableFieldId="83"/>
    <tableColumn id="84" xr3:uid="{1A0E59CF-C22D-47C1-A17E-983BAA1301DD}" uniqueName="84" name="QTY9" queryTableFieldId="84"/>
    <tableColumn id="85" xr3:uid="{9B0CE70E-E0B6-4C01-9F8D-DFE31307E6A1}" uniqueName="85" name="WORK TYPE9" queryTableFieldId="85"/>
    <tableColumn id="86" xr3:uid="{A5076B7D-294A-4AEC-85A7-C649477F1664}" uniqueName="86" name="VENDOR9" queryTableFieldId="86"/>
    <tableColumn id="87" xr3:uid="{3486D539-3874-40C5-9078-1CA01858B4CE}" uniqueName="87" name="REMARKS/DESCRIPTION9" queryTableFieldId="87"/>
    <tableColumn id="88" xr3:uid="{3FB8896C-B489-48AA-8EFA-5D51AB5F63E3}" uniqueName="88" name="END THE FORM9" queryTableFieldId="88"/>
    <tableColumn id="89" xr3:uid="{6BC45561-16AB-49E5-8C73-E6789F115E05}" uniqueName="89" name="AREA10" queryTableFieldId="89"/>
    <tableColumn id="90" xr3:uid="{2A65675E-0240-4783-AAFA-CC8AEBE6F1F5}" uniqueName="90" name="AG/UG10" queryTableFieldId="90"/>
    <tableColumn id="91" xr3:uid="{6EF33E54-FAAF-4784-8642-5F77A63EA2E7}" uniqueName="91" name="SERVICE10" queryTableFieldId="91"/>
    <tableColumn id="92" xr3:uid="{EECC592F-C769-480A-8C44-001CB48DD6E3}" uniqueName="92" name="UOM10" queryTableFieldId="92"/>
    <tableColumn id="93" xr3:uid="{BDA9AA88-6A40-4F43-BEC8-65275EBBFC23}" uniqueName="93" name="QTY10" queryTableFieldId="93"/>
    <tableColumn id="94" xr3:uid="{31DD4682-E147-419D-8B48-3F1339926579}" uniqueName="94" name="WORK TYPE10" queryTableFieldId="94"/>
    <tableColumn id="95" xr3:uid="{270655D5-6B44-4738-9AB2-E718480278F8}" uniqueName="95" name="VENDOR10" queryTableFieldId="95"/>
    <tableColumn id="96" xr3:uid="{125A7126-470F-4762-9125-1140F2535268}" uniqueName="96" name="REMARKS/DESCRIPTION10" queryTableFieldId="96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83FC4A4-4A2E-4512-951F-1FEC46885DD5}" name="STRUCT_FORM_TABLE" displayName="STRUCT_FORM_TABLE" ref="A1:CH2" tableType="queryTable" insertRow="1" totalsRowShown="0">
  <autoFilter ref="A1:CH2" xr:uid="{783FC4A4-4A2E-4512-951F-1FEC46885DD5}"/>
  <tableColumns count="86">
    <tableColumn id="1" xr3:uid="{35877602-169F-4045-A072-A50F77BC7D07}" uniqueName="1" name="ID" queryTableFieldId="1"/>
    <tableColumn id="2" xr3:uid="{B304FC7D-79C4-47AF-B248-4FABB2F81E20}" uniqueName="2" name="Start time" queryTableFieldId="2" dataDxfId="14"/>
    <tableColumn id="3" xr3:uid="{584BE370-C3E6-40F5-A2A9-5B5FE3D9833F}" uniqueName="3" name="Completion time" queryTableFieldId="3" dataDxfId="13"/>
    <tableColumn id="4" xr3:uid="{A34E9204-1307-4D38-BCBF-82A4B2CAD238}" uniqueName="4" name="Email" queryTableFieldId="4"/>
    <tableColumn id="5" xr3:uid="{73E215BA-BFB5-436B-AC9E-79EEB0B6856B}" uniqueName="5" name="Name" queryTableFieldId="5"/>
    <tableColumn id="6" xr3:uid="{9D7C7AC2-CC58-40D7-8248-0AF749696BCB}" uniqueName="6" name="Last modified time" queryTableFieldId="6"/>
    <tableColumn id="7" xr3:uid="{1735BC5C-2C40-4B25-8B27-2D49972E09AD}" uniqueName="7" name="DATE" queryTableFieldId="7" dataDxfId="12"/>
    <tableColumn id="8" xr3:uid="{429D9006-1EDA-49FA-86D6-5F825B222226}" uniqueName="8" name="AREA" queryTableFieldId="8"/>
    <tableColumn id="9" xr3:uid="{F18A105D-E15C-458B-A152-49EB8F83D74B}" uniqueName="9" name="COMMODITY" queryTableFieldId="9"/>
    <tableColumn id="10" xr3:uid="{20FB9980-DD62-474F-81A9-5FF94E9F482C}" uniqueName="10" name="TAG NO." queryTableFieldId="10"/>
    <tableColumn id="11" xr3:uid="{F7F4F159-81CD-47B6-AC1F-D42B54A7A505}" uniqueName="11" name="TAG LETTER" queryTableFieldId="11"/>
    <tableColumn id="12" xr3:uid="{6CA2DD46-A0A3-48FE-8382-10F854191FE6}" uniqueName="12" name="UOM" queryTableFieldId="12"/>
    <tableColumn id="13" xr3:uid="{58825215-C9B0-4531-87A2-DD7E2AE26C84}" uniqueName="13" name="QTY" queryTableFieldId="13"/>
    <tableColumn id="14" xr3:uid="{E01EC90A-98EF-432A-BBBE-C010AA1312F4}" uniqueName="14" name="REMARKS" queryTableFieldId="14"/>
    <tableColumn id="15" xr3:uid="{A65F2DFC-D0F8-4A02-8616-68D7CE7F07C4}" uniqueName="15" name="END THE FORM" queryTableFieldId="15"/>
    <tableColumn id="16" xr3:uid="{65CB9043-16A1-4087-AC5E-A94FD967D53C}" uniqueName="16" name="AREA2" queryTableFieldId="16"/>
    <tableColumn id="17" xr3:uid="{77413EAA-755F-4817-86A4-E4259C31E7F4}" uniqueName="17" name="COMMODITY2" queryTableFieldId="17"/>
    <tableColumn id="18" xr3:uid="{9DBEB7A6-6F78-4C01-82DC-59610C952363}" uniqueName="18" name="TAG NO.2" queryTableFieldId="18"/>
    <tableColumn id="19" xr3:uid="{9FF0D477-F0A1-4AFF-A661-098C7C98B894}" uniqueName="19" name="TAG LETTER2" queryTableFieldId="19"/>
    <tableColumn id="20" xr3:uid="{4ED7DF04-80EB-499C-AB7C-E055ED98FCBA}" uniqueName="20" name="UOM2" queryTableFieldId="20"/>
    <tableColumn id="21" xr3:uid="{3B6C814D-AAF0-422C-93CD-96AEABCED965}" uniqueName="21" name="QTY2" queryTableFieldId="21"/>
    <tableColumn id="22" xr3:uid="{4CA49B8C-50CD-4FA5-8AFA-C142A0EBDF31}" uniqueName="22" name="REMARKS2" queryTableFieldId="22"/>
    <tableColumn id="23" xr3:uid="{A5787AF0-8589-45E5-B084-01CD3BB0256B}" uniqueName="23" name="END THE FORM2" queryTableFieldId="23"/>
    <tableColumn id="24" xr3:uid="{E2ECD6D9-EABD-422E-A89D-A55A0A711094}" uniqueName="24" name="AREA3" queryTableFieldId="24"/>
    <tableColumn id="25" xr3:uid="{A2FFA89D-CD1F-487A-9A23-8DC7F2855472}" uniqueName="25" name="COMMODITY3" queryTableFieldId="25"/>
    <tableColumn id="26" xr3:uid="{4B2FC84E-25C1-41D1-8489-EBE5BFBB2752}" uniqueName="26" name="TAG NO.3" queryTableFieldId="26"/>
    <tableColumn id="27" xr3:uid="{9BED528A-ABED-4456-9613-35D0F1E9AC16}" uniqueName="27" name="TAG LETTER3" queryTableFieldId="27"/>
    <tableColumn id="28" xr3:uid="{96992DE3-0D7E-4427-8321-6DCCBF326DA0}" uniqueName="28" name="UOM3" queryTableFieldId="28"/>
    <tableColumn id="29" xr3:uid="{918E74D3-E3F1-4067-B68E-1FD2562F2773}" uniqueName="29" name="QTY3" queryTableFieldId="29"/>
    <tableColumn id="30" xr3:uid="{801DC5D2-D771-4A85-86E6-D6F9E2C3734B}" uniqueName="30" name="REMARKS3" queryTableFieldId="30"/>
    <tableColumn id="31" xr3:uid="{0E074A86-17D0-44FA-9869-BF0CCA73A526}" uniqueName="31" name="END THE FORM3" queryTableFieldId="31"/>
    <tableColumn id="32" xr3:uid="{32DC8D0A-F656-4B75-A4D2-5D6775077512}" uniqueName="32" name="AREA4" queryTableFieldId="32"/>
    <tableColumn id="33" xr3:uid="{DAE000F6-9681-4907-AF55-0A2559C314B1}" uniqueName="33" name="COMMODITY4" queryTableFieldId="33"/>
    <tableColumn id="34" xr3:uid="{6BE676BE-B7F8-4B08-B62B-708776605794}" uniqueName="34" name="TAG NO.4" queryTableFieldId="34"/>
    <tableColumn id="35" xr3:uid="{BF3999A7-8809-4255-94F3-5D507891AB7E}" uniqueName="35" name="TAG LETTER4" queryTableFieldId="35"/>
    <tableColumn id="36" xr3:uid="{E26622AE-F8F5-4778-87DC-54DEB8917A8A}" uniqueName="36" name="UOM4" queryTableFieldId="36"/>
    <tableColumn id="37" xr3:uid="{D6EA4748-6345-4B08-9870-85B697D6A7B2}" uniqueName="37" name="QTY4" queryTableFieldId="37"/>
    <tableColumn id="38" xr3:uid="{DE564D2D-756B-4C2E-88F6-8F7E137AAA1D}" uniqueName="38" name="REMARKS4" queryTableFieldId="38"/>
    <tableColumn id="39" xr3:uid="{FCABA45B-90D3-4C12-B5F8-F73F23C0C0C3}" uniqueName="39" name="END THE FORM4" queryTableFieldId="39"/>
    <tableColumn id="40" xr3:uid="{4986B41A-B132-40DF-BDBF-4A33B30D77FD}" uniqueName="40" name="AREA5" queryTableFieldId="40"/>
    <tableColumn id="41" xr3:uid="{3F0B86DC-0C62-430F-959F-B7A296EEFCC6}" uniqueName="41" name="COMMODITY5" queryTableFieldId="41"/>
    <tableColumn id="42" xr3:uid="{8E50B2E7-4E82-4BA5-B7DB-F745123DC620}" uniqueName="42" name="TAG NO.5" queryTableFieldId="42"/>
    <tableColumn id="43" xr3:uid="{E7A2A26E-D07B-4E3B-81F2-2F77AC662E22}" uniqueName="43" name="TAG LETTER5" queryTableFieldId="43"/>
    <tableColumn id="44" xr3:uid="{E93B8BC6-879F-4F9D-9298-75283C589C53}" uniqueName="44" name="UOM5" queryTableFieldId="44"/>
    <tableColumn id="45" xr3:uid="{4009BA71-D983-41C8-A19E-9D75329E4CF3}" uniqueName="45" name="QTY5" queryTableFieldId="45"/>
    <tableColumn id="46" xr3:uid="{7A3BD65D-0568-4811-B21C-E4F214E9F318}" uniqueName="46" name="REMARKS5" queryTableFieldId="46"/>
    <tableColumn id="47" xr3:uid="{C617571E-3666-4CFA-9435-F3528F64A148}" uniqueName="47" name="END THE FORM5" queryTableFieldId="47"/>
    <tableColumn id="48" xr3:uid="{38D77CE6-72AF-47C4-9791-0A27E4A0CC20}" uniqueName="48" name="AREA6" queryTableFieldId="48"/>
    <tableColumn id="49" xr3:uid="{13573775-75B3-4DAD-A125-626209E6339B}" uniqueName="49" name="COMMODITY6" queryTableFieldId="49"/>
    <tableColumn id="50" xr3:uid="{2CA68ED1-95E1-4EDA-B7F9-589DBFE470D3}" uniqueName="50" name="TAG NO.6" queryTableFieldId="50"/>
    <tableColumn id="51" xr3:uid="{C149C2DD-A839-484F-B51A-9A4E4B15D3CC}" uniqueName="51" name="TAG LETTER6" queryTableFieldId="51"/>
    <tableColumn id="52" xr3:uid="{C9EF2BDC-E878-4F22-AA75-872E81C11DE9}" uniqueName="52" name="UOM6" queryTableFieldId="52"/>
    <tableColumn id="53" xr3:uid="{10D85AF3-9551-40B5-ABF5-9DC48AA891B0}" uniqueName="53" name="QTY6" queryTableFieldId="53"/>
    <tableColumn id="54" xr3:uid="{DABE7219-ADA6-43CC-96D8-56946C75AA38}" uniqueName="54" name="REMARKS6" queryTableFieldId="54"/>
    <tableColumn id="55" xr3:uid="{2C2949ED-DC8D-4B5F-9B27-E2E8FCC254C6}" uniqueName="55" name="END THE FORM6" queryTableFieldId="55"/>
    <tableColumn id="56" xr3:uid="{288AD053-B99D-4992-B97D-80B8B45900FC}" uniqueName="56" name="AREA7" queryTableFieldId="56"/>
    <tableColumn id="57" xr3:uid="{3A814E6D-2E0A-4819-81BE-16EABBF4B364}" uniqueName="57" name="COMMODITY7" queryTableFieldId="57"/>
    <tableColumn id="58" xr3:uid="{B9FDA441-04DE-4976-BB0E-2CF03AE6B854}" uniqueName="58" name="TAG NO.7" queryTableFieldId="58"/>
    <tableColumn id="59" xr3:uid="{15FBE49D-7B43-4270-9BC0-A355FB3FDD72}" uniqueName="59" name="TAG LETTER7" queryTableFieldId="59"/>
    <tableColumn id="60" xr3:uid="{AA7866DA-AB22-4929-80BA-CC91A7AAA432}" uniqueName="60" name="UOM7" queryTableFieldId="60"/>
    <tableColumn id="61" xr3:uid="{FDC6D38C-9796-4DD5-9EE6-566158FB0B98}" uniqueName="61" name="QTY7" queryTableFieldId="61"/>
    <tableColumn id="62" xr3:uid="{3DF436D0-5328-44FE-874A-3E8AD57B4BF2}" uniqueName="62" name="REMARKS7" queryTableFieldId="62"/>
    <tableColumn id="63" xr3:uid="{7D66DB9E-7474-4F4B-9410-EC62C62385A5}" uniqueName="63" name="END THE FORM7" queryTableFieldId="63"/>
    <tableColumn id="64" xr3:uid="{C0A4BAE4-2307-4C88-BA67-E692450DA524}" uniqueName="64" name="AREA8" queryTableFieldId="64"/>
    <tableColumn id="65" xr3:uid="{2515EF0B-3D00-467F-B83B-4C9287CAD118}" uniqueName="65" name="COMMODITY8" queryTableFieldId="65"/>
    <tableColumn id="66" xr3:uid="{37111280-424B-422C-AD18-1C1CE8270994}" uniqueName="66" name="TAG NO.8" queryTableFieldId="66"/>
    <tableColumn id="67" xr3:uid="{F350D0B4-2AE3-4CE2-9C77-076780F0C595}" uniqueName="67" name="TAG LETTER8" queryTableFieldId="67"/>
    <tableColumn id="68" xr3:uid="{E57E2EA4-1222-4E40-B71E-304FCC330DB6}" uniqueName="68" name="UOM8" queryTableFieldId="68"/>
    <tableColumn id="69" xr3:uid="{1BE19C9C-EBD4-44C6-BC10-2FBE3847E711}" uniqueName="69" name="QTY8" queryTableFieldId="69"/>
    <tableColumn id="70" xr3:uid="{B20795F4-7EF3-4882-8983-85762A8DB060}" uniqueName="70" name="REMARKS8" queryTableFieldId="70"/>
    <tableColumn id="71" xr3:uid="{BA58520B-E22C-4FC8-954D-E8D290E2C171}" uniqueName="71" name="END THE FORM8" queryTableFieldId="71"/>
    <tableColumn id="72" xr3:uid="{1F05FF00-CBF7-4BA1-97A7-422BEDBBA5BA}" uniqueName="72" name="AREA9" queryTableFieldId="72"/>
    <tableColumn id="73" xr3:uid="{B329927E-707B-4791-A6A9-4204DBC115D9}" uniqueName="73" name="COMMODITY9" queryTableFieldId="73"/>
    <tableColumn id="74" xr3:uid="{B2ADAE1E-2195-4605-A6A9-DA44FB336FA8}" uniqueName="74" name="TAG NO.9" queryTableFieldId="74"/>
    <tableColumn id="75" xr3:uid="{89B8C2B9-8049-4612-BF30-929CC384C75D}" uniqueName="75" name="TAG LETTER9" queryTableFieldId="75"/>
    <tableColumn id="76" xr3:uid="{B867645B-1DBB-40B5-AE1A-E42E4E950351}" uniqueName="76" name="UOM9" queryTableFieldId="76"/>
    <tableColumn id="77" xr3:uid="{1F15FB6E-BBE2-44F1-A7B4-5C0FFE240CAF}" uniqueName="77" name="QTY9" queryTableFieldId="77"/>
    <tableColumn id="78" xr3:uid="{A0B15FA6-BB75-4AFA-93E3-4BE850E43271}" uniqueName="78" name="REMARKS9" queryTableFieldId="78"/>
    <tableColumn id="79" xr3:uid="{D994800E-3764-4C90-83B8-3B5DD460F1C2}" uniqueName="79" name="END THE FORM9" queryTableFieldId="79"/>
    <tableColumn id="80" xr3:uid="{06472D23-5418-49B2-BA45-E753D2360E42}" uniqueName="80" name="AREA10" queryTableFieldId="80"/>
    <tableColumn id="81" xr3:uid="{A0876942-8E43-47B5-AC25-B48AB28024E7}" uniqueName="81" name="COMMODITY10" queryTableFieldId="81"/>
    <tableColumn id="82" xr3:uid="{846FACC2-A499-49EE-AEBF-355B1D6B9AB6}" uniqueName="82" name="TAG NO.10" queryTableFieldId="82"/>
    <tableColumn id="83" xr3:uid="{D7A954A1-F8A0-4CD8-99B6-FEF66F8D71BB}" uniqueName="83" name="TAG LETTER10" queryTableFieldId="83"/>
    <tableColumn id="84" xr3:uid="{143A6882-8992-4B77-A97C-35E6C19C8DA1}" uniqueName="84" name="UOM10" queryTableFieldId="84"/>
    <tableColumn id="85" xr3:uid="{2DC154CE-5759-4FA1-85C8-0C1DC44D7837}" uniqueName="85" name="QTY10" queryTableFieldId="85"/>
    <tableColumn id="86" xr3:uid="{E67E63F2-0B62-4520-94A2-238428A1C4C1}" uniqueName="86" name="REMARKS10" queryTableFieldId="86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86BB470-DD10-461A-B36C-8351B2715EA9}" name="RAW_CIVIL" displayName="RAW_CIVIL" ref="B4:K35" totalsRowShown="0" tableBorderDxfId="54">
  <autoFilter ref="B4:K35" xr:uid="{486BB470-DD10-461A-B36C-8351B2715EA9}"/>
  <tableColumns count="10">
    <tableColumn id="1" xr3:uid="{EAA6408C-230B-4ABF-AA4B-49CDE931C9EB}" name="DATE" dataDxfId="11">
      <calculatedColumnFormula>TODAY()-35</calculatedColumnFormula>
    </tableColumn>
    <tableColumn id="2" xr3:uid="{DD7848D5-CF7A-4840-B2E7-4494983CE747}" name="AREA" dataDxfId="53"/>
    <tableColumn id="3" xr3:uid="{3FD0198E-ABB3-479B-9762-612A96C54E3E}" name="COMMODITY" dataDxfId="52"/>
    <tableColumn id="4" xr3:uid="{2A2004B6-C543-408D-9C9F-E070A7481879}" name="TAG NO." dataDxfId="51"/>
    <tableColumn id="5" xr3:uid="{3B12A1DA-D43D-4A5E-9BCA-507500EAD972}" name="TAG LETTER" dataDxfId="50"/>
    <tableColumn id="6" xr3:uid="{6C559F44-4BF9-4C0C-8E22-CC4316FBA502}" name="UOM" dataDxfId="49"/>
    <tableColumn id="7" xr3:uid="{A839DEAF-4451-4CB3-9761-9405C0D11FC0}" name="QTY"/>
    <tableColumn id="8" xr3:uid="{9FF76F29-6300-4012-84A6-1BF6C0AB2B42}" name="WORK TYPE" dataDxfId="48"/>
    <tableColumn id="9" xr3:uid="{AD3DDF62-2476-4087-8B91-1C4CD8674B37}" name="VENDOR" dataDxfId="47"/>
    <tableColumn id="10" xr3:uid="{E9CFE408-C591-4B63-9853-79764147A7B8}" name="REMARKS/DESCRIPTION" dataDxfId="46"/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C22C2B0-6736-4B87-8CB2-C2B634AB33A6}" name="ROW_PIPING" displayName="ROW_PIPING" ref="B4:J15" totalsRowShown="0" headerRowDxfId="45" dataDxfId="43" headerRowBorderDxfId="44" tableBorderDxfId="42" totalsRowBorderDxfId="41">
  <autoFilter ref="B4:J15" xr:uid="{EC22C2B0-6736-4B87-8CB2-C2B634AB33A6}"/>
  <tableColumns count="9">
    <tableColumn id="1" xr3:uid="{1349B7DD-AD76-4B70-AFF9-9439763C8EF6}" name="DATE" dataDxfId="10">
      <calculatedColumnFormula>TODAY()-35</calculatedColumnFormula>
    </tableColumn>
    <tableColumn id="2" xr3:uid="{68DF754C-534C-4ACF-B2B2-758D42A47B47}" name="AREA" dataDxfId="40"/>
    <tableColumn id="3" xr3:uid="{419054C1-8E2B-46C7-B7C1-CCD7BD2D1CF8}" name="AG/UG" dataDxfId="39"/>
    <tableColumn id="4" xr3:uid="{787BB3E9-92C3-4EA2-9211-086AB702705F}" name="SERVICE" dataDxfId="38"/>
    <tableColumn id="5" xr3:uid="{0BBD23E0-A228-4107-ACA5-D767B84A9634}" name="UOM" dataDxfId="37"/>
    <tableColumn id="6" xr3:uid="{44373ABB-4527-4EC9-9B75-ACE9748DFC3D}" name="QTY" dataDxfId="36"/>
    <tableColumn id="7" xr3:uid="{FA2C1687-E7C9-4070-9885-BF1FD6404F0C}" name="WORK TYPE" dataDxfId="35"/>
    <tableColumn id="8" xr3:uid="{94E785CC-2032-4421-994E-EEFD55534473}" name="VENDOR" dataDxfId="34"/>
    <tableColumn id="9" xr3:uid="{85DD32B0-DC7D-4A44-8C6D-7C15E66189C8}" name="REMARKS/DESCRIPTION" dataDxfId="33"/>
  </tableColumns>
  <tableStyleInfo name="TableStyleLight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80A4AC7-4426-4C22-837C-948B1124A577}" name="ROW_STRUCT" displayName="ROW_STRUCT" ref="B4:I15" totalsRowShown="0" headerRowDxfId="32" dataDxfId="30" headerRowBorderDxfId="31" tableBorderDxfId="29" totalsRowBorderDxfId="28">
  <autoFilter ref="B4:I15" xr:uid="{B80A4AC7-4426-4C22-837C-948B1124A577}"/>
  <tableColumns count="8">
    <tableColumn id="1" xr3:uid="{33E57D89-6340-49CA-BC8A-682628AB57F7}" name="DATE" dataDxfId="9">
      <calculatedColumnFormula>TODAY()-35</calculatedColumnFormula>
    </tableColumn>
    <tableColumn id="2" xr3:uid="{596DF60E-62ED-4581-B38F-42633AB30901}" name="AREA" dataDxfId="27"/>
    <tableColumn id="3" xr3:uid="{8ACCF6A0-0515-4BCF-9B8C-2D98D4092EDF}" name="COMMODITY" dataDxfId="26"/>
    <tableColumn id="4" xr3:uid="{473E142E-CDB4-4C3B-914C-DFB3DEF1F7AB}" name="TAG NO." dataDxfId="25"/>
    <tableColumn id="5" xr3:uid="{B21B9336-FE76-42AD-AB43-AD3518D818B9}" name="TAG LETTER" dataDxfId="24"/>
    <tableColumn id="6" xr3:uid="{FBF62966-AF90-4837-99DD-E9E3660B6689}" name="UOM" dataDxfId="23"/>
    <tableColumn id="7" xr3:uid="{41A9FFE7-6609-4297-BBAB-0FA6D39DF79F}" name="QTY" dataDxfId="22"/>
    <tableColumn id="8" xr3:uid="{5CD51345-DA5F-4095-A327-4F0EF8882E84}" name="REMARKS" dataDxfId="21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5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4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3D746A-2AF2-4094-936C-1E3C4CBA3E8D}">
  <sheetPr codeName="Sheet6"/>
  <dimension ref="A1"/>
  <sheetViews>
    <sheetView workbookViewId="0">
      <selection activeCell="F27" sqref="F27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FB3AC-77C8-4E45-A597-8825AF6E8C22}">
  <sheetPr codeName="Sheet1"/>
  <dimension ref="B1:AD18"/>
  <sheetViews>
    <sheetView tabSelected="1" workbookViewId="0">
      <selection activeCell="O29" sqref="O29"/>
    </sheetView>
  </sheetViews>
  <sheetFormatPr defaultRowHeight="15" x14ac:dyDescent="0.25"/>
  <cols>
    <col min="1" max="1" width="5.140625" bestFit="1" customWidth="1"/>
    <col min="2" max="2" width="10.5703125" bestFit="1" customWidth="1"/>
    <col min="3" max="3" width="10.42578125" bestFit="1" customWidth="1"/>
    <col min="4" max="4" width="15" bestFit="1" customWidth="1"/>
    <col min="5" max="5" width="10.85546875" bestFit="1" customWidth="1"/>
    <col min="6" max="6" width="13.42578125" bestFit="1" customWidth="1"/>
    <col min="7" max="7" width="8" bestFit="1" customWidth="1"/>
    <col min="8" max="8" width="6.85546875" bestFit="1" customWidth="1"/>
    <col min="9" max="9" width="13.7109375" bestFit="1" customWidth="1"/>
    <col min="10" max="10" width="10.85546875" bestFit="1" customWidth="1"/>
    <col min="11" max="11" width="24.85546875" bestFit="1" customWidth="1"/>
    <col min="12" max="12" width="13.42578125" bestFit="1" customWidth="1"/>
    <col min="13" max="13" width="10.5703125" bestFit="1" customWidth="1"/>
    <col min="14" max="14" width="8" bestFit="1" customWidth="1"/>
    <col min="15" max="15" width="9.7109375" bestFit="1" customWidth="1"/>
    <col min="16" max="16" width="10.42578125" bestFit="1" customWidth="1"/>
    <col min="17" max="17" width="8" bestFit="1" customWidth="1"/>
    <col min="18" max="18" width="6.85546875" bestFit="1" customWidth="1"/>
    <col min="19" max="19" width="13.7109375" bestFit="1" customWidth="1"/>
    <col min="20" max="20" width="10.85546875" bestFit="1" customWidth="1"/>
    <col min="21" max="21" width="24.85546875" bestFit="1" customWidth="1"/>
    <col min="22" max="22" width="9" bestFit="1" customWidth="1"/>
    <col min="23" max="23" width="10.5703125" bestFit="1" customWidth="1"/>
    <col min="24" max="24" width="8" bestFit="1" customWidth="1"/>
    <col min="25" max="25" width="15" bestFit="1" customWidth="1"/>
    <col min="26" max="26" width="10.85546875" bestFit="1" customWidth="1"/>
    <col min="27" max="27" width="13.42578125" bestFit="1" customWidth="1"/>
    <col min="28" max="28" width="8" bestFit="1" customWidth="1"/>
    <col min="29" max="29" width="6.85546875" bestFit="1" customWidth="1"/>
    <col min="30" max="30" width="11.85546875" bestFit="1" customWidth="1"/>
    <col min="31" max="31" width="9" bestFit="1" customWidth="1"/>
    <col min="32" max="32" width="7.85546875" bestFit="1" customWidth="1"/>
    <col min="33" max="33" width="14.7109375" bestFit="1" customWidth="1"/>
    <col min="34" max="34" width="25.85546875" bestFit="1" customWidth="1"/>
    <col min="35" max="35" width="17.7109375" bestFit="1" customWidth="1"/>
    <col min="36" max="36" width="20.7109375" bestFit="1" customWidth="1"/>
    <col min="37" max="37" width="16.140625" bestFit="1" customWidth="1"/>
    <col min="38" max="38" width="11.85546875" bestFit="1" customWidth="1"/>
    <col min="39" max="39" width="14.42578125" bestFit="1" customWidth="1"/>
    <col min="40" max="40" width="9" bestFit="1" customWidth="1"/>
    <col min="41" max="41" width="7.85546875" bestFit="1" customWidth="1"/>
    <col min="42" max="42" width="14.7109375" bestFit="1" customWidth="1"/>
    <col min="43" max="43" width="25.85546875" bestFit="1" customWidth="1"/>
    <col min="44" max="44" width="17.7109375" bestFit="1" customWidth="1"/>
    <col min="45" max="45" width="20.7109375" bestFit="1" customWidth="1"/>
    <col min="46" max="46" width="16.140625" bestFit="1" customWidth="1"/>
    <col min="47" max="47" width="11.85546875" bestFit="1" customWidth="1"/>
    <col min="48" max="48" width="14.42578125" bestFit="1" customWidth="1"/>
    <col min="49" max="49" width="9" bestFit="1" customWidth="1"/>
    <col min="50" max="50" width="7.85546875" bestFit="1" customWidth="1"/>
    <col min="51" max="51" width="14.7109375" bestFit="1" customWidth="1"/>
    <col min="52" max="52" width="25.85546875" bestFit="1" customWidth="1"/>
    <col min="53" max="53" width="17.7109375" bestFit="1" customWidth="1"/>
    <col min="54" max="54" width="20.7109375" bestFit="1" customWidth="1"/>
    <col min="55" max="55" width="16.140625" bestFit="1" customWidth="1"/>
    <col min="56" max="56" width="11.85546875" bestFit="1" customWidth="1"/>
    <col min="57" max="57" width="14.42578125" bestFit="1" customWidth="1"/>
    <col min="58" max="58" width="9" bestFit="1" customWidth="1"/>
    <col min="59" max="59" width="7.85546875" bestFit="1" customWidth="1"/>
    <col min="60" max="60" width="14.7109375" bestFit="1" customWidth="1"/>
    <col min="61" max="61" width="25.85546875" bestFit="1" customWidth="1"/>
    <col min="62" max="62" width="17.7109375" bestFit="1" customWidth="1"/>
    <col min="63" max="63" width="20.7109375" bestFit="1" customWidth="1"/>
    <col min="64" max="64" width="16.140625" bestFit="1" customWidth="1"/>
    <col min="65" max="65" width="11.85546875" bestFit="1" customWidth="1"/>
    <col min="66" max="66" width="14.42578125" bestFit="1" customWidth="1"/>
    <col min="67" max="67" width="9" bestFit="1" customWidth="1"/>
    <col min="68" max="68" width="7.85546875" bestFit="1" customWidth="1"/>
    <col min="69" max="69" width="14.7109375" bestFit="1" customWidth="1"/>
    <col min="70" max="70" width="25.85546875" bestFit="1" customWidth="1"/>
    <col min="71" max="71" width="17.7109375" bestFit="1" customWidth="1"/>
    <col min="72" max="72" width="20.7109375" bestFit="1" customWidth="1"/>
    <col min="73" max="73" width="16.140625" bestFit="1" customWidth="1"/>
    <col min="74" max="74" width="11.85546875" bestFit="1" customWidth="1"/>
    <col min="75" max="75" width="14.42578125" bestFit="1" customWidth="1"/>
    <col min="76" max="76" width="9" bestFit="1" customWidth="1"/>
    <col min="77" max="77" width="7.85546875" bestFit="1" customWidth="1"/>
    <col min="78" max="78" width="14.7109375" bestFit="1" customWidth="1"/>
    <col min="79" max="79" width="25.85546875" bestFit="1" customWidth="1"/>
    <col min="80" max="80" width="17.7109375" bestFit="1" customWidth="1"/>
    <col min="81" max="81" width="20.7109375" bestFit="1" customWidth="1"/>
    <col min="82" max="82" width="16.140625" bestFit="1" customWidth="1"/>
    <col min="83" max="83" width="11.85546875" bestFit="1" customWidth="1"/>
    <col min="84" max="84" width="14.42578125" bestFit="1" customWidth="1"/>
    <col min="85" max="85" width="9" bestFit="1" customWidth="1"/>
    <col min="86" max="86" width="7.85546875" bestFit="1" customWidth="1"/>
    <col min="87" max="87" width="14.7109375" bestFit="1" customWidth="1"/>
    <col min="88" max="88" width="25.85546875" bestFit="1" customWidth="1"/>
    <col min="89" max="89" width="17.7109375" bestFit="1" customWidth="1"/>
    <col min="90" max="90" width="20.7109375" bestFit="1" customWidth="1"/>
    <col min="91" max="91" width="17.140625" bestFit="1" customWidth="1"/>
    <col min="92" max="92" width="12.85546875" bestFit="1" customWidth="1"/>
    <col min="93" max="93" width="15.5703125" bestFit="1" customWidth="1"/>
    <col min="94" max="94" width="10" bestFit="1" customWidth="1"/>
    <col min="95" max="95" width="8.85546875" bestFit="1" customWidth="1"/>
    <col min="96" max="96" width="15.85546875" bestFit="1" customWidth="1"/>
    <col min="97" max="97" width="26.85546875" bestFit="1" customWidth="1"/>
  </cols>
  <sheetData>
    <row r="1" spans="2:30" x14ac:dyDescent="0.25">
      <c r="C1" t="s">
        <v>0</v>
      </c>
      <c r="D1" s="3" t="s">
        <v>1</v>
      </c>
      <c r="E1" t="s">
        <v>2</v>
      </c>
      <c r="F1" s="11" t="s">
        <v>153</v>
      </c>
      <c r="G1" s="11" t="s">
        <v>154</v>
      </c>
      <c r="H1" t="s">
        <v>155</v>
      </c>
      <c r="I1" t="s">
        <v>156</v>
      </c>
    </row>
    <row r="2" spans="2:30" x14ac:dyDescent="0.25">
      <c r="C2" s="1">
        <f ca="1">TODAY()-1</f>
        <v>45224</v>
      </c>
      <c r="D2" s="4" cm="1">
        <f t="array" ref="D2">COUNT(ROW(CIVIL_FORM_TABLE[Start time]))</f>
        <v>3</v>
      </c>
      <c r="E2" cm="1">
        <f t="array" ref="E2">COUNT(ROW(CIVIL_PROGRESS[]))-1</f>
        <v>12</v>
      </c>
      <c r="F2" s="11" cm="1">
        <f t="array" ref="F2">COUNT(ROW(PIPING_FORM_TABLE[Start time]))</f>
        <v>1</v>
      </c>
      <c r="G2" s="11" cm="1">
        <f t="array" ref="G2">COUNT(ROW(PIPING_PROGRESS[]))-1</f>
        <v>0</v>
      </c>
      <c r="H2" cm="1">
        <f t="array" ref="H2">COUNT(ROW(STRUCT_FORM_TABLE[Start time]))</f>
        <v>1</v>
      </c>
      <c r="I2" cm="1">
        <f t="array" ref="I2">COUNT(ROW(STRUCT_PROGRESS[]))-1</f>
        <v>0</v>
      </c>
    </row>
    <row r="4" spans="2:30" x14ac:dyDescent="0.25">
      <c r="B4" s="12" t="s">
        <v>15</v>
      </c>
      <c r="C4" s="12"/>
      <c r="D4" s="12"/>
      <c r="E4" s="12"/>
      <c r="F4" s="12"/>
      <c r="G4" s="12"/>
      <c r="H4" s="12"/>
      <c r="I4" s="12"/>
      <c r="J4" s="12"/>
      <c r="K4" s="12"/>
      <c r="M4" s="12" t="s">
        <v>157</v>
      </c>
      <c r="N4" s="12"/>
      <c r="O4" s="12"/>
      <c r="P4" s="12"/>
      <c r="Q4" s="12"/>
      <c r="R4" s="12"/>
      <c r="S4" s="12"/>
      <c r="T4" s="12"/>
      <c r="U4" s="12"/>
      <c r="W4" s="12" t="s">
        <v>158</v>
      </c>
      <c r="X4" s="12"/>
      <c r="Y4" s="12"/>
      <c r="Z4" s="12"/>
      <c r="AA4" s="12"/>
      <c r="AB4" s="12"/>
      <c r="AC4" s="12"/>
      <c r="AD4" s="12"/>
    </row>
    <row r="5" spans="2:30" x14ac:dyDescent="0.25">
      <c r="B5" t="s">
        <v>3</v>
      </c>
      <c r="C5" t="s">
        <v>4</v>
      </c>
      <c r="D5" t="s">
        <v>5</v>
      </c>
      <c r="E5" t="s">
        <v>6</v>
      </c>
      <c r="F5" t="s">
        <v>7</v>
      </c>
      <c r="G5" t="s">
        <v>8</v>
      </c>
      <c r="H5" t="s">
        <v>9</v>
      </c>
      <c r="I5" t="s">
        <v>10</v>
      </c>
      <c r="J5" t="s">
        <v>111</v>
      </c>
      <c r="K5" t="s">
        <v>11</v>
      </c>
      <c r="M5" t="s">
        <v>3</v>
      </c>
      <c r="N5" t="s">
        <v>4</v>
      </c>
      <c r="O5" t="s">
        <v>123</v>
      </c>
      <c r="P5" t="s">
        <v>124</v>
      </c>
      <c r="Q5" t="s">
        <v>8</v>
      </c>
      <c r="R5" t="s">
        <v>9</v>
      </c>
      <c r="S5" t="s">
        <v>10</v>
      </c>
      <c r="T5" t="s">
        <v>111</v>
      </c>
      <c r="U5" t="s">
        <v>11</v>
      </c>
      <c r="W5" t="s">
        <v>3</v>
      </c>
      <c r="X5" t="s">
        <v>4</v>
      </c>
      <c r="Y5" t="s">
        <v>5</v>
      </c>
      <c r="Z5" t="s">
        <v>6</v>
      </c>
      <c r="AA5" t="s">
        <v>7</v>
      </c>
      <c r="AB5" t="s">
        <v>8</v>
      </c>
      <c r="AC5" t="s">
        <v>9</v>
      </c>
      <c r="AD5" t="s">
        <v>143</v>
      </c>
    </row>
    <row r="6" spans="2:30" x14ac:dyDescent="0.25">
      <c r="B6" s="1">
        <v>45190</v>
      </c>
      <c r="C6" s="17"/>
      <c r="D6" s="17"/>
      <c r="F6" s="17"/>
      <c r="G6" s="17"/>
      <c r="I6" s="17"/>
      <c r="K6" s="17"/>
      <c r="M6" s="1">
        <v>45190</v>
      </c>
      <c r="W6" s="1">
        <v>45190</v>
      </c>
    </row>
    <row r="7" spans="2:30" x14ac:dyDescent="0.25">
      <c r="B7" s="1">
        <v>45190</v>
      </c>
      <c r="C7" s="17" t="s">
        <v>199</v>
      </c>
      <c r="D7" s="17" t="s">
        <v>199</v>
      </c>
      <c r="E7">
        <v>0</v>
      </c>
      <c r="F7" s="17">
        <v>0</v>
      </c>
      <c r="G7" s="17" t="s">
        <v>199</v>
      </c>
      <c r="H7">
        <v>0</v>
      </c>
      <c r="I7" s="17" t="s">
        <v>199</v>
      </c>
      <c r="K7" s="17">
        <v>0</v>
      </c>
    </row>
    <row r="8" spans="2:30" x14ac:dyDescent="0.25">
      <c r="B8" s="1">
        <v>45190</v>
      </c>
      <c r="C8" s="17" t="s">
        <v>189</v>
      </c>
      <c r="D8" s="17" t="s">
        <v>189</v>
      </c>
      <c r="E8">
        <v>1</v>
      </c>
      <c r="F8" s="17">
        <v>1</v>
      </c>
      <c r="G8" s="17" t="s">
        <v>189</v>
      </c>
      <c r="H8">
        <v>1</v>
      </c>
      <c r="I8" s="17" t="s">
        <v>189</v>
      </c>
      <c r="K8" s="17">
        <v>1</v>
      </c>
    </row>
    <row r="9" spans="2:30" x14ac:dyDescent="0.25">
      <c r="B9" s="1">
        <v>45190</v>
      </c>
      <c r="C9" s="17" t="s">
        <v>191</v>
      </c>
      <c r="D9" s="17" t="s">
        <v>191</v>
      </c>
      <c r="E9">
        <v>2</v>
      </c>
      <c r="F9" s="17">
        <v>2</v>
      </c>
      <c r="G9" s="17" t="s">
        <v>191</v>
      </c>
      <c r="H9">
        <v>2</v>
      </c>
      <c r="I9" s="17" t="s">
        <v>191</v>
      </c>
      <c r="K9" s="17">
        <v>2</v>
      </c>
    </row>
    <row r="10" spans="2:30" x14ac:dyDescent="0.25">
      <c r="B10" s="1">
        <v>45190</v>
      </c>
      <c r="C10" s="17" t="s">
        <v>192</v>
      </c>
      <c r="D10" s="17" t="s">
        <v>192</v>
      </c>
      <c r="E10">
        <v>3</v>
      </c>
      <c r="F10" s="17">
        <v>3</v>
      </c>
      <c r="G10" s="17" t="s">
        <v>192</v>
      </c>
      <c r="H10">
        <v>3</v>
      </c>
      <c r="I10" s="17" t="s">
        <v>192</v>
      </c>
      <c r="K10" s="17">
        <v>3</v>
      </c>
    </row>
    <row r="11" spans="2:30" x14ac:dyDescent="0.25">
      <c r="B11" s="1">
        <v>45190</v>
      </c>
      <c r="C11" s="17" t="s">
        <v>193</v>
      </c>
      <c r="D11" s="17" t="s">
        <v>193</v>
      </c>
      <c r="E11">
        <v>4</v>
      </c>
      <c r="F11" s="17">
        <v>4</v>
      </c>
      <c r="G11" s="17" t="s">
        <v>193</v>
      </c>
      <c r="H11">
        <v>4</v>
      </c>
      <c r="I11" s="17" t="s">
        <v>193</v>
      </c>
      <c r="K11" s="17">
        <v>4</v>
      </c>
    </row>
    <row r="12" spans="2:30" x14ac:dyDescent="0.25">
      <c r="B12" s="1">
        <v>45190</v>
      </c>
      <c r="C12" s="17" t="s">
        <v>194</v>
      </c>
      <c r="D12" s="17" t="s">
        <v>194</v>
      </c>
      <c r="E12">
        <v>5</v>
      </c>
      <c r="F12" s="17">
        <v>5</v>
      </c>
      <c r="G12" s="17" t="s">
        <v>194</v>
      </c>
      <c r="H12">
        <v>5</v>
      </c>
      <c r="I12" s="17" t="s">
        <v>194</v>
      </c>
      <c r="K12" s="17">
        <v>5</v>
      </c>
    </row>
    <row r="13" spans="2:30" x14ac:dyDescent="0.25">
      <c r="B13" s="1">
        <v>45190</v>
      </c>
      <c r="C13" s="17" t="s">
        <v>195</v>
      </c>
      <c r="D13" s="17" t="s">
        <v>195</v>
      </c>
      <c r="E13">
        <v>6</v>
      </c>
      <c r="F13" s="17">
        <v>6</v>
      </c>
      <c r="G13" s="17" t="s">
        <v>195</v>
      </c>
      <c r="H13">
        <v>6</v>
      </c>
      <c r="I13" s="17" t="s">
        <v>195</v>
      </c>
      <c r="K13" s="17">
        <v>6</v>
      </c>
    </row>
    <row r="14" spans="2:30" x14ac:dyDescent="0.25">
      <c r="B14" s="1">
        <v>45190</v>
      </c>
      <c r="C14" s="17" t="s">
        <v>196</v>
      </c>
      <c r="D14" s="17" t="s">
        <v>196</v>
      </c>
      <c r="E14">
        <v>7</v>
      </c>
      <c r="F14" s="17">
        <v>7</v>
      </c>
      <c r="G14" s="17" t="s">
        <v>196</v>
      </c>
      <c r="H14">
        <v>7</v>
      </c>
      <c r="I14" s="17" t="s">
        <v>196</v>
      </c>
      <c r="K14" s="17">
        <v>7</v>
      </c>
    </row>
    <row r="15" spans="2:30" x14ac:dyDescent="0.25">
      <c r="B15" s="1">
        <v>45190</v>
      </c>
      <c r="C15" s="17" t="s">
        <v>197</v>
      </c>
      <c r="D15" s="17" t="s">
        <v>197</v>
      </c>
      <c r="E15">
        <v>8</v>
      </c>
      <c r="F15" s="17">
        <v>8</v>
      </c>
      <c r="G15" s="17" t="s">
        <v>197</v>
      </c>
      <c r="H15">
        <v>8</v>
      </c>
      <c r="I15" s="17" t="s">
        <v>197</v>
      </c>
      <c r="K15" s="17">
        <v>8</v>
      </c>
    </row>
    <row r="16" spans="2:30" x14ac:dyDescent="0.25">
      <c r="B16" s="1">
        <v>45190</v>
      </c>
      <c r="C16" s="17" t="s">
        <v>198</v>
      </c>
      <c r="D16" s="17" t="s">
        <v>198</v>
      </c>
      <c r="E16">
        <v>9</v>
      </c>
      <c r="F16" s="17">
        <v>9</v>
      </c>
      <c r="G16" s="17" t="s">
        <v>198</v>
      </c>
      <c r="H16">
        <v>9</v>
      </c>
      <c r="I16" s="17" t="s">
        <v>198</v>
      </c>
      <c r="K16" s="17">
        <v>9</v>
      </c>
    </row>
    <row r="17" spans="2:11" x14ac:dyDescent="0.25">
      <c r="B17" s="1">
        <v>45190</v>
      </c>
      <c r="C17" s="17" t="s">
        <v>14</v>
      </c>
      <c r="D17" s="17" t="s">
        <v>200</v>
      </c>
      <c r="E17">
        <v>3</v>
      </c>
      <c r="F17" s="17"/>
      <c r="G17" s="17" t="s">
        <v>13</v>
      </c>
      <c r="H17">
        <v>30</v>
      </c>
      <c r="I17" s="17" t="s">
        <v>121</v>
      </c>
      <c r="K17" s="17"/>
    </row>
    <row r="18" spans="2:11" x14ac:dyDescent="0.25">
      <c r="B18" s="1">
        <v>45190</v>
      </c>
      <c r="C18" s="17" t="s">
        <v>122</v>
      </c>
      <c r="D18" s="17" t="s">
        <v>200</v>
      </c>
      <c r="E18">
        <v>3</v>
      </c>
      <c r="F18" s="17"/>
      <c r="G18" s="17" t="s">
        <v>13</v>
      </c>
      <c r="H18">
        <v>20</v>
      </c>
      <c r="I18" s="17" t="s">
        <v>121</v>
      </c>
      <c r="K18" s="17"/>
    </row>
  </sheetData>
  <mergeCells count="3">
    <mergeCell ref="B4:K4"/>
    <mergeCell ref="M4:U4"/>
    <mergeCell ref="W4:AD4"/>
  </mergeCells>
  <phoneticPr fontId="4" type="noConversion"/>
  <dataValidations count="1">
    <dataValidation type="date" operator="greaterThan" allowBlank="1" showInputMessage="1" showErrorMessage="1" sqref="C2" xr:uid="{5B2F8B1B-E0F6-4A64-9B31-6725E6F7B3A5}">
      <formula1>B2</formula1>
    </dataValidation>
  </dataValidations>
  <pageMargins left="0.7" right="0.7" top="0.75" bottom="0.75" header="0.3" footer="0.3"/>
  <pageSetup paperSize="9"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owProgress">
                <anchor moveWithCells="1" sizeWithCells="1">
                  <from>
                    <xdr:col>10</xdr:col>
                    <xdr:colOff>1143000</xdr:colOff>
                    <xdr:row>0</xdr:row>
                    <xdr:rowOff>28575</xdr:rowOff>
                  </from>
                  <to>
                    <xdr:col>11</xdr:col>
                    <xdr:colOff>828675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5" name="Button 97">
              <controlPr defaultSize="0" print="0" autoFill="0" autoPict="0" macro="[0]!storeData">
                <anchor moveWithCells="1" sizeWithCells="1">
                  <from>
                    <xdr:col>12</xdr:col>
                    <xdr:colOff>219075</xdr:colOff>
                    <xdr:row>0</xdr:row>
                    <xdr:rowOff>38100</xdr:rowOff>
                  </from>
                  <to>
                    <xdr:col>14</xdr:col>
                    <xdr:colOff>285750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6" name="Button 98">
              <controlPr defaultSize="0" print="0" autoFill="0" autoPict="0" macro="[0]!Refresh">
                <anchor moveWithCells="1" sizeWithCells="1">
                  <from>
                    <xdr:col>9</xdr:col>
                    <xdr:colOff>228600</xdr:colOff>
                    <xdr:row>0</xdr:row>
                    <xdr:rowOff>38100</xdr:rowOff>
                  </from>
                  <to>
                    <xdr:col>10</xdr:col>
                    <xdr:colOff>942975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5">
    <tablePart r:id="rId7"/>
    <tablePart r:id="rId8"/>
    <tablePart r:id="rId9"/>
    <tablePart r:id="rId10"/>
    <tablePart r:id="rId1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19A56D-5A07-450D-A315-A22655312C95}">
  <sheetPr codeName="Sheet5"/>
  <dimension ref="A1:J17"/>
  <sheetViews>
    <sheetView workbookViewId="0">
      <selection activeCell="A4" sqref="A4:I4"/>
    </sheetView>
  </sheetViews>
  <sheetFormatPr defaultRowHeight="15" x14ac:dyDescent="0.25"/>
  <cols>
    <col min="1" max="1" width="10.42578125" bestFit="1" customWidth="1"/>
    <col min="3" max="3" width="14.85546875" customWidth="1"/>
    <col min="4" max="4" width="10.7109375" customWidth="1"/>
    <col min="5" max="5" width="13.28515625" customWidth="1"/>
    <col min="8" max="8" width="13.5703125" customWidth="1"/>
    <col min="9" max="9" width="10.85546875" bestFit="1" customWidth="1"/>
    <col min="10" max="10" width="12.5703125" customWidth="1"/>
  </cols>
  <sheetData>
    <row r="1" spans="1:10" x14ac:dyDescent="0.25">
      <c r="A1" s="13" t="s">
        <v>15</v>
      </c>
      <c r="B1" s="13"/>
      <c r="C1" s="13"/>
      <c r="D1" s="13"/>
      <c r="E1" s="13"/>
      <c r="F1" s="13"/>
      <c r="G1" s="13"/>
      <c r="H1" s="13"/>
      <c r="I1" s="13"/>
      <c r="J1" s="13"/>
    </row>
    <row r="2" spans="1:10" x14ac:dyDescent="0.25">
      <c r="A2" t="s">
        <v>3</v>
      </c>
      <c r="B2" t="s">
        <v>4</v>
      </c>
      <c r="C2" t="s">
        <v>5</v>
      </c>
      <c r="D2" t="s">
        <v>6</v>
      </c>
      <c r="E2" t="s">
        <v>7</v>
      </c>
      <c r="F2" t="s">
        <v>8</v>
      </c>
      <c r="G2" t="s">
        <v>9</v>
      </c>
      <c r="H2" t="s">
        <v>10</v>
      </c>
      <c r="I2" t="s">
        <v>111</v>
      </c>
      <c r="J2" s="5" t="s">
        <v>11</v>
      </c>
    </row>
    <row r="4" spans="1:10" x14ac:dyDescent="0.25">
      <c r="A4" s="1">
        <v>45212</v>
      </c>
      <c r="B4" t="s">
        <v>12</v>
      </c>
      <c r="C4" t="s">
        <v>176</v>
      </c>
      <c r="F4" t="s">
        <v>177</v>
      </c>
      <c r="G4">
        <v>65</v>
      </c>
      <c r="H4" t="s">
        <v>178</v>
      </c>
      <c r="I4" t="s">
        <v>179</v>
      </c>
    </row>
    <row r="5" spans="1:10" x14ac:dyDescent="0.25">
      <c r="A5" s="1">
        <v>45212</v>
      </c>
      <c r="B5" t="s">
        <v>12</v>
      </c>
      <c r="C5" t="s">
        <v>187</v>
      </c>
      <c r="F5" t="s">
        <v>18</v>
      </c>
      <c r="G5">
        <v>1</v>
      </c>
      <c r="H5" t="s">
        <v>180</v>
      </c>
      <c r="I5" t="s">
        <v>179</v>
      </c>
    </row>
    <row r="6" spans="1:10" x14ac:dyDescent="0.25">
      <c r="A6" s="1">
        <v>45212</v>
      </c>
      <c r="B6" t="s">
        <v>164</v>
      </c>
      <c r="C6" t="s">
        <v>184</v>
      </c>
      <c r="F6" t="s">
        <v>13</v>
      </c>
      <c r="G6">
        <v>4</v>
      </c>
      <c r="H6" t="s">
        <v>121</v>
      </c>
      <c r="I6" t="s">
        <v>162</v>
      </c>
    </row>
    <row r="7" spans="1:10" x14ac:dyDescent="0.25">
      <c r="A7" s="1">
        <v>45212</v>
      </c>
      <c r="B7" t="s">
        <v>164</v>
      </c>
      <c r="C7" t="s">
        <v>184</v>
      </c>
      <c r="F7" t="s">
        <v>13</v>
      </c>
      <c r="G7">
        <v>5</v>
      </c>
      <c r="H7" t="s">
        <v>121</v>
      </c>
      <c r="I7" t="s">
        <v>186</v>
      </c>
    </row>
    <row r="8" spans="1:10" x14ac:dyDescent="0.25">
      <c r="A8" s="1">
        <v>45212</v>
      </c>
      <c r="B8" t="s">
        <v>164</v>
      </c>
      <c r="C8" t="s">
        <v>19</v>
      </c>
      <c r="F8" t="s">
        <v>13</v>
      </c>
      <c r="G8">
        <v>180</v>
      </c>
      <c r="H8" t="s">
        <v>185</v>
      </c>
      <c r="I8" t="s">
        <v>162</v>
      </c>
    </row>
    <row r="9" spans="1:10" x14ac:dyDescent="0.25">
      <c r="A9" s="1">
        <v>45210</v>
      </c>
      <c r="B9" t="s">
        <v>12</v>
      </c>
      <c r="C9" t="s">
        <v>176</v>
      </c>
      <c r="F9" t="s">
        <v>18</v>
      </c>
      <c r="G9">
        <v>2</v>
      </c>
      <c r="H9" t="s">
        <v>180</v>
      </c>
      <c r="I9" t="s">
        <v>179</v>
      </c>
    </row>
    <row r="10" spans="1:10" x14ac:dyDescent="0.25">
      <c r="A10" s="1">
        <v>45210</v>
      </c>
      <c r="B10" t="s">
        <v>12</v>
      </c>
      <c r="C10" t="s">
        <v>176</v>
      </c>
      <c r="F10" t="s">
        <v>177</v>
      </c>
      <c r="G10">
        <v>70</v>
      </c>
      <c r="H10" t="s">
        <v>178</v>
      </c>
      <c r="I10" t="s">
        <v>179</v>
      </c>
    </row>
    <row r="11" spans="1:10" x14ac:dyDescent="0.25">
      <c r="A11" s="1">
        <v>45210</v>
      </c>
      <c r="B11" t="s">
        <v>14</v>
      </c>
      <c r="C11" t="s">
        <v>181</v>
      </c>
      <c r="D11">
        <v>6</v>
      </c>
      <c r="F11" t="s">
        <v>13</v>
      </c>
      <c r="G11">
        <v>18</v>
      </c>
      <c r="H11" t="s">
        <v>121</v>
      </c>
      <c r="I11" t="s">
        <v>182</v>
      </c>
    </row>
    <row r="12" spans="1:10" x14ac:dyDescent="0.25">
      <c r="A12" s="1">
        <v>45210</v>
      </c>
      <c r="B12" t="s">
        <v>122</v>
      </c>
      <c r="C12" t="s">
        <v>181</v>
      </c>
      <c r="D12">
        <v>2</v>
      </c>
      <c r="F12" t="s">
        <v>13</v>
      </c>
      <c r="G12">
        <v>34</v>
      </c>
      <c r="H12" t="s">
        <v>121</v>
      </c>
      <c r="I12" t="s">
        <v>182</v>
      </c>
    </row>
    <row r="13" spans="1:10" x14ac:dyDescent="0.25">
      <c r="A13" s="1">
        <v>45210</v>
      </c>
      <c r="B13" t="s">
        <v>161</v>
      </c>
      <c r="C13" t="s">
        <v>17</v>
      </c>
      <c r="D13">
        <v>502</v>
      </c>
      <c r="F13" t="s">
        <v>13</v>
      </c>
      <c r="G13">
        <v>2</v>
      </c>
      <c r="H13" t="s">
        <v>121</v>
      </c>
      <c r="I13" t="s">
        <v>162</v>
      </c>
    </row>
    <row r="14" spans="1:10" x14ac:dyDescent="0.25">
      <c r="A14" s="1">
        <v>45210</v>
      </c>
      <c r="B14" t="s">
        <v>161</v>
      </c>
      <c r="C14" t="s">
        <v>16</v>
      </c>
      <c r="D14">
        <v>4</v>
      </c>
      <c r="F14" t="s">
        <v>13</v>
      </c>
      <c r="G14">
        <v>72</v>
      </c>
      <c r="H14" t="s">
        <v>121</v>
      </c>
      <c r="I14" t="s">
        <v>179</v>
      </c>
    </row>
    <row r="15" spans="1:10" x14ac:dyDescent="0.25">
      <c r="A15" s="1">
        <v>45210</v>
      </c>
      <c r="B15" t="s">
        <v>161</v>
      </c>
      <c r="C15" t="s">
        <v>163</v>
      </c>
      <c r="D15">
        <v>3</v>
      </c>
      <c r="F15" t="s">
        <v>13</v>
      </c>
      <c r="H15" t="s">
        <v>121</v>
      </c>
      <c r="I15" t="s">
        <v>162</v>
      </c>
    </row>
    <row r="16" spans="1:10" x14ac:dyDescent="0.25">
      <c r="A16" s="1">
        <v>45210</v>
      </c>
      <c r="B16" t="s">
        <v>164</v>
      </c>
      <c r="C16" t="s">
        <v>17</v>
      </c>
      <c r="D16">
        <v>56</v>
      </c>
      <c r="F16" t="s">
        <v>13</v>
      </c>
      <c r="G16">
        <v>2</v>
      </c>
      <c r="H16" t="s">
        <v>121</v>
      </c>
      <c r="I16" t="s">
        <v>162</v>
      </c>
    </row>
    <row r="17" spans="1:10" x14ac:dyDescent="0.25">
      <c r="A17" s="1"/>
      <c r="J17" t="s">
        <v>183</v>
      </c>
    </row>
  </sheetData>
  <mergeCells count="1">
    <mergeCell ref="A1:J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5392F2-2C81-4C4A-BB9C-4BEDD4D967B1}">
  <sheetPr codeName="Sheet7"/>
  <dimension ref="A1:I7"/>
  <sheetViews>
    <sheetView workbookViewId="0">
      <selection activeCell="A4" sqref="A4:I4"/>
    </sheetView>
  </sheetViews>
  <sheetFormatPr defaultRowHeight="15" x14ac:dyDescent="0.25"/>
  <cols>
    <col min="3" max="3" width="9.5703125" customWidth="1"/>
    <col min="4" max="4" width="10.28515625" customWidth="1"/>
    <col min="7" max="7" width="13.5703125" customWidth="1"/>
    <col min="8" max="8" width="10.7109375" customWidth="1"/>
    <col min="9" max="9" width="24.28515625" customWidth="1"/>
  </cols>
  <sheetData>
    <row r="1" spans="1:9" x14ac:dyDescent="0.25">
      <c r="A1" s="14" t="s">
        <v>157</v>
      </c>
      <c r="B1" s="14"/>
      <c r="C1" s="14"/>
      <c r="D1" s="14"/>
      <c r="E1" s="14"/>
      <c r="F1" s="14"/>
      <c r="G1" s="14"/>
      <c r="H1" s="14"/>
      <c r="I1" s="14"/>
    </row>
    <row r="2" spans="1:9" x14ac:dyDescent="0.25">
      <c r="A2" s="7" t="s">
        <v>3</v>
      </c>
      <c r="B2" s="6" t="s">
        <v>4</v>
      </c>
      <c r="C2" s="6" t="s">
        <v>123</v>
      </c>
      <c r="D2" s="6" t="s">
        <v>124</v>
      </c>
      <c r="E2" s="6" t="s">
        <v>8</v>
      </c>
      <c r="F2" s="6" t="s">
        <v>9</v>
      </c>
      <c r="G2" s="6" t="s">
        <v>10</v>
      </c>
      <c r="H2" s="6" t="s">
        <v>111</v>
      </c>
      <c r="I2" s="8" t="s">
        <v>11</v>
      </c>
    </row>
    <row r="4" spans="1:9" x14ac:dyDescent="0.25">
      <c r="A4" s="1">
        <v>45210</v>
      </c>
      <c r="B4" t="s">
        <v>166</v>
      </c>
      <c r="C4" t="s">
        <v>159</v>
      </c>
      <c r="D4" t="s">
        <v>166</v>
      </c>
      <c r="E4" t="s">
        <v>169</v>
      </c>
      <c r="F4" t="s">
        <v>170</v>
      </c>
      <c r="G4" t="s">
        <v>171</v>
      </c>
    </row>
    <row r="5" spans="1:9" x14ac:dyDescent="0.25">
      <c r="A5" s="1">
        <v>45210</v>
      </c>
      <c r="B5" t="s">
        <v>166</v>
      </c>
      <c r="C5" t="s">
        <v>159</v>
      </c>
      <c r="D5" t="s">
        <v>166</v>
      </c>
      <c r="E5" t="s">
        <v>20</v>
      </c>
      <c r="F5" t="s">
        <v>172</v>
      </c>
      <c r="G5" t="s">
        <v>173</v>
      </c>
      <c r="H5" t="s">
        <v>160</v>
      </c>
      <c r="I5" t="s">
        <v>174</v>
      </c>
    </row>
    <row r="6" spans="1:9" x14ac:dyDescent="0.25">
      <c r="A6" s="1">
        <v>45210</v>
      </c>
      <c r="B6" t="s">
        <v>165</v>
      </c>
      <c r="C6" t="s">
        <v>159</v>
      </c>
      <c r="D6" t="s">
        <v>166</v>
      </c>
      <c r="E6" t="s">
        <v>20</v>
      </c>
      <c r="F6">
        <v>102</v>
      </c>
      <c r="G6" t="s">
        <v>167</v>
      </c>
      <c r="H6" t="s">
        <v>160</v>
      </c>
      <c r="I6" t="s">
        <v>168</v>
      </c>
    </row>
    <row r="7" spans="1:9" x14ac:dyDescent="0.25">
      <c r="I7" t="s">
        <v>183</v>
      </c>
    </row>
  </sheetData>
  <mergeCells count="1">
    <mergeCell ref="A1:I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25E97-9809-4860-AE73-250F699F3F86}">
  <sheetPr codeName="Sheet8"/>
  <dimension ref="A1:H5"/>
  <sheetViews>
    <sheetView workbookViewId="0">
      <selection activeCell="A4" sqref="A4:I4"/>
    </sheetView>
  </sheetViews>
  <sheetFormatPr defaultRowHeight="15" x14ac:dyDescent="0.25"/>
  <cols>
    <col min="3" max="3" width="14.85546875" customWidth="1"/>
    <col min="4" max="4" width="10.7109375" customWidth="1"/>
    <col min="5" max="5" width="13.28515625" customWidth="1"/>
    <col min="8" max="8" width="11.7109375" customWidth="1"/>
  </cols>
  <sheetData>
    <row r="1" spans="1:8" x14ac:dyDescent="0.25">
      <c r="A1" s="15" t="s">
        <v>158</v>
      </c>
      <c r="B1" s="15"/>
      <c r="C1" s="15"/>
      <c r="D1" s="15"/>
      <c r="E1" s="15"/>
      <c r="F1" s="15"/>
      <c r="G1" s="15"/>
      <c r="H1" s="15"/>
    </row>
    <row r="2" spans="1:8" x14ac:dyDescent="0.25">
      <c r="A2" s="6" t="s">
        <v>3</v>
      </c>
      <c r="B2" s="6" t="s">
        <v>4</v>
      </c>
      <c r="C2" s="6" t="s">
        <v>5</v>
      </c>
      <c r="D2" s="6" t="s">
        <v>6</v>
      </c>
      <c r="E2" s="6" t="s">
        <v>7</v>
      </c>
      <c r="F2" s="6" t="s">
        <v>8</v>
      </c>
      <c r="G2" s="6" t="s">
        <v>9</v>
      </c>
      <c r="H2" s="6" t="s">
        <v>143</v>
      </c>
    </row>
    <row r="3" spans="1:8" x14ac:dyDescent="0.25">
      <c r="A3" s="9"/>
      <c r="B3" s="10"/>
      <c r="C3" s="10"/>
      <c r="D3" s="10"/>
      <c r="E3" s="10"/>
      <c r="F3" s="10"/>
      <c r="G3" s="10"/>
      <c r="H3" s="10"/>
    </row>
    <row r="4" spans="1:8" x14ac:dyDescent="0.25">
      <c r="A4" s="1">
        <v>45210</v>
      </c>
      <c r="B4" t="s">
        <v>14</v>
      </c>
      <c r="C4" t="s">
        <v>19</v>
      </c>
      <c r="D4">
        <v>1833</v>
      </c>
      <c r="E4" t="s">
        <v>175</v>
      </c>
      <c r="F4" t="s">
        <v>18</v>
      </c>
      <c r="G4">
        <v>1</v>
      </c>
    </row>
    <row r="5" spans="1:8" x14ac:dyDescent="0.25">
      <c r="A5" s="9"/>
      <c r="B5" s="10"/>
      <c r="C5" s="10"/>
      <c r="D5" s="10"/>
      <c r="E5" s="10"/>
      <c r="F5" s="10"/>
      <c r="G5" s="10"/>
      <c r="H5" s="10" t="s">
        <v>183</v>
      </c>
    </row>
  </sheetData>
  <mergeCells count="1">
    <mergeCell ref="A1:H1"/>
  </mergeCells>
  <dataValidations count="2">
    <dataValidation type="date" operator="greaterThan" allowBlank="1" showInputMessage="1" showErrorMessage="1" sqref="A3" xr:uid="{E4707C89-530D-4827-9A5E-07A9D55BC932}">
      <formula1>XFD3</formula1>
    </dataValidation>
    <dataValidation type="date" operator="greaterThan" allowBlank="1" showInputMessage="1" showErrorMessage="1" sqref="A5" xr:uid="{89635CB1-4F37-49BE-BB41-60B2CCAD4812}">
      <formula1>XFD4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8DEE4-15D9-47AB-AC7A-D1D07577B3CB}">
  <sheetPr codeName="Sheet4"/>
  <dimension ref="A1:DB13"/>
  <sheetViews>
    <sheetView topLeftCell="CJ1" zoomScale="94" workbookViewId="0">
      <selection activeCell="CT2" sqref="CT2:DB5"/>
    </sheetView>
  </sheetViews>
  <sheetFormatPr defaultRowHeight="15" x14ac:dyDescent="0.25"/>
  <cols>
    <col min="1" max="1" width="5.42578125" bestFit="1" customWidth="1"/>
    <col min="2" max="2" width="16.28515625" bestFit="1" customWidth="1"/>
    <col min="3" max="3" width="18.42578125" bestFit="1" customWidth="1"/>
    <col min="4" max="4" width="11.28515625" bestFit="1" customWidth="1"/>
    <col min="5" max="5" width="8.7109375" bestFit="1" customWidth="1"/>
    <col min="6" max="6" width="20.140625" bestFit="1" customWidth="1"/>
    <col min="7" max="7" width="10.7109375" bestFit="1" customWidth="1"/>
    <col min="8" max="8" width="9.85546875" bestFit="1" customWidth="1"/>
    <col min="9" max="9" width="15" bestFit="1" customWidth="1"/>
    <col min="10" max="10" width="11" bestFit="1" customWidth="1"/>
    <col min="11" max="11" width="14" bestFit="1" customWidth="1"/>
    <col min="12" max="12" width="8" bestFit="1" customWidth="1"/>
    <col min="13" max="13" width="7.140625" bestFit="1" customWidth="1"/>
    <col min="14" max="14" width="14" bestFit="1" customWidth="1"/>
    <col min="15" max="15" width="11.140625" bestFit="1" customWidth="1"/>
    <col min="16" max="16" width="25.5703125" bestFit="1" customWidth="1"/>
    <col min="17" max="17" width="17.140625" bestFit="1" customWidth="1"/>
    <col min="18" max="18" width="9.28515625" bestFit="1" customWidth="1"/>
    <col min="19" max="19" width="16.140625" bestFit="1" customWidth="1"/>
    <col min="20" max="20" width="12" bestFit="1" customWidth="1"/>
    <col min="21" max="21" width="15" bestFit="1" customWidth="1"/>
    <col min="22" max="22" width="9.140625" bestFit="1" customWidth="1"/>
    <col min="23" max="23" width="8.140625" bestFit="1" customWidth="1"/>
    <col min="24" max="24" width="15" bestFit="1" customWidth="1"/>
    <col min="25" max="25" width="12.140625" bestFit="1" customWidth="1"/>
    <col min="26" max="26" width="26.5703125" bestFit="1" customWidth="1"/>
    <col min="27" max="27" width="18.28515625" bestFit="1" customWidth="1"/>
    <col min="28" max="28" width="9.28515625" bestFit="1" customWidth="1"/>
    <col min="29" max="29" width="16.140625" bestFit="1" customWidth="1"/>
    <col min="30" max="30" width="12" bestFit="1" customWidth="1"/>
    <col min="31" max="31" width="15" bestFit="1" customWidth="1"/>
    <col min="32" max="32" width="9.140625" bestFit="1" customWidth="1"/>
    <col min="33" max="33" width="8.140625" bestFit="1" customWidth="1"/>
    <col min="34" max="34" width="15" bestFit="1" customWidth="1"/>
    <col min="35" max="35" width="12.140625" bestFit="1" customWidth="1"/>
    <col min="36" max="36" width="26.5703125" bestFit="1" customWidth="1"/>
    <col min="37" max="37" width="18.28515625" bestFit="1" customWidth="1"/>
    <col min="38" max="38" width="9.28515625" bestFit="1" customWidth="1"/>
    <col min="39" max="39" width="16.140625" bestFit="1" customWidth="1"/>
    <col min="40" max="40" width="12" bestFit="1" customWidth="1"/>
    <col min="41" max="41" width="15" bestFit="1" customWidth="1"/>
    <col min="42" max="42" width="9.140625" bestFit="1" customWidth="1"/>
    <col min="43" max="43" width="8.140625" bestFit="1" customWidth="1"/>
    <col min="44" max="44" width="15" bestFit="1" customWidth="1"/>
    <col min="45" max="45" width="12.140625" bestFit="1" customWidth="1"/>
    <col min="46" max="46" width="26.5703125" bestFit="1" customWidth="1"/>
    <col min="47" max="47" width="18.28515625" bestFit="1" customWidth="1"/>
    <col min="48" max="48" width="9.28515625" bestFit="1" customWidth="1"/>
    <col min="49" max="49" width="16.140625" bestFit="1" customWidth="1"/>
    <col min="50" max="50" width="12" bestFit="1" customWidth="1"/>
    <col min="51" max="51" width="15" bestFit="1" customWidth="1"/>
    <col min="52" max="52" width="9.140625" bestFit="1" customWidth="1"/>
    <col min="53" max="53" width="8.140625" bestFit="1" customWidth="1"/>
    <col min="54" max="54" width="15" bestFit="1" customWidth="1"/>
    <col min="55" max="55" width="12.140625" bestFit="1" customWidth="1"/>
    <col min="56" max="56" width="26.5703125" bestFit="1" customWidth="1"/>
    <col min="57" max="57" width="18.28515625" bestFit="1" customWidth="1"/>
    <col min="58" max="58" width="9.28515625" bestFit="1" customWidth="1"/>
    <col min="59" max="59" width="16.140625" bestFit="1" customWidth="1"/>
    <col min="60" max="60" width="12" bestFit="1" customWidth="1"/>
    <col min="61" max="61" width="15" bestFit="1" customWidth="1"/>
    <col min="62" max="62" width="9.140625" bestFit="1" customWidth="1"/>
    <col min="63" max="63" width="8.140625" bestFit="1" customWidth="1"/>
    <col min="64" max="64" width="15" bestFit="1" customWidth="1"/>
    <col min="65" max="65" width="12.140625" bestFit="1" customWidth="1"/>
    <col min="66" max="66" width="26.5703125" bestFit="1" customWidth="1"/>
    <col min="67" max="67" width="18.28515625" bestFit="1" customWidth="1"/>
    <col min="68" max="68" width="9.28515625" bestFit="1" customWidth="1"/>
    <col min="69" max="69" width="16.140625" bestFit="1" customWidth="1"/>
    <col min="70" max="70" width="12" bestFit="1" customWidth="1"/>
    <col min="71" max="71" width="15" bestFit="1" customWidth="1"/>
    <col min="72" max="72" width="9.140625" bestFit="1" customWidth="1"/>
    <col min="73" max="73" width="8.140625" bestFit="1" customWidth="1"/>
    <col min="74" max="74" width="15" bestFit="1" customWidth="1"/>
    <col min="75" max="75" width="12.140625" bestFit="1" customWidth="1"/>
    <col min="76" max="76" width="26.5703125" bestFit="1" customWidth="1"/>
    <col min="77" max="77" width="18.28515625" bestFit="1" customWidth="1"/>
    <col min="78" max="78" width="9.28515625" bestFit="1" customWidth="1"/>
    <col min="79" max="79" width="16.140625" bestFit="1" customWidth="1"/>
    <col min="80" max="80" width="12" bestFit="1" customWidth="1"/>
    <col min="81" max="81" width="15" bestFit="1" customWidth="1"/>
    <col min="82" max="82" width="9.140625" bestFit="1" customWidth="1"/>
    <col min="83" max="83" width="8.140625" bestFit="1" customWidth="1"/>
    <col min="84" max="84" width="15" bestFit="1" customWidth="1"/>
    <col min="85" max="85" width="12.140625" bestFit="1" customWidth="1"/>
    <col min="86" max="86" width="26.5703125" bestFit="1" customWidth="1"/>
    <col min="87" max="87" width="18.28515625" bestFit="1" customWidth="1"/>
    <col min="88" max="88" width="9.28515625" bestFit="1" customWidth="1"/>
    <col min="89" max="89" width="16.140625" bestFit="1" customWidth="1"/>
    <col min="90" max="90" width="12" bestFit="1" customWidth="1"/>
    <col min="91" max="91" width="15" bestFit="1" customWidth="1"/>
    <col min="92" max="92" width="9.140625" bestFit="1" customWidth="1"/>
    <col min="93" max="93" width="8.140625" bestFit="1" customWidth="1"/>
    <col min="94" max="94" width="15" bestFit="1" customWidth="1"/>
    <col min="95" max="95" width="12.140625" bestFit="1" customWidth="1"/>
    <col min="96" max="96" width="26.5703125" bestFit="1" customWidth="1"/>
    <col min="97" max="97" width="18.28515625" bestFit="1" customWidth="1"/>
    <col min="98" max="98" width="10.28515625" bestFit="1" customWidth="1"/>
    <col min="99" max="99" width="17.28515625" bestFit="1" customWidth="1"/>
    <col min="100" max="100" width="13" bestFit="1" customWidth="1"/>
    <col min="101" max="101" width="16.140625" bestFit="1" customWidth="1"/>
    <col min="102" max="102" width="10.140625" bestFit="1" customWidth="1"/>
    <col min="103" max="103" width="9.28515625" bestFit="1" customWidth="1"/>
    <col min="104" max="104" width="16.140625" bestFit="1" customWidth="1"/>
    <col min="105" max="105" width="13.140625" bestFit="1" customWidth="1"/>
    <col min="106" max="106" width="27.7109375" customWidth="1"/>
  </cols>
  <sheetData>
    <row r="1" spans="1:106" x14ac:dyDescent="0.25">
      <c r="A1" t="s">
        <v>20</v>
      </c>
      <c r="B1" t="s">
        <v>21</v>
      </c>
      <c r="C1" t="s">
        <v>22</v>
      </c>
      <c r="D1" t="s">
        <v>23</v>
      </c>
      <c r="E1" t="s">
        <v>24</v>
      </c>
      <c r="F1" t="s">
        <v>25</v>
      </c>
      <c r="G1" t="s">
        <v>3</v>
      </c>
      <c r="H1" t="s">
        <v>4</v>
      </c>
      <c r="I1" t="s">
        <v>5</v>
      </c>
      <c r="J1" t="s">
        <v>6</v>
      </c>
      <c r="K1" t="s">
        <v>7</v>
      </c>
      <c r="L1" t="s">
        <v>8</v>
      </c>
      <c r="M1" t="s">
        <v>9</v>
      </c>
      <c r="N1" t="s">
        <v>10</v>
      </c>
      <c r="O1" t="s">
        <v>111</v>
      </c>
      <c r="P1" t="s">
        <v>11</v>
      </c>
      <c r="Q1" t="s">
        <v>26</v>
      </c>
      <c r="R1" t="s">
        <v>27</v>
      </c>
      <c r="S1" t="s">
        <v>28</v>
      </c>
      <c r="T1" t="s">
        <v>29</v>
      </c>
      <c r="U1" t="s">
        <v>30</v>
      </c>
      <c r="V1" t="s">
        <v>31</v>
      </c>
      <c r="W1" t="s">
        <v>32</v>
      </c>
      <c r="X1" t="s">
        <v>33</v>
      </c>
      <c r="Y1" t="s">
        <v>112</v>
      </c>
      <c r="Z1" t="s">
        <v>34</v>
      </c>
      <c r="AA1" t="s">
        <v>35</v>
      </c>
      <c r="AB1" t="s">
        <v>36</v>
      </c>
      <c r="AC1" t="s">
        <v>37</v>
      </c>
      <c r="AD1" t="s">
        <v>38</v>
      </c>
      <c r="AE1" t="s">
        <v>39</v>
      </c>
      <c r="AF1" t="s">
        <v>40</v>
      </c>
      <c r="AG1" t="s">
        <v>41</v>
      </c>
      <c r="AH1" t="s">
        <v>42</v>
      </c>
      <c r="AI1" t="s">
        <v>113</v>
      </c>
      <c r="AJ1" t="s">
        <v>43</v>
      </c>
      <c r="AK1" t="s">
        <v>44</v>
      </c>
      <c r="AL1" t="s">
        <v>45</v>
      </c>
      <c r="AM1" t="s">
        <v>46</v>
      </c>
      <c r="AN1" t="s">
        <v>47</v>
      </c>
      <c r="AO1" t="s">
        <v>48</v>
      </c>
      <c r="AP1" t="s">
        <v>49</v>
      </c>
      <c r="AQ1" t="s">
        <v>50</v>
      </c>
      <c r="AR1" t="s">
        <v>51</v>
      </c>
      <c r="AS1" t="s">
        <v>114</v>
      </c>
      <c r="AT1" t="s">
        <v>52</v>
      </c>
      <c r="AU1" t="s">
        <v>53</v>
      </c>
      <c r="AV1" t="s">
        <v>54</v>
      </c>
      <c r="AW1" t="s">
        <v>55</v>
      </c>
      <c r="AX1" t="s">
        <v>56</v>
      </c>
      <c r="AY1" t="s">
        <v>57</v>
      </c>
      <c r="AZ1" t="s">
        <v>58</v>
      </c>
      <c r="BA1" t="s">
        <v>59</v>
      </c>
      <c r="BB1" t="s">
        <v>60</v>
      </c>
      <c r="BC1" t="s">
        <v>115</v>
      </c>
      <c r="BD1" t="s">
        <v>61</v>
      </c>
      <c r="BE1" t="s">
        <v>62</v>
      </c>
      <c r="BF1" t="s">
        <v>63</v>
      </c>
      <c r="BG1" t="s">
        <v>64</v>
      </c>
      <c r="BH1" t="s">
        <v>65</v>
      </c>
      <c r="BI1" t="s">
        <v>66</v>
      </c>
      <c r="BJ1" t="s">
        <v>67</v>
      </c>
      <c r="BK1" t="s">
        <v>68</v>
      </c>
      <c r="BL1" t="s">
        <v>69</v>
      </c>
      <c r="BM1" t="s">
        <v>116</v>
      </c>
      <c r="BN1" t="s">
        <v>70</v>
      </c>
      <c r="BO1" t="s">
        <v>71</v>
      </c>
      <c r="BP1" t="s">
        <v>72</v>
      </c>
      <c r="BQ1" t="s">
        <v>73</v>
      </c>
      <c r="BR1" t="s">
        <v>74</v>
      </c>
      <c r="BS1" t="s">
        <v>75</v>
      </c>
      <c r="BT1" t="s">
        <v>76</v>
      </c>
      <c r="BU1" t="s">
        <v>77</v>
      </c>
      <c r="BV1" t="s">
        <v>78</v>
      </c>
      <c r="BW1" t="s">
        <v>117</v>
      </c>
      <c r="BX1" t="s">
        <v>79</v>
      </c>
      <c r="BY1" t="s">
        <v>80</v>
      </c>
      <c r="BZ1" t="s">
        <v>81</v>
      </c>
      <c r="CA1" t="s">
        <v>82</v>
      </c>
      <c r="CB1" t="s">
        <v>83</v>
      </c>
      <c r="CC1" t="s">
        <v>84</v>
      </c>
      <c r="CD1" t="s">
        <v>85</v>
      </c>
      <c r="CE1" t="s">
        <v>86</v>
      </c>
      <c r="CF1" t="s">
        <v>87</v>
      </c>
      <c r="CG1" t="s">
        <v>118</v>
      </c>
      <c r="CH1" t="s">
        <v>88</v>
      </c>
      <c r="CI1" t="s">
        <v>89</v>
      </c>
      <c r="CJ1" t="s">
        <v>90</v>
      </c>
      <c r="CK1" t="s">
        <v>91</v>
      </c>
      <c r="CL1" t="s">
        <v>92</v>
      </c>
      <c r="CM1" t="s">
        <v>93</v>
      </c>
      <c r="CN1" t="s">
        <v>94</v>
      </c>
      <c r="CO1" t="s">
        <v>95</v>
      </c>
      <c r="CP1" t="s">
        <v>96</v>
      </c>
      <c r="CQ1" t="s">
        <v>119</v>
      </c>
      <c r="CR1" t="s">
        <v>97</v>
      </c>
      <c r="CS1" t="s">
        <v>98</v>
      </c>
      <c r="CT1" t="s">
        <v>99</v>
      </c>
      <c r="CU1" t="s">
        <v>100</v>
      </c>
      <c r="CV1" t="s">
        <v>101</v>
      </c>
      <c r="CW1" t="s">
        <v>102</v>
      </c>
      <c r="CX1" t="s">
        <v>103</v>
      </c>
      <c r="CY1" t="s">
        <v>104</v>
      </c>
      <c r="CZ1" t="s">
        <v>105</v>
      </c>
      <c r="DA1" t="s">
        <v>120</v>
      </c>
      <c r="DB1" t="s">
        <v>106</v>
      </c>
    </row>
    <row r="2" spans="1:106" x14ac:dyDescent="0.25">
      <c r="A2">
        <v>3</v>
      </c>
      <c r="B2" s="2">
        <v>45189.441736111112</v>
      </c>
      <c r="C2" s="2">
        <v>45189.447233796294</v>
      </c>
      <c r="D2" t="s">
        <v>188</v>
      </c>
      <c r="G2" s="1">
        <v>45190</v>
      </c>
      <c r="H2" t="s">
        <v>189</v>
      </c>
      <c r="I2" t="s">
        <v>189</v>
      </c>
      <c r="J2">
        <v>1</v>
      </c>
      <c r="K2" t="s">
        <v>189</v>
      </c>
      <c r="L2" t="s">
        <v>189</v>
      </c>
      <c r="M2" t="s">
        <v>189</v>
      </c>
      <c r="N2" t="s">
        <v>189</v>
      </c>
      <c r="P2" t="s">
        <v>189</v>
      </c>
      <c r="Q2" t="s">
        <v>190</v>
      </c>
      <c r="R2" t="s">
        <v>191</v>
      </c>
      <c r="S2" t="s">
        <v>191</v>
      </c>
      <c r="T2" t="s">
        <v>191</v>
      </c>
      <c r="U2" t="s">
        <v>191</v>
      </c>
      <c r="V2" t="s">
        <v>191</v>
      </c>
      <c r="W2" t="s">
        <v>191</v>
      </c>
      <c r="X2" t="s">
        <v>191</v>
      </c>
      <c r="Z2" t="s">
        <v>191</v>
      </c>
      <c r="AA2" t="s">
        <v>190</v>
      </c>
      <c r="AB2" t="s">
        <v>192</v>
      </c>
      <c r="AC2" t="s">
        <v>192</v>
      </c>
      <c r="AD2" t="s">
        <v>192</v>
      </c>
      <c r="AE2" t="s">
        <v>192</v>
      </c>
      <c r="AF2" t="s">
        <v>192</v>
      </c>
      <c r="AG2" t="s">
        <v>192</v>
      </c>
      <c r="AH2" t="s">
        <v>192</v>
      </c>
      <c r="AJ2" t="s">
        <v>192</v>
      </c>
      <c r="AK2" t="s">
        <v>190</v>
      </c>
      <c r="AL2" t="s">
        <v>193</v>
      </c>
      <c r="AM2" t="s">
        <v>193</v>
      </c>
      <c r="AN2" t="s">
        <v>193</v>
      </c>
      <c r="AO2" t="s">
        <v>193</v>
      </c>
      <c r="AP2" t="s">
        <v>193</v>
      </c>
      <c r="AQ2" t="s">
        <v>193</v>
      </c>
      <c r="AR2" t="s">
        <v>193</v>
      </c>
      <c r="AT2" t="s">
        <v>193</v>
      </c>
      <c r="AU2" t="s">
        <v>190</v>
      </c>
      <c r="AV2" t="s">
        <v>194</v>
      </c>
      <c r="AW2" t="s">
        <v>194</v>
      </c>
      <c r="AX2" t="s">
        <v>194</v>
      </c>
      <c r="AY2" t="s">
        <v>194</v>
      </c>
      <c r="AZ2" t="s">
        <v>194</v>
      </c>
      <c r="BA2" t="s">
        <v>194</v>
      </c>
      <c r="BB2" t="s">
        <v>194</v>
      </c>
      <c r="BD2" t="s">
        <v>194</v>
      </c>
      <c r="BE2" t="s">
        <v>190</v>
      </c>
      <c r="BF2" t="s">
        <v>195</v>
      </c>
      <c r="BG2" t="s">
        <v>195</v>
      </c>
      <c r="BH2" t="s">
        <v>195</v>
      </c>
      <c r="BI2" t="s">
        <v>195</v>
      </c>
      <c r="BJ2" t="s">
        <v>195</v>
      </c>
      <c r="BK2" t="s">
        <v>195</v>
      </c>
      <c r="BL2" t="s">
        <v>195</v>
      </c>
      <c r="BN2" t="s">
        <v>195</v>
      </c>
      <c r="BO2" t="s">
        <v>190</v>
      </c>
      <c r="BP2" t="s">
        <v>196</v>
      </c>
      <c r="BQ2" t="s">
        <v>196</v>
      </c>
      <c r="BR2" t="s">
        <v>196</v>
      </c>
      <c r="BS2" t="s">
        <v>196</v>
      </c>
      <c r="BT2" t="s">
        <v>196</v>
      </c>
      <c r="BU2" t="s">
        <v>196</v>
      </c>
      <c r="BV2" t="s">
        <v>196</v>
      </c>
      <c r="BX2" t="s">
        <v>196</v>
      </c>
      <c r="BY2" t="s">
        <v>190</v>
      </c>
      <c r="BZ2" t="s">
        <v>197</v>
      </c>
      <c r="CA2" t="s">
        <v>197</v>
      </c>
      <c r="CB2" t="s">
        <v>197</v>
      </c>
      <c r="CC2" t="s">
        <v>197</v>
      </c>
      <c r="CD2" t="s">
        <v>197</v>
      </c>
      <c r="CE2" t="s">
        <v>197</v>
      </c>
      <c r="CF2" t="s">
        <v>197</v>
      </c>
      <c r="CH2" t="s">
        <v>197</v>
      </c>
      <c r="CI2" t="s">
        <v>190</v>
      </c>
      <c r="CJ2" t="s">
        <v>198</v>
      </c>
      <c r="CK2" t="s">
        <v>198</v>
      </c>
      <c r="CL2" t="s">
        <v>198</v>
      </c>
      <c r="CM2" t="s">
        <v>198</v>
      </c>
      <c r="CN2" t="s">
        <v>198</v>
      </c>
      <c r="CO2" t="s">
        <v>198</v>
      </c>
      <c r="CP2" t="s">
        <v>198</v>
      </c>
      <c r="CR2" t="s">
        <v>198</v>
      </c>
      <c r="CS2" t="s">
        <v>190</v>
      </c>
      <c r="CT2" t="s">
        <v>199</v>
      </c>
      <c r="CU2" t="s">
        <v>199</v>
      </c>
      <c r="CV2" t="s">
        <v>199</v>
      </c>
      <c r="CW2" t="s">
        <v>199</v>
      </c>
      <c r="CX2" t="s">
        <v>199</v>
      </c>
      <c r="CY2" t="s">
        <v>199</v>
      </c>
      <c r="CZ2" t="s">
        <v>199</v>
      </c>
      <c r="DB2" t="s">
        <v>199</v>
      </c>
    </row>
    <row r="3" spans="1:106" x14ac:dyDescent="0.25">
      <c r="A3">
        <v>10</v>
      </c>
      <c r="B3" s="2">
        <v>45191.609826388885</v>
      </c>
      <c r="C3" s="2">
        <v>45191.611770833333</v>
      </c>
      <c r="D3" t="s">
        <v>188</v>
      </c>
      <c r="G3" s="1">
        <v>45190</v>
      </c>
      <c r="H3" t="s">
        <v>14</v>
      </c>
      <c r="I3" t="s">
        <v>200</v>
      </c>
      <c r="J3">
        <v>3</v>
      </c>
      <c r="L3" t="s">
        <v>13</v>
      </c>
      <c r="M3" t="s">
        <v>201</v>
      </c>
      <c r="N3" t="s">
        <v>121</v>
      </c>
      <c r="Q3" t="s">
        <v>202</v>
      </c>
    </row>
    <row r="4" spans="1:106" x14ac:dyDescent="0.25">
      <c r="A4">
        <v>11</v>
      </c>
      <c r="B4" s="2">
        <v>45191.619085648148</v>
      </c>
      <c r="C4" s="2">
        <v>45191.619432870371</v>
      </c>
      <c r="D4" t="s">
        <v>188</v>
      </c>
      <c r="G4" s="1">
        <v>45190</v>
      </c>
      <c r="H4" t="s">
        <v>122</v>
      </c>
      <c r="I4" t="s">
        <v>200</v>
      </c>
      <c r="J4">
        <v>3</v>
      </c>
      <c r="L4" t="s">
        <v>13</v>
      </c>
      <c r="M4" t="s">
        <v>203</v>
      </c>
      <c r="N4" t="s">
        <v>121</v>
      </c>
      <c r="Q4" t="s">
        <v>202</v>
      </c>
    </row>
    <row r="11" spans="1:106" x14ac:dyDescent="0.25">
      <c r="B11" t="s">
        <v>107</v>
      </c>
    </row>
    <row r="13" spans="1:106" x14ac:dyDescent="0.25">
      <c r="D13" cm="1">
        <f t="array" ref="D13">COUNT(ROW(B11:B13))</f>
        <v>3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968B1D-C8D4-43A4-AAD1-DC51BFD64288}">
  <sheetPr codeName="Sheet9"/>
  <dimension ref="A1:CR2"/>
  <sheetViews>
    <sheetView topLeftCell="BS1" workbookViewId="0">
      <selection activeCell="CK2" sqref="CK2:CR3"/>
    </sheetView>
  </sheetViews>
  <sheetFormatPr defaultRowHeight="15" x14ac:dyDescent="0.25"/>
  <cols>
    <col min="1" max="1" width="5.140625" bestFit="1" customWidth="1"/>
    <col min="2" max="2" width="12" bestFit="1" customWidth="1"/>
    <col min="3" max="3" width="18.42578125" bestFit="1" customWidth="1"/>
    <col min="4" max="4" width="8.140625" bestFit="1" customWidth="1"/>
    <col min="5" max="5" width="8.5703125" bestFit="1" customWidth="1"/>
    <col min="6" max="6" width="20.140625" bestFit="1" customWidth="1"/>
    <col min="7" max="7" width="7.85546875" bestFit="1" customWidth="1"/>
    <col min="8" max="8" width="8" bestFit="1" customWidth="1"/>
    <col min="9" max="9" width="9.7109375" bestFit="1" customWidth="1"/>
    <col min="10" max="10" width="10.42578125" bestFit="1" customWidth="1"/>
    <col min="11" max="11" width="8" bestFit="1" customWidth="1"/>
    <col min="12" max="12" width="6.85546875" bestFit="1" customWidth="1"/>
    <col min="13" max="13" width="13.7109375" bestFit="1" customWidth="1"/>
    <col min="14" max="14" width="10.85546875" bestFit="1" customWidth="1"/>
    <col min="15" max="15" width="24.85546875" bestFit="1" customWidth="1"/>
    <col min="16" max="16" width="16.7109375" bestFit="1" customWidth="1"/>
    <col min="17" max="17" width="9" bestFit="1" customWidth="1"/>
    <col min="18" max="18" width="10.7109375" bestFit="1" customWidth="1"/>
    <col min="19" max="19" width="11.42578125" bestFit="1" customWidth="1"/>
    <col min="20" max="20" width="9" bestFit="1" customWidth="1"/>
    <col min="21" max="21" width="7.85546875" bestFit="1" customWidth="1"/>
    <col min="22" max="22" width="14.7109375" bestFit="1" customWidth="1"/>
    <col min="23" max="23" width="11.85546875" bestFit="1" customWidth="1"/>
    <col min="24" max="24" width="25.85546875" bestFit="1" customWidth="1"/>
    <col min="25" max="25" width="17.7109375" bestFit="1" customWidth="1"/>
    <col min="26" max="26" width="9" bestFit="1" customWidth="1"/>
    <col min="27" max="27" width="10.7109375" bestFit="1" customWidth="1"/>
    <col min="28" max="28" width="11.42578125" bestFit="1" customWidth="1"/>
    <col min="29" max="29" width="9" bestFit="1" customWidth="1"/>
    <col min="30" max="30" width="7.85546875" bestFit="1" customWidth="1"/>
    <col min="31" max="31" width="14.7109375" bestFit="1" customWidth="1"/>
    <col min="32" max="32" width="11.85546875" bestFit="1" customWidth="1"/>
    <col min="33" max="33" width="25.85546875" bestFit="1" customWidth="1"/>
    <col min="34" max="34" width="17.7109375" bestFit="1" customWidth="1"/>
    <col min="35" max="35" width="9" bestFit="1" customWidth="1"/>
    <col min="36" max="36" width="10.7109375" bestFit="1" customWidth="1"/>
    <col min="37" max="37" width="11.42578125" bestFit="1" customWidth="1"/>
    <col min="38" max="38" width="9" bestFit="1" customWidth="1"/>
    <col min="39" max="39" width="7.85546875" bestFit="1" customWidth="1"/>
    <col min="40" max="40" width="14.7109375" bestFit="1" customWidth="1"/>
    <col min="41" max="41" width="11.85546875" bestFit="1" customWidth="1"/>
    <col min="42" max="42" width="25.85546875" bestFit="1" customWidth="1"/>
    <col min="43" max="43" width="17.7109375" bestFit="1" customWidth="1"/>
    <col min="44" max="44" width="9" bestFit="1" customWidth="1"/>
    <col min="45" max="45" width="10.7109375" bestFit="1" customWidth="1"/>
    <col min="46" max="46" width="11.42578125" bestFit="1" customWidth="1"/>
    <col min="47" max="47" width="9" bestFit="1" customWidth="1"/>
    <col min="48" max="48" width="7.85546875" bestFit="1" customWidth="1"/>
    <col min="49" max="49" width="14.7109375" bestFit="1" customWidth="1"/>
    <col min="50" max="50" width="11.85546875" bestFit="1" customWidth="1"/>
    <col min="51" max="51" width="25.85546875" bestFit="1" customWidth="1"/>
    <col min="52" max="52" width="17.7109375" bestFit="1" customWidth="1"/>
    <col min="53" max="53" width="9" bestFit="1" customWidth="1"/>
    <col min="54" max="54" width="10.7109375" bestFit="1" customWidth="1"/>
    <col min="55" max="55" width="11.42578125" bestFit="1" customWidth="1"/>
    <col min="56" max="56" width="9" bestFit="1" customWidth="1"/>
    <col min="57" max="57" width="7.85546875" bestFit="1" customWidth="1"/>
    <col min="58" max="58" width="14.7109375" bestFit="1" customWidth="1"/>
    <col min="59" max="59" width="11.85546875" bestFit="1" customWidth="1"/>
    <col min="60" max="60" width="25.85546875" bestFit="1" customWidth="1"/>
    <col min="61" max="61" width="17.7109375" bestFit="1" customWidth="1"/>
    <col min="62" max="62" width="9" bestFit="1" customWidth="1"/>
    <col min="63" max="63" width="10.7109375" bestFit="1" customWidth="1"/>
    <col min="64" max="64" width="11.42578125" bestFit="1" customWidth="1"/>
    <col min="65" max="65" width="9" bestFit="1" customWidth="1"/>
    <col min="66" max="66" width="7.85546875" bestFit="1" customWidth="1"/>
    <col min="67" max="67" width="14.7109375" bestFit="1" customWidth="1"/>
    <col min="68" max="68" width="11.85546875" bestFit="1" customWidth="1"/>
    <col min="69" max="69" width="25.85546875" bestFit="1" customWidth="1"/>
    <col min="70" max="70" width="17.7109375" bestFit="1" customWidth="1"/>
    <col min="71" max="71" width="9" bestFit="1" customWidth="1"/>
    <col min="72" max="72" width="10.7109375" bestFit="1" customWidth="1"/>
    <col min="73" max="73" width="11.42578125" bestFit="1" customWidth="1"/>
    <col min="74" max="74" width="9" bestFit="1" customWidth="1"/>
    <col min="75" max="75" width="7.85546875" bestFit="1" customWidth="1"/>
    <col min="76" max="76" width="14.7109375" bestFit="1" customWidth="1"/>
    <col min="77" max="77" width="11.85546875" bestFit="1" customWidth="1"/>
    <col min="78" max="78" width="25.85546875" bestFit="1" customWidth="1"/>
    <col min="79" max="79" width="17.7109375" bestFit="1" customWidth="1"/>
    <col min="80" max="80" width="9" bestFit="1" customWidth="1"/>
    <col min="81" max="81" width="10.7109375" bestFit="1" customWidth="1"/>
    <col min="82" max="82" width="11.42578125" bestFit="1" customWidth="1"/>
    <col min="83" max="83" width="9" bestFit="1" customWidth="1"/>
    <col min="84" max="84" width="7.85546875" bestFit="1" customWidth="1"/>
    <col min="85" max="85" width="14.7109375" bestFit="1" customWidth="1"/>
    <col min="86" max="86" width="11.85546875" bestFit="1" customWidth="1"/>
    <col min="87" max="87" width="25.85546875" bestFit="1" customWidth="1"/>
    <col min="88" max="88" width="17.7109375" bestFit="1" customWidth="1"/>
    <col min="89" max="89" width="10" bestFit="1" customWidth="1"/>
    <col min="90" max="90" width="11.7109375" bestFit="1" customWidth="1"/>
    <col min="91" max="91" width="12.42578125" bestFit="1" customWidth="1"/>
    <col min="92" max="92" width="10" bestFit="1" customWidth="1"/>
    <col min="93" max="93" width="8.85546875" bestFit="1" customWidth="1"/>
    <col min="94" max="94" width="15.85546875" bestFit="1" customWidth="1"/>
    <col min="95" max="95" width="12.85546875" bestFit="1" customWidth="1"/>
    <col min="96" max="96" width="26.85546875" bestFit="1" customWidth="1"/>
  </cols>
  <sheetData>
    <row r="1" spans="1:96" x14ac:dyDescent="0.25">
      <c r="A1" t="s">
        <v>20</v>
      </c>
      <c r="B1" t="s">
        <v>21</v>
      </c>
      <c r="C1" t="s">
        <v>22</v>
      </c>
      <c r="D1" t="s">
        <v>23</v>
      </c>
      <c r="E1" t="s">
        <v>24</v>
      </c>
      <c r="F1" t="s">
        <v>25</v>
      </c>
      <c r="G1" t="s">
        <v>3</v>
      </c>
      <c r="H1" t="s">
        <v>4</v>
      </c>
      <c r="I1" t="s">
        <v>123</v>
      </c>
      <c r="J1" t="s">
        <v>124</v>
      </c>
      <c r="K1" t="s">
        <v>8</v>
      </c>
      <c r="L1" t="s">
        <v>9</v>
      </c>
      <c r="M1" t="s">
        <v>10</v>
      </c>
      <c r="N1" t="s">
        <v>111</v>
      </c>
      <c r="O1" t="s">
        <v>11</v>
      </c>
      <c r="P1" t="s">
        <v>26</v>
      </c>
      <c r="Q1" t="s">
        <v>27</v>
      </c>
      <c r="R1" t="s">
        <v>125</v>
      </c>
      <c r="S1" t="s">
        <v>126</v>
      </c>
      <c r="T1" t="s">
        <v>31</v>
      </c>
      <c r="U1" t="s">
        <v>32</v>
      </c>
      <c r="V1" t="s">
        <v>33</v>
      </c>
      <c r="W1" t="s">
        <v>112</v>
      </c>
      <c r="X1" t="s">
        <v>34</v>
      </c>
      <c r="Y1" t="s">
        <v>35</v>
      </c>
      <c r="Z1" t="s">
        <v>36</v>
      </c>
      <c r="AA1" t="s">
        <v>127</v>
      </c>
      <c r="AB1" t="s">
        <v>128</v>
      </c>
      <c r="AC1" t="s">
        <v>40</v>
      </c>
      <c r="AD1" t="s">
        <v>41</v>
      </c>
      <c r="AE1" t="s">
        <v>42</v>
      </c>
      <c r="AF1" t="s">
        <v>113</v>
      </c>
      <c r="AG1" t="s">
        <v>43</v>
      </c>
      <c r="AH1" t="s">
        <v>44</v>
      </c>
      <c r="AI1" t="s">
        <v>45</v>
      </c>
      <c r="AJ1" t="s">
        <v>130</v>
      </c>
      <c r="AK1" t="s">
        <v>129</v>
      </c>
      <c r="AL1" t="s">
        <v>49</v>
      </c>
      <c r="AM1" t="s">
        <v>50</v>
      </c>
      <c r="AN1" t="s">
        <v>51</v>
      </c>
      <c r="AO1" t="s">
        <v>114</v>
      </c>
      <c r="AP1" t="s">
        <v>52</v>
      </c>
      <c r="AQ1" t="s">
        <v>53</v>
      </c>
      <c r="AR1" t="s">
        <v>54</v>
      </c>
      <c r="AS1" t="s">
        <v>131</v>
      </c>
      <c r="AT1" t="s">
        <v>132</v>
      </c>
      <c r="AU1" t="s">
        <v>58</v>
      </c>
      <c r="AV1" t="s">
        <v>59</v>
      </c>
      <c r="AW1" t="s">
        <v>60</v>
      </c>
      <c r="AX1" t="s">
        <v>115</v>
      </c>
      <c r="AY1" t="s">
        <v>61</v>
      </c>
      <c r="AZ1" t="s">
        <v>62</v>
      </c>
      <c r="BA1" t="s">
        <v>63</v>
      </c>
      <c r="BB1" t="s">
        <v>133</v>
      </c>
      <c r="BC1" t="s">
        <v>134</v>
      </c>
      <c r="BD1" t="s">
        <v>67</v>
      </c>
      <c r="BE1" t="s">
        <v>68</v>
      </c>
      <c r="BF1" t="s">
        <v>69</v>
      </c>
      <c r="BG1" t="s">
        <v>116</v>
      </c>
      <c r="BH1" t="s">
        <v>70</v>
      </c>
      <c r="BI1" t="s">
        <v>71</v>
      </c>
      <c r="BJ1" t="s">
        <v>72</v>
      </c>
      <c r="BK1" t="s">
        <v>135</v>
      </c>
      <c r="BL1" t="s">
        <v>136</v>
      </c>
      <c r="BM1" t="s">
        <v>76</v>
      </c>
      <c r="BN1" t="s">
        <v>77</v>
      </c>
      <c r="BO1" t="s">
        <v>78</v>
      </c>
      <c r="BP1" t="s">
        <v>117</v>
      </c>
      <c r="BQ1" t="s">
        <v>79</v>
      </c>
      <c r="BR1" t="s">
        <v>80</v>
      </c>
      <c r="BS1" t="s">
        <v>81</v>
      </c>
      <c r="BT1" t="s">
        <v>137</v>
      </c>
      <c r="BU1" t="s">
        <v>138</v>
      </c>
      <c r="BV1" t="s">
        <v>85</v>
      </c>
      <c r="BW1" t="s">
        <v>86</v>
      </c>
      <c r="BX1" t="s">
        <v>87</v>
      </c>
      <c r="BY1" t="s">
        <v>118</v>
      </c>
      <c r="BZ1" t="s">
        <v>88</v>
      </c>
      <c r="CA1" t="s">
        <v>89</v>
      </c>
      <c r="CB1" t="s">
        <v>90</v>
      </c>
      <c r="CC1" t="s">
        <v>139</v>
      </c>
      <c r="CD1" t="s">
        <v>140</v>
      </c>
      <c r="CE1" t="s">
        <v>94</v>
      </c>
      <c r="CF1" t="s">
        <v>95</v>
      </c>
      <c r="CG1" t="s">
        <v>96</v>
      </c>
      <c r="CH1" t="s">
        <v>119</v>
      </c>
      <c r="CI1" t="s">
        <v>97</v>
      </c>
      <c r="CJ1" t="s">
        <v>98</v>
      </c>
      <c r="CK1" t="s">
        <v>99</v>
      </c>
      <c r="CL1" t="s">
        <v>141</v>
      </c>
      <c r="CM1" t="s">
        <v>142</v>
      </c>
      <c r="CN1" t="s">
        <v>103</v>
      </c>
      <c r="CO1" t="s">
        <v>104</v>
      </c>
      <c r="CP1" t="s">
        <v>105</v>
      </c>
      <c r="CQ1" t="s">
        <v>120</v>
      </c>
      <c r="CR1" t="s">
        <v>106</v>
      </c>
    </row>
    <row r="2" spans="1:96" x14ac:dyDescent="0.25">
      <c r="B2" s="2"/>
      <c r="C2" s="2"/>
      <c r="G2" s="1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AB8F4-9B91-4A14-8D2B-A6842BF60353}">
  <sheetPr codeName="Sheet10"/>
  <dimension ref="A1:CH2"/>
  <sheetViews>
    <sheetView topLeftCell="BJ1" workbookViewId="0">
      <selection activeCell="CB2" sqref="CB2:CH3"/>
    </sheetView>
  </sheetViews>
  <sheetFormatPr defaultRowHeight="15" x14ac:dyDescent="0.25"/>
  <cols>
    <col min="1" max="1" width="5.140625" bestFit="1" customWidth="1"/>
    <col min="2" max="2" width="12" bestFit="1" customWidth="1"/>
    <col min="3" max="3" width="18.42578125" bestFit="1" customWidth="1"/>
    <col min="4" max="4" width="8.140625" bestFit="1" customWidth="1"/>
    <col min="5" max="5" width="8.5703125" bestFit="1" customWidth="1"/>
    <col min="6" max="6" width="20.140625" bestFit="1" customWidth="1"/>
    <col min="7" max="7" width="7.85546875" bestFit="1" customWidth="1"/>
    <col min="8" max="8" width="8" bestFit="1" customWidth="1"/>
    <col min="9" max="9" width="15" bestFit="1" customWidth="1"/>
    <col min="10" max="10" width="10.85546875" bestFit="1" customWidth="1"/>
    <col min="11" max="11" width="13.42578125" bestFit="1" customWidth="1"/>
    <col min="12" max="12" width="8" bestFit="1" customWidth="1"/>
    <col min="13" max="13" width="6.85546875" bestFit="1" customWidth="1"/>
    <col min="14" max="14" width="11.85546875" bestFit="1" customWidth="1"/>
    <col min="15" max="15" width="16.7109375" bestFit="1" customWidth="1"/>
    <col min="16" max="16" width="9" bestFit="1" customWidth="1"/>
    <col min="17" max="17" width="16.140625" bestFit="1" customWidth="1"/>
    <col min="18" max="18" width="11.85546875" bestFit="1" customWidth="1"/>
    <col min="19" max="19" width="14.42578125" bestFit="1" customWidth="1"/>
    <col min="20" max="20" width="9" bestFit="1" customWidth="1"/>
    <col min="21" max="21" width="7.85546875" bestFit="1" customWidth="1"/>
    <col min="22" max="22" width="12.85546875" bestFit="1" customWidth="1"/>
    <col min="23" max="23" width="17.7109375" bestFit="1" customWidth="1"/>
    <col min="24" max="24" width="9" bestFit="1" customWidth="1"/>
    <col min="25" max="25" width="16.140625" bestFit="1" customWidth="1"/>
    <col min="26" max="26" width="11.85546875" bestFit="1" customWidth="1"/>
    <col min="27" max="27" width="14.42578125" bestFit="1" customWidth="1"/>
    <col min="28" max="28" width="9" bestFit="1" customWidth="1"/>
    <col min="29" max="29" width="7.85546875" bestFit="1" customWidth="1"/>
    <col min="30" max="30" width="12.85546875" bestFit="1" customWidth="1"/>
    <col min="31" max="31" width="17.7109375" bestFit="1" customWidth="1"/>
    <col min="32" max="32" width="9" bestFit="1" customWidth="1"/>
    <col min="33" max="33" width="16.140625" bestFit="1" customWidth="1"/>
    <col min="34" max="34" width="11.85546875" bestFit="1" customWidth="1"/>
    <col min="35" max="35" width="14.42578125" bestFit="1" customWidth="1"/>
    <col min="36" max="36" width="9" bestFit="1" customWidth="1"/>
    <col min="37" max="37" width="7.85546875" bestFit="1" customWidth="1"/>
    <col min="38" max="38" width="12.85546875" bestFit="1" customWidth="1"/>
    <col min="39" max="39" width="17.7109375" bestFit="1" customWidth="1"/>
    <col min="40" max="40" width="9" bestFit="1" customWidth="1"/>
    <col min="41" max="41" width="16.140625" bestFit="1" customWidth="1"/>
    <col min="42" max="42" width="11.85546875" bestFit="1" customWidth="1"/>
    <col min="43" max="43" width="14.42578125" bestFit="1" customWidth="1"/>
    <col min="44" max="44" width="9" bestFit="1" customWidth="1"/>
    <col min="45" max="45" width="7.85546875" bestFit="1" customWidth="1"/>
    <col min="46" max="46" width="12.85546875" bestFit="1" customWidth="1"/>
    <col min="47" max="47" width="17.7109375" bestFit="1" customWidth="1"/>
    <col min="48" max="48" width="9" bestFit="1" customWidth="1"/>
    <col min="49" max="49" width="16.140625" bestFit="1" customWidth="1"/>
    <col min="50" max="50" width="11.85546875" bestFit="1" customWidth="1"/>
    <col min="51" max="51" width="14.42578125" bestFit="1" customWidth="1"/>
    <col min="52" max="52" width="9" bestFit="1" customWidth="1"/>
    <col min="53" max="53" width="7.85546875" bestFit="1" customWidth="1"/>
    <col min="54" max="54" width="12.85546875" bestFit="1" customWidth="1"/>
    <col min="55" max="55" width="17.7109375" bestFit="1" customWidth="1"/>
    <col min="56" max="56" width="9" bestFit="1" customWidth="1"/>
    <col min="57" max="57" width="16.140625" bestFit="1" customWidth="1"/>
    <col min="58" max="58" width="11.85546875" bestFit="1" customWidth="1"/>
    <col min="59" max="59" width="14.42578125" bestFit="1" customWidth="1"/>
    <col min="60" max="60" width="9" bestFit="1" customWidth="1"/>
    <col min="61" max="61" width="7.85546875" bestFit="1" customWidth="1"/>
    <col min="62" max="62" width="12.85546875" bestFit="1" customWidth="1"/>
    <col min="63" max="63" width="17.7109375" bestFit="1" customWidth="1"/>
    <col min="64" max="64" width="9" bestFit="1" customWidth="1"/>
    <col min="65" max="65" width="16.140625" bestFit="1" customWidth="1"/>
    <col min="66" max="66" width="11.85546875" bestFit="1" customWidth="1"/>
    <col min="67" max="67" width="14.42578125" bestFit="1" customWidth="1"/>
    <col min="68" max="68" width="9" bestFit="1" customWidth="1"/>
    <col min="69" max="69" width="7.85546875" bestFit="1" customWidth="1"/>
    <col min="70" max="70" width="12.85546875" bestFit="1" customWidth="1"/>
    <col min="71" max="71" width="17.7109375" bestFit="1" customWidth="1"/>
    <col min="72" max="72" width="9" bestFit="1" customWidth="1"/>
    <col min="73" max="73" width="16.140625" bestFit="1" customWidth="1"/>
    <col min="74" max="74" width="11.85546875" bestFit="1" customWidth="1"/>
    <col min="75" max="75" width="14.42578125" bestFit="1" customWidth="1"/>
    <col min="76" max="76" width="9" bestFit="1" customWidth="1"/>
    <col min="77" max="77" width="7.85546875" bestFit="1" customWidth="1"/>
    <col min="78" max="78" width="12.85546875" bestFit="1" customWidth="1"/>
    <col min="79" max="79" width="17.7109375" bestFit="1" customWidth="1"/>
    <col min="80" max="80" width="10" bestFit="1" customWidth="1"/>
    <col min="81" max="81" width="17.140625" bestFit="1" customWidth="1"/>
    <col min="82" max="82" width="12.85546875" bestFit="1" customWidth="1"/>
    <col min="83" max="83" width="15.5703125" bestFit="1" customWidth="1"/>
    <col min="84" max="84" width="10" bestFit="1" customWidth="1"/>
    <col min="85" max="85" width="8.85546875" bestFit="1" customWidth="1"/>
    <col min="86" max="86" width="13.85546875" bestFit="1" customWidth="1"/>
  </cols>
  <sheetData>
    <row r="1" spans="1:86" x14ac:dyDescent="0.25">
      <c r="A1" t="s">
        <v>20</v>
      </c>
      <c r="B1" t="s">
        <v>21</v>
      </c>
      <c r="C1" t="s">
        <v>22</v>
      </c>
      <c r="D1" t="s">
        <v>23</v>
      </c>
      <c r="E1" t="s">
        <v>24</v>
      </c>
      <c r="F1" t="s">
        <v>25</v>
      </c>
      <c r="G1" t="s">
        <v>3</v>
      </c>
      <c r="H1" t="s">
        <v>4</v>
      </c>
      <c r="I1" t="s">
        <v>5</v>
      </c>
      <c r="J1" t="s">
        <v>6</v>
      </c>
      <c r="K1" t="s">
        <v>7</v>
      </c>
      <c r="L1" t="s">
        <v>8</v>
      </c>
      <c r="M1" t="s">
        <v>9</v>
      </c>
      <c r="N1" t="s">
        <v>143</v>
      </c>
      <c r="O1" t="s">
        <v>26</v>
      </c>
      <c r="P1" t="s">
        <v>27</v>
      </c>
      <c r="Q1" t="s">
        <v>28</v>
      </c>
      <c r="R1" t="s">
        <v>29</v>
      </c>
      <c r="S1" t="s">
        <v>30</v>
      </c>
      <c r="T1" t="s">
        <v>31</v>
      </c>
      <c r="U1" t="s">
        <v>32</v>
      </c>
      <c r="V1" t="s">
        <v>144</v>
      </c>
      <c r="W1" t="s">
        <v>35</v>
      </c>
      <c r="X1" t="s">
        <v>36</v>
      </c>
      <c r="Y1" t="s">
        <v>37</v>
      </c>
      <c r="Z1" t="s">
        <v>38</v>
      </c>
      <c r="AA1" t="s">
        <v>39</v>
      </c>
      <c r="AB1" t="s">
        <v>40</v>
      </c>
      <c r="AC1" t="s">
        <v>41</v>
      </c>
      <c r="AD1" t="s">
        <v>145</v>
      </c>
      <c r="AE1" t="s">
        <v>44</v>
      </c>
      <c r="AF1" t="s">
        <v>45</v>
      </c>
      <c r="AG1" t="s">
        <v>46</v>
      </c>
      <c r="AH1" t="s">
        <v>47</v>
      </c>
      <c r="AI1" t="s">
        <v>48</v>
      </c>
      <c r="AJ1" t="s">
        <v>49</v>
      </c>
      <c r="AK1" t="s">
        <v>50</v>
      </c>
      <c r="AL1" t="s">
        <v>146</v>
      </c>
      <c r="AM1" t="s">
        <v>53</v>
      </c>
      <c r="AN1" t="s">
        <v>54</v>
      </c>
      <c r="AO1" t="s">
        <v>55</v>
      </c>
      <c r="AP1" t="s">
        <v>56</v>
      </c>
      <c r="AQ1" t="s">
        <v>57</v>
      </c>
      <c r="AR1" t="s">
        <v>58</v>
      </c>
      <c r="AS1" t="s">
        <v>59</v>
      </c>
      <c r="AT1" t="s">
        <v>147</v>
      </c>
      <c r="AU1" t="s">
        <v>62</v>
      </c>
      <c r="AV1" t="s">
        <v>63</v>
      </c>
      <c r="AW1" t="s">
        <v>64</v>
      </c>
      <c r="AX1" t="s">
        <v>65</v>
      </c>
      <c r="AY1" t="s">
        <v>66</v>
      </c>
      <c r="AZ1" t="s">
        <v>67</v>
      </c>
      <c r="BA1" t="s">
        <v>68</v>
      </c>
      <c r="BB1" t="s">
        <v>148</v>
      </c>
      <c r="BC1" t="s">
        <v>71</v>
      </c>
      <c r="BD1" t="s">
        <v>72</v>
      </c>
      <c r="BE1" t="s">
        <v>73</v>
      </c>
      <c r="BF1" t="s">
        <v>74</v>
      </c>
      <c r="BG1" t="s">
        <v>75</v>
      </c>
      <c r="BH1" t="s">
        <v>76</v>
      </c>
      <c r="BI1" t="s">
        <v>77</v>
      </c>
      <c r="BJ1" t="s">
        <v>149</v>
      </c>
      <c r="BK1" t="s">
        <v>80</v>
      </c>
      <c r="BL1" t="s">
        <v>81</v>
      </c>
      <c r="BM1" t="s">
        <v>82</v>
      </c>
      <c r="BN1" t="s">
        <v>83</v>
      </c>
      <c r="BO1" t="s">
        <v>84</v>
      </c>
      <c r="BP1" t="s">
        <v>85</v>
      </c>
      <c r="BQ1" t="s">
        <v>86</v>
      </c>
      <c r="BR1" t="s">
        <v>150</v>
      </c>
      <c r="BS1" t="s">
        <v>89</v>
      </c>
      <c r="BT1" t="s">
        <v>90</v>
      </c>
      <c r="BU1" t="s">
        <v>91</v>
      </c>
      <c r="BV1" t="s">
        <v>92</v>
      </c>
      <c r="BW1" t="s">
        <v>93</v>
      </c>
      <c r="BX1" t="s">
        <v>94</v>
      </c>
      <c r="BY1" t="s">
        <v>95</v>
      </c>
      <c r="BZ1" t="s">
        <v>151</v>
      </c>
      <c r="CA1" t="s">
        <v>98</v>
      </c>
      <c r="CB1" t="s">
        <v>99</v>
      </c>
      <c r="CC1" t="s">
        <v>100</v>
      </c>
      <c r="CD1" t="s">
        <v>101</v>
      </c>
      <c r="CE1" t="s">
        <v>102</v>
      </c>
      <c r="CF1" t="s">
        <v>103</v>
      </c>
      <c r="CG1" t="s">
        <v>104</v>
      </c>
      <c r="CH1" t="s">
        <v>152</v>
      </c>
    </row>
    <row r="2" spans="1:86" x14ac:dyDescent="0.25">
      <c r="B2" s="2"/>
      <c r="C2" s="2"/>
      <c r="G2" s="1"/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7B08E-5DB4-459D-8208-4FB665A04CAE}">
  <sheetPr codeName="Sheet2"/>
  <dimension ref="B3:K35"/>
  <sheetViews>
    <sheetView workbookViewId="0">
      <selection activeCell="B5" sqref="B5:B34"/>
    </sheetView>
  </sheetViews>
  <sheetFormatPr defaultRowHeight="15" x14ac:dyDescent="0.25"/>
  <cols>
    <col min="1" max="1" width="5.140625" bestFit="1" customWidth="1"/>
    <col min="2" max="2" width="11.140625" bestFit="1" customWidth="1"/>
    <col min="3" max="3" width="20.7109375" bestFit="1" customWidth="1"/>
    <col min="4" max="4" width="14.85546875" customWidth="1"/>
    <col min="5" max="5" width="10.7109375" customWidth="1"/>
    <col min="6" max="6" width="20.140625" bestFit="1" customWidth="1"/>
    <col min="7" max="7" width="10.42578125" bestFit="1" customWidth="1"/>
    <col min="8" max="8" width="8" bestFit="1" customWidth="1"/>
    <col min="9" max="9" width="15" bestFit="1" customWidth="1"/>
    <col min="10" max="10" width="24.28515625" customWidth="1"/>
    <col min="11" max="11" width="13.42578125" bestFit="1" customWidth="1"/>
    <col min="12" max="12" width="8" bestFit="1" customWidth="1"/>
    <col min="13" max="13" width="6.85546875" bestFit="1" customWidth="1"/>
    <col min="14" max="14" width="13.7109375" bestFit="1" customWidth="1"/>
    <col min="15" max="15" width="24.85546875" bestFit="1" customWidth="1"/>
    <col min="16" max="16" width="16.7109375" bestFit="1" customWidth="1"/>
    <col min="17" max="17" width="9" bestFit="1" customWidth="1"/>
    <col min="18" max="18" width="16.140625" bestFit="1" customWidth="1"/>
    <col min="19" max="19" width="11.85546875" bestFit="1" customWidth="1"/>
    <col min="20" max="20" width="14.42578125" bestFit="1" customWidth="1"/>
    <col min="21" max="21" width="9" bestFit="1" customWidth="1"/>
    <col min="22" max="22" width="7.85546875" bestFit="1" customWidth="1"/>
    <col min="23" max="23" width="14.7109375" bestFit="1" customWidth="1"/>
    <col min="24" max="24" width="25.85546875" bestFit="1" customWidth="1"/>
    <col min="25" max="25" width="17.7109375" bestFit="1" customWidth="1"/>
    <col min="26" max="26" width="9" bestFit="1" customWidth="1"/>
    <col min="27" max="27" width="16.140625" bestFit="1" customWidth="1"/>
    <col min="28" max="28" width="11.85546875" bestFit="1" customWidth="1"/>
    <col min="29" max="29" width="14.42578125" bestFit="1" customWidth="1"/>
    <col min="30" max="30" width="9" bestFit="1" customWidth="1"/>
    <col min="31" max="31" width="7.85546875" bestFit="1" customWidth="1"/>
    <col min="32" max="32" width="14.7109375" bestFit="1" customWidth="1"/>
    <col min="33" max="33" width="25.85546875" bestFit="1" customWidth="1"/>
    <col min="34" max="34" width="17.7109375" bestFit="1" customWidth="1"/>
    <col min="35" max="35" width="9" bestFit="1" customWidth="1"/>
    <col min="36" max="36" width="16.140625" bestFit="1" customWidth="1"/>
    <col min="37" max="37" width="11.85546875" bestFit="1" customWidth="1"/>
    <col min="38" max="38" width="14.42578125" bestFit="1" customWidth="1"/>
    <col min="39" max="39" width="9" bestFit="1" customWidth="1"/>
    <col min="40" max="40" width="7.85546875" bestFit="1" customWidth="1"/>
    <col min="41" max="41" width="14.7109375" bestFit="1" customWidth="1"/>
    <col min="42" max="42" width="25.85546875" bestFit="1" customWidth="1"/>
    <col min="43" max="43" width="17.7109375" bestFit="1" customWidth="1"/>
    <col min="44" max="44" width="9" bestFit="1" customWidth="1"/>
    <col min="45" max="45" width="16.140625" bestFit="1" customWidth="1"/>
    <col min="46" max="46" width="11.85546875" bestFit="1" customWidth="1"/>
    <col min="47" max="47" width="14.42578125" bestFit="1" customWidth="1"/>
    <col min="48" max="48" width="9" bestFit="1" customWidth="1"/>
    <col min="49" max="49" width="7.85546875" bestFit="1" customWidth="1"/>
    <col min="50" max="50" width="14.7109375" bestFit="1" customWidth="1"/>
    <col min="51" max="51" width="25.85546875" bestFit="1" customWidth="1"/>
    <col min="52" max="52" width="17.7109375" bestFit="1" customWidth="1"/>
    <col min="53" max="53" width="9" bestFit="1" customWidth="1"/>
    <col min="54" max="54" width="16.140625" bestFit="1" customWidth="1"/>
    <col min="55" max="55" width="11.85546875" bestFit="1" customWidth="1"/>
    <col min="56" max="56" width="14.42578125" bestFit="1" customWidth="1"/>
    <col min="57" max="57" width="9" bestFit="1" customWidth="1"/>
    <col min="58" max="58" width="7.85546875" bestFit="1" customWidth="1"/>
    <col min="59" max="59" width="14.7109375" bestFit="1" customWidth="1"/>
    <col min="60" max="60" width="25.85546875" bestFit="1" customWidth="1"/>
    <col min="61" max="61" width="17.7109375" bestFit="1" customWidth="1"/>
    <col min="62" max="62" width="9" bestFit="1" customWidth="1"/>
    <col min="63" max="63" width="16.140625" bestFit="1" customWidth="1"/>
    <col min="64" max="64" width="11.85546875" bestFit="1" customWidth="1"/>
    <col min="65" max="65" width="14.42578125" bestFit="1" customWidth="1"/>
    <col min="66" max="66" width="9" bestFit="1" customWidth="1"/>
    <col min="67" max="67" width="7.85546875" bestFit="1" customWidth="1"/>
    <col min="68" max="68" width="14.7109375" bestFit="1" customWidth="1"/>
    <col min="69" max="69" width="25.85546875" bestFit="1" customWidth="1"/>
    <col min="70" max="70" width="17.7109375" bestFit="1" customWidth="1"/>
    <col min="71" max="71" width="9" bestFit="1" customWidth="1"/>
    <col min="72" max="72" width="16.140625" bestFit="1" customWidth="1"/>
    <col min="73" max="73" width="11.85546875" bestFit="1" customWidth="1"/>
    <col min="74" max="74" width="14.42578125" bestFit="1" customWidth="1"/>
    <col min="75" max="75" width="9" bestFit="1" customWidth="1"/>
    <col min="76" max="76" width="7.85546875" bestFit="1" customWidth="1"/>
    <col min="77" max="77" width="14.7109375" bestFit="1" customWidth="1"/>
    <col min="78" max="78" width="25.85546875" bestFit="1" customWidth="1"/>
    <col min="79" max="79" width="17.7109375" bestFit="1" customWidth="1"/>
    <col min="80" max="80" width="9" bestFit="1" customWidth="1"/>
    <col min="81" max="81" width="16.140625" bestFit="1" customWidth="1"/>
    <col min="82" max="82" width="11.85546875" bestFit="1" customWidth="1"/>
    <col min="83" max="83" width="14.42578125" bestFit="1" customWidth="1"/>
    <col min="84" max="84" width="9" bestFit="1" customWidth="1"/>
    <col min="85" max="85" width="7.85546875" bestFit="1" customWidth="1"/>
    <col min="86" max="86" width="14.7109375" bestFit="1" customWidth="1"/>
    <col min="87" max="87" width="25.85546875" bestFit="1" customWidth="1"/>
    <col min="88" max="88" width="17.7109375" bestFit="1" customWidth="1"/>
    <col min="89" max="89" width="10" bestFit="1" customWidth="1"/>
    <col min="90" max="90" width="17.140625" bestFit="1" customWidth="1"/>
    <col min="91" max="91" width="12.85546875" bestFit="1" customWidth="1"/>
    <col min="92" max="92" width="15.5703125" bestFit="1" customWidth="1"/>
    <col min="93" max="93" width="10" bestFit="1" customWidth="1"/>
    <col min="94" max="94" width="8.85546875" bestFit="1" customWidth="1"/>
    <col min="95" max="95" width="15.85546875" bestFit="1" customWidth="1"/>
    <col min="96" max="96" width="26.85546875" bestFit="1" customWidth="1"/>
  </cols>
  <sheetData>
    <row r="3" spans="2:11" x14ac:dyDescent="0.25">
      <c r="B3" s="1"/>
      <c r="C3" s="2"/>
      <c r="G3" s="1"/>
    </row>
    <row r="4" spans="2:11" x14ac:dyDescent="0.25">
      <c r="B4" t="s">
        <v>3</v>
      </c>
      <c r="C4" t="s">
        <v>4</v>
      </c>
      <c r="D4" t="s">
        <v>5</v>
      </c>
      <c r="E4" t="s">
        <v>6</v>
      </c>
      <c r="F4" t="s">
        <v>7</v>
      </c>
      <c r="G4" t="s">
        <v>8</v>
      </c>
      <c r="H4" t="s">
        <v>9</v>
      </c>
      <c r="I4" t="s">
        <v>10</v>
      </c>
      <c r="J4" t="s">
        <v>111</v>
      </c>
      <c r="K4" t="s">
        <v>11</v>
      </c>
    </row>
    <row r="5" spans="2:11" x14ac:dyDescent="0.25">
      <c r="B5" s="1">
        <f t="shared" ref="B5:B35" ca="1" si="0">TODAY()-35</f>
        <v>45190</v>
      </c>
      <c r="C5" t="s">
        <v>189</v>
      </c>
      <c r="D5" t="s">
        <v>189</v>
      </c>
      <c r="E5">
        <v>1</v>
      </c>
      <c r="F5" t="s">
        <v>189</v>
      </c>
      <c r="G5" t="s">
        <v>189</v>
      </c>
      <c r="H5" t="s">
        <v>189</v>
      </c>
      <c r="I5" t="s">
        <v>189</v>
      </c>
      <c r="K5" t="s">
        <v>189</v>
      </c>
    </row>
    <row r="6" spans="2:11" x14ac:dyDescent="0.25">
      <c r="B6" s="1">
        <f t="shared" ca="1" si="0"/>
        <v>45190</v>
      </c>
      <c r="C6" t="s">
        <v>14</v>
      </c>
      <c r="D6" t="s">
        <v>200</v>
      </c>
      <c r="E6">
        <v>3</v>
      </c>
      <c r="G6" t="s">
        <v>13</v>
      </c>
      <c r="H6" t="s">
        <v>201</v>
      </c>
      <c r="I6" t="s">
        <v>121</v>
      </c>
    </row>
    <row r="7" spans="2:11" x14ac:dyDescent="0.25">
      <c r="B7" s="1">
        <f t="shared" ca="1" si="0"/>
        <v>45190</v>
      </c>
      <c r="C7" t="s">
        <v>122</v>
      </c>
      <c r="D7" t="s">
        <v>200</v>
      </c>
      <c r="E7">
        <v>3</v>
      </c>
      <c r="G7" t="s">
        <v>13</v>
      </c>
      <c r="H7" t="s">
        <v>203</v>
      </c>
      <c r="I7" t="s">
        <v>121</v>
      </c>
    </row>
    <row r="8" spans="2:11" x14ac:dyDescent="0.25">
      <c r="B8" s="1">
        <f t="shared" ca="1" si="0"/>
        <v>45190</v>
      </c>
      <c r="C8" t="s">
        <v>191</v>
      </c>
      <c r="D8" t="s">
        <v>191</v>
      </c>
      <c r="E8" t="s">
        <v>191</v>
      </c>
      <c r="F8" t="s">
        <v>191</v>
      </c>
      <c r="G8" t="s">
        <v>191</v>
      </c>
      <c r="H8" t="s">
        <v>191</v>
      </c>
      <c r="I8" t="s">
        <v>191</v>
      </c>
      <c r="K8" t="s">
        <v>191</v>
      </c>
    </row>
    <row r="9" spans="2:11" x14ac:dyDescent="0.25">
      <c r="B9" s="1">
        <f t="shared" ca="1" si="0"/>
        <v>45190</v>
      </c>
    </row>
    <row r="10" spans="2:11" x14ac:dyDescent="0.25">
      <c r="B10" s="1">
        <f t="shared" ca="1" si="0"/>
        <v>45190</v>
      </c>
    </row>
    <row r="11" spans="2:11" x14ac:dyDescent="0.25">
      <c r="B11" s="1">
        <f t="shared" ca="1" si="0"/>
        <v>45190</v>
      </c>
      <c r="C11" t="s">
        <v>192</v>
      </c>
      <c r="D11" t="s">
        <v>192</v>
      </c>
      <c r="E11" t="s">
        <v>192</v>
      </c>
      <c r="F11" t="s">
        <v>192</v>
      </c>
      <c r="G11" t="s">
        <v>192</v>
      </c>
      <c r="H11" t="s">
        <v>192</v>
      </c>
      <c r="I11" t="s">
        <v>192</v>
      </c>
      <c r="K11" t="s">
        <v>192</v>
      </c>
    </row>
    <row r="12" spans="2:11" x14ac:dyDescent="0.25">
      <c r="B12" s="1">
        <f t="shared" ca="1" si="0"/>
        <v>45190</v>
      </c>
    </row>
    <row r="13" spans="2:11" x14ac:dyDescent="0.25">
      <c r="B13" s="1">
        <f t="shared" ca="1" si="0"/>
        <v>45190</v>
      </c>
    </row>
    <row r="14" spans="2:11" x14ac:dyDescent="0.25">
      <c r="B14" s="1">
        <f t="shared" ca="1" si="0"/>
        <v>45190</v>
      </c>
      <c r="C14" t="s">
        <v>193</v>
      </c>
      <c r="D14" t="s">
        <v>193</v>
      </c>
      <c r="E14" t="s">
        <v>193</v>
      </c>
      <c r="F14" t="s">
        <v>193</v>
      </c>
      <c r="G14" t="s">
        <v>193</v>
      </c>
      <c r="H14" t="s">
        <v>193</v>
      </c>
      <c r="I14" t="s">
        <v>193</v>
      </c>
      <c r="K14" t="s">
        <v>193</v>
      </c>
    </row>
    <row r="15" spans="2:11" x14ac:dyDescent="0.25">
      <c r="B15" s="1">
        <f t="shared" ca="1" si="0"/>
        <v>45190</v>
      </c>
    </row>
    <row r="16" spans="2:11" x14ac:dyDescent="0.25">
      <c r="B16" s="1">
        <f t="shared" ca="1" si="0"/>
        <v>45190</v>
      </c>
    </row>
    <row r="17" spans="2:11" x14ac:dyDescent="0.25">
      <c r="B17" s="1">
        <f t="shared" ca="1" si="0"/>
        <v>45190</v>
      </c>
      <c r="C17" t="s">
        <v>194</v>
      </c>
      <c r="D17" t="s">
        <v>194</v>
      </c>
      <c r="E17" t="s">
        <v>194</v>
      </c>
      <c r="F17" t="s">
        <v>194</v>
      </c>
      <c r="G17" t="s">
        <v>194</v>
      </c>
      <c r="H17" t="s">
        <v>194</v>
      </c>
      <c r="I17" t="s">
        <v>194</v>
      </c>
      <c r="K17" t="s">
        <v>194</v>
      </c>
    </row>
    <row r="18" spans="2:11" x14ac:dyDescent="0.25">
      <c r="B18" s="1">
        <f t="shared" ca="1" si="0"/>
        <v>45190</v>
      </c>
    </row>
    <row r="19" spans="2:11" x14ac:dyDescent="0.25">
      <c r="B19" s="1">
        <f t="shared" ca="1" si="0"/>
        <v>45190</v>
      </c>
    </row>
    <row r="20" spans="2:11" x14ac:dyDescent="0.25">
      <c r="B20" s="1">
        <f t="shared" ca="1" si="0"/>
        <v>45190</v>
      </c>
      <c r="C20" t="s">
        <v>195</v>
      </c>
      <c r="D20" t="s">
        <v>195</v>
      </c>
      <c r="E20" t="s">
        <v>195</v>
      </c>
      <c r="F20" t="s">
        <v>195</v>
      </c>
      <c r="G20" t="s">
        <v>195</v>
      </c>
      <c r="H20" t="s">
        <v>195</v>
      </c>
      <c r="I20" t="s">
        <v>195</v>
      </c>
      <c r="K20" t="s">
        <v>195</v>
      </c>
    </row>
    <row r="21" spans="2:11" x14ac:dyDescent="0.25">
      <c r="B21" s="1">
        <f t="shared" ca="1" si="0"/>
        <v>45190</v>
      </c>
    </row>
    <row r="22" spans="2:11" x14ac:dyDescent="0.25">
      <c r="B22" s="1">
        <f t="shared" ca="1" si="0"/>
        <v>45190</v>
      </c>
    </row>
    <row r="23" spans="2:11" x14ac:dyDescent="0.25">
      <c r="B23" s="1">
        <f t="shared" ca="1" si="0"/>
        <v>45190</v>
      </c>
      <c r="C23" t="s">
        <v>196</v>
      </c>
      <c r="D23" t="s">
        <v>196</v>
      </c>
      <c r="E23" t="s">
        <v>196</v>
      </c>
      <c r="F23" t="s">
        <v>196</v>
      </c>
      <c r="G23" t="s">
        <v>196</v>
      </c>
      <c r="H23" t="s">
        <v>196</v>
      </c>
      <c r="I23" t="s">
        <v>196</v>
      </c>
      <c r="K23" t="s">
        <v>196</v>
      </c>
    </row>
    <row r="24" spans="2:11" x14ac:dyDescent="0.25">
      <c r="B24" s="1">
        <f t="shared" ca="1" si="0"/>
        <v>45190</v>
      </c>
    </row>
    <row r="25" spans="2:11" x14ac:dyDescent="0.25">
      <c r="B25" s="1">
        <f t="shared" ca="1" si="0"/>
        <v>45190</v>
      </c>
    </row>
    <row r="26" spans="2:11" x14ac:dyDescent="0.25">
      <c r="B26" s="1">
        <f t="shared" ca="1" si="0"/>
        <v>45190</v>
      </c>
      <c r="C26" t="s">
        <v>197</v>
      </c>
      <c r="D26" t="s">
        <v>197</v>
      </c>
      <c r="E26" t="s">
        <v>197</v>
      </c>
      <c r="F26" t="s">
        <v>197</v>
      </c>
      <c r="G26" t="s">
        <v>197</v>
      </c>
      <c r="H26" t="s">
        <v>197</v>
      </c>
      <c r="I26" t="s">
        <v>197</v>
      </c>
      <c r="K26" t="s">
        <v>197</v>
      </c>
    </row>
    <row r="27" spans="2:11" x14ac:dyDescent="0.25">
      <c r="B27" s="1">
        <f t="shared" ca="1" si="0"/>
        <v>45190</v>
      </c>
    </row>
    <row r="28" spans="2:11" x14ac:dyDescent="0.25">
      <c r="B28" s="1">
        <f t="shared" ca="1" si="0"/>
        <v>45190</v>
      </c>
    </row>
    <row r="29" spans="2:11" x14ac:dyDescent="0.25">
      <c r="B29" s="1">
        <f t="shared" ca="1" si="0"/>
        <v>45190</v>
      </c>
      <c r="C29" t="s">
        <v>198</v>
      </c>
      <c r="D29" t="s">
        <v>198</v>
      </c>
      <c r="E29" t="s">
        <v>198</v>
      </c>
      <c r="F29" t="s">
        <v>198</v>
      </c>
      <c r="G29" t="s">
        <v>198</v>
      </c>
      <c r="H29" t="s">
        <v>198</v>
      </c>
      <c r="I29" t="s">
        <v>198</v>
      </c>
      <c r="K29" t="s">
        <v>198</v>
      </c>
    </row>
    <row r="30" spans="2:11" x14ac:dyDescent="0.25">
      <c r="B30" s="1">
        <f t="shared" ca="1" si="0"/>
        <v>45190</v>
      </c>
    </row>
    <row r="31" spans="2:11" x14ac:dyDescent="0.25">
      <c r="B31" s="1">
        <f t="shared" ca="1" si="0"/>
        <v>45190</v>
      </c>
    </row>
    <row r="32" spans="2:11" x14ac:dyDescent="0.25">
      <c r="B32" s="1">
        <f t="shared" ca="1" si="0"/>
        <v>45190</v>
      </c>
      <c r="C32" t="s">
        <v>199</v>
      </c>
      <c r="D32" t="s">
        <v>199</v>
      </c>
      <c r="E32" t="s">
        <v>199</v>
      </c>
      <c r="F32" t="s">
        <v>199</v>
      </c>
      <c r="G32" t="s">
        <v>199</v>
      </c>
      <c r="H32" t="s">
        <v>199</v>
      </c>
      <c r="I32" t="s">
        <v>199</v>
      </c>
      <c r="K32" t="s">
        <v>199</v>
      </c>
    </row>
    <row r="33" spans="2:2" x14ac:dyDescent="0.25">
      <c r="B33" s="1">
        <f t="shared" ca="1" si="0"/>
        <v>45190</v>
      </c>
    </row>
    <row r="34" spans="2:2" x14ac:dyDescent="0.25">
      <c r="B34" s="1">
        <f t="shared" ca="1" si="0"/>
        <v>45190</v>
      </c>
    </row>
    <row r="35" spans="2:2" x14ac:dyDescent="0.25">
      <c r="B35" s="1">
        <f t="shared" ca="1" si="0"/>
        <v>45190</v>
      </c>
    </row>
  </sheetData>
  <dataValidations count="2">
    <dataValidation operator="greaterThan" allowBlank="1" showInputMessage="1" showErrorMessage="1" sqref="B4" xr:uid="{453601CB-014E-4C0E-B341-60BB1EE42C0B}"/>
    <dataValidation type="date" operator="greaterThan" allowBlank="1" showInputMessage="1" showErrorMessage="1" sqref="B5:B34" xr:uid="{813FF6CD-12C1-4A85-AD4D-C2E162B06B8A}">
      <formula1>A5</formula1>
    </dataValidation>
  </dataValidation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AB912-C61B-412E-A994-0484BF312313}">
  <sheetPr codeName="Sheet11"/>
  <dimension ref="B4:J15"/>
  <sheetViews>
    <sheetView workbookViewId="0">
      <selection activeCell="B5" sqref="B5:B14"/>
    </sheetView>
  </sheetViews>
  <sheetFormatPr defaultRowHeight="15" x14ac:dyDescent="0.25"/>
  <cols>
    <col min="2" max="2" width="10.42578125" bestFit="1" customWidth="1"/>
    <col min="3" max="3" width="9.5703125" bestFit="1" customWidth="1"/>
    <col min="4" max="4" width="9.5703125" customWidth="1"/>
    <col min="5" max="5" width="10.28515625" customWidth="1"/>
    <col min="6" max="6" width="7.85546875" customWidth="1"/>
    <col min="7" max="7" width="6.7109375" customWidth="1"/>
    <col min="8" max="8" width="13.5703125" customWidth="1"/>
    <col min="9" max="9" width="10.7109375" customWidth="1"/>
    <col min="10" max="10" width="24.28515625" customWidth="1"/>
  </cols>
  <sheetData>
    <row r="4" spans="2:10" x14ac:dyDescent="0.25">
      <c r="B4" s="6" t="s">
        <v>3</v>
      </c>
      <c r="C4" s="6" t="s">
        <v>4</v>
      </c>
      <c r="D4" s="6" t="s">
        <v>123</v>
      </c>
      <c r="E4" s="6" t="s">
        <v>124</v>
      </c>
      <c r="F4" s="6" t="s">
        <v>8</v>
      </c>
      <c r="G4" s="6" t="s">
        <v>9</v>
      </c>
      <c r="H4" s="6" t="s">
        <v>10</v>
      </c>
      <c r="I4" s="6" t="s">
        <v>111</v>
      </c>
      <c r="J4" s="6" t="s">
        <v>11</v>
      </c>
    </row>
    <row r="5" spans="2:10" x14ac:dyDescent="0.25">
      <c r="B5" s="1">
        <f t="shared" ref="B5:B15" ca="1" si="0">TODAY()-35</f>
        <v>45190</v>
      </c>
    </row>
    <row r="6" spans="2:10" x14ac:dyDescent="0.25">
      <c r="B6" s="1">
        <f t="shared" ca="1" si="0"/>
        <v>45190</v>
      </c>
    </row>
    <row r="7" spans="2:10" x14ac:dyDescent="0.25">
      <c r="B7" s="1">
        <f t="shared" ca="1" si="0"/>
        <v>45190</v>
      </c>
    </row>
    <row r="8" spans="2:10" x14ac:dyDescent="0.25">
      <c r="B8" s="1">
        <f t="shared" ca="1" si="0"/>
        <v>45190</v>
      </c>
    </row>
    <row r="9" spans="2:10" x14ac:dyDescent="0.25">
      <c r="B9" s="1">
        <f t="shared" ca="1" si="0"/>
        <v>45190</v>
      </c>
    </row>
    <row r="10" spans="2:10" x14ac:dyDescent="0.25">
      <c r="B10" s="1">
        <f t="shared" ca="1" si="0"/>
        <v>45190</v>
      </c>
    </row>
    <row r="11" spans="2:10" x14ac:dyDescent="0.25">
      <c r="B11" s="1">
        <f t="shared" ca="1" si="0"/>
        <v>45190</v>
      </c>
    </row>
    <row r="12" spans="2:10" x14ac:dyDescent="0.25">
      <c r="B12" s="1">
        <f t="shared" ca="1" si="0"/>
        <v>45190</v>
      </c>
    </row>
    <row r="13" spans="2:10" x14ac:dyDescent="0.25">
      <c r="B13" s="1">
        <f t="shared" ca="1" si="0"/>
        <v>45190</v>
      </c>
    </row>
    <row r="14" spans="2:10" x14ac:dyDescent="0.25">
      <c r="B14" s="1">
        <f t="shared" ca="1" si="0"/>
        <v>45190</v>
      </c>
    </row>
    <row r="15" spans="2:10" x14ac:dyDescent="0.25">
      <c r="B15" s="16">
        <f t="shared" ca="1" si="0"/>
        <v>45190</v>
      </c>
    </row>
  </sheetData>
  <phoneticPr fontId="4" type="noConversion"/>
  <dataValidations count="1">
    <dataValidation type="date" operator="greaterThan" allowBlank="1" showInputMessage="1" showErrorMessage="1" sqref="B5:B14" xr:uid="{663F20B5-13F1-4B2D-A88E-DACA37DB90D5}">
      <formula1>A5</formula1>
    </dataValidation>
  </dataValidation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E8E3D7-6E53-4C31-B741-41B5C59C8283}">
  <sheetPr codeName="Sheet12"/>
  <dimension ref="B4:I15"/>
  <sheetViews>
    <sheetView workbookViewId="0">
      <selection activeCell="B5" sqref="B5:B14"/>
    </sheetView>
  </sheetViews>
  <sheetFormatPr defaultRowHeight="15" x14ac:dyDescent="0.25"/>
  <cols>
    <col min="2" max="2" width="10.42578125" bestFit="1" customWidth="1"/>
    <col min="3" max="3" width="9.5703125" bestFit="1" customWidth="1"/>
    <col min="4" max="4" width="15" bestFit="1" customWidth="1"/>
    <col min="5" max="5" width="10.85546875" bestFit="1" customWidth="1"/>
    <col min="6" max="6" width="13.42578125" bestFit="1" customWidth="1"/>
    <col min="7" max="7" width="8" bestFit="1" customWidth="1"/>
    <col min="8" max="8" width="6.85546875" bestFit="1" customWidth="1"/>
    <col min="9" max="9" width="11.85546875" bestFit="1" customWidth="1"/>
  </cols>
  <sheetData>
    <row r="4" spans="2:9" x14ac:dyDescent="0.25">
      <c r="B4" s="6" t="s">
        <v>3</v>
      </c>
      <c r="C4" s="6" t="s">
        <v>4</v>
      </c>
      <c r="D4" s="6" t="s">
        <v>5</v>
      </c>
      <c r="E4" s="6" t="s">
        <v>6</v>
      </c>
      <c r="F4" s="6" t="s">
        <v>7</v>
      </c>
      <c r="G4" s="6" t="s">
        <v>8</v>
      </c>
      <c r="H4" s="6" t="s">
        <v>9</v>
      </c>
      <c r="I4" s="6" t="s">
        <v>143</v>
      </c>
    </row>
    <row r="5" spans="2:9" x14ac:dyDescent="0.25">
      <c r="B5" s="1">
        <f t="shared" ref="B5:B15" ca="1" si="0">TODAY()-35</f>
        <v>45190</v>
      </c>
    </row>
    <row r="6" spans="2:9" x14ac:dyDescent="0.25">
      <c r="B6" s="1">
        <f t="shared" ca="1" si="0"/>
        <v>45190</v>
      </c>
    </row>
    <row r="7" spans="2:9" x14ac:dyDescent="0.25">
      <c r="B7" s="1">
        <f t="shared" ca="1" si="0"/>
        <v>45190</v>
      </c>
    </row>
    <row r="8" spans="2:9" x14ac:dyDescent="0.25">
      <c r="B8" s="1">
        <f t="shared" ca="1" si="0"/>
        <v>45190</v>
      </c>
    </row>
    <row r="9" spans="2:9" x14ac:dyDescent="0.25">
      <c r="B9" s="1">
        <f t="shared" ca="1" si="0"/>
        <v>45190</v>
      </c>
    </row>
    <row r="10" spans="2:9" x14ac:dyDescent="0.25">
      <c r="B10" s="1">
        <f t="shared" ca="1" si="0"/>
        <v>45190</v>
      </c>
    </row>
    <row r="11" spans="2:9" x14ac:dyDescent="0.25">
      <c r="B11" s="1">
        <f t="shared" ca="1" si="0"/>
        <v>45190</v>
      </c>
    </row>
    <row r="12" spans="2:9" x14ac:dyDescent="0.25">
      <c r="B12" s="1">
        <f t="shared" ca="1" si="0"/>
        <v>45190</v>
      </c>
    </row>
    <row r="13" spans="2:9" x14ac:dyDescent="0.25">
      <c r="B13" s="1">
        <f t="shared" ca="1" si="0"/>
        <v>45190</v>
      </c>
    </row>
    <row r="14" spans="2:9" x14ac:dyDescent="0.25">
      <c r="B14" s="1">
        <f t="shared" ca="1" si="0"/>
        <v>45190</v>
      </c>
    </row>
    <row r="15" spans="2:9" x14ac:dyDescent="0.25">
      <c r="B15" s="16">
        <f t="shared" ca="1" si="0"/>
        <v>45190</v>
      </c>
    </row>
  </sheetData>
  <dataValidations count="1">
    <dataValidation type="date" operator="greaterThan" allowBlank="1" showInputMessage="1" showErrorMessage="1" sqref="B5:B14" xr:uid="{4273F661-3090-499A-95DA-1B5EABBBDB3C}">
      <formula1>A5</formula1>
    </dataValidation>
  </dataValidation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3"/>
  <sheetViews>
    <sheetView workbookViewId="0">
      <selection activeCell="D26" sqref="D26"/>
    </sheetView>
  </sheetViews>
  <sheetFormatPr defaultRowHeight="15" x14ac:dyDescent="0.25"/>
  <sheetData>
    <row r="1" spans="1:1" x14ac:dyDescent="0.25">
      <c r="A1" t="s">
        <v>108</v>
      </c>
    </row>
    <row r="2" spans="1:1" x14ac:dyDescent="0.25">
      <c r="A2" t="s">
        <v>109</v>
      </c>
    </row>
    <row r="3" spans="1:1" x14ac:dyDescent="0.25">
      <c r="A3" t="s">
        <v>110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0ABE31D-C984-45FC-ABAE-D0E1ACA5A7C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DASHBOARD</vt:lpstr>
      <vt:lpstr>Main</vt:lpstr>
      <vt:lpstr>CIVIL_STORAGE</vt:lpstr>
      <vt:lpstr>PIPING_STORAGE</vt:lpstr>
      <vt:lpstr>STRUCT_STORAGE</vt:lpstr>
      <vt:lpstr>CIVIL_FORM_TABLE</vt:lpstr>
      <vt:lpstr>PIPING_FORM_TABLE</vt:lpstr>
      <vt:lpstr>STRUCT_FORM_TABLE</vt:lpstr>
      <vt:lpstr>CIVIL_RAW</vt:lpstr>
      <vt:lpstr>PIPING_RAW</vt:lpstr>
      <vt:lpstr>STRUCT_RAW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Sunil Chandel</cp:lastModifiedBy>
  <cp:revision/>
  <dcterms:created xsi:type="dcterms:W3CDTF">2023-09-20T05:33:54Z</dcterms:created>
  <dcterms:modified xsi:type="dcterms:W3CDTF">2023-10-26T10:07:24Z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iteId">
    <vt:lpwstr>72f988bf-86f1-41af-91ab-2d7cd011db47</vt:lpwstr>
  </property>
  <property fmtid="{D5CDD505-2E9C-101B-9397-08002B2CF9AE}" pid="4" name="MSIP_Label_f42aa342-8706-4288-bd11-ebb85995028c_Owner">
    <vt:lpwstr>qinzen@microsoft.com</vt:lpwstr>
  </property>
  <property fmtid="{D5CDD505-2E9C-101B-9397-08002B2CF9AE}" pid="5" name="MSIP_Label_f42aa342-8706-4288-bd11-ebb85995028c_SetDate">
    <vt:lpwstr>2018-05-23T11:38:35.3207853Z</vt:lpwstr>
  </property>
  <property fmtid="{D5CDD505-2E9C-101B-9397-08002B2CF9AE}" pid="6" name="MSIP_Label_f42aa342-8706-4288-bd11-ebb85995028c_Name">
    <vt:lpwstr>General</vt:lpwstr>
  </property>
  <property fmtid="{D5CDD505-2E9C-101B-9397-08002B2CF9AE}" pid="7" name="MSIP_Label_f42aa342-8706-4288-bd11-ebb85995028c_Application">
    <vt:lpwstr>Microsoft Azure Information Protection</vt:lpwstr>
  </property>
  <property fmtid="{D5CDD505-2E9C-101B-9397-08002B2CF9AE}" pid="8" name="MSIP_Label_f42aa342-8706-4288-bd11-ebb85995028c_Extended_MSFT_Method">
    <vt:lpwstr>Automatic</vt:lpwstr>
  </property>
  <property fmtid="{D5CDD505-2E9C-101B-9397-08002B2CF9AE}" pid="9" name="Sensitivity">
    <vt:lpwstr>General</vt:lpwstr>
  </property>
</Properties>
</file>