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tataprojects4-my.sharepoint.com/personal/sunilchandel_tataprojects_com/Documents/Work/Structure/MFA/1833-PR01-C/"/>
    </mc:Choice>
  </mc:AlternateContent>
  <xr:revisionPtr revIDLastSave="2382" documentId="8_{A5E61875-9CC7-4492-8E7F-ECEB35124A23}" xr6:coauthVersionLast="47" xr6:coauthVersionMax="47" xr10:uidLastSave="{13A66D43-241F-4EF9-BAFD-50E0374A94F7}"/>
  <bookViews>
    <workbookView xWindow="-120" yWindow="-120" windowWidth="29040" windowHeight="15720" activeTab="5" xr2:uid="{E6C8BB8B-4FF3-4C2F-A1CE-21374337BA6E}"/>
  </bookViews>
  <sheets>
    <sheet name="Status" sheetId="9" r:id="rId1"/>
    <sheet name="GridChecking" sheetId="6" r:id="rId2"/>
    <sheet name="Main" sheetId="1" r:id="rId3"/>
    <sheet name="FilteredPL" sheetId="3" r:id="rId4"/>
    <sheet name="MasterPL" sheetId="2" r:id="rId5"/>
    <sheet name="ReadMe" sheetId="7" r:id="rId6"/>
  </sheets>
  <definedNames>
    <definedName name="_xlnm._FilterDatabase" localSheetId="3" hidden="1">FilteredPL!$A$1:$E$820</definedName>
    <definedName name="_xlpm.row" hidden="1" xlm="1">#NAME?</definedName>
  </definedNames>
  <calcPr calcId="191029"/>
  <pivotCaches>
    <pivotCache cacheId="4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347" i="1" l="1"/>
  <c r="G5" i="1" a="1"/>
  <c r="G5" i="1" s="1"/>
  <c r="G6" i="1" a="1"/>
  <c r="G6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1" i="1" s="1"/>
  <c r="G22" i="1" a="1"/>
  <c r="G22" i="1" s="1"/>
  <c r="G23" i="1" a="1"/>
  <c r="G23" i="1" s="1"/>
  <c r="G24" i="1" a="1"/>
  <c r="G24" i="1" s="1"/>
  <c r="G25" i="1" a="1"/>
  <c r="G25" i="1" s="1"/>
  <c r="G26" i="1" a="1"/>
  <c r="G26" i="1" s="1"/>
  <c r="G27" i="1" a="1"/>
  <c r="G27" i="1" s="1"/>
  <c r="G28" i="1" a="1"/>
  <c r="G28" i="1" s="1"/>
  <c r="G29" i="1" a="1"/>
  <c r="G29" i="1" s="1"/>
  <c r="G30" i="1" a="1"/>
  <c r="G30" i="1" s="1"/>
  <c r="G31" i="1" a="1"/>
  <c r="G31" i="1" s="1"/>
  <c r="G590" i="1" a="1"/>
  <c r="G590" i="1" s="1"/>
  <c r="G591" i="1" a="1"/>
  <c r="G591" i="1" s="1"/>
  <c r="G592" i="1" a="1"/>
  <c r="G592" i="1" s="1"/>
  <c r="G32" i="1" a="1"/>
  <c r="G32" i="1" s="1"/>
  <c r="G33" i="1" a="1"/>
  <c r="G33" i="1"/>
  <c r="G1115" i="1" a="1"/>
  <c r="G1115" i="1" s="1"/>
  <c r="G1116" i="1" a="1"/>
  <c r="G1116" i="1" s="1"/>
  <c r="G1117" i="1" a="1"/>
  <c r="G1117" i="1" s="1"/>
  <c r="G1118" i="1" a="1"/>
  <c r="G1118" i="1" s="1"/>
  <c r="G1119" i="1" a="1"/>
  <c r="G1119" i="1" s="1"/>
  <c r="G1120" i="1" a="1"/>
  <c r="G1120" i="1" s="1"/>
  <c r="G34" i="1" a="1"/>
  <c r="G34" i="1" s="1"/>
  <c r="G35" i="1" a="1"/>
  <c r="G35" i="1" s="1"/>
  <c r="G36" i="1" a="1"/>
  <c r="G36" i="1" s="1"/>
  <c r="G37" i="1" a="1"/>
  <c r="G37" i="1" s="1"/>
  <c r="G38" i="1" a="1"/>
  <c r="G38" i="1" s="1"/>
  <c r="G39" i="1" a="1"/>
  <c r="G39" i="1"/>
  <c r="G40" i="1" a="1"/>
  <c r="G40" i="1"/>
  <c r="G41" i="1" a="1"/>
  <c r="G41" i="1" s="1"/>
  <c r="G42" i="1" a="1"/>
  <c r="G42" i="1" s="1"/>
  <c r="G43" i="1" a="1"/>
  <c r="G43" i="1" s="1"/>
  <c r="G44" i="1" a="1"/>
  <c r="G44" i="1" s="1"/>
  <c r="G45" i="1" a="1"/>
  <c r="G45" i="1"/>
  <c r="G46" i="1" a="1"/>
  <c r="G46" i="1" s="1"/>
  <c r="G47" i="1" a="1"/>
  <c r="G47" i="1" s="1"/>
  <c r="G48" i="1" a="1"/>
  <c r="G48" i="1" s="1"/>
  <c r="G49" i="1" a="1"/>
  <c r="G49" i="1"/>
  <c r="G50" i="1" a="1"/>
  <c r="G50" i="1" s="1"/>
  <c r="G51" i="1" a="1"/>
  <c r="G51" i="1" s="1"/>
  <c r="G593" i="1" a="1"/>
  <c r="G593" i="1" s="1"/>
  <c r="G594" i="1" a="1"/>
  <c r="G594" i="1" s="1"/>
  <c r="G595" i="1" a="1"/>
  <c r="G595" i="1" s="1"/>
  <c r="G596" i="1" a="1"/>
  <c r="G596" i="1" s="1"/>
  <c r="G597" i="1" a="1"/>
  <c r="G597" i="1" s="1"/>
  <c r="G598" i="1" a="1"/>
  <c r="G598" i="1" s="1"/>
  <c r="G599" i="1" a="1"/>
  <c r="G599" i="1" s="1"/>
  <c r="G600" i="1" a="1"/>
  <c r="G600" i="1" s="1"/>
  <c r="G601" i="1" a="1"/>
  <c r="G601" i="1" s="1"/>
  <c r="G602" i="1" a="1"/>
  <c r="G602" i="1" s="1"/>
  <c r="G603" i="1" a="1"/>
  <c r="G603" i="1" s="1"/>
  <c r="G604" i="1" a="1"/>
  <c r="G604" i="1" s="1"/>
  <c r="G605" i="1" a="1"/>
  <c r="G605" i="1" s="1"/>
  <c r="G606" i="1" a="1"/>
  <c r="G606" i="1" s="1"/>
  <c r="G607" i="1" a="1"/>
  <c r="G607" i="1" s="1"/>
  <c r="G608" i="1" a="1"/>
  <c r="G608" i="1" s="1"/>
  <c r="G609" i="1" a="1"/>
  <c r="G609" i="1" s="1"/>
  <c r="G610" i="1" a="1"/>
  <c r="G610" i="1" s="1"/>
  <c r="G611" i="1" a="1"/>
  <c r="G611" i="1" s="1"/>
  <c r="G612" i="1" a="1"/>
  <c r="G612" i="1" s="1"/>
  <c r="G613" i="1" a="1"/>
  <c r="G613" i="1"/>
  <c r="G614" i="1" a="1"/>
  <c r="G614" i="1" s="1"/>
  <c r="G615" i="1" a="1"/>
  <c r="G615" i="1" s="1"/>
  <c r="G616" i="1" a="1"/>
  <c r="G616" i="1"/>
  <c r="G617" i="1" a="1"/>
  <c r="G617" i="1" s="1"/>
  <c r="G618" i="1" a="1"/>
  <c r="G618" i="1" s="1"/>
  <c r="G619" i="1" a="1"/>
  <c r="G619" i="1" s="1"/>
  <c r="G620" i="1" a="1"/>
  <c r="G620" i="1" s="1"/>
  <c r="G621" i="1" a="1"/>
  <c r="G621" i="1" s="1"/>
  <c r="G622" i="1" a="1"/>
  <c r="G622" i="1" s="1"/>
  <c r="G623" i="1" a="1"/>
  <c r="G623" i="1" s="1"/>
  <c r="G1121" i="1" a="1"/>
  <c r="G1121" i="1"/>
  <c r="G624" i="1" a="1"/>
  <c r="G624" i="1"/>
  <c r="G625" i="1" a="1"/>
  <c r="G625" i="1" s="1"/>
  <c r="G626" i="1" a="1"/>
  <c r="G626" i="1" s="1"/>
  <c r="G627" i="1" a="1"/>
  <c r="G627" i="1" s="1"/>
  <c r="G628" i="1" a="1"/>
  <c r="G628" i="1" s="1"/>
  <c r="G629" i="1" a="1"/>
  <c r="G629" i="1"/>
  <c r="G630" i="1" a="1"/>
  <c r="G630" i="1" s="1"/>
  <c r="G631" i="1" a="1"/>
  <c r="G631" i="1" s="1"/>
  <c r="G632" i="1" a="1"/>
  <c r="G632" i="1" s="1"/>
  <c r="G633" i="1" a="1"/>
  <c r="G633" i="1" s="1"/>
  <c r="G634" i="1" a="1"/>
  <c r="G634" i="1" s="1"/>
  <c r="G635" i="1" a="1"/>
  <c r="G635" i="1" s="1"/>
  <c r="G636" i="1" a="1"/>
  <c r="G636" i="1" s="1"/>
  <c r="G637" i="1" a="1"/>
  <c r="G637" i="1" s="1"/>
  <c r="G638" i="1" a="1"/>
  <c r="G638" i="1" s="1"/>
  <c r="G639" i="1" a="1"/>
  <c r="G639" i="1" s="1"/>
  <c r="G640" i="1" a="1"/>
  <c r="G640" i="1" s="1"/>
  <c r="G641" i="1" a="1"/>
  <c r="G641" i="1" s="1"/>
  <c r="G642" i="1" a="1"/>
  <c r="G642" i="1" s="1"/>
  <c r="G643" i="1" a="1"/>
  <c r="G643" i="1"/>
  <c r="G644" i="1" a="1"/>
  <c r="G644" i="1" s="1"/>
  <c r="G645" i="1" a="1"/>
  <c r="G645" i="1" s="1"/>
  <c r="G646" i="1" a="1"/>
  <c r="G646" i="1" s="1"/>
  <c r="G647" i="1" a="1"/>
  <c r="G647" i="1" s="1"/>
  <c r="G648" i="1" a="1"/>
  <c r="G648" i="1" s="1"/>
  <c r="G649" i="1" a="1"/>
  <c r="G649" i="1" s="1"/>
  <c r="G650" i="1" a="1"/>
  <c r="G650" i="1" s="1"/>
  <c r="G651" i="1" a="1"/>
  <c r="G651" i="1" s="1"/>
  <c r="G652" i="1" a="1"/>
  <c r="G652" i="1" s="1"/>
  <c r="G653" i="1" a="1"/>
  <c r="G653" i="1" s="1"/>
  <c r="G654" i="1" a="1"/>
  <c r="G654" i="1" s="1"/>
  <c r="G655" i="1" a="1"/>
  <c r="G655" i="1"/>
  <c r="G656" i="1" a="1"/>
  <c r="G656" i="1" s="1"/>
  <c r="G657" i="1" a="1"/>
  <c r="G657" i="1" s="1"/>
  <c r="G1278" i="1" a="1"/>
  <c r="G1278" i="1" s="1"/>
  <c r="G658" i="1" a="1"/>
  <c r="G658" i="1" s="1"/>
  <c r="G659" i="1" a="1"/>
  <c r="G659" i="1" s="1"/>
  <c r="G660" i="1" a="1"/>
  <c r="G660" i="1" s="1"/>
  <c r="G661" i="1" a="1"/>
  <c r="G661" i="1" s="1"/>
  <c r="G662" i="1" a="1"/>
  <c r="G662" i="1"/>
  <c r="G663" i="1" a="1"/>
  <c r="G663" i="1"/>
  <c r="G664" i="1" a="1"/>
  <c r="G664" i="1" s="1"/>
  <c r="G1279" i="1" a="1"/>
  <c r="G1279" i="1" s="1"/>
  <c r="G1280" i="1" a="1"/>
  <c r="G1280" i="1"/>
  <c r="G1281" i="1" a="1"/>
  <c r="G1281" i="1" s="1"/>
  <c r="G665" i="1" a="1"/>
  <c r="G665" i="1" s="1"/>
  <c r="G666" i="1" a="1"/>
  <c r="G666" i="1" s="1"/>
  <c r="G667" i="1" a="1"/>
  <c r="G667" i="1" s="1"/>
  <c r="G668" i="1" a="1"/>
  <c r="G668" i="1" s="1"/>
  <c r="G1330" i="1" a="1"/>
  <c r="G1330" i="1"/>
  <c r="G52" i="1" a="1"/>
  <c r="G52" i="1" s="1"/>
  <c r="G53" i="1" a="1"/>
  <c r="G53" i="1" s="1"/>
  <c r="G1122" i="1" a="1"/>
  <c r="G1122" i="1"/>
  <c r="G1123" i="1" a="1"/>
  <c r="G1123" i="1" s="1"/>
  <c r="G54" i="1" a="1"/>
  <c r="G54" i="1" s="1"/>
  <c r="G55" i="1" a="1"/>
  <c r="G55" i="1" s="1"/>
  <c r="G669" i="1" a="1"/>
  <c r="G669" i="1" s="1"/>
  <c r="G670" i="1" a="1"/>
  <c r="G670" i="1" s="1"/>
  <c r="G671" i="1" a="1"/>
  <c r="G671" i="1" s="1"/>
  <c r="G56" i="1" a="1"/>
  <c r="G56" i="1" s="1"/>
  <c r="G57" i="1" a="1"/>
  <c r="G57" i="1"/>
  <c r="G58" i="1" a="1"/>
  <c r="G58" i="1"/>
  <c r="G59" i="1" a="1"/>
  <c r="G59" i="1" s="1"/>
  <c r="G60" i="1" a="1"/>
  <c r="G60" i="1"/>
  <c r="G61" i="1" a="1"/>
  <c r="G61" i="1" s="1"/>
  <c r="G62" i="1" a="1"/>
  <c r="G62" i="1" s="1"/>
  <c r="G63" i="1" a="1"/>
  <c r="G63" i="1" s="1"/>
  <c r="G64" i="1" a="1"/>
  <c r="G64" i="1" s="1"/>
  <c r="G65" i="1" a="1"/>
  <c r="G65" i="1" s="1"/>
  <c r="G66" i="1" a="1"/>
  <c r="G66" i="1" s="1"/>
  <c r="G672" i="1" a="1"/>
  <c r="G672" i="1" s="1"/>
  <c r="G673" i="1" a="1"/>
  <c r="G673" i="1"/>
  <c r="G67" i="1" a="1"/>
  <c r="G67" i="1" s="1"/>
  <c r="G68" i="1" a="1"/>
  <c r="G68" i="1" s="1"/>
  <c r="G69" i="1" a="1"/>
  <c r="G69" i="1" s="1"/>
  <c r="G70" i="1" a="1"/>
  <c r="G70" i="1"/>
  <c r="G71" i="1" a="1"/>
  <c r="G71" i="1" s="1"/>
  <c r="G72" i="1" a="1"/>
  <c r="G72" i="1" s="1"/>
  <c r="G674" i="1" a="1"/>
  <c r="G674" i="1" s="1"/>
  <c r="G675" i="1" a="1"/>
  <c r="G675" i="1" s="1"/>
  <c r="G676" i="1" a="1"/>
  <c r="G676" i="1" s="1"/>
  <c r="G677" i="1" a="1"/>
  <c r="G677" i="1"/>
  <c r="G678" i="1" a="1"/>
  <c r="G678" i="1" s="1"/>
  <c r="G679" i="1" a="1"/>
  <c r="G679" i="1" s="1"/>
  <c r="G680" i="1" a="1"/>
  <c r="G680" i="1"/>
  <c r="G681" i="1" a="1"/>
  <c r="G681" i="1" s="1"/>
  <c r="G682" i="1" a="1"/>
  <c r="G682" i="1" s="1"/>
  <c r="G683" i="1" a="1"/>
  <c r="G683" i="1" s="1"/>
  <c r="G684" i="1" a="1"/>
  <c r="G684" i="1" s="1"/>
  <c r="G1124" i="1" a="1"/>
  <c r="G1124" i="1" s="1"/>
  <c r="G1125" i="1" a="1"/>
  <c r="G1125" i="1" s="1"/>
  <c r="G73" i="1" a="1"/>
  <c r="G73" i="1" s="1"/>
  <c r="G74" i="1" a="1"/>
  <c r="G74" i="1" s="1"/>
  <c r="G75" i="1" a="1"/>
  <c r="G75" i="1" s="1"/>
  <c r="G76" i="1" a="1"/>
  <c r="G76" i="1" s="1"/>
  <c r="G77" i="1" a="1"/>
  <c r="G77" i="1" s="1"/>
  <c r="G78" i="1" a="1"/>
  <c r="G78" i="1" s="1"/>
  <c r="G685" i="1" a="1"/>
  <c r="G685" i="1" s="1"/>
  <c r="G686" i="1" a="1"/>
  <c r="G686" i="1" s="1"/>
  <c r="G687" i="1" a="1"/>
  <c r="G687" i="1" s="1"/>
  <c r="G688" i="1" a="1"/>
  <c r="G688" i="1" s="1"/>
  <c r="G689" i="1" a="1"/>
  <c r="G689" i="1"/>
  <c r="G690" i="1" a="1"/>
  <c r="G690" i="1" s="1"/>
  <c r="G691" i="1" a="1"/>
  <c r="G691" i="1" s="1"/>
  <c r="G692" i="1" a="1"/>
  <c r="G692" i="1" s="1"/>
  <c r="G693" i="1" a="1"/>
  <c r="G693" i="1" s="1"/>
  <c r="G694" i="1" a="1"/>
  <c r="G694" i="1" s="1"/>
  <c r="G79" i="1" a="1"/>
  <c r="G79" i="1" s="1"/>
  <c r="G80" i="1" a="1"/>
  <c r="G80" i="1" s="1"/>
  <c r="G1126" i="1" a="1"/>
  <c r="G1126" i="1" s="1"/>
  <c r="G81" i="1" a="1"/>
  <c r="G81" i="1" s="1"/>
  <c r="G82" i="1" a="1"/>
  <c r="G82" i="1" s="1"/>
  <c r="G83" i="1" a="1"/>
  <c r="G83" i="1" s="1"/>
  <c r="G84" i="1" a="1"/>
  <c r="G84" i="1"/>
  <c r="G85" i="1" a="1"/>
  <c r="G85" i="1" s="1"/>
  <c r="G86" i="1" a="1"/>
  <c r="G86" i="1"/>
  <c r="G87" i="1" a="1"/>
  <c r="G87" i="1" s="1"/>
  <c r="G88" i="1" a="1"/>
  <c r="G88" i="1" s="1"/>
  <c r="G89" i="1" a="1"/>
  <c r="G89" i="1" s="1"/>
  <c r="G695" i="1" a="1"/>
  <c r="G695" i="1" s="1"/>
  <c r="G696" i="1" a="1"/>
  <c r="G696" i="1" s="1"/>
  <c r="G697" i="1" a="1"/>
  <c r="G697" i="1" s="1"/>
  <c r="G698" i="1" a="1"/>
  <c r="G698" i="1" s="1"/>
  <c r="G699" i="1" a="1"/>
  <c r="G699" i="1" s="1"/>
  <c r="G700" i="1" a="1"/>
  <c r="G700" i="1" s="1"/>
  <c r="G701" i="1" a="1"/>
  <c r="G701" i="1"/>
  <c r="G90" i="1" a="1"/>
  <c r="G90" i="1" s="1"/>
  <c r="G91" i="1" a="1"/>
  <c r="G91" i="1"/>
  <c r="G92" i="1" a="1"/>
  <c r="G92" i="1" s="1"/>
  <c r="G93" i="1" a="1"/>
  <c r="G93" i="1" s="1"/>
  <c r="G94" i="1" a="1"/>
  <c r="G94" i="1" s="1"/>
  <c r="G95" i="1" a="1"/>
  <c r="G95" i="1" s="1"/>
  <c r="G96" i="1" a="1"/>
  <c r="G96" i="1" s="1"/>
  <c r="G97" i="1" a="1"/>
  <c r="G97" i="1" s="1"/>
  <c r="G98" i="1" a="1"/>
  <c r="G98" i="1" s="1"/>
  <c r="G702" i="1" a="1"/>
  <c r="G702" i="1" s="1"/>
  <c r="G99" i="1" a="1"/>
  <c r="G99" i="1" s="1"/>
  <c r="G703" i="1" a="1"/>
  <c r="G703" i="1" s="1"/>
  <c r="G704" i="1" a="1"/>
  <c r="G704" i="1" s="1"/>
  <c r="G705" i="1" a="1"/>
  <c r="G705" i="1" s="1"/>
  <c r="G706" i="1" a="1"/>
  <c r="G706" i="1" s="1"/>
  <c r="G707" i="1" a="1"/>
  <c r="G707" i="1" s="1"/>
  <c r="G708" i="1" a="1"/>
  <c r="G708" i="1" s="1"/>
  <c r="G709" i="1" a="1"/>
  <c r="G709" i="1" s="1"/>
  <c r="G710" i="1" a="1"/>
  <c r="G710" i="1"/>
  <c r="G711" i="1" a="1"/>
  <c r="G711" i="1" s="1"/>
  <c r="G712" i="1" a="1"/>
  <c r="G712" i="1" s="1"/>
  <c r="G713" i="1" a="1"/>
  <c r="G713" i="1" s="1"/>
  <c r="G714" i="1" a="1"/>
  <c r="G714" i="1"/>
  <c r="G715" i="1" a="1"/>
  <c r="G715" i="1" s="1"/>
  <c r="G716" i="1" a="1"/>
  <c r="G716" i="1" s="1"/>
  <c r="G717" i="1" a="1"/>
  <c r="G717" i="1" s="1"/>
  <c r="G718" i="1" a="1"/>
  <c r="G718" i="1" s="1"/>
  <c r="G719" i="1" a="1"/>
  <c r="G719" i="1" s="1"/>
  <c r="G720" i="1" a="1"/>
  <c r="G720" i="1" s="1"/>
  <c r="G721" i="1" a="1"/>
  <c r="G721" i="1" s="1"/>
  <c r="G722" i="1" a="1"/>
  <c r="G722" i="1" s="1"/>
  <c r="G723" i="1" a="1"/>
  <c r="G723" i="1"/>
  <c r="G724" i="1" a="1"/>
  <c r="G724" i="1" s="1"/>
  <c r="G725" i="1" a="1"/>
  <c r="G725" i="1" s="1"/>
  <c r="G726" i="1" a="1"/>
  <c r="G726" i="1" s="1"/>
  <c r="G727" i="1" a="1"/>
  <c r="G727" i="1" s="1"/>
  <c r="G728" i="1" a="1"/>
  <c r="G728" i="1" s="1"/>
  <c r="G729" i="1" a="1"/>
  <c r="G729" i="1" s="1"/>
  <c r="G730" i="1" a="1"/>
  <c r="G730" i="1" s="1"/>
  <c r="G731" i="1" a="1"/>
  <c r="G731" i="1" s="1"/>
  <c r="G732" i="1" a="1"/>
  <c r="G732" i="1" s="1"/>
  <c r="G733" i="1" a="1"/>
  <c r="G733" i="1"/>
  <c r="G734" i="1" a="1"/>
  <c r="G734" i="1" s="1"/>
  <c r="G735" i="1" a="1"/>
  <c r="G735" i="1" s="1"/>
  <c r="G736" i="1" a="1"/>
  <c r="G736" i="1" s="1"/>
  <c r="G737" i="1" a="1"/>
  <c r="G737" i="1" s="1"/>
  <c r="G738" i="1" a="1"/>
  <c r="G738" i="1" s="1"/>
  <c r="G739" i="1" a="1"/>
  <c r="G739" i="1" s="1"/>
  <c r="G740" i="1" a="1"/>
  <c r="G740" i="1" s="1"/>
  <c r="G741" i="1" a="1"/>
  <c r="G741" i="1" s="1"/>
  <c r="G1282" i="1" a="1"/>
  <c r="G1282" i="1" s="1"/>
  <c r="G1283" i="1" a="1"/>
  <c r="G1283" i="1" s="1"/>
  <c r="G742" i="1" a="1"/>
  <c r="G742" i="1" s="1"/>
  <c r="G743" i="1" a="1"/>
  <c r="G743" i="1" s="1"/>
  <c r="G744" i="1" a="1"/>
  <c r="G744" i="1"/>
  <c r="G745" i="1" a="1"/>
  <c r="G745" i="1" s="1"/>
  <c r="G746" i="1" a="1"/>
  <c r="G746" i="1" s="1"/>
  <c r="G100" i="1" a="1"/>
  <c r="G100" i="1" s="1"/>
  <c r="G101" i="1" a="1"/>
  <c r="G101" i="1"/>
  <c r="G102" i="1" a="1"/>
  <c r="G102" i="1" s="1"/>
  <c r="G103" i="1" a="1"/>
  <c r="G103" i="1" s="1"/>
  <c r="G104" i="1" a="1"/>
  <c r="G104" i="1" s="1"/>
  <c r="G747" i="1" a="1"/>
  <c r="G747" i="1" s="1"/>
  <c r="G748" i="1" a="1"/>
  <c r="G748" i="1"/>
  <c r="G1331" i="1" a="1"/>
  <c r="G1331" i="1" s="1"/>
  <c r="G105" i="1" a="1"/>
  <c r="G105" i="1" s="1"/>
  <c r="G106" i="1" a="1"/>
  <c r="G106" i="1" s="1"/>
  <c r="G1127" i="1" a="1"/>
  <c r="G1127" i="1" s="1"/>
  <c r="G1128" i="1" a="1"/>
  <c r="G1128" i="1" s="1"/>
  <c r="G1129" i="1" a="1"/>
  <c r="G1129" i="1" s="1"/>
  <c r="G1130" i="1" a="1"/>
  <c r="G1130" i="1" s="1"/>
  <c r="G1131" i="1" a="1"/>
  <c r="G1131" i="1" s="1"/>
  <c r="G1132" i="1" a="1"/>
  <c r="G1132" i="1" s="1"/>
  <c r="G107" i="1" a="1"/>
  <c r="G107" i="1" s="1"/>
  <c r="G108" i="1" a="1"/>
  <c r="G108" i="1" s="1"/>
  <c r="G109" i="1" a="1"/>
  <c r="G109" i="1" s="1"/>
  <c r="G1133" i="1" a="1"/>
  <c r="G1133" i="1" s="1"/>
  <c r="G749" i="1" a="1"/>
  <c r="G749" i="1" s="1"/>
  <c r="G110" i="1" a="1"/>
  <c r="G110" i="1" s="1"/>
  <c r="G111" i="1" a="1"/>
  <c r="G111" i="1" s="1"/>
  <c r="G112" i="1" a="1"/>
  <c r="G112" i="1" s="1"/>
  <c r="G113" i="1" a="1"/>
  <c r="G113" i="1" s="1"/>
  <c r="G750" i="1" a="1"/>
  <c r="G750" i="1"/>
  <c r="G751" i="1" a="1"/>
  <c r="G751" i="1" s="1"/>
  <c r="G114" i="1" a="1"/>
  <c r="G114" i="1" s="1"/>
  <c r="G115" i="1" a="1"/>
  <c r="G115" i="1" s="1"/>
  <c r="G116" i="1" a="1"/>
  <c r="G116" i="1" s="1"/>
  <c r="G117" i="1" a="1"/>
  <c r="G117" i="1" s="1"/>
  <c r="G118" i="1" a="1"/>
  <c r="G118" i="1" s="1"/>
  <c r="G119" i="1" a="1"/>
  <c r="G119" i="1" s="1"/>
  <c r="G120" i="1" a="1"/>
  <c r="G120" i="1"/>
  <c r="G121" i="1" a="1"/>
  <c r="G121" i="1" s="1"/>
  <c r="G752" i="1" a="1"/>
  <c r="G752" i="1" s="1"/>
  <c r="G753" i="1" a="1"/>
  <c r="G753" i="1" s="1"/>
  <c r="G754" i="1" a="1"/>
  <c r="G754" i="1"/>
  <c r="G755" i="1" a="1"/>
  <c r="G755" i="1" s="1"/>
  <c r="G756" i="1" a="1"/>
  <c r="G756" i="1" s="1"/>
  <c r="G757" i="1" a="1"/>
  <c r="G757" i="1" s="1"/>
  <c r="G758" i="1" a="1"/>
  <c r="G758" i="1" s="1"/>
  <c r="G759" i="1" a="1"/>
  <c r="G759" i="1"/>
  <c r="G760" i="1" a="1"/>
  <c r="G760" i="1" s="1"/>
  <c r="G761" i="1" a="1"/>
  <c r="G761" i="1" s="1"/>
  <c r="G762" i="1" a="1"/>
  <c r="G762" i="1" s="1"/>
  <c r="G763" i="1" a="1"/>
  <c r="G763" i="1" s="1"/>
  <c r="G764" i="1" a="1"/>
  <c r="G764" i="1" s="1"/>
  <c r="G765" i="1" a="1"/>
  <c r="G765" i="1"/>
  <c r="G766" i="1" a="1"/>
  <c r="G766" i="1" s="1"/>
  <c r="G767" i="1" a="1"/>
  <c r="G767" i="1" s="1"/>
  <c r="G768" i="1" a="1"/>
  <c r="G768" i="1" s="1"/>
  <c r="G769" i="1" a="1"/>
  <c r="G769" i="1" s="1"/>
  <c r="G770" i="1" a="1"/>
  <c r="G770" i="1" s="1"/>
  <c r="G771" i="1" a="1"/>
  <c r="G771" i="1" s="1"/>
  <c r="G772" i="1" a="1"/>
  <c r="G772" i="1" s="1"/>
  <c r="G773" i="1" a="1"/>
  <c r="G773" i="1" s="1"/>
  <c r="G774" i="1" a="1"/>
  <c r="G774" i="1" s="1"/>
  <c r="G775" i="1" a="1"/>
  <c r="G775" i="1"/>
  <c r="G776" i="1" a="1"/>
  <c r="G776" i="1" s="1"/>
  <c r="G777" i="1" a="1"/>
  <c r="G777" i="1" s="1"/>
  <c r="G778" i="1" a="1"/>
  <c r="G778" i="1"/>
  <c r="G779" i="1" a="1"/>
  <c r="G779" i="1" s="1"/>
  <c r="G780" i="1" a="1"/>
  <c r="G780" i="1" s="1"/>
  <c r="G781" i="1" a="1"/>
  <c r="G781" i="1"/>
  <c r="G1134" i="1" a="1"/>
  <c r="G1134" i="1" s="1"/>
  <c r="G782" i="1" a="1"/>
  <c r="G782" i="1"/>
  <c r="G1135" i="1" a="1"/>
  <c r="G1135" i="1" s="1"/>
  <c r="G783" i="1" a="1"/>
  <c r="G783" i="1" s="1"/>
  <c r="G784" i="1" a="1"/>
  <c r="G784" i="1"/>
  <c r="G1136" i="1" a="1"/>
  <c r="G1136" i="1" s="1"/>
  <c r="G122" i="1" a="1"/>
  <c r="G122" i="1" s="1"/>
  <c r="G123" i="1" a="1"/>
  <c r="G123" i="1" s="1"/>
  <c r="G785" i="1" a="1"/>
  <c r="G785" i="1" s="1"/>
  <c r="G124" i="1" a="1"/>
  <c r="G124" i="1" s="1"/>
  <c r="G1137" i="1" a="1"/>
  <c r="G1137" i="1" s="1"/>
  <c r="G125" i="1" a="1"/>
  <c r="G125" i="1" s="1"/>
  <c r="G126" i="1" a="1"/>
  <c r="G126" i="1" s="1"/>
  <c r="G127" i="1" a="1"/>
  <c r="G127" i="1" s="1"/>
  <c r="G128" i="1" a="1"/>
  <c r="G128" i="1" s="1"/>
  <c r="G129" i="1" a="1"/>
  <c r="G129" i="1" s="1"/>
  <c r="G130" i="1" a="1"/>
  <c r="G130" i="1"/>
  <c r="G131" i="1" a="1"/>
  <c r="G131" i="1"/>
  <c r="G132" i="1" a="1"/>
  <c r="G132" i="1" s="1"/>
  <c r="G133" i="1" a="1"/>
  <c r="G133" i="1" s="1"/>
  <c r="G134" i="1" a="1"/>
  <c r="G134" i="1" s="1"/>
  <c r="G135" i="1" a="1"/>
  <c r="G135" i="1"/>
  <c r="G136" i="1" a="1"/>
  <c r="G136" i="1" s="1"/>
  <c r="G137" i="1" a="1"/>
  <c r="G137" i="1" s="1"/>
  <c r="G138" i="1" a="1"/>
  <c r="G138" i="1" s="1"/>
  <c r="G139" i="1" a="1"/>
  <c r="G139" i="1" s="1"/>
  <c r="G1138" i="1" a="1"/>
  <c r="G1138" i="1" s="1"/>
  <c r="G140" i="1" a="1"/>
  <c r="G140" i="1" s="1"/>
  <c r="G141" i="1" a="1"/>
  <c r="G141" i="1" s="1"/>
  <c r="G142" i="1" a="1"/>
  <c r="G142" i="1" s="1"/>
  <c r="G143" i="1" a="1"/>
  <c r="G143" i="1" s="1"/>
  <c r="G144" i="1" a="1"/>
  <c r="G144" i="1" s="1"/>
  <c r="G145" i="1" a="1"/>
  <c r="G145" i="1"/>
  <c r="G146" i="1" a="1"/>
  <c r="G146" i="1" s="1"/>
  <c r="G147" i="1" a="1"/>
  <c r="G147" i="1" s="1"/>
  <c r="G148" i="1" a="1"/>
  <c r="G148" i="1" s="1"/>
  <c r="G149" i="1" a="1"/>
  <c r="G149" i="1" s="1"/>
  <c r="G150" i="1" a="1"/>
  <c r="G150" i="1" s="1"/>
  <c r="G151" i="1" a="1"/>
  <c r="G151" i="1" s="1"/>
  <c r="G152" i="1" a="1"/>
  <c r="G152" i="1" s="1"/>
  <c r="G153" i="1" a="1"/>
  <c r="G153" i="1" s="1"/>
  <c r="G154" i="1" a="1"/>
  <c r="G154" i="1"/>
  <c r="G155" i="1" a="1"/>
  <c r="G155" i="1" s="1"/>
  <c r="G156" i="1" a="1"/>
  <c r="G156" i="1" s="1"/>
  <c r="G157" i="1" a="1"/>
  <c r="G157" i="1" s="1"/>
  <c r="G158" i="1" a="1"/>
  <c r="G158" i="1" s="1"/>
  <c r="G159" i="1" a="1"/>
  <c r="G159" i="1" s="1"/>
  <c r="G160" i="1" a="1"/>
  <c r="G160" i="1" s="1"/>
  <c r="G161" i="1" a="1"/>
  <c r="G161" i="1"/>
  <c r="G162" i="1" a="1"/>
  <c r="G162" i="1" s="1"/>
  <c r="G163" i="1" a="1"/>
  <c r="G163" i="1" s="1"/>
  <c r="G164" i="1" a="1"/>
  <c r="G164" i="1" s="1"/>
  <c r="G165" i="1" a="1"/>
  <c r="G165" i="1" s="1"/>
  <c r="G166" i="1" a="1"/>
  <c r="G166" i="1" s="1"/>
  <c r="G167" i="1" a="1"/>
  <c r="G167" i="1" s="1"/>
  <c r="G168" i="1" a="1"/>
  <c r="G168" i="1" s="1"/>
  <c r="G786" i="1" a="1"/>
  <c r="G786" i="1" s="1"/>
  <c r="G169" i="1" a="1"/>
  <c r="G169" i="1" s="1"/>
  <c r="G787" i="1" a="1"/>
  <c r="G787" i="1" s="1"/>
  <c r="G170" i="1" a="1"/>
  <c r="G170" i="1" s="1"/>
  <c r="G171" i="1" a="1"/>
  <c r="G171" i="1" s="1"/>
  <c r="G788" i="1" a="1"/>
  <c r="G788" i="1" s="1"/>
  <c r="G789" i="1" a="1"/>
  <c r="G789" i="1" s="1"/>
  <c r="G790" i="1" a="1"/>
  <c r="G790" i="1" s="1"/>
  <c r="G791" i="1" a="1"/>
  <c r="G791" i="1" s="1"/>
  <c r="G1139" i="1" a="1"/>
  <c r="G1139" i="1" s="1"/>
  <c r="G792" i="1" a="1"/>
  <c r="G792" i="1"/>
  <c r="G793" i="1" a="1"/>
  <c r="G793" i="1" s="1"/>
  <c r="G794" i="1" a="1"/>
  <c r="G794" i="1" s="1"/>
  <c r="G795" i="1" a="1"/>
  <c r="G795" i="1" s="1"/>
  <c r="G796" i="1" a="1"/>
  <c r="G796" i="1" s="1"/>
  <c r="G797" i="1" a="1"/>
  <c r="G797" i="1" s="1"/>
  <c r="G798" i="1" a="1"/>
  <c r="G798" i="1"/>
  <c r="G799" i="1" a="1"/>
  <c r="G799" i="1"/>
  <c r="G1284" i="1" a="1"/>
  <c r="G1284" i="1" s="1"/>
  <c r="G800" i="1" a="1"/>
  <c r="G800" i="1" s="1"/>
  <c r="G801" i="1" a="1"/>
  <c r="G801" i="1" s="1"/>
  <c r="G802" i="1" a="1"/>
  <c r="G802" i="1" s="1"/>
  <c r="G803" i="1" a="1"/>
  <c r="G803" i="1" s="1"/>
  <c r="G1332" i="1" a="1"/>
  <c r="G1332" i="1" s="1"/>
  <c r="G172" i="1" a="1"/>
  <c r="G172" i="1"/>
  <c r="G1140" i="1" a="1"/>
  <c r="G1140" i="1"/>
  <c r="G1141" i="1" a="1"/>
  <c r="G1141" i="1" s="1"/>
  <c r="G1142" i="1" a="1"/>
  <c r="G1142" i="1" s="1"/>
  <c r="G1143" i="1" a="1"/>
  <c r="G1143" i="1" s="1"/>
  <c r="G1144" i="1" a="1"/>
  <c r="G1144" i="1" s="1"/>
  <c r="G1145" i="1" a="1"/>
  <c r="G1145" i="1" s="1"/>
  <c r="G1146" i="1" a="1"/>
  <c r="G1146" i="1" s="1"/>
  <c r="G804" i="1" a="1"/>
  <c r="G804" i="1" s="1"/>
  <c r="G805" i="1" a="1"/>
  <c r="G805" i="1" s="1"/>
  <c r="G173" i="1" a="1"/>
  <c r="G173" i="1"/>
  <c r="G174" i="1" a="1"/>
  <c r="G174" i="1" s="1"/>
  <c r="G175" i="1" a="1"/>
  <c r="G175" i="1" s="1"/>
  <c r="G176" i="1" a="1"/>
  <c r="G176" i="1" s="1"/>
  <c r="G177" i="1" a="1"/>
  <c r="G177" i="1" s="1"/>
  <c r="G178" i="1" a="1"/>
  <c r="G178" i="1" s="1"/>
  <c r="G179" i="1" a="1"/>
  <c r="G179" i="1"/>
  <c r="G180" i="1" a="1"/>
  <c r="G180" i="1" s="1"/>
  <c r="G181" i="1" a="1"/>
  <c r="G181" i="1" s="1"/>
  <c r="G182" i="1" a="1"/>
  <c r="G182" i="1" s="1"/>
  <c r="G183" i="1" a="1"/>
  <c r="G183" i="1" s="1"/>
  <c r="G184" i="1" a="1"/>
  <c r="G184" i="1" s="1"/>
  <c r="G185" i="1" a="1"/>
  <c r="G185" i="1" s="1"/>
  <c r="G186" i="1" a="1"/>
  <c r="G186" i="1" s="1"/>
  <c r="G187" i="1" a="1"/>
  <c r="G187" i="1"/>
  <c r="G188" i="1" a="1"/>
  <c r="G188" i="1"/>
  <c r="G189" i="1" a="1"/>
  <c r="G189" i="1" s="1"/>
  <c r="G190" i="1" a="1"/>
  <c r="G190" i="1" s="1"/>
  <c r="G191" i="1" a="1"/>
  <c r="G191" i="1" s="1"/>
  <c r="G192" i="1" a="1"/>
  <c r="G192" i="1" s="1"/>
  <c r="G193" i="1" a="1"/>
  <c r="G193" i="1" s="1"/>
  <c r="G194" i="1" a="1"/>
  <c r="G194" i="1" s="1"/>
  <c r="G806" i="1" a="1"/>
  <c r="G806" i="1"/>
  <c r="G195" i="1" a="1"/>
  <c r="G195" i="1" s="1"/>
  <c r="G196" i="1" a="1"/>
  <c r="G196" i="1"/>
  <c r="G197" i="1" a="1"/>
  <c r="G197" i="1" s="1"/>
  <c r="G198" i="1" a="1"/>
  <c r="G198" i="1" s="1"/>
  <c r="G199" i="1" a="1"/>
  <c r="G199" i="1" s="1"/>
  <c r="G200" i="1" a="1"/>
  <c r="G200" i="1" s="1"/>
  <c r="G807" i="1" a="1"/>
  <c r="G807" i="1" s="1"/>
  <c r="G808" i="1" a="1"/>
  <c r="G808" i="1" s="1"/>
  <c r="G1147" i="1" a="1"/>
  <c r="G1147" i="1"/>
  <c r="G1148" i="1" a="1"/>
  <c r="G1148" i="1"/>
  <c r="G1149" i="1" a="1"/>
  <c r="G1149" i="1" s="1"/>
  <c r="G1150" i="1" a="1"/>
  <c r="G1150" i="1" s="1"/>
  <c r="G201" i="1" a="1"/>
  <c r="G201" i="1" s="1"/>
  <c r="G202" i="1" a="1"/>
  <c r="G202" i="1" s="1"/>
  <c r="G203" i="1" a="1"/>
  <c r="G203" i="1" s="1"/>
  <c r="G204" i="1" a="1"/>
  <c r="G204" i="1" s="1"/>
  <c r="G205" i="1" a="1"/>
  <c r="G205" i="1" s="1"/>
  <c r="G206" i="1" a="1"/>
  <c r="G206" i="1" s="1"/>
  <c r="G1151" i="1" a="1"/>
  <c r="G1151" i="1" s="1"/>
  <c r="G809" i="1" a="1"/>
  <c r="G809" i="1" s="1"/>
  <c r="G810" i="1" a="1"/>
  <c r="G810" i="1" s="1"/>
  <c r="G811" i="1" a="1"/>
  <c r="G811" i="1"/>
  <c r="G812" i="1" a="1"/>
  <c r="G812" i="1" s="1"/>
  <c r="G813" i="1" a="1"/>
  <c r="G813" i="1" s="1"/>
  <c r="G814" i="1" a="1"/>
  <c r="G814" i="1"/>
  <c r="G815" i="1" a="1"/>
  <c r="G815" i="1" s="1"/>
  <c r="G207" i="1" a="1"/>
  <c r="G207" i="1" s="1"/>
  <c r="G1152" i="1" a="1"/>
  <c r="G1152" i="1" s="1"/>
  <c r="G1153" i="1" a="1"/>
  <c r="G1153" i="1" s="1"/>
  <c r="G1154" i="1" a="1"/>
  <c r="G1154" i="1" s="1"/>
  <c r="G1333" i="1" a="1"/>
  <c r="G1333" i="1" s="1"/>
  <c r="G208" i="1" a="1"/>
  <c r="G208" i="1"/>
  <c r="G209" i="1" a="1"/>
  <c r="G209" i="1" s="1"/>
  <c r="G210" i="1" a="1"/>
  <c r="G210" i="1"/>
  <c r="G211" i="1" a="1"/>
  <c r="G211" i="1" s="1"/>
  <c r="G212" i="1" a="1"/>
  <c r="G212" i="1" s="1"/>
  <c r="G213" i="1" a="1"/>
  <c r="G213" i="1" s="1"/>
  <c r="G214" i="1" a="1"/>
  <c r="G214" i="1" s="1"/>
  <c r="G1155" i="1" a="1"/>
  <c r="G1155" i="1" s="1"/>
  <c r="G816" i="1" a="1"/>
  <c r="G816" i="1" s="1"/>
  <c r="G817" i="1" a="1"/>
  <c r="G817" i="1" s="1"/>
  <c r="G818" i="1" a="1"/>
  <c r="G818" i="1" s="1"/>
  <c r="G1156" i="1" a="1"/>
  <c r="G1156" i="1" s="1"/>
  <c r="G819" i="1" a="1"/>
  <c r="G819" i="1" s="1"/>
  <c r="G820" i="1" a="1"/>
  <c r="G820" i="1" s="1"/>
  <c r="G821" i="1" a="1"/>
  <c r="G821" i="1" s="1"/>
  <c r="G822" i="1" a="1"/>
  <c r="G822" i="1" s="1"/>
  <c r="G1157" i="1" a="1"/>
  <c r="G1157" i="1" s="1"/>
  <c r="G1158" i="1" a="1"/>
  <c r="G1158" i="1" s="1"/>
  <c r="G823" i="1" a="1"/>
  <c r="G823" i="1" s="1"/>
  <c r="G824" i="1" a="1"/>
  <c r="G824" i="1" s="1"/>
  <c r="G825" i="1" a="1"/>
  <c r="G825" i="1" s="1"/>
  <c r="G826" i="1" a="1"/>
  <c r="G826" i="1" s="1"/>
  <c r="G827" i="1" a="1"/>
  <c r="G827" i="1" s="1"/>
  <c r="G828" i="1" a="1"/>
  <c r="G828" i="1" s="1"/>
  <c r="G829" i="1" a="1"/>
  <c r="G829" i="1" s="1"/>
  <c r="G830" i="1" a="1"/>
  <c r="G830" i="1"/>
  <c r="G1285" i="1" a="1"/>
  <c r="G1285" i="1" s="1"/>
  <c r="G831" i="1" a="1"/>
  <c r="G831" i="1" s="1"/>
  <c r="G832" i="1" a="1"/>
  <c r="G832" i="1" s="1"/>
  <c r="G833" i="1" a="1"/>
  <c r="G833" i="1" s="1"/>
  <c r="G834" i="1" a="1"/>
  <c r="G834" i="1" s="1"/>
  <c r="G835" i="1" a="1"/>
  <c r="G835" i="1" s="1"/>
  <c r="G836" i="1" a="1"/>
  <c r="G836" i="1"/>
  <c r="G837" i="1" a="1"/>
  <c r="G837" i="1" s="1"/>
  <c r="G1159" i="1" a="1"/>
  <c r="G1159" i="1"/>
  <c r="G1160" i="1" a="1"/>
  <c r="G1160" i="1" s="1"/>
  <c r="G838" i="1" a="1"/>
  <c r="G838" i="1" s="1"/>
  <c r="G839" i="1" a="1"/>
  <c r="G839" i="1" s="1"/>
  <c r="G840" i="1" a="1"/>
  <c r="G840" i="1" s="1"/>
  <c r="G1286" i="1" a="1"/>
  <c r="G1286" i="1" s="1"/>
  <c r="G841" i="1" a="1"/>
  <c r="G841" i="1" s="1"/>
  <c r="G842" i="1" a="1"/>
  <c r="G842" i="1"/>
  <c r="G843" i="1" a="1"/>
  <c r="G843" i="1" s="1"/>
  <c r="G844" i="1" a="1"/>
  <c r="G844" i="1" s="1"/>
  <c r="G845" i="1" a="1"/>
  <c r="G845" i="1" s="1"/>
  <c r="G846" i="1" a="1"/>
  <c r="G846" i="1"/>
  <c r="G847" i="1" a="1"/>
  <c r="G847" i="1" s="1"/>
  <c r="G848" i="1" a="1"/>
  <c r="G848" i="1" s="1"/>
  <c r="G849" i="1" a="1"/>
  <c r="G849" i="1"/>
  <c r="G850" i="1" a="1"/>
  <c r="G850" i="1" s="1"/>
  <c r="G851" i="1" a="1"/>
  <c r="G851" i="1" s="1"/>
  <c r="G852" i="1" a="1"/>
  <c r="G852" i="1" s="1"/>
  <c r="G853" i="1" a="1"/>
  <c r="G853" i="1" s="1"/>
  <c r="G1334" i="1" a="1"/>
  <c r="G1334" i="1" s="1"/>
  <c r="G215" i="1" a="1"/>
  <c r="G215" i="1" s="1"/>
  <c r="G216" i="1" a="1"/>
  <c r="G216" i="1" s="1"/>
  <c r="G1161" i="1" a="1"/>
  <c r="G1161" i="1"/>
  <c r="G1162" i="1" a="1"/>
  <c r="G1162" i="1" s="1"/>
  <c r="G1163" i="1" a="1"/>
  <c r="G1163" i="1" s="1"/>
  <c r="G1164" i="1" a="1"/>
  <c r="G1164" i="1" s="1"/>
  <c r="G1335" i="1" a="1"/>
  <c r="G1335" i="1" s="1"/>
  <c r="G1165" i="1" a="1"/>
  <c r="G1165" i="1" s="1"/>
  <c r="G1166" i="1" a="1"/>
  <c r="G1166" i="1" s="1"/>
  <c r="G1167" i="1" a="1"/>
  <c r="G1167" i="1" s="1"/>
  <c r="G1168" i="1" a="1"/>
  <c r="G1168" i="1" s="1"/>
  <c r="G1169" i="1" a="1"/>
  <c r="G1169" i="1"/>
  <c r="G1170" i="1" a="1"/>
  <c r="G1170" i="1" s="1"/>
  <c r="G1171" i="1" a="1"/>
  <c r="G1171" i="1" s="1"/>
  <c r="G1172" i="1" a="1"/>
  <c r="G1172" i="1"/>
  <c r="G1173" i="1" a="1"/>
  <c r="G1173" i="1" s="1"/>
  <c r="G1174" i="1" a="1"/>
  <c r="G1174" i="1" s="1"/>
  <c r="G1175" i="1" a="1"/>
  <c r="G1175" i="1" s="1"/>
  <c r="G1176" i="1" a="1"/>
  <c r="G1176" i="1" s="1"/>
  <c r="G1177" i="1" a="1"/>
  <c r="G1177" i="1" s="1"/>
  <c r="G1336" i="1" a="1"/>
  <c r="G1336" i="1"/>
  <c r="G854" i="1" a="1"/>
  <c r="G854" i="1" s="1"/>
  <c r="G1178" i="1" a="1"/>
  <c r="G1178" i="1" s="1"/>
  <c r="G855" i="1" a="1"/>
  <c r="G855" i="1" s="1"/>
  <c r="G856" i="1" a="1"/>
  <c r="G856" i="1"/>
  <c r="G217" i="1" a="1"/>
  <c r="G217" i="1"/>
  <c r="G218" i="1" a="1"/>
  <c r="G218" i="1" s="1"/>
  <c r="G219" i="1" a="1"/>
  <c r="G219" i="1" s="1"/>
  <c r="G220" i="1" a="1"/>
  <c r="G220" i="1" s="1"/>
  <c r="G221" i="1" a="1"/>
  <c r="G221" i="1"/>
  <c r="G857" i="1" a="1"/>
  <c r="G857" i="1" s="1"/>
  <c r="G858" i="1" a="1"/>
  <c r="G858" i="1" s="1"/>
  <c r="G859" i="1" a="1"/>
  <c r="G859" i="1" s="1"/>
  <c r="G860" i="1" a="1"/>
  <c r="G860" i="1" s="1"/>
  <c r="G861" i="1" a="1"/>
  <c r="G861" i="1" s="1"/>
  <c r="G862" i="1" a="1"/>
  <c r="G862" i="1"/>
  <c r="G863" i="1" a="1"/>
  <c r="G863" i="1" s="1"/>
  <c r="G864" i="1" a="1"/>
  <c r="G864" i="1" s="1"/>
  <c r="G865" i="1" a="1"/>
  <c r="G865" i="1" s="1"/>
  <c r="G866" i="1" a="1"/>
  <c r="G866" i="1" s="1"/>
  <c r="G867" i="1" a="1"/>
  <c r="G867" i="1" s="1"/>
  <c r="G868" i="1" a="1"/>
  <c r="G868" i="1" s="1"/>
  <c r="G869" i="1" a="1"/>
  <c r="G869" i="1" s="1"/>
  <c r="G870" i="1" a="1"/>
  <c r="G870" i="1"/>
  <c r="G871" i="1" a="1"/>
  <c r="G871" i="1" s="1"/>
  <c r="G872" i="1" a="1"/>
  <c r="G872" i="1" s="1"/>
  <c r="G873" i="1" a="1"/>
  <c r="G873" i="1" s="1"/>
  <c r="G874" i="1" a="1"/>
  <c r="G874" i="1" s="1"/>
  <c r="G875" i="1" a="1"/>
  <c r="G875" i="1" s="1"/>
  <c r="G876" i="1" a="1"/>
  <c r="G876" i="1" s="1"/>
  <c r="G877" i="1" a="1"/>
  <c r="G877" i="1" s="1"/>
  <c r="G878" i="1" a="1"/>
  <c r="G878" i="1" s="1"/>
  <c r="G879" i="1" a="1"/>
  <c r="G879" i="1" s="1"/>
  <c r="G880" i="1" a="1"/>
  <c r="G880" i="1" s="1"/>
  <c r="G881" i="1" a="1"/>
  <c r="G881" i="1" s="1"/>
  <c r="G882" i="1" a="1"/>
  <c r="G882" i="1" s="1"/>
  <c r="G883" i="1" a="1"/>
  <c r="G883" i="1" s="1"/>
  <c r="G884" i="1" a="1"/>
  <c r="G884" i="1" s="1"/>
  <c r="G885" i="1" a="1"/>
  <c r="G885" i="1" s="1"/>
  <c r="G886" i="1" a="1"/>
  <c r="G886" i="1"/>
  <c r="G887" i="1" a="1"/>
  <c r="G887" i="1" s="1"/>
  <c r="G888" i="1" a="1"/>
  <c r="G888" i="1" s="1"/>
  <c r="G889" i="1" a="1"/>
  <c r="G889" i="1" s="1"/>
  <c r="G890" i="1" a="1"/>
  <c r="G890" i="1" s="1"/>
  <c r="G891" i="1" a="1"/>
  <c r="G891" i="1" s="1"/>
  <c r="G892" i="1" a="1"/>
  <c r="G892" i="1" s="1"/>
  <c r="G893" i="1" a="1"/>
  <c r="G893" i="1" s="1"/>
  <c r="G1337" i="1" a="1"/>
  <c r="G1337" i="1" s="1"/>
  <c r="G1179" i="1" a="1"/>
  <c r="G1179" i="1"/>
  <c r="G1180" i="1" a="1"/>
  <c r="G1180" i="1" s="1"/>
  <c r="G1181" i="1" a="1"/>
  <c r="G1181" i="1" s="1"/>
  <c r="G1338" i="1" a="1"/>
  <c r="G1338" i="1"/>
  <c r="G1182" i="1" a="1"/>
  <c r="G1182" i="1" s="1"/>
  <c r="G1183" i="1" a="1"/>
  <c r="G1183" i="1" s="1"/>
  <c r="G1184" i="1" a="1"/>
  <c r="G1184" i="1" s="1"/>
  <c r="G1185" i="1" a="1"/>
  <c r="G1185" i="1" s="1"/>
  <c r="G1186" i="1" a="1"/>
  <c r="G1186" i="1" s="1"/>
  <c r="G1187" i="1" a="1"/>
  <c r="G1187" i="1"/>
  <c r="G894" i="1" a="1"/>
  <c r="G894" i="1" s="1"/>
  <c r="G1188" i="1" a="1"/>
  <c r="G1188" i="1" s="1"/>
  <c r="G895" i="1" a="1"/>
  <c r="G895" i="1" s="1"/>
  <c r="H895" i="1" s="1" a="1"/>
  <c r="H895" i="1" s="1"/>
  <c r="G896" i="1" a="1"/>
  <c r="G896" i="1" s="1"/>
  <c r="G1189" i="1" a="1"/>
  <c r="G1189" i="1" s="1"/>
  <c r="G897" i="1" a="1"/>
  <c r="G897" i="1" s="1"/>
  <c r="G898" i="1" a="1"/>
  <c r="G898" i="1" s="1"/>
  <c r="H898" i="1" s="1" a="1"/>
  <c r="H898" i="1" s="1"/>
  <c r="G899" i="1" a="1"/>
  <c r="G899" i="1" s="1"/>
  <c r="H899" i="1" s="1" a="1"/>
  <c r="H899" i="1" s="1"/>
  <c r="G900" i="1" a="1"/>
  <c r="G900" i="1" s="1"/>
  <c r="G1190" i="1" a="1"/>
  <c r="G1190" i="1" s="1"/>
  <c r="G222" i="1" a="1"/>
  <c r="G222" i="1" s="1"/>
  <c r="H222" i="1" s="1" a="1"/>
  <c r="H222" i="1" s="1"/>
  <c r="G223" i="1" a="1"/>
  <c r="G223" i="1" s="1"/>
  <c r="H223" i="1" s="1" a="1"/>
  <c r="H223" i="1" s="1"/>
  <c r="G224" i="1" a="1"/>
  <c r="G224" i="1" s="1"/>
  <c r="G225" i="1" a="1"/>
  <c r="G225" i="1" s="1"/>
  <c r="G226" i="1" a="1"/>
  <c r="G226" i="1" s="1"/>
  <c r="H226" i="1" s="1" a="1"/>
  <c r="H226" i="1" s="1"/>
  <c r="G227" i="1" a="1"/>
  <c r="G227" i="1" s="1"/>
  <c r="H227" i="1" s="1" a="1"/>
  <c r="H227" i="1" s="1"/>
  <c r="G228" i="1" a="1"/>
  <c r="G228" i="1" s="1"/>
  <c r="H228" i="1" s="1" a="1"/>
  <c r="H228" i="1" s="1"/>
  <c r="G229" i="1" a="1"/>
  <c r="G229" i="1" s="1"/>
  <c r="G230" i="1" a="1"/>
  <c r="G230" i="1" s="1"/>
  <c r="G231" i="1" a="1"/>
  <c r="G231" i="1" s="1"/>
  <c r="G901" i="1" a="1"/>
  <c r="G901" i="1" s="1"/>
  <c r="G232" i="1" a="1"/>
  <c r="G232" i="1" s="1"/>
  <c r="G233" i="1" a="1"/>
  <c r="G233" i="1" s="1"/>
  <c r="G234" i="1" a="1"/>
  <c r="G234" i="1" s="1"/>
  <c r="G235" i="1" a="1"/>
  <c r="G235" i="1" s="1"/>
  <c r="G236" i="1" a="1"/>
  <c r="G236" i="1" s="1"/>
  <c r="G237" i="1" a="1"/>
  <c r="G237" i="1" s="1"/>
  <c r="H237" i="1" s="1" a="1"/>
  <c r="H237" i="1" s="1"/>
  <c r="G238" i="1" a="1"/>
  <c r="G238" i="1" s="1"/>
  <c r="G239" i="1" a="1"/>
  <c r="G239" i="1" s="1"/>
  <c r="G240" i="1" a="1"/>
  <c r="G240" i="1" s="1"/>
  <c r="G241" i="1" a="1"/>
  <c r="G241" i="1" s="1"/>
  <c r="H241" i="1" s="1" a="1"/>
  <c r="H241" i="1" s="1"/>
  <c r="G242" i="1" a="1"/>
  <c r="G242" i="1"/>
  <c r="G243" i="1" a="1"/>
  <c r="G243" i="1" s="1"/>
  <c r="G244" i="1" a="1"/>
  <c r="G244" i="1" s="1"/>
  <c r="G245" i="1" a="1"/>
  <c r="G245" i="1" s="1"/>
  <c r="G246" i="1" a="1"/>
  <c r="G246" i="1" s="1"/>
  <c r="G247" i="1" a="1"/>
  <c r="G247" i="1" s="1"/>
  <c r="G248" i="1" a="1"/>
  <c r="G248" i="1" s="1"/>
  <c r="G249" i="1" a="1"/>
  <c r="G249" i="1"/>
  <c r="G250" i="1" a="1"/>
  <c r="G250" i="1" s="1"/>
  <c r="H250" i="1" s="1" a="1"/>
  <c r="H250" i="1" s="1"/>
  <c r="G251" i="1" a="1"/>
  <c r="G251" i="1" s="1"/>
  <c r="G252" i="1" a="1"/>
  <c r="G252" i="1" s="1"/>
  <c r="G253" i="1" a="1"/>
  <c r="G253" i="1" s="1"/>
  <c r="G254" i="1" a="1"/>
  <c r="G254" i="1"/>
  <c r="G255" i="1" a="1"/>
  <c r="G255" i="1" s="1"/>
  <c r="G256" i="1" a="1"/>
  <c r="G256" i="1"/>
  <c r="G257" i="1" a="1"/>
  <c r="G257" i="1" s="1"/>
  <c r="G258" i="1" a="1"/>
  <c r="G258" i="1" s="1"/>
  <c r="G259" i="1" a="1"/>
  <c r="G259" i="1" s="1"/>
  <c r="G260" i="1" a="1"/>
  <c r="G260" i="1" s="1"/>
  <c r="H260" i="1" s="1" a="1"/>
  <c r="H260" i="1" s="1"/>
  <c r="G261" i="1" a="1"/>
  <c r="G261" i="1" s="1"/>
  <c r="G262" i="1" a="1"/>
  <c r="G262" i="1" s="1"/>
  <c r="H262" i="1" s="1" a="1"/>
  <c r="H262" i="1" s="1"/>
  <c r="G263" i="1" a="1"/>
  <c r="G263" i="1" s="1"/>
  <c r="H263" i="1" s="1" a="1"/>
  <c r="H263" i="1" s="1"/>
  <c r="G264" i="1" a="1"/>
  <c r="G264" i="1" s="1"/>
  <c r="G265" i="1" a="1"/>
  <c r="G265" i="1" s="1"/>
  <c r="G266" i="1" a="1"/>
  <c r="G266" i="1" s="1"/>
  <c r="H266" i="1" s="1" a="1"/>
  <c r="H266" i="1" s="1"/>
  <c r="G267" i="1" a="1"/>
  <c r="G267" i="1" s="1"/>
  <c r="G902" i="1" a="1"/>
  <c r="G902" i="1" s="1"/>
  <c r="G903" i="1" a="1"/>
  <c r="G903" i="1" s="1"/>
  <c r="G904" i="1" a="1"/>
  <c r="G904" i="1" s="1"/>
  <c r="G905" i="1" a="1"/>
  <c r="G905" i="1" s="1"/>
  <c r="G906" i="1" a="1"/>
  <c r="G906" i="1" s="1"/>
  <c r="H906" i="1" s="1" a="1"/>
  <c r="G907" i="1" a="1"/>
  <c r="G907" i="1" s="1"/>
  <c r="G908" i="1" a="1"/>
  <c r="G908" i="1"/>
  <c r="G268" i="1" a="1"/>
  <c r="G268" i="1" s="1"/>
  <c r="G269" i="1" a="1"/>
  <c r="G269" i="1" s="1"/>
  <c r="G909" i="1" a="1"/>
  <c r="G909" i="1" s="1"/>
  <c r="H909" i="1" s="1" a="1"/>
  <c r="H909" i="1" s="1"/>
  <c r="G910" i="1" a="1"/>
  <c r="G910" i="1" s="1"/>
  <c r="G270" i="1" a="1"/>
  <c r="G270" i="1" s="1"/>
  <c r="G271" i="1" a="1"/>
  <c r="G271" i="1" s="1"/>
  <c r="H271" i="1" s="1" a="1"/>
  <c r="H271" i="1" s="1"/>
  <c r="G272" i="1" a="1"/>
  <c r="G272" i="1" s="1"/>
  <c r="H272" i="1" s="1" a="1"/>
  <c r="H272" i="1" s="1"/>
  <c r="G273" i="1" a="1"/>
  <c r="G273" i="1" s="1"/>
  <c r="G274" i="1" a="1"/>
  <c r="G274" i="1" s="1"/>
  <c r="G275" i="1" a="1"/>
  <c r="G275" i="1" s="1"/>
  <c r="G276" i="1" a="1"/>
  <c r="G276" i="1" s="1"/>
  <c r="H276" i="1" s="1" a="1"/>
  <c r="H276" i="1" s="1"/>
  <c r="G277" i="1" a="1"/>
  <c r="G277" i="1" s="1"/>
  <c r="G278" i="1" a="1"/>
  <c r="G278" i="1" s="1"/>
  <c r="G279" i="1" a="1"/>
  <c r="G279" i="1" s="1"/>
  <c r="G280" i="1" a="1"/>
  <c r="G280" i="1" s="1"/>
  <c r="G281" i="1" a="1"/>
  <c r="G281" i="1"/>
  <c r="H281" i="1" s="1" a="1"/>
  <c r="H281" i="1" s="1"/>
  <c r="G282" i="1" a="1"/>
  <c r="G282" i="1" s="1"/>
  <c r="H282" i="1" s="1" a="1"/>
  <c r="H282" i="1" s="1"/>
  <c r="G283" i="1" a="1"/>
  <c r="G283" i="1" s="1"/>
  <c r="G284" i="1" a="1"/>
  <c r="G284" i="1" s="1"/>
  <c r="G285" i="1" a="1"/>
  <c r="G285" i="1" s="1"/>
  <c r="G286" i="1" a="1"/>
  <c r="G286" i="1" s="1"/>
  <c r="G287" i="1" a="1"/>
  <c r="G287" i="1" s="1"/>
  <c r="H287" i="1" s="1" a="1"/>
  <c r="H287" i="1" s="1"/>
  <c r="G288" i="1" a="1"/>
  <c r="G288" i="1"/>
  <c r="G289" i="1" a="1"/>
  <c r="G289" i="1" s="1"/>
  <c r="G1191" i="1" a="1"/>
  <c r="G1191" i="1" s="1"/>
  <c r="G290" i="1" a="1"/>
  <c r="G290" i="1" s="1"/>
  <c r="G291" i="1" a="1"/>
  <c r="G291" i="1" s="1"/>
  <c r="G292" i="1" a="1"/>
  <c r="G292" i="1" s="1"/>
  <c r="G293" i="1" a="1"/>
  <c r="G293" i="1" s="1"/>
  <c r="G294" i="1" a="1"/>
  <c r="G294" i="1" s="1"/>
  <c r="G295" i="1" a="1"/>
  <c r="G295" i="1" s="1"/>
  <c r="H295" i="1" s="1" a="1"/>
  <c r="H295" i="1" s="1"/>
  <c r="G296" i="1" a="1"/>
  <c r="G296" i="1" s="1"/>
  <c r="H296" i="1" s="1" a="1"/>
  <c r="H296" i="1" s="1"/>
  <c r="G297" i="1" a="1"/>
  <c r="G297" i="1" s="1"/>
  <c r="G298" i="1" a="1"/>
  <c r="G298" i="1" s="1"/>
  <c r="H298" i="1" s="1" a="1"/>
  <c r="H298" i="1" s="1"/>
  <c r="G299" i="1" a="1"/>
  <c r="G299" i="1" s="1"/>
  <c r="H299" i="1" s="1" a="1"/>
  <c r="H299" i="1" s="1"/>
  <c r="G300" i="1" a="1"/>
  <c r="G300" i="1" s="1"/>
  <c r="G301" i="1" a="1"/>
  <c r="G301" i="1" s="1"/>
  <c r="G302" i="1" a="1"/>
  <c r="G302" i="1" s="1"/>
  <c r="G303" i="1" a="1"/>
  <c r="G303" i="1" s="1"/>
  <c r="G304" i="1" a="1"/>
  <c r="G304" i="1"/>
  <c r="H304" i="1" s="1" a="1"/>
  <c r="H304" i="1" s="1"/>
  <c r="G305" i="1" a="1"/>
  <c r="G305" i="1" s="1"/>
  <c r="G1192" i="1" a="1"/>
  <c r="G1192" i="1" s="1"/>
  <c r="G306" i="1" a="1"/>
  <c r="G306" i="1" s="1"/>
  <c r="G307" i="1" a="1"/>
  <c r="G307" i="1"/>
  <c r="H307" i="1" s="1" a="1"/>
  <c r="G308" i="1" a="1"/>
  <c r="G308" i="1" s="1"/>
  <c r="G309" i="1" a="1"/>
  <c r="G309" i="1"/>
  <c r="G911" i="1" a="1"/>
  <c r="G911" i="1" s="1"/>
  <c r="G310" i="1" a="1"/>
  <c r="G310" i="1" s="1"/>
  <c r="G912" i="1" a="1"/>
  <c r="G912" i="1" s="1"/>
  <c r="G311" i="1" a="1"/>
  <c r="G311" i="1" s="1"/>
  <c r="H311" i="1" s="1" a="1"/>
  <c r="G913" i="1" a="1"/>
  <c r="G913" i="1" s="1"/>
  <c r="G312" i="1" a="1"/>
  <c r="G312" i="1" s="1"/>
  <c r="H312" i="1" s="1" a="1"/>
  <c r="H312" i="1" s="1"/>
  <c r="G313" i="1" a="1"/>
  <c r="G313" i="1" s="1"/>
  <c r="H313" i="1" s="1" a="1"/>
  <c r="H313" i="1" s="1"/>
  <c r="G314" i="1" a="1"/>
  <c r="G314" i="1"/>
  <c r="G315" i="1" a="1"/>
  <c r="G315" i="1"/>
  <c r="G316" i="1" a="1"/>
  <c r="G316" i="1" s="1"/>
  <c r="G317" i="1" a="1"/>
  <c r="G317" i="1" s="1"/>
  <c r="G318" i="1" a="1"/>
  <c r="G318" i="1"/>
  <c r="H318" i="1" s="1" a="1"/>
  <c r="H318" i="1" s="1"/>
  <c r="G319" i="1" a="1"/>
  <c r="G319" i="1" s="1"/>
  <c r="G320" i="1" a="1"/>
  <c r="G320" i="1" s="1"/>
  <c r="G321" i="1" a="1"/>
  <c r="G321" i="1" s="1"/>
  <c r="G322" i="1" a="1"/>
  <c r="G322" i="1"/>
  <c r="G914" i="1" a="1"/>
  <c r="G914" i="1" s="1"/>
  <c r="H914" i="1" s="1" a="1"/>
  <c r="H914" i="1" s="1"/>
  <c r="G915" i="1" a="1"/>
  <c r="G915" i="1" s="1"/>
  <c r="G916" i="1" a="1"/>
  <c r="G916" i="1" s="1"/>
  <c r="G917" i="1" a="1"/>
  <c r="G917" i="1" s="1"/>
  <c r="G918" i="1" a="1"/>
  <c r="G918" i="1"/>
  <c r="G919" i="1" a="1"/>
  <c r="G919" i="1" s="1"/>
  <c r="G920" i="1" a="1"/>
  <c r="G920" i="1" s="1"/>
  <c r="H920" i="1" s="1" a="1"/>
  <c r="H920" i="1" s="1"/>
  <c r="G921" i="1" a="1"/>
  <c r="G921" i="1" s="1"/>
  <c r="H921" i="1" s="1" a="1"/>
  <c r="H921" i="1" s="1"/>
  <c r="G922" i="1" a="1"/>
  <c r="G922" i="1"/>
  <c r="G923" i="1" a="1"/>
  <c r="G923" i="1"/>
  <c r="G924" i="1" a="1"/>
  <c r="G924" i="1" s="1"/>
  <c r="G925" i="1" a="1"/>
  <c r="G925" i="1" s="1"/>
  <c r="G323" i="1" a="1"/>
  <c r="G323" i="1" s="1"/>
  <c r="H323" i="1" s="1" a="1"/>
  <c r="H323" i="1" s="1"/>
  <c r="I323" i="1" s="1" a="1"/>
  <c r="I323" i="1" s="1"/>
  <c r="G324" i="1" a="1"/>
  <c r="G324" i="1" s="1"/>
  <c r="H324" i="1" s="1" a="1"/>
  <c r="H324" i="1" s="1"/>
  <c r="G926" i="1" a="1"/>
  <c r="G926" i="1" s="1"/>
  <c r="G325" i="1" a="1"/>
  <c r="G325" i="1" s="1"/>
  <c r="G927" i="1" a="1"/>
  <c r="G927" i="1" s="1"/>
  <c r="G928" i="1" a="1"/>
  <c r="G928" i="1" s="1"/>
  <c r="G929" i="1" a="1"/>
  <c r="G929" i="1" s="1"/>
  <c r="H929" i="1" s="1" a="1"/>
  <c r="H929" i="1" s="1"/>
  <c r="G930" i="1" a="1"/>
  <c r="G930" i="1" s="1"/>
  <c r="G931" i="1" a="1"/>
  <c r="G931" i="1" s="1"/>
  <c r="G932" i="1" a="1"/>
  <c r="G932" i="1" s="1"/>
  <c r="G933" i="1" a="1"/>
  <c r="G933" i="1" s="1"/>
  <c r="G934" i="1" a="1"/>
  <c r="G934" i="1" s="1"/>
  <c r="H934" i="1" s="1" a="1"/>
  <c r="H934" i="1" s="1"/>
  <c r="G935" i="1" a="1"/>
  <c r="G935" i="1" s="1"/>
  <c r="H935" i="1" s="1" a="1"/>
  <c r="H935" i="1" s="1"/>
  <c r="G936" i="1" a="1"/>
  <c r="G936" i="1" s="1"/>
  <c r="G937" i="1" a="1"/>
  <c r="G937" i="1" s="1"/>
  <c r="G938" i="1" a="1"/>
  <c r="G938" i="1"/>
  <c r="G939" i="1" a="1"/>
  <c r="G939" i="1" s="1"/>
  <c r="G940" i="1" a="1"/>
  <c r="G940" i="1" s="1"/>
  <c r="G941" i="1" a="1"/>
  <c r="G941" i="1" s="1"/>
  <c r="G942" i="1" a="1"/>
  <c r="G942" i="1" s="1"/>
  <c r="G943" i="1" a="1"/>
  <c r="G943" i="1" s="1"/>
  <c r="H943" i="1" s="1" a="1"/>
  <c r="H943" i="1" s="1"/>
  <c r="G944" i="1" a="1"/>
  <c r="G944" i="1"/>
  <c r="H944" i="1" s="1" a="1"/>
  <c r="G945" i="1" a="1"/>
  <c r="G945" i="1" s="1"/>
  <c r="G946" i="1" a="1"/>
  <c r="G946" i="1" s="1"/>
  <c r="H946" i="1" s="1" a="1"/>
  <c r="H946" i="1" s="1"/>
  <c r="G1287" i="1" a="1"/>
  <c r="G1287" i="1" s="1"/>
  <c r="H1287" i="1" s="1" a="1"/>
  <c r="H1287" i="1" s="1"/>
  <c r="G1288" i="1" a="1"/>
  <c r="G1288" i="1" s="1"/>
  <c r="H1288" i="1" s="1" a="1"/>
  <c r="G947" i="1" a="1"/>
  <c r="G947" i="1" s="1"/>
  <c r="G948" i="1" a="1"/>
  <c r="G948" i="1" s="1"/>
  <c r="H948" i="1" s="1" a="1"/>
  <c r="H948" i="1" s="1"/>
  <c r="I948" i="1" s="1" a="1"/>
  <c r="I948" i="1" s="1"/>
  <c r="G949" i="1" a="1"/>
  <c r="G949" i="1"/>
  <c r="H949" i="1" s="1" a="1"/>
  <c r="H949" i="1" s="1"/>
  <c r="G950" i="1" a="1"/>
  <c r="G950" i="1" s="1"/>
  <c r="H950" i="1" s="1" a="1"/>
  <c r="H950" i="1" s="1"/>
  <c r="G951" i="1" a="1"/>
  <c r="G951" i="1" s="1"/>
  <c r="G952" i="1" a="1"/>
  <c r="G952" i="1" s="1"/>
  <c r="G953" i="1" a="1"/>
  <c r="G953" i="1" s="1"/>
  <c r="G954" i="1" a="1"/>
  <c r="G954" i="1" s="1"/>
  <c r="G955" i="1" a="1"/>
  <c r="G955" i="1" s="1"/>
  <c r="H955" i="1" s="1" a="1"/>
  <c r="H955" i="1" s="1"/>
  <c r="G956" i="1" a="1"/>
  <c r="G956" i="1" s="1"/>
  <c r="H956" i="1" s="1" a="1"/>
  <c r="H956" i="1" s="1"/>
  <c r="G957" i="1" a="1"/>
  <c r="G957" i="1" s="1"/>
  <c r="G1339" i="1" a="1"/>
  <c r="G1339" i="1"/>
  <c r="G326" i="1" a="1"/>
  <c r="G326" i="1" s="1"/>
  <c r="G327" i="1" a="1"/>
  <c r="G327" i="1" s="1"/>
  <c r="H327" i="1" s="1" a="1"/>
  <c r="H327" i="1" s="1"/>
  <c r="G328" i="1" a="1"/>
  <c r="G328" i="1" s="1"/>
  <c r="G1193" i="1" a="1"/>
  <c r="G1193" i="1"/>
  <c r="G1194" i="1" a="1"/>
  <c r="G1194" i="1"/>
  <c r="G1195" i="1" a="1"/>
  <c r="G1195" i="1"/>
  <c r="G1196" i="1" a="1"/>
  <c r="G1196" i="1" s="1"/>
  <c r="H1196" i="1" s="1" a="1"/>
  <c r="H1196" i="1" s="1"/>
  <c r="G1197" i="1" a="1"/>
  <c r="G1197" i="1" s="1"/>
  <c r="G1198" i="1" a="1"/>
  <c r="G1198" i="1" s="1"/>
  <c r="G1340" i="1" a="1"/>
  <c r="G1340" i="1" s="1"/>
  <c r="G1341" i="1" a="1"/>
  <c r="G1341" i="1" s="1"/>
  <c r="G1199" i="1" a="1"/>
  <c r="G1199" i="1" s="1"/>
  <c r="G1200" i="1" a="1"/>
  <c r="G1200" i="1" s="1"/>
  <c r="H1200" i="1" s="1" a="1"/>
  <c r="H1200" i="1" s="1"/>
  <c r="G1201" i="1" a="1"/>
  <c r="G1201" i="1"/>
  <c r="H1201" i="1" s="1" a="1"/>
  <c r="H1201" i="1" s="1"/>
  <c r="G1202" i="1" a="1"/>
  <c r="G1202" i="1" s="1"/>
  <c r="G1203" i="1" a="1"/>
  <c r="G1203" i="1"/>
  <c r="H1203" i="1" s="1" a="1"/>
  <c r="G1204" i="1" a="1"/>
  <c r="G1204" i="1" s="1"/>
  <c r="G1205" i="1" a="1"/>
  <c r="G1205" i="1" s="1"/>
  <c r="G1206" i="1" a="1"/>
  <c r="G1206" i="1" s="1"/>
  <c r="H1206" i="1" s="1" a="1"/>
  <c r="H1206" i="1" s="1"/>
  <c r="G1207" i="1" a="1"/>
  <c r="G1207" i="1"/>
  <c r="H1207" i="1" s="1" a="1"/>
  <c r="H1207" i="1" s="1"/>
  <c r="G1208" i="1" a="1"/>
  <c r="G1208" i="1" s="1"/>
  <c r="H1208" i="1" s="1" a="1"/>
  <c r="G1209" i="1" a="1"/>
  <c r="G1209" i="1" s="1"/>
  <c r="G1210" i="1" a="1"/>
  <c r="G1210" i="1" s="1"/>
  <c r="G1342" i="1" a="1"/>
  <c r="G1342" i="1" s="1"/>
  <c r="G1211" i="1" a="1"/>
  <c r="G1211" i="1" s="1"/>
  <c r="H1211" i="1" s="1" a="1"/>
  <c r="H1211" i="1" s="1"/>
  <c r="G1212" i="1" a="1"/>
  <c r="G1212" i="1"/>
  <c r="G329" i="1" a="1"/>
  <c r="G329" i="1" s="1"/>
  <c r="G330" i="1" a="1"/>
  <c r="G330" i="1" s="1"/>
  <c r="H330" i="1" s="1" a="1"/>
  <c r="G331" i="1" a="1"/>
  <c r="G331" i="1" s="1"/>
  <c r="G332" i="1" a="1"/>
  <c r="G332" i="1" s="1"/>
  <c r="G333" i="1" a="1"/>
  <c r="G333" i="1" s="1"/>
  <c r="G334" i="1" a="1"/>
  <c r="G334" i="1"/>
  <c r="G335" i="1" a="1"/>
  <c r="G335" i="1" s="1"/>
  <c r="H335" i="1" s="1" a="1"/>
  <c r="H335" i="1" s="1"/>
  <c r="I335" i="1" s="1" a="1"/>
  <c r="I335" i="1" s="1"/>
  <c r="G336" i="1" a="1"/>
  <c r="G336" i="1" s="1"/>
  <c r="H336" i="1" s="1" a="1"/>
  <c r="H336" i="1" s="1"/>
  <c r="G337" i="1" a="1"/>
  <c r="G337" i="1" s="1"/>
  <c r="G338" i="1" a="1"/>
  <c r="G338" i="1"/>
  <c r="G339" i="1" a="1"/>
  <c r="G339" i="1"/>
  <c r="G340" i="1" a="1"/>
  <c r="G340" i="1"/>
  <c r="H340" i="1" s="1" a="1"/>
  <c r="H340" i="1" s="1"/>
  <c r="G341" i="1" a="1"/>
  <c r="G341" i="1" s="1"/>
  <c r="G342" i="1" a="1"/>
  <c r="G342" i="1" s="1"/>
  <c r="G343" i="1" a="1"/>
  <c r="G343" i="1" s="1"/>
  <c r="G344" i="1" a="1"/>
  <c r="G344" i="1" s="1"/>
  <c r="H344" i="1" s="1" a="1"/>
  <c r="H344" i="1" s="1"/>
  <c r="G345" i="1" a="1"/>
  <c r="G345" i="1" s="1"/>
  <c r="G346" i="1" a="1"/>
  <c r="G346" i="1" s="1"/>
  <c r="G347" i="1" a="1"/>
  <c r="G347" i="1" s="1"/>
  <c r="G348" i="1" a="1"/>
  <c r="G348" i="1"/>
  <c r="G349" i="1" a="1"/>
  <c r="G349" i="1" s="1"/>
  <c r="G350" i="1" a="1"/>
  <c r="G350" i="1"/>
  <c r="H350" i="1" s="1" a="1"/>
  <c r="G351" i="1" a="1"/>
  <c r="G351" i="1" s="1"/>
  <c r="G352" i="1" a="1"/>
  <c r="G352" i="1" s="1"/>
  <c r="G353" i="1" a="1"/>
  <c r="G353" i="1" s="1"/>
  <c r="G354" i="1" a="1"/>
  <c r="G354" i="1"/>
  <c r="G355" i="1" a="1"/>
  <c r="G355" i="1" s="1"/>
  <c r="H355" i="1" s="1" a="1"/>
  <c r="H355" i="1" s="1"/>
  <c r="I355" i="1" s="1" a="1"/>
  <c r="I355" i="1" s="1"/>
  <c r="G356" i="1" a="1"/>
  <c r="G356" i="1" s="1"/>
  <c r="H356" i="1" s="1" a="1"/>
  <c r="H356" i="1" s="1"/>
  <c r="G357" i="1" a="1"/>
  <c r="G357" i="1" s="1"/>
  <c r="G358" i="1" a="1"/>
  <c r="G358" i="1" s="1"/>
  <c r="H358" i="1" s="1" a="1"/>
  <c r="H358" i="1" s="1"/>
  <c r="G359" i="1" a="1"/>
  <c r="G359" i="1"/>
  <c r="G958" i="1" a="1"/>
  <c r="G958" i="1"/>
  <c r="G959" i="1" a="1"/>
  <c r="G959" i="1" s="1"/>
  <c r="G960" i="1" a="1"/>
  <c r="G960" i="1" s="1"/>
  <c r="H960" i="1" s="1" a="1"/>
  <c r="G961" i="1" a="1"/>
  <c r="G961" i="1" s="1"/>
  <c r="H961" i="1" s="1" a="1"/>
  <c r="H961" i="1" s="1"/>
  <c r="G962" i="1" a="1"/>
  <c r="G962" i="1" s="1"/>
  <c r="G963" i="1" a="1"/>
  <c r="G963" i="1" s="1"/>
  <c r="G964" i="1" a="1"/>
  <c r="G964" i="1"/>
  <c r="G965" i="1" a="1"/>
  <c r="G965" i="1" s="1"/>
  <c r="G966" i="1" a="1"/>
  <c r="G966" i="1" s="1"/>
  <c r="H966" i="1" s="1" a="1"/>
  <c r="H966" i="1" s="1"/>
  <c r="G967" i="1" a="1"/>
  <c r="G967" i="1" s="1"/>
  <c r="G968" i="1" a="1"/>
  <c r="G968" i="1" s="1"/>
  <c r="G969" i="1" a="1"/>
  <c r="G969" i="1" s="1"/>
  <c r="G970" i="1" a="1"/>
  <c r="G970" i="1"/>
  <c r="H970" i="1" s="1" a="1"/>
  <c r="H970" i="1" s="1"/>
  <c r="I970" i="1" s="1" a="1"/>
  <c r="I970" i="1" s="1"/>
  <c r="G971" i="1" a="1"/>
  <c r="G971" i="1" s="1"/>
  <c r="H971" i="1" s="1" a="1"/>
  <c r="H971" i="1" s="1"/>
  <c r="G972" i="1" a="1"/>
  <c r="G972" i="1"/>
  <c r="G973" i="1" a="1"/>
  <c r="G973" i="1"/>
  <c r="G974" i="1" a="1"/>
  <c r="G974" i="1" s="1"/>
  <c r="G975" i="1" a="1"/>
  <c r="G975" i="1" s="1"/>
  <c r="H975" i="1" s="1" a="1"/>
  <c r="H975" i="1" s="1"/>
  <c r="I975" i="1" s="1" a="1"/>
  <c r="G976" i="1" a="1"/>
  <c r="G976" i="1" s="1"/>
  <c r="G977" i="1" a="1"/>
  <c r="G977" i="1" s="1"/>
  <c r="G978" i="1" a="1"/>
  <c r="G978" i="1"/>
  <c r="H978" i="1" s="1" a="1"/>
  <c r="H978" i="1" s="1"/>
  <c r="G979" i="1" a="1"/>
  <c r="G979" i="1" s="1"/>
  <c r="G980" i="1" a="1"/>
  <c r="G980" i="1" s="1"/>
  <c r="H980" i="1" s="1" a="1"/>
  <c r="H980" i="1" s="1"/>
  <c r="I980" i="1" s="1" a="1"/>
  <c r="I980" i="1" s="1"/>
  <c r="G981" i="1" a="1"/>
  <c r="G981" i="1"/>
  <c r="G982" i="1" a="1"/>
  <c r="G982" i="1"/>
  <c r="G983" i="1" a="1"/>
  <c r="G983" i="1" s="1"/>
  <c r="H983" i="1" s="1" a="1"/>
  <c r="H983" i="1" s="1"/>
  <c r="G984" i="1" a="1"/>
  <c r="G984" i="1" s="1"/>
  <c r="H984" i="1" s="1" a="1"/>
  <c r="G985" i="1" a="1"/>
  <c r="G985" i="1" s="1"/>
  <c r="G986" i="1" a="1"/>
  <c r="G986" i="1" s="1"/>
  <c r="H986" i="1" s="1" a="1"/>
  <c r="H986" i="1" s="1"/>
  <c r="G1213" i="1" a="1"/>
  <c r="G1213" i="1" s="1"/>
  <c r="G1214" i="1" a="1"/>
  <c r="G1214" i="1" s="1"/>
  <c r="G1215" i="1" a="1"/>
  <c r="G1215" i="1" s="1"/>
  <c r="H1215" i="1" s="1" a="1"/>
  <c r="H1215" i="1" s="1"/>
  <c r="G1216" i="1" a="1"/>
  <c r="G1216" i="1" s="1"/>
  <c r="G1217" i="1" a="1"/>
  <c r="G1217" i="1" s="1"/>
  <c r="G1218" i="1" a="1"/>
  <c r="G1218" i="1"/>
  <c r="G1219" i="1" a="1"/>
  <c r="G1219" i="1" s="1"/>
  <c r="H1219" i="1" s="1" a="1"/>
  <c r="G1220" i="1" a="1"/>
  <c r="G1220" i="1" s="1"/>
  <c r="H1220" i="1" s="1" a="1"/>
  <c r="H1220" i="1" s="1"/>
  <c r="G1221" i="1" a="1"/>
  <c r="G1221" i="1" s="1"/>
  <c r="G1222" i="1" a="1"/>
  <c r="G1222" i="1"/>
  <c r="G1223" i="1" a="1"/>
  <c r="G1223" i="1" s="1"/>
  <c r="G1224" i="1" a="1"/>
  <c r="G1224" i="1" s="1"/>
  <c r="H1224" i="1" s="1" a="1"/>
  <c r="H1224" i="1" s="1"/>
  <c r="G987" i="1" a="1"/>
  <c r="G987" i="1" s="1"/>
  <c r="G988" i="1" a="1"/>
  <c r="G988" i="1" s="1"/>
  <c r="H988" i="1" s="1" a="1"/>
  <c r="H988" i="1" s="1"/>
  <c r="G360" i="1" a="1"/>
  <c r="G360" i="1"/>
  <c r="G361" i="1" a="1"/>
  <c r="G361" i="1"/>
  <c r="G362" i="1" a="1"/>
  <c r="G362" i="1" s="1"/>
  <c r="H362" i="1" s="1" a="1"/>
  <c r="H362" i="1" s="1"/>
  <c r="G1343" i="1" a="1"/>
  <c r="G1343" i="1"/>
  <c r="G1344" i="1" a="1"/>
  <c r="G1344" i="1" s="1"/>
  <c r="G363" i="1" a="1"/>
  <c r="G363" i="1" s="1"/>
  <c r="H363" i="1" s="1" a="1"/>
  <c r="H363" i="1" s="1"/>
  <c r="G364" i="1" a="1"/>
  <c r="G364" i="1" s="1"/>
  <c r="H364" i="1" s="1" a="1"/>
  <c r="H364" i="1" s="1"/>
  <c r="G365" i="1" a="1"/>
  <c r="G365" i="1" s="1"/>
  <c r="H365" i="1" s="1" a="1"/>
  <c r="G366" i="1" a="1"/>
  <c r="G366" i="1" s="1"/>
  <c r="H366" i="1" s="1" a="1"/>
  <c r="H366" i="1" s="1"/>
  <c r="G367" i="1" a="1"/>
  <c r="G367" i="1"/>
  <c r="G368" i="1" a="1"/>
  <c r="G368" i="1" s="1"/>
  <c r="G369" i="1" a="1"/>
  <c r="G369" i="1"/>
  <c r="H369" i="1" s="1" a="1"/>
  <c r="H369" i="1" s="1"/>
  <c r="G370" i="1" a="1"/>
  <c r="G370" i="1"/>
  <c r="G371" i="1" a="1"/>
  <c r="G371" i="1"/>
  <c r="G372" i="1" a="1"/>
  <c r="G372" i="1" s="1"/>
  <c r="G373" i="1" a="1"/>
  <c r="G373" i="1" s="1"/>
  <c r="H373" i="1" s="1" a="1"/>
  <c r="H373" i="1" s="1"/>
  <c r="G374" i="1" a="1"/>
  <c r="G374" i="1" s="1"/>
  <c r="H374" i="1" s="1" a="1"/>
  <c r="G989" i="1" a="1"/>
  <c r="G989" i="1" s="1"/>
  <c r="H989" i="1" s="1" a="1"/>
  <c r="H989" i="1" s="1"/>
  <c r="G990" i="1" a="1"/>
  <c r="G990" i="1" s="1"/>
  <c r="G991" i="1" a="1"/>
  <c r="G991" i="1" s="1"/>
  <c r="H991" i="1" s="1" a="1"/>
  <c r="H991" i="1" s="1"/>
  <c r="G375" i="1" a="1"/>
  <c r="G375" i="1"/>
  <c r="G992" i="1" a="1"/>
  <c r="G992" i="1" s="1"/>
  <c r="G993" i="1" a="1"/>
  <c r="G993" i="1" s="1"/>
  <c r="G1225" i="1" a="1"/>
  <c r="G1225" i="1"/>
  <c r="G1226" i="1" a="1"/>
  <c r="G1226" i="1"/>
  <c r="G1289" i="1" a="1"/>
  <c r="G1289" i="1" s="1"/>
  <c r="G1290" i="1" a="1"/>
  <c r="G1290" i="1" s="1"/>
  <c r="G1227" i="1" a="1"/>
  <c r="G1227" i="1"/>
  <c r="G994" i="1" a="1"/>
  <c r="G994" i="1" s="1"/>
  <c r="G995" i="1" a="1"/>
  <c r="G995" i="1" s="1"/>
  <c r="H995" i="1" s="1" a="1"/>
  <c r="G1228" i="1" a="1"/>
  <c r="G1228" i="1" s="1"/>
  <c r="G996" i="1" a="1"/>
  <c r="G996" i="1" s="1"/>
  <c r="G997" i="1" a="1"/>
  <c r="G997" i="1" s="1"/>
  <c r="G1291" i="1" a="1"/>
  <c r="G1291" i="1" s="1"/>
  <c r="G998" i="1" a="1"/>
  <c r="G998" i="1" s="1"/>
  <c r="H998" i="1" s="1" a="1"/>
  <c r="H998" i="1" s="1"/>
  <c r="I998" i="1" s="1" a="1"/>
  <c r="I998" i="1" s="1"/>
  <c r="G1345" i="1" a="1"/>
  <c r="G1345" i="1"/>
  <c r="G376" i="1" a="1"/>
  <c r="G376" i="1" s="1"/>
  <c r="H376" i="1" s="1" a="1"/>
  <c r="G377" i="1" a="1"/>
  <c r="G377" i="1" s="1"/>
  <c r="H377" i="1" s="1" a="1"/>
  <c r="H377" i="1" s="1"/>
  <c r="G378" i="1" a="1"/>
  <c r="G378" i="1" s="1"/>
  <c r="G379" i="1" a="1"/>
  <c r="G379" i="1" s="1"/>
  <c r="H379" i="1" s="1" a="1"/>
  <c r="H379" i="1" s="1"/>
  <c r="G999" i="1" a="1"/>
  <c r="G999" i="1" s="1"/>
  <c r="G380" i="1" a="1"/>
  <c r="G380" i="1"/>
  <c r="G381" i="1" a="1"/>
  <c r="G381" i="1" s="1"/>
  <c r="G1000" i="1" a="1"/>
  <c r="G1000" i="1" s="1"/>
  <c r="H1000" i="1" s="1" a="1"/>
  <c r="G382" i="1" a="1"/>
  <c r="G382" i="1"/>
  <c r="G1001" i="1" a="1"/>
  <c r="G1001" i="1"/>
  <c r="G383" i="1" a="1"/>
  <c r="G383" i="1" s="1"/>
  <c r="G1002" i="1" a="1"/>
  <c r="G1002" i="1"/>
  <c r="H1002" i="1" s="1" a="1"/>
  <c r="H1002" i="1" s="1"/>
  <c r="G1003" i="1" a="1"/>
  <c r="G1003" i="1" s="1"/>
  <c r="G384" i="1" a="1"/>
  <c r="G384" i="1" s="1"/>
  <c r="G385" i="1" a="1"/>
  <c r="G385" i="1" s="1"/>
  <c r="G386" i="1" a="1"/>
  <c r="G386" i="1" s="1"/>
  <c r="H386" i="1" s="1" a="1"/>
  <c r="H386" i="1" s="1"/>
  <c r="G387" i="1" a="1"/>
  <c r="G387" i="1" s="1"/>
  <c r="H387" i="1" s="1" a="1"/>
  <c r="G1004" i="1" a="1"/>
  <c r="G1004" i="1"/>
  <c r="G388" i="1" a="1"/>
  <c r="G388" i="1" s="1"/>
  <c r="G389" i="1" a="1"/>
  <c r="G389" i="1" s="1"/>
  <c r="G390" i="1" a="1"/>
  <c r="G390" i="1" s="1"/>
  <c r="G1005" i="1" a="1"/>
  <c r="G1005" i="1" s="1"/>
  <c r="G391" i="1" a="1"/>
  <c r="G391" i="1" s="1"/>
  <c r="G392" i="1" a="1"/>
  <c r="G392" i="1"/>
  <c r="G1006" i="1" a="1"/>
  <c r="G1006" i="1" s="1"/>
  <c r="G393" i="1" a="1"/>
  <c r="G393" i="1"/>
  <c r="G394" i="1" a="1"/>
  <c r="G394" i="1" s="1"/>
  <c r="G395" i="1" a="1"/>
  <c r="G395" i="1" s="1"/>
  <c r="G1007" i="1" a="1"/>
  <c r="G1007" i="1"/>
  <c r="G1008" i="1" a="1"/>
  <c r="G1008" i="1" s="1"/>
  <c r="G396" i="1" a="1"/>
  <c r="G396" i="1" s="1"/>
  <c r="G1009" i="1" a="1"/>
  <c r="G1009" i="1" s="1"/>
  <c r="G397" i="1" a="1"/>
  <c r="G397" i="1" s="1"/>
  <c r="G398" i="1" a="1"/>
  <c r="G398" i="1" s="1"/>
  <c r="G1010" i="1" a="1"/>
  <c r="G1010" i="1" s="1"/>
  <c r="H1010" i="1" s="1" a="1"/>
  <c r="H1010" i="1" s="1"/>
  <c r="G399" i="1" a="1"/>
  <c r="G399" i="1" s="1"/>
  <c r="G1011" i="1" a="1"/>
  <c r="G1011" i="1" s="1"/>
  <c r="G1012" i="1" a="1"/>
  <c r="G1012" i="1" s="1"/>
  <c r="H1012" i="1" s="1" a="1"/>
  <c r="H1012" i="1" s="1"/>
  <c r="G400" i="1" a="1"/>
  <c r="G400" i="1" s="1"/>
  <c r="G1013" i="1" a="1"/>
  <c r="G1013" i="1"/>
  <c r="G1014" i="1" a="1"/>
  <c r="G1014" i="1"/>
  <c r="G401" i="1" a="1"/>
  <c r="G401" i="1"/>
  <c r="G1015" i="1" a="1"/>
  <c r="G1015" i="1" s="1"/>
  <c r="H1015" i="1" s="1" a="1"/>
  <c r="H1015" i="1" s="1"/>
  <c r="G1016" i="1" a="1"/>
  <c r="G1016" i="1" s="1"/>
  <c r="G402" i="1" a="1"/>
  <c r="G402" i="1" s="1"/>
  <c r="G1017" i="1" a="1"/>
  <c r="G1017" i="1" s="1"/>
  <c r="G1018" i="1" a="1"/>
  <c r="G1018" i="1" s="1"/>
  <c r="G403" i="1" a="1"/>
  <c r="G403" i="1" s="1"/>
  <c r="H403" i="1" s="1" a="1"/>
  <c r="H403" i="1" s="1"/>
  <c r="G1019" i="1" a="1"/>
  <c r="G1019" i="1" s="1"/>
  <c r="H1019" i="1" s="1" a="1"/>
  <c r="G1020" i="1" a="1"/>
  <c r="G1020" i="1" s="1"/>
  <c r="G404" i="1" a="1"/>
  <c r="G404" i="1" s="1"/>
  <c r="G1021" i="1" a="1"/>
  <c r="G1021" i="1" s="1"/>
  <c r="G1022" i="1" a="1"/>
  <c r="G1022" i="1"/>
  <c r="G405" i="1" a="1"/>
  <c r="G405" i="1" s="1"/>
  <c r="H405" i="1" s="1" a="1"/>
  <c r="H405" i="1" s="1"/>
  <c r="G1023" i="1" a="1"/>
  <c r="G1023" i="1" s="1"/>
  <c r="G1024" i="1" a="1"/>
  <c r="G1024" i="1"/>
  <c r="G406" i="1" a="1"/>
  <c r="G406" i="1" s="1"/>
  <c r="G1025" i="1" a="1"/>
  <c r="G1025" i="1" s="1"/>
  <c r="H1025" i="1" s="1" a="1"/>
  <c r="G407" i="1" a="1"/>
  <c r="G407" i="1" s="1"/>
  <c r="G408" i="1" a="1"/>
  <c r="G408" i="1" s="1"/>
  <c r="H408" i="1" s="1" a="1"/>
  <c r="H408" i="1" s="1"/>
  <c r="G1026" i="1" a="1"/>
  <c r="G1026" i="1"/>
  <c r="G409" i="1" a="1"/>
  <c r="G409" i="1"/>
  <c r="G410" i="1" a="1"/>
  <c r="G410" i="1" s="1"/>
  <c r="G411" i="1" a="1"/>
  <c r="G411" i="1" s="1"/>
  <c r="G412" i="1" a="1"/>
  <c r="G412" i="1" s="1"/>
  <c r="G413" i="1" a="1"/>
  <c r="G413" i="1" s="1"/>
  <c r="G414" i="1" a="1"/>
  <c r="G414" i="1" s="1"/>
  <c r="G415" i="1" a="1"/>
  <c r="G415" i="1" s="1"/>
  <c r="G416" i="1" a="1"/>
  <c r="G416" i="1" s="1"/>
  <c r="G417" i="1" a="1"/>
  <c r="G417" i="1" s="1"/>
  <c r="G418" i="1" a="1"/>
  <c r="G418" i="1" s="1"/>
  <c r="G419" i="1" a="1"/>
  <c r="G419" i="1"/>
  <c r="H419" i="1" s="1" a="1"/>
  <c r="H419" i="1" s="1"/>
  <c r="G420" i="1" a="1"/>
  <c r="G420" i="1"/>
  <c r="G421" i="1" a="1"/>
  <c r="G421" i="1"/>
  <c r="G422" i="1" a="1"/>
  <c r="G422" i="1" s="1"/>
  <c r="G423" i="1" a="1"/>
  <c r="G423" i="1" s="1"/>
  <c r="H423" i="1" s="1" a="1"/>
  <c r="G1229" i="1" a="1"/>
  <c r="G1229" i="1" s="1"/>
  <c r="G424" i="1" a="1"/>
  <c r="G424" i="1" s="1"/>
  <c r="G425" i="1" a="1"/>
  <c r="G425" i="1" s="1"/>
  <c r="G1230" i="1" a="1"/>
  <c r="G1230" i="1" s="1"/>
  <c r="G426" i="1" a="1"/>
  <c r="G426" i="1" s="1"/>
  <c r="G1231" i="1" a="1"/>
  <c r="G1231" i="1" s="1"/>
  <c r="G1232" i="1" a="1"/>
  <c r="G1232" i="1" s="1"/>
  <c r="G427" i="1" a="1"/>
  <c r="G427" i="1"/>
  <c r="G1233" i="1" a="1"/>
  <c r="G1233" i="1" s="1"/>
  <c r="G1234" i="1" a="1"/>
  <c r="G1234" i="1" s="1"/>
  <c r="H1234" i="1" s="1" a="1"/>
  <c r="G428" i="1" a="1"/>
  <c r="G428" i="1" s="1"/>
  <c r="G1235" i="1" a="1"/>
  <c r="G1235" i="1"/>
  <c r="G1236" i="1" a="1"/>
  <c r="G1236" i="1" s="1"/>
  <c r="G429" i="1" a="1"/>
  <c r="G429" i="1"/>
  <c r="G1237" i="1" a="1"/>
  <c r="G1237" i="1" s="1"/>
  <c r="G1238" i="1" a="1"/>
  <c r="G1238" i="1" s="1"/>
  <c r="H1238" i="1" s="1" a="1"/>
  <c r="H1238" i="1" s="1"/>
  <c r="G430" i="1" a="1"/>
  <c r="G430" i="1" s="1"/>
  <c r="G1239" i="1" a="1"/>
  <c r="G1239" i="1" s="1"/>
  <c r="G1240" i="1" a="1"/>
  <c r="G1240" i="1" s="1"/>
  <c r="G431" i="1" a="1"/>
  <c r="G431" i="1" s="1"/>
  <c r="G1241" i="1" a="1"/>
  <c r="G1241" i="1"/>
  <c r="G1242" i="1" a="1"/>
  <c r="G1242" i="1" s="1"/>
  <c r="G432" i="1" a="1"/>
  <c r="G432" i="1" s="1"/>
  <c r="G1243" i="1" a="1"/>
  <c r="G1243" i="1" s="1"/>
  <c r="G1244" i="1" a="1"/>
  <c r="G1244" i="1" s="1"/>
  <c r="G433" i="1" a="1"/>
  <c r="G433" i="1" s="1"/>
  <c r="J433" i="1" s="1"/>
  <c r="G434" i="1" a="1"/>
  <c r="G434" i="1"/>
  <c r="G1027" i="1" a="1"/>
  <c r="G1027" i="1" s="1"/>
  <c r="G1028" i="1" a="1"/>
  <c r="G1028" i="1" s="1"/>
  <c r="G435" i="1" a="1"/>
  <c r="G435" i="1"/>
  <c r="G436" i="1" a="1"/>
  <c r="G436" i="1" s="1"/>
  <c r="G1029" i="1" a="1"/>
  <c r="G1029" i="1" s="1"/>
  <c r="H1029" i="1" s="1" a="1"/>
  <c r="G1030" i="1" a="1"/>
  <c r="G1030" i="1" s="1"/>
  <c r="H1030" i="1" s="1" a="1"/>
  <c r="G437" i="1" a="1"/>
  <c r="G437" i="1"/>
  <c r="G438" i="1" a="1"/>
  <c r="G438" i="1"/>
  <c r="G439" i="1" a="1"/>
  <c r="G439" i="1" s="1"/>
  <c r="G440" i="1" a="1"/>
  <c r="G440" i="1" s="1"/>
  <c r="G441" i="1" a="1"/>
  <c r="G441" i="1"/>
  <c r="H441" i="1" s="1" a="1"/>
  <c r="H441" i="1" s="1"/>
  <c r="I441" i="1" s="1" a="1"/>
  <c r="I441" i="1" s="1"/>
  <c r="G442" i="1" a="1"/>
  <c r="G442" i="1"/>
  <c r="H442" i="1" s="1" a="1"/>
  <c r="H442" i="1" s="1"/>
  <c r="G443" i="1" a="1"/>
  <c r="G443" i="1" s="1"/>
  <c r="G1245" i="1" a="1"/>
  <c r="G1245" i="1" s="1"/>
  <c r="G444" i="1" a="1"/>
  <c r="G444" i="1" s="1"/>
  <c r="G445" i="1" a="1"/>
  <c r="G445" i="1"/>
  <c r="G1246" i="1" a="1"/>
  <c r="G1246" i="1" s="1"/>
  <c r="G446" i="1" a="1"/>
  <c r="G446" i="1" s="1"/>
  <c r="G447" i="1" a="1"/>
  <c r="G447" i="1"/>
  <c r="G448" i="1" a="1"/>
  <c r="G448" i="1" s="1"/>
  <c r="G449" i="1" a="1"/>
  <c r="G449" i="1" s="1"/>
  <c r="G1247" i="1" a="1"/>
  <c r="G1247" i="1" s="1"/>
  <c r="G1031" i="1" a="1"/>
  <c r="G1031" i="1"/>
  <c r="G450" i="1" a="1"/>
  <c r="G450" i="1"/>
  <c r="G1248" i="1" a="1"/>
  <c r="G1248" i="1" s="1"/>
  <c r="G451" i="1" a="1"/>
  <c r="G451" i="1" s="1"/>
  <c r="G452" i="1" a="1"/>
  <c r="G452" i="1"/>
  <c r="H452" i="1" s="1" a="1"/>
  <c r="H452" i="1" s="1"/>
  <c r="G1249" i="1" a="1"/>
  <c r="G1249" i="1"/>
  <c r="G1032" i="1" a="1"/>
  <c r="G1032" i="1" s="1"/>
  <c r="G453" i="1" a="1"/>
  <c r="G453" i="1" s="1"/>
  <c r="G1250" i="1" a="1"/>
  <c r="G1250" i="1" s="1"/>
  <c r="J1250" i="1" s="1"/>
  <c r="G1033" i="1" a="1"/>
  <c r="G1033" i="1"/>
  <c r="G454" i="1" a="1"/>
  <c r="G454" i="1" s="1"/>
  <c r="G1251" i="1" a="1"/>
  <c r="G1251" i="1" s="1"/>
  <c r="G1034" i="1" a="1"/>
  <c r="G1034" i="1"/>
  <c r="G455" i="1" a="1"/>
  <c r="G455" i="1" s="1"/>
  <c r="G1252" i="1" a="1"/>
  <c r="G1252" i="1" s="1"/>
  <c r="H1252" i="1" s="1" a="1"/>
  <c r="H1252" i="1" s="1"/>
  <c r="I1252" i="1" s="1" a="1"/>
  <c r="I1252" i="1" s="1"/>
  <c r="G1035" i="1" a="1"/>
  <c r="G1035" i="1" s="1"/>
  <c r="G456" i="1" a="1"/>
  <c r="G456" i="1"/>
  <c r="G457" i="1" a="1"/>
  <c r="G457" i="1"/>
  <c r="G1036" i="1" a="1"/>
  <c r="G1036" i="1" s="1"/>
  <c r="G458" i="1" a="1"/>
  <c r="G458" i="1" s="1"/>
  <c r="G1037" i="1" a="1"/>
  <c r="G1037" i="1"/>
  <c r="G1038" i="1" a="1"/>
  <c r="G1038" i="1"/>
  <c r="G459" i="1" a="1"/>
  <c r="G459" i="1" s="1"/>
  <c r="G1039" i="1" a="1"/>
  <c r="G1039" i="1" s="1"/>
  <c r="G1040" i="1" a="1"/>
  <c r="G1040" i="1" s="1"/>
  <c r="G460" i="1" a="1"/>
  <c r="G460" i="1"/>
  <c r="G461" i="1" a="1"/>
  <c r="G461" i="1" s="1"/>
  <c r="G462" i="1" a="1"/>
  <c r="G462" i="1" s="1"/>
  <c r="G463" i="1" a="1"/>
  <c r="G463" i="1"/>
  <c r="G464" i="1" a="1"/>
  <c r="G464" i="1" s="1"/>
  <c r="G465" i="1" a="1"/>
  <c r="G465" i="1" s="1"/>
  <c r="G466" i="1" a="1"/>
  <c r="G466" i="1" s="1"/>
  <c r="G467" i="1" a="1"/>
  <c r="G467" i="1"/>
  <c r="G468" i="1" a="1"/>
  <c r="G468" i="1"/>
  <c r="G469" i="1" a="1"/>
  <c r="G469" i="1" s="1"/>
  <c r="G470" i="1" a="1"/>
  <c r="G470" i="1" s="1"/>
  <c r="G471" i="1" a="1"/>
  <c r="G471" i="1"/>
  <c r="G472" i="1" a="1"/>
  <c r="G472" i="1"/>
  <c r="G1041" i="1" a="1"/>
  <c r="G1041" i="1" s="1"/>
  <c r="G1042" i="1" a="1"/>
  <c r="G1042" i="1" s="1"/>
  <c r="G1043" i="1" a="1"/>
  <c r="G1043" i="1" s="1"/>
  <c r="G1044" i="1" a="1"/>
  <c r="G1044" i="1"/>
  <c r="H1044" i="1" s="1" a="1"/>
  <c r="H1044" i="1" s="1"/>
  <c r="G1045" i="1" a="1"/>
  <c r="G1045" i="1" s="1"/>
  <c r="G1046" i="1" a="1"/>
  <c r="G1046" i="1" s="1"/>
  <c r="G1047" i="1" a="1"/>
  <c r="G1047" i="1"/>
  <c r="G1048" i="1" a="1"/>
  <c r="G1048" i="1" s="1"/>
  <c r="G1049" i="1" a="1"/>
  <c r="G1049" i="1" s="1"/>
  <c r="H1049" i="1" s="1" a="1"/>
  <c r="H1049" i="1" s="1"/>
  <c r="G1050" i="1" a="1"/>
  <c r="G1050" i="1" s="1"/>
  <c r="G1051" i="1" a="1"/>
  <c r="G1051" i="1"/>
  <c r="G1052" i="1" a="1"/>
  <c r="G1052" i="1"/>
  <c r="G1346" i="1" a="1"/>
  <c r="G1346" i="1" s="1"/>
  <c r="G1347" i="1" a="1"/>
  <c r="G1347" i="1" s="1"/>
  <c r="G1292" i="1" a="1"/>
  <c r="G1292" i="1"/>
  <c r="G1348" i="1" a="1"/>
  <c r="G1348" i="1"/>
  <c r="G1293" i="1" a="1"/>
  <c r="G1293" i="1" s="1"/>
  <c r="G1294" i="1" a="1"/>
  <c r="G1294" i="1" s="1"/>
  <c r="G1349" i="1" a="1"/>
  <c r="G1349" i="1" s="1"/>
  <c r="G1350" i="1" a="1"/>
  <c r="G1350" i="1"/>
  <c r="G1295" i="1" a="1"/>
  <c r="G1295" i="1" s="1"/>
  <c r="G1296" i="1" a="1"/>
  <c r="G1296" i="1" s="1"/>
  <c r="G1351" i="1" a="1"/>
  <c r="G1351" i="1"/>
  <c r="G1297" i="1" a="1"/>
  <c r="G1297" i="1" s="1"/>
  <c r="G1298" i="1" a="1"/>
  <c r="G1298" i="1" s="1"/>
  <c r="G1352" i="1" a="1"/>
  <c r="G1352" i="1" s="1"/>
  <c r="G1353" i="1" a="1"/>
  <c r="G1353" i="1"/>
  <c r="G1299" i="1" a="1"/>
  <c r="G1299" i="1"/>
  <c r="G1300" i="1" a="1"/>
  <c r="G1300" i="1" s="1"/>
  <c r="G1354" i="1" a="1"/>
  <c r="G1354" i="1" s="1"/>
  <c r="G1301" i="1" a="1"/>
  <c r="G1301" i="1"/>
  <c r="G1355" i="1" a="1"/>
  <c r="G1355" i="1"/>
  <c r="G1302" i="1" a="1"/>
  <c r="G1302" i="1" s="1"/>
  <c r="G1356" i="1" a="1"/>
  <c r="G1356" i="1" s="1"/>
  <c r="G1357" i="1" a="1"/>
  <c r="G1357" i="1" s="1"/>
  <c r="G1303" i="1" a="1"/>
  <c r="G1303" i="1"/>
  <c r="G1053" i="1" a="1"/>
  <c r="G1053" i="1" s="1"/>
  <c r="G1054" i="1" a="1"/>
  <c r="G1054" i="1" s="1"/>
  <c r="G473" i="1" a="1"/>
  <c r="G473" i="1"/>
  <c r="G474" i="1" a="1"/>
  <c r="G474" i="1" s="1"/>
  <c r="G475" i="1" a="1"/>
  <c r="G475" i="1" s="1"/>
  <c r="G476" i="1" a="1"/>
  <c r="G476" i="1" s="1"/>
  <c r="G477" i="1" a="1"/>
  <c r="G477" i="1"/>
  <c r="G478" i="1" a="1"/>
  <c r="G478" i="1"/>
  <c r="G1055" i="1" a="1"/>
  <c r="G1055" i="1" s="1"/>
  <c r="G479" i="1" a="1"/>
  <c r="G479" i="1" s="1"/>
  <c r="G480" i="1" a="1"/>
  <c r="G480" i="1"/>
  <c r="G1056" i="1" a="1"/>
  <c r="G1056" i="1"/>
  <c r="G481" i="1" a="1"/>
  <c r="G481" i="1" s="1"/>
  <c r="G482" i="1" a="1"/>
  <c r="G482" i="1" s="1"/>
  <c r="G1057" i="1" a="1"/>
  <c r="G1057" i="1" s="1"/>
  <c r="J1057" i="1" s="1"/>
  <c r="G1058" i="1" a="1"/>
  <c r="G1058" i="1"/>
  <c r="G483" i="1" a="1"/>
  <c r="G483" i="1" s="1"/>
  <c r="G484" i="1" a="1"/>
  <c r="G484" i="1" s="1"/>
  <c r="G1059" i="1" a="1"/>
  <c r="G1059" i="1"/>
  <c r="G1060" i="1" a="1"/>
  <c r="G1060" i="1" s="1"/>
  <c r="G485" i="1" a="1"/>
  <c r="G485" i="1" s="1"/>
  <c r="G486" i="1" a="1"/>
  <c r="G486" i="1" s="1"/>
  <c r="G487" i="1" a="1"/>
  <c r="G487" i="1"/>
  <c r="G488" i="1" a="1"/>
  <c r="G488" i="1"/>
  <c r="G489" i="1" a="1"/>
  <c r="G489" i="1" s="1"/>
  <c r="G490" i="1" a="1"/>
  <c r="G490" i="1" s="1"/>
  <c r="G1061" i="1" a="1"/>
  <c r="G1061" i="1"/>
  <c r="G491" i="1" a="1"/>
  <c r="G491" i="1"/>
  <c r="G492" i="1" a="1"/>
  <c r="G492" i="1" s="1"/>
  <c r="G1062" i="1" a="1"/>
  <c r="G1062" i="1" s="1"/>
  <c r="G493" i="1" a="1"/>
  <c r="G493" i="1" s="1"/>
  <c r="G494" i="1" a="1"/>
  <c r="G494" i="1"/>
  <c r="G495" i="1" a="1"/>
  <c r="G495" i="1" s="1"/>
  <c r="G496" i="1" a="1"/>
  <c r="G496" i="1" s="1"/>
  <c r="G1063" i="1" a="1"/>
  <c r="G1063" i="1"/>
  <c r="G497" i="1" a="1"/>
  <c r="G497" i="1" s="1"/>
  <c r="H497" i="1" s="1" a="1"/>
  <c r="G498" i="1" a="1"/>
  <c r="G498" i="1" s="1"/>
  <c r="G1064" i="1" a="1"/>
  <c r="G1064" i="1" s="1"/>
  <c r="G499" i="1" a="1"/>
  <c r="G499" i="1"/>
  <c r="G500" i="1" a="1"/>
  <c r="G500" i="1"/>
  <c r="G1253" i="1" a="1"/>
  <c r="G1253" i="1" s="1"/>
  <c r="G501" i="1" a="1"/>
  <c r="G501" i="1" s="1"/>
  <c r="G1254" i="1" a="1"/>
  <c r="G1254" i="1"/>
  <c r="G1065" i="1" a="1"/>
  <c r="G1065" i="1"/>
  <c r="G502" i="1" a="1"/>
  <c r="G502" i="1" s="1"/>
  <c r="G1255" i="1" a="1"/>
  <c r="G1255" i="1" s="1"/>
  <c r="G1066" i="1" a="1"/>
  <c r="G1066" i="1" s="1"/>
  <c r="J1066" i="1" s="1"/>
  <c r="G503" i="1" a="1"/>
  <c r="G503" i="1"/>
  <c r="G1256" i="1" a="1"/>
  <c r="G1256" i="1" s="1"/>
  <c r="G1067" i="1" a="1"/>
  <c r="G1067" i="1" s="1"/>
  <c r="G504" i="1" a="1"/>
  <c r="G504" i="1"/>
  <c r="G1257" i="1" a="1"/>
  <c r="G1257" i="1" s="1"/>
  <c r="G1068" i="1" a="1"/>
  <c r="G1068" i="1" s="1"/>
  <c r="G505" i="1" a="1"/>
  <c r="G505" i="1" s="1"/>
  <c r="G1258" i="1" a="1"/>
  <c r="G1258" i="1"/>
  <c r="G1069" i="1" a="1"/>
  <c r="G1069" i="1"/>
  <c r="G506" i="1" a="1"/>
  <c r="G506" i="1" s="1"/>
  <c r="G1259" i="1" a="1"/>
  <c r="G1259" i="1" s="1"/>
  <c r="G507" i="1" a="1"/>
  <c r="G507" i="1"/>
  <c r="G508" i="1" a="1"/>
  <c r="G508" i="1"/>
  <c r="G1260" i="1" a="1"/>
  <c r="G1260" i="1" s="1"/>
  <c r="G1070" i="1" a="1"/>
  <c r="G1070" i="1" s="1"/>
  <c r="G509" i="1" a="1"/>
  <c r="G509" i="1" s="1"/>
  <c r="J509" i="1" s="1"/>
  <c r="G1071" i="1" a="1"/>
  <c r="G1071" i="1"/>
  <c r="G1072" i="1" a="1"/>
  <c r="G1072" i="1" s="1"/>
  <c r="G510" i="1" a="1"/>
  <c r="G510" i="1" s="1"/>
  <c r="G511" i="1" a="1"/>
  <c r="G511" i="1"/>
  <c r="G1073" i="1" a="1"/>
  <c r="G1073" i="1" s="1"/>
  <c r="H1073" i="1" s="1" a="1"/>
  <c r="H1073" i="1" s="1"/>
  <c r="I1073" i="1" s="1" a="1"/>
  <c r="I1073" i="1" s="1"/>
  <c r="G1074" i="1" a="1"/>
  <c r="G1074" i="1" s="1"/>
  <c r="G512" i="1" a="1"/>
  <c r="G512" i="1" s="1"/>
  <c r="G513" i="1" a="1"/>
  <c r="G513" i="1"/>
  <c r="G1304" i="1" a="1"/>
  <c r="G1304" i="1"/>
  <c r="G1358" i="1" a="1"/>
  <c r="G1358" i="1" s="1"/>
  <c r="G1305" i="1" a="1"/>
  <c r="G1305" i="1" s="1"/>
  <c r="G1359" i="1" a="1"/>
  <c r="G1359" i="1"/>
  <c r="G1306" i="1" a="1"/>
  <c r="G1306" i="1"/>
  <c r="G1360" i="1" a="1"/>
  <c r="G1360" i="1" s="1"/>
  <c r="G1361" i="1" a="1"/>
  <c r="G1361" i="1" s="1"/>
  <c r="G1307" i="1" a="1"/>
  <c r="G1307" i="1" s="1"/>
  <c r="J1307" i="1" s="1"/>
  <c r="G514" i="1" a="1"/>
  <c r="G514" i="1"/>
  <c r="G1075" i="1" a="1"/>
  <c r="G1075" i="1" s="1"/>
  <c r="G1076" i="1" a="1"/>
  <c r="G1076" i="1" s="1"/>
  <c r="G515" i="1" a="1"/>
  <c r="G515" i="1"/>
  <c r="G516" i="1" a="1"/>
  <c r="G516" i="1" s="1"/>
  <c r="G1077" i="1" a="1"/>
  <c r="G1077" i="1" s="1"/>
  <c r="G1078" i="1" a="1"/>
  <c r="G1078" i="1" s="1"/>
  <c r="G517" i="1" a="1"/>
  <c r="G517" i="1"/>
  <c r="G518" i="1" a="1"/>
  <c r="G518" i="1"/>
  <c r="G519" i="1" a="1"/>
  <c r="G519" i="1" s="1"/>
  <c r="G520" i="1" a="1"/>
  <c r="G520" i="1" s="1"/>
  <c r="G521" i="1" a="1"/>
  <c r="G521" i="1"/>
  <c r="G522" i="1" a="1"/>
  <c r="G522" i="1"/>
  <c r="G523" i="1" a="1"/>
  <c r="G523" i="1" s="1"/>
  <c r="G524" i="1" a="1"/>
  <c r="G524" i="1" s="1"/>
  <c r="G525" i="1" a="1"/>
  <c r="G525" i="1" s="1"/>
  <c r="J525" i="1" s="1"/>
  <c r="G526" i="1" a="1"/>
  <c r="G526" i="1"/>
  <c r="G527" i="1" a="1"/>
  <c r="G527" i="1" s="1"/>
  <c r="G1079" i="1" a="1"/>
  <c r="G1079" i="1" s="1"/>
  <c r="G1080" i="1" a="1"/>
  <c r="G1080" i="1"/>
  <c r="G1081" i="1" a="1"/>
  <c r="G1081" i="1" s="1"/>
  <c r="G528" i="1" a="1"/>
  <c r="G528" i="1" s="1"/>
  <c r="G529" i="1" a="1"/>
  <c r="G529" i="1" s="1"/>
  <c r="G530" i="1" a="1"/>
  <c r="G530" i="1"/>
  <c r="G531" i="1" a="1"/>
  <c r="G531" i="1"/>
  <c r="G532" i="1" a="1"/>
  <c r="G532" i="1" s="1"/>
  <c r="G533" i="1" a="1"/>
  <c r="G533" i="1" s="1"/>
  <c r="G534" i="1" a="1"/>
  <c r="G534" i="1"/>
  <c r="G535" i="1" a="1"/>
  <c r="G535" i="1"/>
  <c r="G536" i="1" a="1"/>
  <c r="G536" i="1" s="1"/>
  <c r="G537" i="1" a="1"/>
  <c r="G537" i="1" s="1"/>
  <c r="G538" i="1" a="1"/>
  <c r="G538" i="1" s="1"/>
  <c r="J538" i="1" s="1"/>
  <c r="G539" i="1" a="1"/>
  <c r="G539" i="1"/>
  <c r="G540" i="1" a="1"/>
  <c r="G540" i="1" s="1"/>
  <c r="G541" i="1" a="1"/>
  <c r="G541" i="1" s="1"/>
  <c r="G542" i="1" a="1"/>
  <c r="G542" i="1"/>
  <c r="G543" i="1" a="1"/>
  <c r="G543" i="1" s="1"/>
  <c r="G544" i="1" a="1"/>
  <c r="G544" i="1" s="1"/>
  <c r="G545" i="1" a="1"/>
  <c r="G545" i="1" s="1"/>
  <c r="G546" i="1" a="1"/>
  <c r="G546" i="1"/>
  <c r="G1082" i="1" a="1"/>
  <c r="G1082" i="1"/>
  <c r="G1083" i="1" a="1"/>
  <c r="G1083" i="1" s="1"/>
  <c r="G1084" i="1" a="1"/>
  <c r="G1084" i="1" s="1"/>
  <c r="G1085" i="1" a="1"/>
  <c r="G1085" i="1"/>
  <c r="G1086" i="1" a="1"/>
  <c r="G1086" i="1"/>
  <c r="G1087" i="1" a="1"/>
  <c r="G1087" i="1" s="1"/>
  <c r="G1088" i="1" a="1"/>
  <c r="G1088" i="1" s="1"/>
  <c r="G1089" i="1" a="1"/>
  <c r="G1089" i="1" s="1"/>
  <c r="J1089" i="1" s="1"/>
  <c r="G1090" i="1" a="1"/>
  <c r="G1090" i="1"/>
  <c r="G1091" i="1" a="1"/>
  <c r="G1091" i="1" s="1"/>
  <c r="G1092" i="1" a="1"/>
  <c r="G1092" i="1" s="1"/>
  <c r="G1093" i="1" a="1"/>
  <c r="G1093" i="1"/>
  <c r="G547" i="1" a="1"/>
  <c r="G547" i="1" s="1"/>
  <c r="G548" i="1" a="1"/>
  <c r="G548" i="1" s="1"/>
  <c r="G549" i="1" a="1"/>
  <c r="G549" i="1" s="1"/>
  <c r="G550" i="1" a="1"/>
  <c r="G550" i="1"/>
  <c r="G551" i="1" a="1"/>
  <c r="G551" i="1"/>
  <c r="G552" i="1" a="1"/>
  <c r="G552" i="1" s="1"/>
  <c r="G553" i="1" a="1"/>
  <c r="G553" i="1" s="1"/>
  <c r="G554" i="1" a="1"/>
  <c r="G554" i="1"/>
  <c r="G555" i="1" a="1"/>
  <c r="G555" i="1"/>
  <c r="G556" i="1" a="1"/>
  <c r="G556" i="1" s="1"/>
  <c r="G557" i="1" a="1"/>
  <c r="G557" i="1" s="1"/>
  <c r="G558" i="1" a="1"/>
  <c r="G558" i="1" s="1"/>
  <c r="G559" i="1" a="1"/>
  <c r="G559" i="1"/>
  <c r="G560" i="1" a="1"/>
  <c r="G560" i="1" s="1"/>
  <c r="G561" i="1" a="1"/>
  <c r="G561" i="1" s="1"/>
  <c r="G562" i="1" a="1"/>
  <c r="G562" i="1"/>
  <c r="G563" i="1" a="1"/>
  <c r="G563" i="1" s="1"/>
  <c r="G564" i="1" a="1"/>
  <c r="G564" i="1" s="1"/>
  <c r="G565" i="1" a="1"/>
  <c r="G565" i="1" s="1"/>
  <c r="G566" i="1" a="1"/>
  <c r="G566" i="1"/>
  <c r="G567" i="1" a="1"/>
  <c r="G567" i="1"/>
  <c r="G568" i="1" a="1"/>
  <c r="G568" i="1" s="1"/>
  <c r="G569" i="1" a="1"/>
  <c r="G569" i="1" s="1"/>
  <c r="G570" i="1" a="1"/>
  <c r="G570" i="1"/>
  <c r="G571" i="1" a="1"/>
  <c r="G571" i="1"/>
  <c r="G1094" i="1" a="1"/>
  <c r="G1094" i="1" s="1"/>
  <c r="G1095" i="1" a="1"/>
  <c r="G1095" i="1" s="1"/>
  <c r="G1261" i="1" a="1"/>
  <c r="G1261" i="1" s="1"/>
  <c r="J1261" i="1" s="1"/>
  <c r="K1261" i="1" s="1" a="1"/>
  <c r="K1261" i="1" s="1"/>
  <c r="G1096" i="1" a="1"/>
  <c r="G1096" i="1"/>
  <c r="G1097" i="1" a="1"/>
  <c r="G1097" i="1" s="1"/>
  <c r="G572" i="1" a="1"/>
  <c r="G572" i="1" s="1"/>
  <c r="G573" i="1" a="1"/>
  <c r="G573" i="1"/>
  <c r="G574" i="1" a="1"/>
  <c r="G574" i="1" s="1"/>
  <c r="G575" i="1" a="1"/>
  <c r="G575" i="1" s="1"/>
  <c r="G576" i="1" a="1"/>
  <c r="G576" i="1" s="1"/>
  <c r="G1098" i="1" a="1"/>
  <c r="G1098" i="1"/>
  <c r="G1099" i="1" a="1"/>
  <c r="G1099" i="1"/>
  <c r="G1100" i="1" a="1"/>
  <c r="G1100" i="1" s="1"/>
  <c r="G1308" i="1" a="1"/>
  <c r="G1308" i="1" s="1"/>
  <c r="G1309" i="1" a="1"/>
  <c r="G1309" i="1"/>
  <c r="G1101" i="1" a="1"/>
  <c r="G1101" i="1"/>
  <c r="G1102" i="1" a="1"/>
  <c r="G1102" i="1" s="1"/>
  <c r="G1103" i="1" a="1"/>
  <c r="G1103" i="1" s="1"/>
  <c r="G1104" i="1" a="1"/>
  <c r="G1104" i="1" s="1"/>
  <c r="G1105" i="1" a="1"/>
  <c r="G1105" i="1"/>
  <c r="G1106" i="1" a="1"/>
  <c r="G1106" i="1" s="1"/>
  <c r="G1107" i="1" a="1"/>
  <c r="G1107" i="1" s="1"/>
  <c r="G1262" i="1" a="1"/>
  <c r="G1262" i="1"/>
  <c r="G1310" i="1" a="1"/>
  <c r="G1310" i="1" s="1"/>
  <c r="G1311" i="1" a="1"/>
  <c r="G1311" i="1" s="1"/>
  <c r="G1312" i="1" a="1"/>
  <c r="G1312" i="1" s="1"/>
  <c r="G1313" i="1" a="1"/>
  <c r="G1313" i="1"/>
  <c r="G1314" i="1" a="1"/>
  <c r="G1314" i="1"/>
  <c r="G1315" i="1" a="1"/>
  <c r="G1315" i="1" s="1"/>
  <c r="G1316" i="1" a="1"/>
  <c r="G1316" i="1" s="1"/>
  <c r="G1317" i="1" a="1"/>
  <c r="G1317" i="1"/>
  <c r="G1318" i="1" a="1"/>
  <c r="G1318" i="1"/>
  <c r="G1319" i="1" a="1"/>
  <c r="G1319" i="1" s="1"/>
  <c r="G1320" i="1" a="1"/>
  <c r="G1320" i="1" s="1"/>
  <c r="G1321" i="1" a="1"/>
  <c r="G1321" i="1" s="1"/>
  <c r="G1263" i="1" a="1"/>
  <c r="G1263" i="1"/>
  <c r="G1322" i="1" a="1"/>
  <c r="G1322" i="1" s="1"/>
  <c r="G1323" i="1" a="1"/>
  <c r="G1323" i="1" s="1"/>
  <c r="G1324" i="1" a="1"/>
  <c r="G1324" i="1"/>
  <c r="G1325" i="1" a="1"/>
  <c r="G1325" i="1" s="1"/>
  <c r="G1326" i="1" a="1"/>
  <c r="G1326" i="1" s="1"/>
  <c r="G1327" i="1" a="1"/>
  <c r="G1327" i="1" s="1"/>
  <c r="G1328" i="1" a="1"/>
  <c r="G1328" i="1"/>
  <c r="G1329" i="1" a="1"/>
  <c r="G1329" i="1"/>
  <c r="G1264" i="1" a="1"/>
  <c r="G1264" i="1" s="1"/>
  <c r="G577" i="1" a="1"/>
  <c r="G577" i="1" s="1"/>
  <c r="G578" i="1" a="1"/>
  <c r="G578" i="1"/>
  <c r="G1265" i="1" a="1"/>
  <c r="G1265" i="1"/>
  <c r="G1266" i="1" a="1"/>
  <c r="G1266" i="1" s="1"/>
  <c r="G1267" i="1" a="1"/>
  <c r="G1267" i="1" s="1"/>
  <c r="G1362" i="1" a="1"/>
  <c r="G1362" i="1" s="1"/>
  <c r="G1268" i="1" a="1"/>
  <c r="G1268" i="1"/>
  <c r="G1363" i="1" a="1"/>
  <c r="G1363" i="1" s="1"/>
  <c r="G1269" i="1" a="1"/>
  <c r="G1269" i="1" s="1"/>
  <c r="G1270" i="1" a="1"/>
  <c r="G1270" i="1"/>
  <c r="G1271" i="1" a="1"/>
  <c r="G1271" i="1" s="1"/>
  <c r="G1272" i="1" a="1"/>
  <c r="G1272" i="1" s="1"/>
  <c r="G1273" i="1" a="1"/>
  <c r="G1273" i="1" s="1"/>
  <c r="G1274" i="1" a="1"/>
  <c r="G1274" i="1"/>
  <c r="G1275" i="1" a="1"/>
  <c r="G1275" i="1"/>
  <c r="G1276" i="1" a="1"/>
  <c r="G1276" i="1" s="1"/>
  <c r="G1277" i="1" a="1"/>
  <c r="G1277" i="1" s="1"/>
  <c r="G1108" i="1" a="1"/>
  <c r="G1108" i="1"/>
  <c r="G579" i="1" a="1"/>
  <c r="G579" i="1"/>
  <c r="G580" i="1" a="1"/>
  <c r="G580" i="1" s="1"/>
  <c r="G1109" i="1" a="1"/>
  <c r="G1109" i="1" s="1"/>
  <c r="G581" i="1" a="1"/>
  <c r="G581" i="1" s="1"/>
  <c r="G582" i="1" a="1"/>
  <c r="G582" i="1"/>
  <c r="G583" i="1" a="1"/>
  <c r="G583" i="1" s="1"/>
  <c r="G584" i="1" a="1"/>
  <c r="G584" i="1" s="1"/>
  <c r="G585" i="1" a="1"/>
  <c r="G585" i="1"/>
  <c r="G1110" i="1" a="1"/>
  <c r="G1110" i="1" s="1"/>
  <c r="G1111" i="1" a="1"/>
  <c r="G1111" i="1" s="1"/>
  <c r="G1112" i="1" a="1"/>
  <c r="G1112" i="1" s="1"/>
  <c r="G1113" i="1" a="1"/>
  <c r="G1113" i="1"/>
  <c r="G1114" i="1" a="1"/>
  <c r="G1114" i="1"/>
  <c r="G586" i="1" a="1"/>
  <c r="G586" i="1" s="1"/>
  <c r="G587" i="1" a="1"/>
  <c r="G587" i="1" s="1"/>
  <c r="G588" i="1" a="1"/>
  <c r="G588" i="1"/>
  <c r="G589" i="1" a="1"/>
  <c r="G589" i="1"/>
  <c r="F1181" i="1" a="1"/>
  <c r="F1181" i="1"/>
  <c r="F1338" i="1" a="1"/>
  <c r="F1338" i="1" s="1"/>
  <c r="F1182" i="1" a="1"/>
  <c r="F1182" i="1"/>
  <c r="F1183" i="1" a="1"/>
  <c r="F1183" i="1"/>
  <c r="F1184" i="1" a="1"/>
  <c r="F1184" i="1"/>
  <c r="F1185" i="1" a="1"/>
  <c r="F1185" i="1" s="1"/>
  <c r="F1186" i="1" a="1"/>
  <c r="F1186" i="1" s="1"/>
  <c r="F1187" i="1" a="1"/>
  <c r="F1187" i="1" s="1"/>
  <c r="F894" i="1" a="1"/>
  <c r="F894" i="1" s="1"/>
  <c r="F1188" i="1" a="1"/>
  <c r="F1188" i="1"/>
  <c r="F895" i="1" a="1"/>
  <c r="F895" i="1" s="1"/>
  <c r="F896" i="1" a="1"/>
  <c r="F896" i="1" s="1"/>
  <c r="F1189" i="1" a="1"/>
  <c r="F1189" i="1"/>
  <c r="F897" i="1" a="1"/>
  <c r="F897" i="1"/>
  <c r="F898" i="1" a="1"/>
  <c r="F898" i="1" s="1"/>
  <c r="F899" i="1" a="1"/>
  <c r="F899" i="1" s="1"/>
  <c r="O899" i="1" s="1"/>
  <c r="F900" i="1" a="1"/>
  <c r="F900" i="1" s="1"/>
  <c r="O900" i="1" s="1"/>
  <c r="F1190" i="1" a="1"/>
  <c r="F1190" i="1" s="1"/>
  <c r="F222" i="1" a="1"/>
  <c r="F222" i="1" s="1"/>
  <c r="F223" i="1" a="1"/>
  <c r="F223" i="1" s="1"/>
  <c r="F224" i="1" a="1"/>
  <c r="F224" i="1" s="1"/>
  <c r="F225" i="1" a="1"/>
  <c r="F225" i="1"/>
  <c r="F226" i="1" a="1"/>
  <c r="F226" i="1" s="1"/>
  <c r="F227" i="1" a="1"/>
  <c r="F227" i="1"/>
  <c r="O227" i="1" s="1"/>
  <c r="F228" i="1" a="1"/>
  <c r="F228" i="1" s="1"/>
  <c r="O228" i="1" s="1"/>
  <c r="F229" i="1" a="1"/>
  <c r="F229" i="1" s="1"/>
  <c r="F230" i="1" a="1"/>
  <c r="F230" i="1" s="1"/>
  <c r="F231" i="1" a="1"/>
  <c r="F231" i="1"/>
  <c r="F901" i="1" a="1"/>
  <c r="F901" i="1"/>
  <c r="F232" i="1" a="1"/>
  <c r="F232" i="1" s="1"/>
  <c r="F233" i="1" a="1"/>
  <c r="F233" i="1" s="1"/>
  <c r="F234" i="1" a="1"/>
  <c r="F234" i="1" s="1"/>
  <c r="F235" i="1" a="1"/>
  <c r="F235" i="1"/>
  <c r="F236" i="1" a="1"/>
  <c r="F236" i="1" s="1"/>
  <c r="F237" i="1" a="1"/>
  <c r="F237" i="1" s="1"/>
  <c r="F238" i="1" a="1"/>
  <c r="F238" i="1"/>
  <c r="F239" i="1" a="1"/>
  <c r="F239" i="1"/>
  <c r="F240" i="1" a="1"/>
  <c r="F240" i="1"/>
  <c r="F241" i="1" a="1"/>
  <c r="F241" i="1" s="1"/>
  <c r="F242" i="1" a="1"/>
  <c r="F242" i="1" s="1"/>
  <c r="F243" i="1" a="1"/>
  <c r="F243" i="1" s="1"/>
  <c r="O243" i="1" s="1"/>
  <c r="F244" i="1" a="1"/>
  <c r="F244" i="1"/>
  <c r="O244" i="1" s="1"/>
  <c r="F245" i="1" a="1"/>
  <c r="F245" i="1" s="1"/>
  <c r="F246" i="1" a="1"/>
  <c r="F246" i="1" s="1"/>
  <c r="F247" i="1" a="1"/>
  <c r="F247" i="1" s="1"/>
  <c r="F248" i="1" a="1"/>
  <c r="F248" i="1" s="1"/>
  <c r="F249" i="1" a="1"/>
  <c r="F249" i="1"/>
  <c r="F250" i="1" a="1"/>
  <c r="F250" i="1" s="1"/>
  <c r="F251" i="1" a="1"/>
  <c r="F251" i="1" s="1"/>
  <c r="F252" i="1" a="1"/>
  <c r="F252" i="1" s="1"/>
  <c r="F253" i="1" a="1"/>
  <c r="F253" i="1" s="1"/>
  <c r="O253" i="1" s="1"/>
  <c r="F254" i="1" a="1"/>
  <c r="F254" i="1"/>
  <c r="O254" i="1" s="1"/>
  <c r="F255" i="1" a="1"/>
  <c r="F255" i="1" s="1"/>
  <c r="F256" i="1" a="1"/>
  <c r="F256" i="1" s="1"/>
  <c r="F257" i="1" a="1"/>
  <c r="F257" i="1" s="1"/>
  <c r="F258" i="1" a="1"/>
  <c r="F258" i="1"/>
  <c r="F259" i="1" a="1"/>
  <c r="F259" i="1" s="1"/>
  <c r="F260" i="1" a="1"/>
  <c r="F260" i="1"/>
  <c r="F261" i="1" a="1"/>
  <c r="F261" i="1" s="1"/>
  <c r="F262" i="1" a="1"/>
  <c r="F262" i="1" s="1"/>
  <c r="F263" i="1" a="1"/>
  <c r="F263" i="1" s="1"/>
  <c r="F264" i="1" a="1"/>
  <c r="F264" i="1" s="1"/>
  <c r="F265" i="1" a="1"/>
  <c r="F265" i="1" s="1"/>
  <c r="F266" i="1" a="1"/>
  <c r="F266" i="1"/>
  <c r="F267" i="1" a="1"/>
  <c r="F267" i="1" s="1"/>
  <c r="F902" i="1" a="1"/>
  <c r="F902" i="1" s="1"/>
  <c r="F903" i="1" a="1"/>
  <c r="F903" i="1"/>
  <c r="F904" i="1" a="1"/>
  <c r="F904" i="1" s="1"/>
  <c r="F905" i="1" a="1"/>
  <c r="F905" i="1" s="1"/>
  <c r="F906" i="1" a="1"/>
  <c r="F906" i="1"/>
  <c r="F907" i="1" a="1"/>
  <c r="F907" i="1" s="1"/>
  <c r="F908" i="1" a="1"/>
  <c r="F908" i="1" s="1"/>
  <c r="F268" i="1" a="1"/>
  <c r="F268" i="1" s="1"/>
  <c r="F269" i="1" a="1"/>
  <c r="F269" i="1"/>
  <c r="F909" i="1" a="1"/>
  <c r="F909" i="1" s="1"/>
  <c r="F910" i="1" a="1"/>
  <c r="F910" i="1" s="1"/>
  <c r="F270" i="1" a="1"/>
  <c r="F270" i="1" s="1"/>
  <c r="F271" i="1" a="1"/>
  <c r="F271" i="1" s="1"/>
  <c r="F272" i="1" a="1"/>
  <c r="F272" i="1" s="1"/>
  <c r="F273" i="1" a="1"/>
  <c r="F273" i="1"/>
  <c r="F274" i="1" a="1"/>
  <c r="F274" i="1" s="1"/>
  <c r="F275" i="1" a="1"/>
  <c r="F275" i="1" s="1"/>
  <c r="F276" i="1" a="1"/>
  <c r="F276" i="1" s="1"/>
  <c r="F277" i="1" a="1"/>
  <c r="F277" i="1" s="1"/>
  <c r="F278" i="1" a="1"/>
  <c r="F278" i="1" s="1"/>
  <c r="F279" i="1" a="1"/>
  <c r="F279" i="1" s="1"/>
  <c r="F280" i="1" a="1"/>
  <c r="F280" i="1" s="1"/>
  <c r="F281" i="1" a="1"/>
  <c r="F281" i="1" s="1"/>
  <c r="F282" i="1" a="1"/>
  <c r="F282" i="1" s="1"/>
  <c r="F283" i="1" a="1"/>
  <c r="F283" i="1"/>
  <c r="F284" i="1" a="1"/>
  <c r="F284" i="1" s="1"/>
  <c r="F285" i="1" a="1"/>
  <c r="F285" i="1"/>
  <c r="F286" i="1" a="1"/>
  <c r="F286" i="1" s="1"/>
  <c r="F287" i="1" a="1"/>
  <c r="F287" i="1" s="1"/>
  <c r="F288" i="1" a="1"/>
  <c r="F288" i="1" s="1"/>
  <c r="F289" i="1" a="1"/>
  <c r="F289" i="1" s="1"/>
  <c r="F1191" i="1" a="1"/>
  <c r="F1191" i="1" s="1"/>
  <c r="F290" i="1" a="1"/>
  <c r="F290" i="1" s="1"/>
  <c r="F291" i="1" a="1"/>
  <c r="F291" i="1" s="1"/>
  <c r="F292" i="1" a="1"/>
  <c r="F292" i="1" s="1"/>
  <c r="F293" i="1" a="1"/>
  <c r="F293" i="1" s="1"/>
  <c r="F294" i="1" a="1"/>
  <c r="F294" i="1" s="1"/>
  <c r="F295" i="1" a="1"/>
  <c r="F295" i="1"/>
  <c r="F296" i="1" a="1"/>
  <c r="F296" i="1" s="1"/>
  <c r="F297" i="1" a="1"/>
  <c r="F297" i="1" s="1"/>
  <c r="F298" i="1" a="1"/>
  <c r="F298" i="1" s="1"/>
  <c r="F299" i="1" a="1"/>
  <c r="F299" i="1" s="1"/>
  <c r="F300" i="1" a="1"/>
  <c r="F300" i="1" s="1"/>
  <c r="F301" i="1" a="1"/>
  <c r="F301" i="1" s="1"/>
  <c r="F302" i="1" a="1"/>
  <c r="F302" i="1" s="1"/>
  <c r="F303" i="1" a="1"/>
  <c r="F303" i="1" s="1"/>
  <c r="F304" i="1" a="1"/>
  <c r="F304" i="1" s="1"/>
  <c r="F305" i="1" a="1"/>
  <c r="F305" i="1" s="1"/>
  <c r="F1192" i="1" a="1"/>
  <c r="F1192" i="1" s="1"/>
  <c r="F306" i="1" a="1"/>
  <c r="F306" i="1"/>
  <c r="O306" i="1" s="1"/>
  <c r="F307" i="1" a="1"/>
  <c r="F307" i="1" s="1"/>
  <c r="O307" i="1" s="1"/>
  <c r="F308" i="1" a="1"/>
  <c r="F308" i="1" s="1"/>
  <c r="O308" i="1" s="1"/>
  <c r="F309" i="1" a="1"/>
  <c r="F309" i="1" s="1"/>
  <c r="O309" i="1" s="1"/>
  <c r="F911" i="1" a="1"/>
  <c r="F911" i="1" s="1"/>
  <c r="O911" i="1" s="1"/>
  <c r="F310" i="1" a="1"/>
  <c r="F310" i="1"/>
  <c r="O310" i="1" s="1"/>
  <c r="F912" i="1" a="1"/>
  <c r="F912" i="1" s="1"/>
  <c r="O912" i="1" s="1"/>
  <c r="F311" i="1" a="1"/>
  <c r="F311" i="1" s="1"/>
  <c r="O311" i="1" s="1"/>
  <c r="F913" i="1" a="1"/>
  <c r="F913" i="1" s="1"/>
  <c r="O913" i="1" s="1"/>
  <c r="F312" i="1" a="1"/>
  <c r="F312" i="1" s="1"/>
  <c r="O312" i="1" s="1"/>
  <c r="F313" i="1" a="1"/>
  <c r="F313" i="1" s="1"/>
  <c r="F314" i="1" a="1"/>
  <c r="F314" i="1"/>
  <c r="F315" i="1" a="1"/>
  <c r="F315" i="1" s="1"/>
  <c r="F316" i="1" a="1"/>
  <c r="F316" i="1" s="1"/>
  <c r="F317" i="1" a="1"/>
  <c r="F317" i="1" s="1"/>
  <c r="F318" i="1" a="1"/>
  <c r="F318" i="1" s="1"/>
  <c r="F319" i="1" a="1"/>
  <c r="F319" i="1"/>
  <c r="F320" i="1" a="1"/>
  <c r="F320" i="1" s="1"/>
  <c r="F321" i="1" a="1"/>
  <c r="F321" i="1" s="1"/>
  <c r="F322" i="1" a="1"/>
  <c r="F322" i="1"/>
  <c r="F914" i="1" a="1"/>
  <c r="F914" i="1"/>
  <c r="F915" i="1" a="1"/>
  <c r="F915" i="1" s="1"/>
  <c r="F916" i="1" a="1"/>
  <c r="F916" i="1" s="1"/>
  <c r="F917" i="1" a="1"/>
  <c r="F917" i="1"/>
  <c r="O917" i="1" s="1"/>
  <c r="F918" i="1" a="1"/>
  <c r="F918" i="1" s="1"/>
  <c r="O918" i="1" s="1"/>
  <c r="F919" i="1" a="1"/>
  <c r="F919" i="1" s="1"/>
  <c r="F920" i="1" a="1"/>
  <c r="F920" i="1" s="1"/>
  <c r="F921" i="1" a="1"/>
  <c r="F921" i="1" s="1"/>
  <c r="F922" i="1" a="1"/>
  <c r="F922" i="1"/>
  <c r="F923" i="1" a="1"/>
  <c r="F923" i="1" s="1"/>
  <c r="F924" i="1" a="1"/>
  <c r="F924" i="1" s="1"/>
  <c r="F925" i="1" a="1"/>
  <c r="F925" i="1"/>
  <c r="F323" i="1" a="1"/>
  <c r="F323" i="1" s="1"/>
  <c r="F324" i="1" a="1"/>
  <c r="F324" i="1" s="1"/>
  <c r="F926" i="1" a="1"/>
  <c r="F926" i="1" s="1"/>
  <c r="F325" i="1" a="1"/>
  <c r="F325" i="1" s="1"/>
  <c r="F927" i="1" a="1"/>
  <c r="F927" i="1"/>
  <c r="F928" i="1" a="1"/>
  <c r="F928" i="1"/>
  <c r="F929" i="1" a="1"/>
  <c r="F929" i="1" s="1"/>
  <c r="F930" i="1" a="1"/>
  <c r="F930" i="1" s="1"/>
  <c r="F931" i="1" a="1"/>
  <c r="F931" i="1" s="1"/>
  <c r="O931" i="1" s="1"/>
  <c r="F932" i="1" a="1"/>
  <c r="F932" i="1" s="1"/>
  <c r="O932" i="1" s="1"/>
  <c r="F933" i="1" a="1"/>
  <c r="F933" i="1" s="1"/>
  <c r="O933" i="1" s="1"/>
  <c r="F934" i="1" a="1"/>
  <c r="F934" i="1"/>
  <c r="O934" i="1" s="1"/>
  <c r="F935" i="1" a="1"/>
  <c r="F935" i="1" s="1"/>
  <c r="F936" i="1" a="1"/>
  <c r="F936" i="1" s="1"/>
  <c r="F937" i="1" a="1"/>
  <c r="F937" i="1" s="1"/>
  <c r="F938" i="1" a="1"/>
  <c r="F938" i="1" s="1"/>
  <c r="O938" i="1" s="1"/>
  <c r="F939" i="1" a="1"/>
  <c r="F939" i="1"/>
  <c r="O939" i="1" s="1"/>
  <c r="F940" i="1" a="1"/>
  <c r="F940" i="1" s="1"/>
  <c r="F941" i="1" a="1"/>
  <c r="F941" i="1" s="1"/>
  <c r="O941" i="1" s="1"/>
  <c r="F942" i="1" a="1"/>
  <c r="F942" i="1"/>
  <c r="O942" i="1" s="1"/>
  <c r="F943" i="1" a="1"/>
  <c r="F943" i="1" s="1"/>
  <c r="O943" i="1" s="1"/>
  <c r="F944" i="1" a="1"/>
  <c r="F944" i="1" s="1"/>
  <c r="F945" i="1" a="1"/>
  <c r="F945" i="1" s="1"/>
  <c r="F946" i="1" a="1"/>
  <c r="F946" i="1" s="1"/>
  <c r="F1287" i="1" a="1"/>
  <c r="F1287" i="1" s="1"/>
  <c r="F1288" i="1" a="1"/>
  <c r="F1288" i="1"/>
  <c r="F947" i="1" a="1"/>
  <c r="F947" i="1" s="1"/>
  <c r="F948" i="1" a="1"/>
  <c r="F948" i="1" s="1"/>
  <c r="F949" i="1" a="1"/>
  <c r="F949" i="1" s="1"/>
  <c r="F950" i="1" a="1"/>
  <c r="F950" i="1"/>
  <c r="F951" i="1" a="1"/>
  <c r="F951" i="1" s="1"/>
  <c r="F952" i="1" a="1"/>
  <c r="F952" i="1"/>
  <c r="F953" i="1" a="1"/>
  <c r="F953" i="1"/>
  <c r="F954" i="1" a="1"/>
  <c r="F954" i="1" s="1"/>
  <c r="F955" i="1" a="1"/>
  <c r="F955" i="1" s="1"/>
  <c r="F956" i="1" a="1"/>
  <c r="F956" i="1" s="1"/>
  <c r="F957" i="1" a="1"/>
  <c r="F957" i="1" s="1"/>
  <c r="F1339" i="1" a="1"/>
  <c r="F1339" i="1" s="1"/>
  <c r="F326" i="1" a="1"/>
  <c r="F326" i="1" s="1"/>
  <c r="F327" i="1" a="1"/>
  <c r="F327" i="1"/>
  <c r="F328" i="1" a="1"/>
  <c r="F328" i="1"/>
  <c r="F1193" i="1" a="1"/>
  <c r="F1193" i="1"/>
  <c r="F1194" i="1" a="1"/>
  <c r="F1194" i="1" s="1"/>
  <c r="F1195" i="1" a="1"/>
  <c r="F1195" i="1" s="1"/>
  <c r="F1196" i="1" a="1"/>
  <c r="F1196" i="1" s="1"/>
  <c r="F1197" i="1" a="1"/>
  <c r="F1197" i="1"/>
  <c r="O1197" i="1" s="1"/>
  <c r="F1198" i="1" a="1"/>
  <c r="F1198" i="1" s="1"/>
  <c r="O1198" i="1" s="1"/>
  <c r="F1340" i="1" a="1"/>
  <c r="F1340" i="1" s="1"/>
  <c r="F1341" i="1" a="1"/>
  <c r="F1341" i="1"/>
  <c r="F1199" i="1" a="1"/>
  <c r="F1199" i="1"/>
  <c r="O1199" i="1" s="1"/>
  <c r="F1200" i="1" a="1"/>
  <c r="F1200" i="1" s="1"/>
  <c r="O1200" i="1" s="1"/>
  <c r="F1201" i="1" a="1"/>
  <c r="F1201" i="1" s="1"/>
  <c r="F1202" i="1" a="1"/>
  <c r="F1202" i="1" s="1"/>
  <c r="F1203" i="1" a="1"/>
  <c r="F1203" i="1" s="1"/>
  <c r="F1204" i="1" a="1"/>
  <c r="F1204" i="1" s="1"/>
  <c r="F1205" i="1" a="1"/>
  <c r="F1205" i="1"/>
  <c r="F1206" i="1" a="1"/>
  <c r="F1206" i="1" s="1"/>
  <c r="F1207" i="1" a="1"/>
  <c r="F1207" i="1"/>
  <c r="F1208" i="1" a="1"/>
  <c r="F1208" i="1" s="1"/>
  <c r="F1209" i="1" a="1"/>
  <c r="F1209" i="1" s="1"/>
  <c r="F1210" i="1" a="1"/>
  <c r="F1210" i="1"/>
  <c r="F1342" i="1" a="1"/>
  <c r="F1342" i="1" s="1"/>
  <c r="F1211" i="1" a="1"/>
  <c r="F1211" i="1" s="1"/>
  <c r="F1212" i="1" a="1"/>
  <c r="F1212" i="1"/>
  <c r="F329" i="1" a="1"/>
  <c r="F329" i="1"/>
  <c r="F330" i="1" a="1"/>
  <c r="F330" i="1" s="1"/>
  <c r="F331" i="1" a="1"/>
  <c r="F331" i="1" s="1"/>
  <c r="O331" i="1" s="1"/>
  <c r="F332" i="1" a="1"/>
  <c r="F332" i="1" s="1"/>
  <c r="O332" i="1" s="1"/>
  <c r="F333" i="1" a="1"/>
  <c r="F333" i="1" s="1"/>
  <c r="O333" i="1" s="1"/>
  <c r="F334" i="1" a="1"/>
  <c r="F334" i="1" s="1"/>
  <c r="O334" i="1" s="1"/>
  <c r="F335" i="1" a="1"/>
  <c r="F335" i="1" s="1"/>
  <c r="O335" i="1" s="1"/>
  <c r="F336" i="1" a="1"/>
  <c r="F336" i="1" s="1"/>
  <c r="O336" i="1" s="1"/>
  <c r="F337" i="1" a="1"/>
  <c r="F337" i="1" s="1"/>
  <c r="O337" i="1" s="1"/>
  <c r="F338" i="1" a="1"/>
  <c r="F338" i="1" s="1"/>
  <c r="O338" i="1" s="1"/>
  <c r="F339" i="1" a="1"/>
  <c r="F339" i="1" s="1"/>
  <c r="F340" i="1" a="1"/>
  <c r="F340" i="1"/>
  <c r="F341" i="1" a="1"/>
  <c r="F341" i="1" s="1"/>
  <c r="O341" i="1" s="1"/>
  <c r="F342" i="1" a="1"/>
  <c r="F342" i="1" s="1"/>
  <c r="O342" i="1" s="1"/>
  <c r="F343" i="1" a="1"/>
  <c r="F343" i="1" s="1"/>
  <c r="F344" i="1" a="1"/>
  <c r="F344" i="1" s="1"/>
  <c r="F345" i="1" a="1"/>
  <c r="F345" i="1" s="1"/>
  <c r="F346" i="1" a="1"/>
  <c r="F346" i="1"/>
  <c r="O346" i="1" s="1"/>
  <c r="F347" i="1" a="1"/>
  <c r="F347" i="1" s="1"/>
  <c r="O347" i="1" s="1"/>
  <c r="F348" i="1" a="1"/>
  <c r="F348" i="1" s="1"/>
  <c r="O348" i="1" s="1"/>
  <c r="F349" i="1" a="1"/>
  <c r="F349" i="1" s="1"/>
  <c r="F350" i="1" a="1"/>
  <c r="F350" i="1" s="1"/>
  <c r="O350" i="1" s="1"/>
  <c r="F351" i="1" a="1"/>
  <c r="F351" i="1" s="1"/>
  <c r="O351" i="1" s="1"/>
  <c r="F352" i="1" a="1"/>
  <c r="F352" i="1"/>
  <c r="O352" i="1" s="1"/>
  <c r="F353" i="1" a="1"/>
  <c r="F353" i="1" s="1"/>
  <c r="O353" i="1" s="1"/>
  <c r="F354" i="1" a="1"/>
  <c r="F354" i="1" s="1"/>
  <c r="O354" i="1" s="1"/>
  <c r="F355" i="1" a="1"/>
  <c r="F355" i="1" s="1"/>
  <c r="F356" i="1" a="1"/>
  <c r="F356" i="1"/>
  <c r="F357" i="1" a="1"/>
  <c r="F357" i="1"/>
  <c r="F358" i="1" a="1"/>
  <c r="F358" i="1"/>
  <c r="F359" i="1" a="1"/>
  <c r="F359" i="1" s="1"/>
  <c r="F958" i="1" a="1"/>
  <c r="F958" i="1" s="1"/>
  <c r="O958" i="1" s="1"/>
  <c r="F959" i="1" a="1"/>
  <c r="F959" i="1" s="1"/>
  <c r="O959" i="1" s="1"/>
  <c r="F960" i="1" a="1"/>
  <c r="F960" i="1" s="1"/>
  <c r="F961" i="1" a="1"/>
  <c r="F961" i="1" s="1"/>
  <c r="F962" i="1" a="1"/>
  <c r="F962" i="1" s="1"/>
  <c r="F963" i="1" a="1"/>
  <c r="F963" i="1"/>
  <c r="F964" i="1" a="1"/>
  <c r="F964" i="1"/>
  <c r="F965" i="1" a="1"/>
  <c r="F965" i="1" s="1"/>
  <c r="F966" i="1" a="1"/>
  <c r="F966" i="1" s="1"/>
  <c r="O966" i="1" s="1"/>
  <c r="F967" i="1" a="1"/>
  <c r="F967" i="1"/>
  <c r="O967" i="1" s="1"/>
  <c r="F968" i="1" a="1"/>
  <c r="F968" i="1"/>
  <c r="F969" i="1" a="1"/>
  <c r="F969" i="1" s="1"/>
  <c r="F970" i="1" a="1"/>
  <c r="F970" i="1" s="1"/>
  <c r="F971" i="1" a="1"/>
  <c r="F971" i="1" s="1"/>
  <c r="F972" i="1" a="1"/>
  <c r="F972" i="1"/>
  <c r="F973" i="1" a="1"/>
  <c r="F973" i="1" s="1"/>
  <c r="F974" i="1" a="1"/>
  <c r="F974" i="1" s="1"/>
  <c r="F975" i="1" a="1"/>
  <c r="F975" i="1" s="1"/>
  <c r="F976" i="1" a="1"/>
  <c r="F976" i="1" s="1"/>
  <c r="F977" i="1" a="1"/>
  <c r="F977" i="1" s="1"/>
  <c r="F978" i="1" a="1"/>
  <c r="F978" i="1"/>
  <c r="F979" i="1" a="1"/>
  <c r="F979" i="1"/>
  <c r="F980" i="1" a="1"/>
  <c r="F980" i="1" s="1"/>
  <c r="F981" i="1" a="1"/>
  <c r="F981" i="1" s="1"/>
  <c r="F982" i="1" a="1"/>
  <c r="F982" i="1"/>
  <c r="F983" i="1" a="1"/>
  <c r="F983" i="1" s="1"/>
  <c r="F984" i="1" a="1"/>
  <c r="F984" i="1" s="1"/>
  <c r="F985" i="1" a="1"/>
  <c r="F985" i="1" s="1"/>
  <c r="F986" i="1" a="1"/>
  <c r="F986" i="1" s="1"/>
  <c r="F1213" i="1" a="1"/>
  <c r="F1213" i="1" s="1"/>
  <c r="F1214" i="1" a="1"/>
  <c r="F1214" i="1"/>
  <c r="O1214" i="1" s="1"/>
  <c r="F1215" i="1" a="1"/>
  <c r="F1215" i="1" s="1"/>
  <c r="O1215" i="1" s="1"/>
  <c r="F1216" i="1" a="1"/>
  <c r="F1216" i="1"/>
  <c r="F1217" i="1" a="1"/>
  <c r="F1217" i="1"/>
  <c r="O1217" i="1" s="1"/>
  <c r="F1218" i="1" a="1"/>
  <c r="F1218" i="1" s="1"/>
  <c r="O1218" i="1" s="1"/>
  <c r="F1219" i="1" a="1"/>
  <c r="F1219" i="1" s="1"/>
  <c r="O1219" i="1" s="1"/>
  <c r="F1220" i="1" a="1"/>
  <c r="F1220" i="1" s="1"/>
  <c r="O1220" i="1" s="1"/>
  <c r="F1221" i="1" a="1"/>
  <c r="F1221" i="1" s="1"/>
  <c r="F1222" i="1" a="1"/>
  <c r="F1222" i="1" s="1"/>
  <c r="O1222" i="1" s="1"/>
  <c r="F1223" i="1" a="1"/>
  <c r="F1223" i="1" s="1"/>
  <c r="O1223" i="1" s="1"/>
  <c r="F1224" i="1" a="1"/>
  <c r="F1224" i="1" s="1"/>
  <c r="F987" i="1" a="1"/>
  <c r="F987" i="1"/>
  <c r="F988" i="1" a="1"/>
  <c r="F988" i="1" s="1"/>
  <c r="F360" i="1" a="1"/>
  <c r="F360" i="1" s="1"/>
  <c r="F361" i="1" a="1"/>
  <c r="F361" i="1"/>
  <c r="F362" i="1" a="1"/>
  <c r="F362" i="1" s="1"/>
  <c r="F1343" i="1" a="1"/>
  <c r="F1343" i="1"/>
  <c r="F1344" i="1" a="1"/>
  <c r="F1344" i="1" s="1"/>
  <c r="F363" i="1" a="1"/>
  <c r="F363" i="1" s="1"/>
  <c r="F364" i="1" a="1"/>
  <c r="F364" i="1" s="1"/>
  <c r="F365" i="1" a="1"/>
  <c r="F365" i="1"/>
  <c r="F366" i="1" a="1"/>
  <c r="F366" i="1" s="1"/>
  <c r="F367" i="1" a="1"/>
  <c r="F367" i="1"/>
  <c r="F368" i="1" a="1"/>
  <c r="F368" i="1" s="1"/>
  <c r="F369" i="1" a="1"/>
  <c r="F369" i="1" s="1"/>
  <c r="F370" i="1" a="1"/>
  <c r="F370" i="1" s="1"/>
  <c r="F371" i="1" a="1"/>
  <c r="F371" i="1" s="1"/>
  <c r="F372" i="1" a="1"/>
  <c r="F372" i="1" s="1"/>
  <c r="F373" i="1" a="1"/>
  <c r="F373" i="1" s="1"/>
  <c r="F374" i="1" a="1"/>
  <c r="F374" i="1" s="1"/>
  <c r="F989" i="1" a="1"/>
  <c r="F989" i="1"/>
  <c r="F990" i="1" a="1"/>
  <c r="F990" i="1"/>
  <c r="F991" i="1" a="1"/>
  <c r="F991" i="1"/>
  <c r="F375" i="1" a="1"/>
  <c r="F375" i="1" s="1"/>
  <c r="F992" i="1" a="1"/>
  <c r="F992" i="1" s="1"/>
  <c r="F993" i="1" a="1"/>
  <c r="F993" i="1" s="1"/>
  <c r="F1225" i="1" a="1"/>
  <c r="F1225" i="1" s="1"/>
  <c r="F1226" i="1" a="1"/>
  <c r="F1226" i="1" s="1"/>
  <c r="F1289" i="1" a="1"/>
  <c r="F1289" i="1" s="1"/>
  <c r="F1290" i="1" a="1"/>
  <c r="F1290" i="1"/>
  <c r="F1227" i="1" a="1"/>
  <c r="F1227" i="1"/>
  <c r="F994" i="1" a="1"/>
  <c r="F994" i="1" s="1"/>
  <c r="F995" i="1" a="1"/>
  <c r="F995" i="1" s="1"/>
  <c r="F1228" i="1" a="1"/>
  <c r="F1228" i="1"/>
  <c r="F996" i="1" a="1"/>
  <c r="F996" i="1"/>
  <c r="F997" i="1" a="1"/>
  <c r="F997" i="1" s="1"/>
  <c r="F1291" i="1" a="1"/>
  <c r="F1291" i="1" s="1"/>
  <c r="F998" i="1" a="1"/>
  <c r="F998" i="1" s="1"/>
  <c r="F1345" i="1" a="1"/>
  <c r="F1345" i="1"/>
  <c r="F376" i="1" a="1"/>
  <c r="F376" i="1" s="1"/>
  <c r="F377" i="1" a="1"/>
  <c r="F377" i="1" s="1"/>
  <c r="F378" i="1" a="1"/>
  <c r="F378" i="1"/>
  <c r="F379" i="1" a="1"/>
  <c r="F379" i="1"/>
  <c r="F999" i="1" a="1"/>
  <c r="F999" i="1" s="1"/>
  <c r="F380" i="1" a="1"/>
  <c r="F380" i="1"/>
  <c r="F381" i="1" a="1"/>
  <c r="F381" i="1" s="1"/>
  <c r="F1000" i="1" a="1"/>
  <c r="F1000" i="1" s="1"/>
  <c r="F382" i="1" a="1"/>
  <c r="F382" i="1" s="1"/>
  <c r="F1001" i="1" a="1"/>
  <c r="F1001" i="1"/>
  <c r="F383" i="1" a="1"/>
  <c r="F383" i="1"/>
  <c r="F1002" i="1" a="1"/>
  <c r="F1002" i="1" s="1"/>
  <c r="F1003" i="1" a="1"/>
  <c r="F1003" i="1" s="1"/>
  <c r="F384" i="1" a="1"/>
  <c r="F384" i="1"/>
  <c r="F385" i="1" a="1"/>
  <c r="F385" i="1"/>
  <c r="F386" i="1" a="1"/>
  <c r="F386" i="1" s="1"/>
  <c r="F387" i="1" a="1"/>
  <c r="F387" i="1" s="1"/>
  <c r="F1004" i="1" a="1"/>
  <c r="F1004" i="1"/>
  <c r="F388" i="1" a="1"/>
  <c r="F388" i="1"/>
  <c r="F389" i="1" a="1"/>
  <c r="F389" i="1"/>
  <c r="F390" i="1" a="1"/>
  <c r="F390" i="1" s="1"/>
  <c r="F1005" i="1" a="1"/>
  <c r="F1005" i="1" s="1"/>
  <c r="F391" i="1" a="1"/>
  <c r="F391" i="1"/>
  <c r="F392" i="1" a="1"/>
  <c r="F392" i="1" s="1"/>
  <c r="F1006" i="1" a="1"/>
  <c r="F1006" i="1" s="1"/>
  <c r="F393" i="1" a="1"/>
  <c r="F393" i="1" s="1"/>
  <c r="F394" i="1" a="1"/>
  <c r="F394" i="1" s="1"/>
  <c r="F395" i="1" a="1"/>
  <c r="F395" i="1"/>
  <c r="F1007" i="1" a="1"/>
  <c r="F1007" i="1" s="1"/>
  <c r="F1008" i="1" a="1"/>
  <c r="F1008" i="1" s="1"/>
  <c r="F396" i="1" a="1"/>
  <c r="F396" i="1" s="1"/>
  <c r="F1009" i="1" a="1"/>
  <c r="F1009" i="1"/>
  <c r="F397" i="1" a="1"/>
  <c r="F397" i="1" s="1"/>
  <c r="F398" i="1" a="1"/>
  <c r="F398" i="1" s="1"/>
  <c r="F1010" i="1" a="1"/>
  <c r="F1010" i="1" s="1"/>
  <c r="F399" i="1" a="1"/>
  <c r="F399" i="1" s="1"/>
  <c r="F1011" i="1" a="1"/>
  <c r="F1011" i="1" s="1"/>
  <c r="F1012" i="1" a="1"/>
  <c r="F1012" i="1" s="1"/>
  <c r="F400" i="1" a="1"/>
  <c r="F400" i="1" s="1"/>
  <c r="F1013" i="1" a="1"/>
  <c r="F1013" i="1" s="1"/>
  <c r="F1014" i="1" a="1"/>
  <c r="F1014" i="1" s="1"/>
  <c r="F401" i="1" a="1"/>
  <c r="F401" i="1" s="1"/>
  <c r="F1015" i="1" a="1"/>
  <c r="F1015" i="1" s="1"/>
  <c r="F1016" i="1" a="1"/>
  <c r="F1016" i="1"/>
  <c r="F402" i="1" a="1"/>
  <c r="F402" i="1" s="1"/>
  <c r="F1017" i="1" a="1"/>
  <c r="F1017" i="1" s="1"/>
  <c r="F1018" i="1" a="1"/>
  <c r="F1018" i="1" s="1"/>
  <c r="F403" i="1" a="1"/>
  <c r="F403" i="1" s="1"/>
  <c r="F1019" i="1" a="1"/>
  <c r="F1019" i="1" s="1"/>
  <c r="F1020" i="1" a="1"/>
  <c r="F1020" i="1" s="1"/>
  <c r="F404" i="1" a="1"/>
  <c r="F404" i="1" s="1"/>
  <c r="F1021" i="1" a="1"/>
  <c r="F1021" i="1" s="1"/>
  <c r="F1022" i="1" a="1"/>
  <c r="F1022" i="1" s="1"/>
  <c r="F405" i="1" a="1"/>
  <c r="F405" i="1" s="1"/>
  <c r="F1023" i="1" a="1"/>
  <c r="F1023" i="1" s="1"/>
  <c r="F1024" i="1" a="1"/>
  <c r="F1024" i="1" s="1"/>
  <c r="F406" i="1" a="1"/>
  <c r="F406" i="1" s="1"/>
  <c r="F1025" i="1" a="1"/>
  <c r="F1025" i="1" s="1"/>
  <c r="F407" i="1" a="1"/>
  <c r="F407" i="1"/>
  <c r="F408" i="1" a="1"/>
  <c r="F408" i="1" s="1"/>
  <c r="F1026" i="1" a="1"/>
  <c r="F1026" i="1" s="1"/>
  <c r="F409" i="1" a="1"/>
  <c r="F409" i="1" s="1"/>
  <c r="F410" i="1" a="1"/>
  <c r="F410" i="1" s="1"/>
  <c r="F411" i="1" a="1"/>
  <c r="F411" i="1" s="1"/>
  <c r="F412" i="1" a="1"/>
  <c r="F412" i="1" s="1"/>
  <c r="F413" i="1" a="1"/>
  <c r="F413" i="1" s="1"/>
  <c r="F414" i="1" a="1"/>
  <c r="F414" i="1" s="1"/>
  <c r="F415" i="1" a="1"/>
  <c r="F415" i="1" s="1"/>
  <c r="F416" i="1" a="1"/>
  <c r="F416" i="1" s="1"/>
  <c r="F417" i="1" a="1"/>
  <c r="F417" i="1" s="1"/>
  <c r="F418" i="1" a="1"/>
  <c r="F418" i="1" s="1"/>
  <c r="F419" i="1" a="1"/>
  <c r="F419" i="1" s="1"/>
  <c r="F420" i="1" a="1"/>
  <c r="F420" i="1" s="1"/>
  <c r="F421" i="1" a="1"/>
  <c r="F421" i="1" s="1"/>
  <c r="F422" i="1" a="1"/>
  <c r="F422" i="1" s="1"/>
  <c r="F423" i="1" a="1"/>
  <c r="F423" i="1" s="1"/>
  <c r="F1229" i="1" a="1"/>
  <c r="F1229" i="1" s="1"/>
  <c r="F424" i="1" a="1"/>
  <c r="F424" i="1"/>
  <c r="F425" i="1" a="1"/>
  <c r="F425" i="1" s="1"/>
  <c r="F1230" i="1" a="1"/>
  <c r="F1230" i="1" s="1"/>
  <c r="F426" i="1" a="1"/>
  <c r="F426" i="1" s="1"/>
  <c r="F1231" i="1" a="1"/>
  <c r="F1231" i="1" s="1"/>
  <c r="F1232" i="1" a="1"/>
  <c r="F1232" i="1" s="1"/>
  <c r="F427" i="1" a="1"/>
  <c r="F427" i="1"/>
  <c r="F1233" i="1" a="1"/>
  <c r="F1233" i="1" s="1"/>
  <c r="F1234" i="1" a="1"/>
  <c r="F1234" i="1" s="1"/>
  <c r="F428" i="1" a="1"/>
  <c r="F428" i="1" s="1"/>
  <c r="F1235" i="1" a="1"/>
  <c r="F1235" i="1" s="1"/>
  <c r="F1236" i="1" a="1"/>
  <c r="F1236" i="1" s="1"/>
  <c r="F429" i="1" a="1"/>
  <c r="F429" i="1" s="1"/>
  <c r="F1237" i="1" a="1"/>
  <c r="F1237" i="1" s="1"/>
  <c r="F1238" i="1" a="1"/>
  <c r="F1238" i="1"/>
  <c r="F430" i="1" a="1"/>
  <c r="F430" i="1"/>
  <c r="F1239" i="1" a="1"/>
  <c r="F1239" i="1"/>
  <c r="F1240" i="1" a="1"/>
  <c r="F1240" i="1" s="1"/>
  <c r="F431" i="1" a="1"/>
  <c r="F431" i="1" s="1"/>
  <c r="F1241" i="1" a="1"/>
  <c r="F1241" i="1" s="1"/>
  <c r="F1242" i="1" a="1"/>
  <c r="F1242" i="1" s="1"/>
  <c r="F432" i="1" a="1"/>
  <c r="F432" i="1" s="1"/>
  <c r="F1243" i="1" a="1"/>
  <c r="F1243" i="1" s="1"/>
  <c r="F1244" i="1" a="1"/>
  <c r="F1244" i="1" s="1"/>
  <c r="F433" i="1" a="1"/>
  <c r="F433" i="1"/>
  <c r="F434" i="1" a="1"/>
  <c r="F434" i="1" s="1"/>
  <c r="F1027" i="1" a="1"/>
  <c r="F1027" i="1" s="1"/>
  <c r="F1028" i="1" a="1"/>
  <c r="F1028" i="1" s="1"/>
  <c r="F435" i="1" a="1"/>
  <c r="F435" i="1" s="1"/>
  <c r="F436" i="1" a="1"/>
  <c r="F436" i="1" s="1"/>
  <c r="F1029" i="1" a="1"/>
  <c r="F1029" i="1"/>
  <c r="F1030" i="1" a="1"/>
  <c r="F1030" i="1"/>
  <c r="F437" i="1" a="1"/>
  <c r="F437" i="1"/>
  <c r="F438" i="1" a="1"/>
  <c r="F438" i="1" s="1"/>
  <c r="F439" i="1" a="1"/>
  <c r="F439" i="1" s="1"/>
  <c r="F440" i="1" a="1"/>
  <c r="F440" i="1" s="1"/>
  <c r="F441" i="1" a="1"/>
  <c r="F441" i="1" s="1"/>
  <c r="F442" i="1" a="1"/>
  <c r="F442" i="1" s="1"/>
  <c r="F443" i="1" a="1"/>
  <c r="F443" i="1" s="1"/>
  <c r="F1245" i="1" a="1"/>
  <c r="F1245" i="1" s="1"/>
  <c r="F444" i="1" a="1"/>
  <c r="F444" i="1" s="1"/>
  <c r="F445" i="1" a="1"/>
  <c r="F445" i="1" s="1"/>
  <c r="F1246" i="1" a="1"/>
  <c r="F1246" i="1" s="1"/>
  <c r="F446" i="1" a="1"/>
  <c r="F446" i="1" s="1"/>
  <c r="F447" i="1" a="1"/>
  <c r="F447" i="1" s="1"/>
  <c r="F448" i="1" a="1"/>
  <c r="F448" i="1" s="1"/>
  <c r="F449" i="1" a="1"/>
  <c r="F449" i="1"/>
  <c r="F1247" i="1" a="1"/>
  <c r="F1247" i="1"/>
  <c r="F1031" i="1" a="1"/>
  <c r="F1031" i="1"/>
  <c r="F450" i="1" a="1"/>
  <c r="F450" i="1" s="1"/>
  <c r="F1248" i="1" a="1"/>
  <c r="F1248" i="1" s="1"/>
  <c r="F451" i="1" a="1"/>
  <c r="F451" i="1" s="1"/>
  <c r="F452" i="1" a="1"/>
  <c r="F452" i="1" s="1"/>
  <c r="F1249" i="1" a="1"/>
  <c r="F1249" i="1" s="1"/>
  <c r="F1032" i="1" a="1"/>
  <c r="F1032" i="1"/>
  <c r="F453" i="1" a="1"/>
  <c r="F453" i="1" s="1"/>
  <c r="F1250" i="1" a="1"/>
  <c r="F1250" i="1" s="1"/>
  <c r="F1033" i="1" a="1"/>
  <c r="F1033" i="1" s="1"/>
  <c r="F454" i="1" a="1"/>
  <c r="F454" i="1" s="1"/>
  <c r="F1251" i="1" a="1"/>
  <c r="F1251" i="1" s="1"/>
  <c r="F1034" i="1" a="1"/>
  <c r="F1034" i="1" s="1"/>
  <c r="F455" i="1" a="1"/>
  <c r="F455" i="1" s="1"/>
  <c r="F1252" i="1" a="1"/>
  <c r="F1252" i="1"/>
  <c r="F1035" i="1" a="1"/>
  <c r="F1035" i="1"/>
  <c r="F456" i="1" a="1"/>
  <c r="F456" i="1"/>
  <c r="F457" i="1" a="1"/>
  <c r="F457" i="1" s="1"/>
  <c r="F1036" i="1" a="1"/>
  <c r="F1036" i="1" s="1"/>
  <c r="F458" i="1" a="1"/>
  <c r="F458" i="1" s="1"/>
  <c r="F1037" i="1" a="1"/>
  <c r="F1037" i="1" s="1"/>
  <c r="F1038" i="1" a="1"/>
  <c r="F1038" i="1" s="1"/>
  <c r="F459" i="1" a="1"/>
  <c r="F459" i="1" s="1"/>
  <c r="F1039" i="1" a="1"/>
  <c r="F1039" i="1"/>
  <c r="F1040" i="1" a="1"/>
  <c r="F1040" i="1" s="1"/>
  <c r="F460" i="1" a="1"/>
  <c r="F460" i="1" s="1"/>
  <c r="F461" i="1" a="1"/>
  <c r="F461" i="1" s="1"/>
  <c r="F462" i="1" a="1"/>
  <c r="F462" i="1" s="1"/>
  <c r="F463" i="1" a="1"/>
  <c r="F463" i="1" s="1"/>
  <c r="F464" i="1" a="1"/>
  <c r="F464" i="1" s="1"/>
  <c r="F465" i="1" a="1"/>
  <c r="F465" i="1"/>
  <c r="F466" i="1" a="1"/>
  <c r="F466" i="1"/>
  <c r="F467" i="1" a="1"/>
  <c r="F467" i="1"/>
  <c r="F468" i="1" a="1"/>
  <c r="F468" i="1" s="1"/>
  <c r="F469" i="1" a="1"/>
  <c r="F469" i="1" s="1"/>
  <c r="F470" i="1" a="1"/>
  <c r="F470" i="1" s="1"/>
  <c r="F471" i="1" a="1"/>
  <c r="F471" i="1" s="1"/>
  <c r="F472" i="1" a="1"/>
  <c r="F472" i="1" s="1"/>
  <c r="F1041" i="1" a="1"/>
  <c r="F1041" i="1" s="1"/>
  <c r="F1042" i="1" a="1"/>
  <c r="F1042" i="1" s="1"/>
  <c r="F1043" i="1" a="1"/>
  <c r="F1043" i="1"/>
  <c r="F1044" i="1" a="1"/>
  <c r="F1044" i="1" s="1"/>
  <c r="F1045" i="1" a="1"/>
  <c r="F1045" i="1" s="1"/>
  <c r="F1046" i="1" a="1"/>
  <c r="F1046" i="1" s="1"/>
  <c r="F1047" i="1" a="1"/>
  <c r="F1047" i="1" s="1"/>
  <c r="F1048" i="1" a="1"/>
  <c r="F1048" i="1" s="1"/>
  <c r="F1049" i="1" a="1"/>
  <c r="F1049" i="1"/>
  <c r="F1050" i="1" a="1"/>
  <c r="F1050" i="1"/>
  <c r="F1051" i="1" a="1"/>
  <c r="F1051" i="1"/>
  <c r="F1052" i="1" a="1"/>
  <c r="F1052" i="1" s="1"/>
  <c r="F1346" i="1" a="1"/>
  <c r="F1346" i="1" s="1"/>
  <c r="O1346" i="1" s="1"/>
  <c r="F1347" i="1" a="1"/>
  <c r="F1347" i="1" s="1"/>
  <c r="F1292" i="1" a="1"/>
  <c r="F1292" i="1" s="1"/>
  <c r="O1292" i="1" s="1"/>
  <c r="F1348" i="1" a="1"/>
  <c r="F1348" i="1" s="1"/>
  <c r="O1348" i="1" s="1"/>
  <c r="F1293" i="1" a="1"/>
  <c r="F1293" i="1" s="1"/>
  <c r="O1293" i="1" s="1"/>
  <c r="F1294" i="1" a="1"/>
  <c r="F1294" i="1" s="1"/>
  <c r="O1294" i="1" s="1"/>
  <c r="F1349" i="1" a="1"/>
  <c r="F1349" i="1" s="1"/>
  <c r="O1349" i="1" s="1"/>
  <c r="F1350" i="1" a="1"/>
  <c r="F1350" i="1" s="1"/>
  <c r="O1350" i="1" s="1"/>
  <c r="F1295" i="1" a="1"/>
  <c r="F1295" i="1" s="1"/>
  <c r="O1295" i="1" s="1"/>
  <c r="F1296" i="1" a="1"/>
  <c r="F1296" i="1" s="1"/>
  <c r="O1296" i="1" s="1"/>
  <c r="F1351" i="1" a="1"/>
  <c r="F1351" i="1" s="1"/>
  <c r="O1351" i="1" s="1"/>
  <c r="F1297" i="1" a="1"/>
  <c r="F1297" i="1" s="1"/>
  <c r="O1297" i="1" s="1"/>
  <c r="F1298" i="1" a="1"/>
  <c r="F1298" i="1"/>
  <c r="O1298" i="1" s="1"/>
  <c r="F1352" i="1" a="1"/>
  <c r="F1352" i="1"/>
  <c r="O1352" i="1" s="1"/>
  <c r="F1353" i="1" a="1"/>
  <c r="F1353" i="1"/>
  <c r="O1353" i="1" s="1"/>
  <c r="F1299" i="1" a="1"/>
  <c r="F1299" i="1" s="1"/>
  <c r="O1299" i="1" s="1"/>
  <c r="F1300" i="1" a="1"/>
  <c r="F1300" i="1" s="1"/>
  <c r="O1300" i="1" s="1"/>
  <c r="F1354" i="1" a="1"/>
  <c r="F1354" i="1" s="1"/>
  <c r="O1354" i="1" s="1"/>
  <c r="F1301" i="1" a="1"/>
  <c r="F1301" i="1" s="1"/>
  <c r="O1301" i="1" s="1"/>
  <c r="F1355" i="1" a="1"/>
  <c r="F1355" i="1" s="1"/>
  <c r="O1355" i="1" s="1"/>
  <c r="F1302" i="1" a="1"/>
  <c r="F1302" i="1"/>
  <c r="O1302" i="1" s="1"/>
  <c r="F1356" i="1" a="1"/>
  <c r="F1356" i="1" s="1"/>
  <c r="O1356" i="1" s="1"/>
  <c r="F1357" i="1" a="1"/>
  <c r="F1357" i="1" s="1"/>
  <c r="O1357" i="1" s="1"/>
  <c r="F1303" i="1" a="1"/>
  <c r="F1303" i="1" s="1"/>
  <c r="O1303" i="1" s="1"/>
  <c r="F1053" i="1" a="1"/>
  <c r="F1053" i="1" s="1"/>
  <c r="O1053" i="1" s="1"/>
  <c r="F1054" i="1" a="1"/>
  <c r="F1054" i="1" s="1"/>
  <c r="O1054" i="1" s="1"/>
  <c r="F473" i="1" a="1"/>
  <c r="F473" i="1" s="1"/>
  <c r="O473" i="1" s="1"/>
  <c r="F474" i="1" a="1"/>
  <c r="F474" i="1" s="1"/>
  <c r="O474" i="1" s="1"/>
  <c r="F475" i="1" a="1"/>
  <c r="F475" i="1"/>
  <c r="F476" i="1" a="1"/>
  <c r="F476" i="1"/>
  <c r="O476" i="1" s="1"/>
  <c r="F477" i="1" a="1"/>
  <c r="F477" i="1"/>
  <c r="O477" i="1" s="1"/>
  <c r="F478" i="1" a="1"/>
  <c r="F478" i="1" s="1"/>
  <c r="O478" i="1" s="1"/>
  <c r="F1055" i="1" a="1"/>
  <c r="F1055" i="1" s="1"/>
  <c r="O1055" i="1" s="1"/>
  <c r="F479" i="1" a="1"/>
  <c r="F479" i="1" s="1"/>
  <c r="O479" i="1" s="1"/>
  <c r="F480" i="1" a="1"/>
  <c r="F480" i="1" s="1"/>
  <c r="O480" i="1" s="1"/>
  <c r="F1056" i="1" a="1"/>
  <c r="F1056" i="1" s="1"/>
  <c r="O1056" i="1" s="1"/>
  <c r="F481" i="1" a="1"/>
  <c r="F481" i="1" s="1"/>
  <c r="O481" i="1" s="1"/>
  <c r="F482" i="1" a="1"/>
  <c r="F482" i="1"/>
  <c r="O482" i="1" s="1"/>
  <c r="F1057" i="1" a="1"/>
  <c r="F1057" i="1" s="1"/>
  <c r="O1057" i="1" s="1"/>
  <c r="F1058" i="1" a="1"/>
  <c r="F1058" i="1" s="1"/>
  <c r="O1058" i="1" s="1"/>
  <c r="F483" i="1" a="1"/>
  <c r="F483" i="1" s="1"/>
  <c r="O483" i="1" s="1"/>
  <c r="F484" i="1" a="1"/>
  <c r="F484" i="1" s="1"/>
  <c r="O484" i="1" s="1"/>
  <c r="F1059" i="1" a="1"/>
  <c r="F1059" i="1" s="1"/>
  <c r="O1059" i="1" s="1"/>
  <c r="F1060" i="1" a="1"/>
  <c r="F1060" i="1" s="1"/>
  <c r="O1060" i="1" s="1"/>
  <c r="F485" i="1" a="1"/>
  <c r="F485" i="1"/>
  <c r="O485" i="1" s="1"/>
  <c r="F486" i="1" a="1"/>
  <c r="F486" i="1"/>
  <c r="O486" i="1" s="1"/>
  <c r="F487" i="1" a="1"/>
  <c r="F487" i="1"/>
  <c r="O487" i="1" s="1"/>
  <c r="F488" i="1" a="1"/>
  <c r="F488" i="1" s="1"/>
  <c r="O488" i="1" s="1"/>
  <c r="F489" i="1" a="1"/>
  <c r="F489" i="1" s="1"/>
  <c r="O489" i="1" s="1"/>
  <c r="F490" i="1" a="1"/>
  <c r="F490" i="1" s="1"/>
  <c r="O490" i="1" s="1"/>
  <c r="F1061" i="1" a="1"/>
  <c r="F1061" i="1" s="1"/>
  <c r="O1061" i="1" s="1"/>
  <c r="F491" i="1" a="1"/>
  <c r="F491" i="1" s="1"/>
  <c r="O491" i="1" s="1"/>
  <c r="F492" i="1" a="1"/>
  <c r="F492" i="1" s="1"/>
  <c r="O492" i="1" s="1"/>
  <c r="F1062" i="1" a="1"/>
  <c r="F1062" i="1" s="1"/>
  <c r="O1062" i="1" s="1"/>
  <c r="F493" i="1" a="1"/>
  <c r="F493" i="1"/>
  <c r="O493" i="1" s="1"/>
  <c r="F494" i="1" a="1"/>
  <c r="F494" i="1" s="1"/>
  <c r="O494" i="1" s="1"/>
  <c r="F495" i="1" a="1"/>
  <c r="F495" i="1" s="1"/>
  <c r="O495" i="1" s="1"/>
  <c r="F496" i="1" a="1"/>
  <c r="F496" i="1" s="1"/>
  <c r="O496" i="1" s="1"/>
  <c r="F1063" i="1" a="1"/>
  <c r="F1063" i="1" s="1"/>
  <c r="O1063" i="1" s="1"/>
  <c r="F497" i="1" a="1"/>
  <c r="F497" i="1" s="1"/>
  <c r="O497" i="1" s="1"/>
  <c r="F498" i="1" a="1"/>
  <c r="F498" i="1"/>
  <c r="O498" i="1" s="1"/>
  <c r="F1064" i="1" a="1"/>
  <c r="F1064" i="1"/>
  <c r="O1064" i="1" s="1"/>
  <c r="F499" i="1" a="1"/>
  <c r="F499" i="1"/>
  <c r="O499" i="1" s="1"/>
  <c r="F500" i="1" a="1"/>
  <c r="F500" i="1" s="1"/>
  <c r="O500" i="1" s="1"/>
  <c r="F1253" i="1" a="1"/>
  <c r="F1253" i="1" s="1"/>
  <c r="O1253" i="1" s="1"/>
  <c r="F501" i="1" a="1"/>
  <c r="F501" i="1" s="1"/>
  <c r="O501" i="1" s="1"/>
  <c r="F1254" i="1" a="1"/>
  <c r="F1254" i="1" s="1"/>
  <c r="O1254" i="1" s="1"/>
  <c r="F1065" i="1" a="1"/>
  <c r="F1065" i="1" s="1"/>
  <c r="O1065" i="1" s="1"/>
  <c r="F502" i="1" a="1"/>
  <c r="F502" i="1" s="1"/>
  <c r="O502" i="1" s="1"/>
  <c r="F1255" i="1" a="1"/>
  <c r="F1255" i="1" s="1"/>
  <c r="O1255" i="1" s="1"/>
  <c r="F1066" i="1" a="1"/>
  <c r="F1066" i="1" s="1"/>
  <c r="O1066" i="1" s="1"/>
  <c r="F503" i="1" a="1"/>
  <c r="F503" i="1" s="1"/>
  <c r="O503" i="1" s="1"/>
  <c r="F1256" i="1" a="1"/>
  <c r="F1256" i="1" s="1"/>
  <c r="O1256" i="1" s="1"/>
  <c r="F1067" i="1" a="1"/>
  <c r="F1067" i="1" s="1"/>
  <c r="O1067" i="1" s="1"/>
  <c r="F504" i="1" a="1"/>
  <c r="F504" i="1" s="1"/>
  <c r="O504" i="1" s="1"/>
  <c r="F1257" i="1" a="1"/>
  <c r="F1257" i="1" s="1"/>
  <c r="O1257" i="1" s="1"/>
  <c r="F1068" i="1" a="1"/>
  <c r="F1068" i="1"/>
  <c r="O1068" i="1" s="1"/>
  <c r="F505" i="1" a="1"/>
  <c r="F505" i="1"/>
  <c r="O505" i="1" s="1"/>
  <c r="F1258" i="1" a="1"/>
  <c r="F1258" i="1"/>
  <c r="O1258" i="1" s="1"/>
  <c r="F1069" i="1" a="1"/>
  <c r="F1069" i="1" s="1"/>
  <c r="O1069" i="1" s="1"/>
  <c r="F506" i="1" a="1"/>
  <c r="F506" i="1" s="1"/>
  <c r="O506" i="1" s="1"/>
  <c r="F1259" i="1" a="1"/>
  <c r="F1259" i="1" s="1"/>
  <c r="O1259" i="1" s="1"/>
  <c r="F507" i="1" a="1"/>
  <c r="F507" i="1" s="1"/>
  <c r="O507" i="1" s="1"/>
  <c r="F508" i="1" a="1"/>
  <c r="F508" i="1" s="1"/>
  <c r="O508" i="1" s="1"/>
  <c r="F1260" i="1" a="1"/>
  <c r="F1260" i="1"/>
  <c r="O1260" i="1" s="1"/>
  <c r="F1070" i="1" a="1"/>
  <c r="F1070" i="1" s="1"/>
  <c r="O1070" i="1" s="1"/>
  <c r="F509" i="1" a="1"/>
  <c r="F509" i="1" s="1"/>
  <c r="O509" i="1" s="1"/>
  <c r="F1071" i="1" a="1"/>
  <c r="F1071" i="1" s="1"/>
  <c r="O1071" i="1" s="1"/>
  <c r="F1072" i="1" a="1"/>
  <c r="F1072" i="1" s="1"/>
  <c r="O1072" i="1" s="1"/>
  <c r="F510" i="1" a="1"/>
  <c r="F510" i="1" s="1"/>
  <c r="O510" i="1" s="1"/>
  <c r="F511" i="1" a="1"/>
  <c r="F511" i="1" s="1"/>
  <c r="O511" i="1" s="1"/>
  <c r="F1073" i="1" a="1"/>
  <c r="F1073" i="1" s="1"/>
  <c r="O1073" i="1" s="1"/>
  <c r="F1074" i="1" a="1"/>
  <c r="F1074" i="1"/>
  <c r="O1074" i="1" s="1"/>
  <c r="F512" i="1" a="1"/>
  <c r="F512" i="1"/>
  <c r="O512" i="1" s="1"/>
  <c r="F513" i="1" a="1"/>
  <c r="F513" i="1"/>
  <c r="O513" i="1" s="1"/>
  <c r="F1304" i="1" a="1"/>
  <c r="F1304" i="1" s="1"/>
  <c r="O1304" i="1" s="1"/>
  <c r="F1358" i="1" a="1"/>
  <c r="F1358" i="1" s="1"/>
  <c r="O1358" i="1" s="1"/>
  <c r="F1305" i="1" a="1"/>
  <c r="F1305" i="1" s="1"/>
  <c r="O1305" i="1" s="1"/>
  <c r="F1359" i="1" a="1"/>
  <c r="F1359" i="1" s="1"/>
  <c r="O1359" i="1" s="1"/>
  <c r="F1306" i="1" a="1"/>
  <c r="F1306" i="1" s="1"/>
  <c r="O1306" i="1" s="1"/>
  <c r="F1360" i="1" a="1"/>
  <c r="F1360" i="1" s="1"/>
  <c r="O1360" i="1" s="1"/>
  <c r="F1361" i="1" a="1"/>
  <c r="F1361" i="1"/>
  <c r="O1361" i="1" s="1"/>
  <c r="F1307" i="1" a="1"/>
  <c r="F1307" i="1" s="1"/>
  <c r="O1307" i="1" s="1"/>
  <c r="F514" i="1" a="1"/>
  <c r="F514" i="1" s="1"/>
  <c r="O514" i="1" s="1"/>
  <c r="F1075" i="1" a="1"/>
  <c r="F1075" i="1" s="1"/>
  <c r="O1075" i="1" s="1"/>
  <c r="F1076" i="1" a="1"/>
  <c r="F1076" i="1"/>
  <c r="O1076" i="1" s="1"/>
  <c r="F515" i="1" a="1"/>
  <c r="F515" i="1" s="1"/>
  <c r="O515" i="1" s="1"/>
  <c r="F516" i="1" a="1"/>
  <c r="F516" i="1" s="1"/>
  <c r="O516" i="1" s="1"/>
  <c r="F1077" i="1" a="1"/>
  <c r="F1077" i="1"/>
  <c r="O1077" i="1" s="1"/>
  <c r="F1078" i="1" a="1"/>
  <c r="F1078" i="1" s="1"/>
  <c r="O1078" i="1" s="1"/>
  <c r="F517" i="1" a="1"/>
  <c r="F517" i="1"/>
  <c r="O517" i="1" s="1"/>
  <c r="F518" i="1" a="1"/>
  <c r="F518" i="1" s="1"/>
  <c r="O518" i="1" s="1"/>
  <c r="F519" i="1" a="1"/>
  <c r="F519" i="1" s="1"/>
  <c r="O519" i="1" s="1"/>
  <c r="F520" i="1" a="1"/>
  <c r="F520" i="1" s="1"/>
  <c r="O520" i="1" s="1"/>
  <c r="F521" i="1" a="1"/>
  <c r="F521" i="1" s="1"/>
  <c r="O521" i="1" s="1"/>
  <c r="F522" i="1" a="1"/>
  <c r="F522" i="1" s="1"/>
  <c r="F523" i="1" a="1"/>
  <c r="F523" i="1" s="1"/>
  <c r="F524" i="1" a="1"/>
  <c r="F524" i="1"/>
  <c r="F525" i="1" a="1"/>
  <c r="F525" i="1" s="1"/>
  <c r="F526" i="1" a="1"/>
  <c r="F526" i="1" s="1"/>
  <c r="O526" i="1" s="1"/>
  <c r="F527" i="1" a="1"/>
  <c r="F527" i="1" s="1"/>
  <c r="O527" i="1" s="1"/>
  <c r="F1079" i="1" a="1"/>
  <c r="F1079" i="1" s="1"/>
  <c r="O1079" i="1" s="1"/>
  <c r="F1080" i="1" a="1"/>
  <c r="F1080" i="1"/>
  <c r="O1080" i="1" s="1"/>
  <c r="F1081" i="1" a="1"/>
  <c r="F1081" i="1" s="1"/>
  <c r="O1081" i="1" s="1"/>
  <c r="F528" i="1" a="1"/>
  <c r="F528" i="1" s="1"/>
  <c r="F529" i="1" a="1"/>
  <c r="F529" i="1" s="1"/>
  <c r="F530" i="1" a="1"/>
  <c r="F530" i="1"/>
  <c r="F531" i="1" a="1"/>
  <c r="F531" i="1" s="1"/>
  <c r="O531" i="1" s="1"/>
  <c r="F532" i="1" a="1"/>
  <c r="F532" i="1" s="1"/>
  <c r="O532" i="1" s="1"/>
  <c r="F533" i="1" a="1"/>
  <c r="F533" i="1" s="1"/>
  <c r="F534" i="1" a="1"/>
  <c r="F534" i="1" s="1"/>
  <c r="F535" i="1" a="1"/>
  <c r="F535" i="1" s="1"/>
  <c r="F536" i="1" a="1"/>
  <c r="F536" i="1" s="1"/>
  <c r="F537" i="1" a="1"/>
  <c r="F537" i="1"/>
  <c r="F538" i="1" a="1"/>
  <c r="F538" i="1" s="1"/>
  <c r="O538" i="1" s="1"/>
  <c r="F539" i="1" a="1"/>
  <c r="F539" i="1" s="1"/>
  <c r="O539" i="1" s="1"/>
  <c r="F540" i="1" a="1"/>
  <c r="F540" i="1"/>
  <c r="F541" i="1" a="1"/>
  <c r="F541" i="1" s="1"/>
  <c r="O541" i="1" s="1"/>
  <c r="F542" i="1" a="1"/>
  <c r="F542" i="1" s="1"/>
  <c r="O542" i="1" s="1"/>
  <c r="F543" i="1" a="1"/>
  <c r="F543" i="1" s="1"/>
  <c r="F544" i="1" a="1"/>
  <c r="F544" i="1" s="1"/>
  <c r="F545" i="1" a="1"/>
  <c r="F545" i="1" s="1"/>
  <c r="O545" i="1" s="1"/>
  <c r="F546" i="1" a="1"/>
  <c r="F546" i="1"/>
  <c r="O546" i="1" s="1"/>
  <c r="F1082" i="1" a="1"/>
  <c r="F1082" i="1" s="1"/>
  <c r="O1082" i="1" s="1"/>
  <c r="F1083" i="1" a="1"/>
  <c r="F1083" i="1" s="1"/>
  <c r="O1083" i="1" s="1"/>
  <c r="F1084" i="1" a="1"/>
  <c r="F1084" i="1"/>
  <c r="O1084" i="1" s="1"/>
  <c r="F1085" i="1" a="1"/>
  <c r="F1085" i="1" s="1"/>
  <c r="O1085" i="1" s="1"/>
  <c r="F1086" i="1" a="1"/>
  <c r="F1086" i="1" s="1"/>
  <c r="O1086" i="1" s="1"/>
  <c r="F1087" i="1" a="1"/>
  <c r="F1087" i="1" s="1"/>
  <c r="O1087" i="1" s="1"/>
  <c r="F1088" i="1" a="1"/>
  <c r="F1088" i="1" s="1"/>
  <c r="O1088" i="1" s="1"/>
  <c r="F1089" i="1" a="1"/>
  <c r="F1089" i="1" s="1"/>
  <c r="O1089" i="1" s="1"/>
  <c r="F1090" i="1" a="1"/>
  <c r="F1090" i="1" s="1"/>
  <c r="O1090" i="1" s="1"/>
  <c r="F1091" i="1" a="1"/>
  <c r="F1091" i="1" s="1"/>
  <c r="O1091" i="1" s="1"/>
  <c r="F1092" i="1" a="1"/>
  <c r="F1092" i="1" s="1"/>
  <c r="O1092" i="1" s="1"/>
  <c r="F1093" i="1" a="1"/>
  <c r="F1093" i="1"/>
  <c r="O1093" i="1" s="1"/>
  <c r="F547" i="1" a="1"/>
  <c r="F547" i="1" s="1"/>
  <c r="F548" i="1" a="1"/>
  <c r="F548" i="1"/>
  <c r="F549" i="1" a="1"/>
  <c r="F549" i="1" s="1"/>
  <c r="O549" i="1" s="1"/>
  <c r="F550" i="1" a="1"/>
  <c r="F550" i="1" s="1"/>
  <c r="O550" i="1" s="1"/>
  <c r="F551" i="1" a="1"/>
  <c r="F551" i="1" s="1"/>
  <c r="F552" i="1" a="1"/>
  <c r="F552" i="1"/>
  <c r="F553" i="1" a="1"/>
  <c r="F553" i="1" s="1"/>
  <c r="F554" i="1" a="1"/>
  <c r="F554" i="1" s="1"/>
  <c r="O554" i="1" s="1"/>
  <c r="F555" i="1" a="1"/>
  <c r="F555" i="1" s="1"/>
  <c r="O555" i="1" s="1"/>
  <c r="F556" i="1" a="1"/>
  <c r="F556" i="1" s="1"/>
  <c r="O556" i="1" s="1"/>
  <c r="F557" i="1" a="1"/>
  <c r="F557" i="1"/>
  <c r="O557" i="1" s="1"/>
  <c r="F558" i="1" a="1"/>
  <c r="F558" i="1" s="1"/>
  <c r="F559" i="1" a="1"/>
  <c r="F559" i="1" s="1"/>
  <c r="F560" i="1" a="1"/>
  <c r="F560" i="1"/>
  <c r="F561" i="1" a="1"/>
  <c r="F561" i="1" s="1"/>
  <c r="F562" i="1" a="1"/>
  <c r="F562" i="1" s="1"/>
  <c r="F563" i="1" a="1"/>
  <c r="F563" i="1" s="1"/>
  <c r="F564" i="1" a="1"/>
  <c r="F564" i="1"/>
  <c r="F565" i="1" a="1"/>
  <c r="F565" i="1" s="1"/>
  <c r="F566" i="1" a="1"/>
  <c r="F566" i="1"/>
  <c r="F567" i="1" a="1"/>
  <c r="F567" i="1" s="1"/>
  <c r="F568" i="1" a="1"/>
  <c r="F568" i="1" s="1"/>
  <c r="O568" i="1" s="1"/>
  <c r="F569" i="1" a="1"/>
  <c r="F569" i="1"/>
  <c r="O569" i="1" s="1"/>
  <c r="F570" i="1" a="1"/>
  <c r="F570" i="1" s="1"/>
  <c r="O570" i="1" s="1"/>
  <c r="F571" i="1" a="1"/>
  <c r="F571" i="1" s="1"/>
  <c r="O571" i="1" s="1"/>
  <c r="F1094" i="1" a="1"/>
  <c r="F1094" i="1" s="1"/>
  <c r="F1095" i="1" a="1"/>
  <c r="F1095" i="1"/>
  <c r="F1261" i="1" a="1"/>
  <c r="F1261" i="1" s="1"/>
  <c r="F1096" i="1" a="1"/>
  <c r="F1096" i="1" s="1"/>
  <c r="O1096" i="1" s="1"/>
  <c r="F1097" i="1" a="1"/>
  <c r="F1097" i="1" s="1"/>
  <c r="O1097" i="1" s="1"/>
  <c r="F572" i="1" a="1"/>
  <c r="F572" i="1" s="1"/>
  <c r="F573" i="1" a="1"/>
  <c r="F573" i="1" s="1"/>
  <c r="O573" i="1" s="1"/>
  <c r="F574" i="1" a="1"/>
  <c r="F574" i="1" s="1"/>
  <c r="O574" i="1" s="1"/>
  <c r="F575" i="1" a="1"/>
  <c r="F575" i="1"/>
  <c r="O575" i="1" s="1"/>
  <c r="F576" i="1" a="1"/>
  <c r="F576" i="1" s="1"/>
  <c r="O576" i="1" s="1"/>
  <c r="F1098" i="1" a="1"/>
  <c r="F1098" i="1"/>
  <c r="F1099" i="1" a="1"/>
  <c r="F1099" i="1" s="1"/>
  <c r="F1100" i="1" a="1"/>
  <c r="F1100" i="1" s="1"/>
  <c r="F1308" i="1" a="1"/>
  <c r="F1308" i="1" s="1"/>
  <c r="O1308" i="1" s="1"/>
  <c r="F1309" i="1" a="1"/>
  <c r="F1309" i="1" s="1"/>
  <c r="O1309" i="1" s="1"/>
  <c r="F1101" i="1" a="1"/>
  <c r="F1101" i="1" s="1"/>
  <c r="O1101" i="1" s="1"/>
  <c r="F1102" i="1" a="1"/>
  <c r="F1102" i="1" s="1"/>
  <c r="O1102" i="1" s="1"/>
  <c r="F1103" i="1" a="1"/>
  <c r="F1103" i="1"/>
  <c r="F1104" i="1" a="1"/>
  <c r="F1104" i="1" s="1"/>
  <c r="F1105" i="1" a="1"/>
  <c r="F1105" i="1" s="1"/>
  <c r="F1106" i="1" a="1"/>
  <c r="F1106" i="1"/>
  <c r="F1107" i="1" a="1"/>
  <c r="F1107" i="1" s="1"/>
  <c r="F1262" i="1" a="1"/>
  <c r="F1262" i="1" s="1"/>
  <c r="F1310" i="1" a="1"/>
  <c r="F1310" i="1" s="1"/>
  <c r="F1311" i="1" a="1"/>
  <c r="F1311" i="1"/>
  <c r="F1312" i="1" a="1"/>
  <c r="F1312" i="1" s="1"/>
  <c r="F1313" i="1" a="1"/>
  <c r="F1313" i="1"/>
  <c r="F1314" i="1" a="1"/>
  <c r="F1314" i="1" s="1"/>
  <c r="F1315" i="1" a="1"/>
  <c r="F1315" i="1" s="1"/>
  <c r="O1315" i="1" s="1"/>
  <c r="F1316" i="1" a="1"/>
  <c r="F1316" i="1"/>
  <c r="O1316" i="1" s="1"/>
  <c r="F1317" i="1" a="1"/>
  <c r="F1317" i="1" s="1"/>
  <c r="O1317" i="1" s="1"/>
  <c r="F1318" i="1" a="1"/>
  <c r="F1318" i="1" s="1"/>
  <c r="O1318" i="1" s="1"/>
  <c r="F1319" i="1" a="1"/>
  <c r="F1319" i="1" s="1"/>
  <c r="O1319" i="1" s="1"/>
  <c r="F1320" i="1" a="1"/>
  <c r="F1320" i="1"/>
  <c r="O1320" i="1" s="1"/>
  <c r="F1321" i="1" a="1"/>
  <c r="F1321" i="1" s="1"/>
  <c r="F1263" i="1" a="1"/>
  <c r="F1263" i="1" s="1"/>
  <c r="F1322" i="1" a="1"/>
  <c r="F1322" i="1" s="1"/>
  <c r="O1322" i="1" s="1"/>
  <c r="F1323" i="1" a="1"/>
  <c r="F1323" i="1" s="1"/>
  <c r="O1323" i="1" s="1"/>
  <c r="F1324" i="1" a="1"/>
  <c r="F1324" i="1" s="1"/>
  <c r="F1325" i="1" a="1"/>
  <c r="F1325" i="1" s="1"/>
  <c r="F1326" i="1" a="1"/>
  <c r="F1326" i="1" s="1"/>
  <c r="F1327" i="1" a="1"/>
  <c r="F1327" i="1" s="1"/>
  <c r="F1328" i="1" a="1"/>
  <c r="F1328" i="1"/>
  <c r="F1329" i="1" a="1"/>
  <c r="F1329" i="1" s="1"/>
  <c r="F1264" i="1" a="1"/>
  <c r="F1264" i="1" s="1"/>
  <c r="F577" i="1" a="1"/>
  <c r="F577" i="1"/>
  <c r="F578" i="1" a="1"/>
  <c r="F578" i="1" s="1"/>
  <c r="F1265" i="1" a="1"/>
  <c r="F1265" i="1" s="1"/>
  <c r="F1266" i="1" a="1"/>
  <c r="F1266" i="1" s="1"/>
  <c r="O1266" i="1" s="1"/>
  <c r="F1267" i="1" a="1"/>
  <c r="F1267" i="1"/>
  <c r="O1267" i="1" s="1"/>
  <c r="F1362" i="1" a="1"/>
  <c r="F1362" i="1" s="1"/>
  <c r="F1268" i="1" a="1"/>
  <c r="F1268" i="1" s="1"/>
  <c r="F1363" i="1" a="1"/>
  <c r="F1363" i="1" s="1"/>
  <c r="F1269" i="1" a="1"/>
  <c r="F1269" i="1" s="1"/>
  <c r="O1269" i="1" s="1"/>
  <c r="F1270" i="1" a="1"/>
  <c r="F1270" i="1" s="1"/>
  <c r="O1270" i="1" s="1"/>
  <c r="F1271" i="1" a="1"/>
  <c r="F1271" i="1" s="1"/>
  <c r="F1272" i="1" a="1"/>
  <c r="F1272" i="1"/>
  <c r="O1272" i="1" s="1"/>
  <c r="F1273" i="1" a="1"/>
  <c r="F1273" i="1" s="1"/>
  <c r="O1273" i="1" s="1"/>
  <c r="F1274" i="1" a="1"/>
  <c r="F1274" i="1"/>
  <c r="F1275" i="1" a="1"/>
  <c r="F1275" i="1" s="1"/>
  <c r="F1276" i="1" a="1"/>
  <c r="F1276" i="1" s="1"/>
  <c r="F1277" i="1" a="1"/>
  <c r="F1277" i="1" s="1"/>
  <c r="F1108" i="1" a="1"/>
  <c r="F1108" i="1" s="1"/>
  <c r="F579" i="1" a="1"/>
  <c r="F579" i="1" s="1"/>
  <c r="F580" i="1" a="1"/>
  <c r="F580" i="1" s="1"/>
  <c r="F1109" i="1" a="1"/>
  <c r="F1109" i="1" s="1"/>
  <c r="F581" i="1" a="1"/>
  <c r="F581" i="1" s="1"/>
  <c r="F582" i="1" a="1"/>
  <c r="F582" i="1" s="1"/>
  <c r="F583" i="1" a="1"/>
  <c r="F583" i="1" s="1"/>
  <c r="F584" i="1" a="1"/>
  <c r="F584" i="1" s="1"/>
  <c r="F585" i="1" a="1"/>
  <c r="F585" i="1" s="1"/>
  <c r="F1110" i="1" a="1"/>
  <c r="F1110" i="1" s="1"/>
  <c r="O1110" i="1" s="1"/>
  <c r="F1111" i="1" a="1"/>
  <c r="F1111" i="1" s="1"/>
  <c r="O1111" i="1" s="1"/>
  <c r="F1112" i="1" a="1"/>
  <c r="F1112" i="1" s="1"/>
  <c r="O1112" i="1" s="1"/>
  <c r="F1113" i="1" a="1"/>
  <c r="F1113" i="1"/>
  <c r="O1113" i="1" s="1"/>
  <c r="F1114" i="1" a="1"/>
  <c r="F1114" i="1" s="1"/>
  <c r="F586" i="1" a="1"/>
  <c r="F586" i="1" s="1"/>
  <c r="F587" i="1" a="1"/>
  <c r="F587" i="1" s="1"/>
  <c r="F588" i="1" a="1"/>
  <c r="F588" i="1" s="1"/>
  <c r="F589" i="1" a="1"/>
  <c r="F589" i="1" s="1"/>
  <c r="H1181" i="1" a="1"/>
  <c r="H1181" i="1" s="1"/>
  <c r="H1186" i="1" a="1"/>
  <c r="H1186" i="1" s="1"/>
  <c r="H896" i="1" a="1"/>
  <c r="H896" i="1" s="1"/>
  <c r="H900" i="1" a="1"/>
  <c r="H900" i="1" s="1"/>
  <c r="H232" i="1" a="1"/>
  <c r="H232" i="1" s="1"/>
  <c r="H239" i="1" a="1"/>
  <c r="H239" i="1" s="1"/>
  <c r="H244" i="1" a="1"/>
  <c r="H244" i="1" s="1"/>
  <c r="H248" i="1" a="1"/>
  <c r="H248" i="1" s="1"/>
  <c r="H251" i="1" a="1"/>
  <c r="H251" i="1" s="1"/>
  <c r="H255" i="1" a="1"/>
  <c r="H255" i="1" s="1"/>
  <c r="H267" i="1" a="1"/>
  <c r="H267" i="1" s="1"/>
  <c r="H907" i="1" a="1"/>
  <c r="H907" i="1" s="1"/>
  <c r="H910" i="1" a="1"/>
  <c r="H910" i="1" s="1"/>
  <c r="H278" i="1" a="1"/>
  <c r="H278" i="1" s="1"/>
  <c r="H280" i="1" a="1"/>
  <c r="H280" i="1" s="1"/>
  <c r="H300" i="1" a="1"/>
  <c r="H300" i="1" s="1"/>
  <c r="H923" i="1" a="1"/>
  <c r="H923" i="1" s="1"/>
  <c r="H941" i="1" a="1"/>
  <c r="H941" i="1" s="1"/>
  <c r="H1210" i="1" a="1"/>
  <c r="H1210" i="1" s="1"/>
  <c r="H341" i="1" a="1"/>
  <c r="H341" i="1" s="1"/>
  <c r="H357" i="1" a="1"/>
  <c r="H357" i="1" s="1"/>
  <c r="H375" i="1" a="1"/>
  <c r="H375" i="1" s="1"/>
  <c r="H1290" i="1" a="1"/>
  <c r="H1290" i="1" s="1"/>
  <c r="H996" i="1" a="1"/>
  <c r="H996" i="1" s="1"/>
  <c r="H381" i="1" a="1"/>
  <c r="H381" i="1" s="1"/>
  <c r="H395" i="1" a="1"/>
  <c r="H395" i="1" s="1"/>
  <c r="H397" i="1" a="1"/>
  <c r="H397" i="1" s="1"/>
  <c r="I397" i="1" s="1" a="1"/>
  <c r="I397" i="1" s="1"/>
  <c r="H400" i="1" a="1"/>
  <c r="H400" i="1" s="1"/>
  <c r="H1016" i="1" a="1"/>
  <c r="H1016" i="1" s="1"/>
  <c r="H418" i="1" a="1"/>
  <c r="H418" i="1" s="1"/>
  <c r="H1338" i="1" a="1"/>
  <c r="H1338" i="1" s="1"/>
  <c r="H1182" i="1" a="1"/>
  <c r="H1182" i="1" s="1"/>
  <c r="H1183" i="1" a="1"/>
  <c r="H1183" i="1" s="1"/>
  <c r="H1184" i="1" a="1"/>
  <c r="H1184" i="1" s="1"/>
  <c r="H1185" i="1" a="1"/>
  <c r="H1185" i="1" s="1"/>
  <c r="H1187" i="1" a="1"/>
  <c r="H1187" i="1" s="1"/>
  <c r="I1187" i="1" s="1" a="1"/>
  <c r="I1187" i="1" s="1"/>
  <c r="H894" i="1" a="1"/>
  <c r="H894" i="1" s="1"/>
  <c r="H1188" i="1" a="1"/>
  <c r="H1188" i="1" s="1"/>
  <c r="H1189" i="1" a="1"/>
  <c r="H1189" i="1" s="1"/>
  <c r="H897" i="1" a="1"/>
  <c r="H897" i="1" s="1"/>
  <c r="H1190" i="1" a="1"/>
  <c r="H1190" i="1" s="1"/>
  <c r="H224" i="1" a="1"/>
  <c r="H224" i="1" s="1"/>
  <c r="H225" i="1" a="1"/>
  <c r="H225" i="1" s="1"/>
  <c r="I225" i="1" s="1" a="1"/>
  <c r="I225" i="1" s="1"/>
  <c r="H229" i="1" a="1"/>
  <c r="H229" i="1" s="1"/>
  <c r="H230" i="1" a="1"/>
  <c r="H230" i="1" s="1"/>
  <c r="H231" i="1" a="1"/>
  <c r="H231" i="1" s="1"/>
  <c r="H901" i="1" a="1"/>
  <c r="H901" i="1" s="1"/>
  <c r="H233" i="1" a="1"/>
  <c r="H233" i="1" s="1"/>
  <c r="H234" i="1" a="1"/>
  <c r="H234" i="1" s="1"/>
  <c r="H235" i="1" a="1"/>
  <c r="H235" i="1"/>
  <c r="H236" i="1" a="1"/>
  <c r="H236" i="1" s="1"/>
  <c r="H238" i="1" a="1"/>
  <c r="H238" i="1" s="1"/>
  <c r="H240" i="1" a="1"/>
  <c r="H240" i="1"/>
  <c r="H242" i="1" a="1"/>
  <c r="H242" i="1"/>
  <c r="H243" i="1" a="1"/>
  <c r="H243" i="1" s="1"/>
  <c r="H245" i="1" a="1"/>
  <c r="H245" i="1" s="1"/>
  <c r="H246" i="1" a="1"/>
  <c r="H246" i="1" s="1"/>
  <c r="H247" i="1" a="1"/>
  <c r="H247" i="1" s="1"/>
  <c r="H249" i="1" a="1"/>
  <c r="H249" i="1" s="1"/>
  <c r="H252" i="1" a="1"/>
  <c r="H252" i="1" s="1"/>
  <c r="H253" i="1" a="1"/>
  <c r="H253" i="1" s="1"/>
  <c r="H254" i="1" a="1"/>
  <c r="H254" i="1" s="1"/>
  <c r="H256" i="1" a="1"/>
  <c r="H256" i="1" s="1"/>
  <c r="H257" i="1" a="1"/>
  <c r="H257" i="1" s="1"/>
  <c r="H258" i="1" a="1"/>
  <c r="H258" i="1" s="1"/>
  <c r="H259" i="1" a="1"/>
  <c r="H259" i="1" s="1"/>
  <c r="H261" i="1" a="1"/>
  <c r="H261" i="1" s="1"/>
  <c r="H264" i="1" a="1"/>
  <c r="H264" i="1" s="1"/>
  <c r="H265" i="1" a="1"/>
  <c r="H265" i="1" s="1"/>
  <c r="I265" i="1" s="1" a="1"/>
  <c r="I265" i="1" s="1"/>
  <c r="H903" i="1" a="1"/>
  <c r="H903" i="1" s="1"/>
  <c r="H904" i="1" a="1"/>
  <c r="H904" i="1"/>
  <c r="H905" i="1" a="1"/>
  <c r="H905" i="1" s="1"/>
  <c r="H906" i="1"/>
  <c r="H908" i="1" a="1"/>
  <c r="H908" i="1"/>
  <c r="H268" i="1" a="1"/>
  <c r="H268" i="1" s="1"/>
  <c r="H269" i="1" a="1"/>
  <c r="H269" i="1" s="1"/>
  <c r="H270" i="1" a="1"/>
  <c r="H270" i="1" s="1"/>
  <c r="H273" i="1" a="1"/>
  <c r="H273" i="1" s="1"/>
  <c r="H274" i="1" a="1"/>
  <c r="H274" i="1"/>
  <c r="H275" i="1" a="1"/>
  <c r="H275" i="1" s="1"/>
  <c r="H277" i="1" a="1"/>
  <c r="H277" i="1" s="1"/>
  <c r="H279" i="1" a="1"/>
  <c r="H279" i="1" s="1"/>
  <c r="I279" i="1" s="1" a="1"/>
  <c r="I279" i="1" s="1"/>
  <c r="H283" i="1" a="1"/>
  <c r="H283" i="1" s="1"/>
  <c r="H284" i="1" a="1"/>
  <c r="H284" i="1" s="1"/>
  <c r="H285" i="1" a="1"/>
  <c r="H285" i="1" s="1"/>
  <c r="H286" i="1" a="1"/>
  <c r="H286" i="1" s="1"/>
  <c r="I286" i="1" s="1" a="1"/>
  <c r="I286" i="1" s="1"/>
  <c r="H288" i="1" a="1"/>
  <c r="H288" i="1" s="1"/>
  <c r="H289" i="1" a="1"/>
  <c r="H289" i="1" s="1"/>
  <c r="H1191" i="1" a="1"/>
  <c r="H1191" i="1" s="1"/>
  <c r="H291" i="1" a="1"/>
  <c r="H291" i="1" s="1"/>
  <c r="H292" i="1" a="1"/>
  <c r="H292" i="1" s="1"/>
  <c r="H293" i="1" a="1"/>
  <c r="H293" i="1" s="1"/>
  <c r="H294" i="1" a="1"/>
  <c r="H294" i="1" s="1"/>
  <c r="H297" i="1" a="1"/>
  <c r="H297" i="1" s="1"/>
  <c r="H301" i="1" a="1"/>
  <c r="H301" i="1"/>
  <c r="H302" i="1" a="1"/>
  <c r="H302" i="1" s="1"/>
  <c r="H303" i="1" a="1"/>
  <c r="H303" i="1" s="1"/>
  <c r="H305" i="1" a="1"/>
  <c r="H305" i="1" s="1"/>
  <c r="H1192" i="1" a="1"/>
  <c r="H1192" i="1" s="1"/>
  <c r="H306" i="1" a="1"/>
  <c r="H306" i="1" s="1"/>
  <c r="H307" i="1"/>
  <c r="H308" i="1" a="1"/>
  <c r="H308" i="1"/>
  <c r="H309" i="1" a="1"/>
  <c r="H309" i="1" s="1"/>
  <c r="H911" i="1" a="1"/>
  <c r="H911" i="1" s="1"/>
  <c r="H310" i="1" a="1"/>
  <c r="H310" i="1" s="1"/>
  <c r="I310" i="1" s="1" a="1"/>
  <c r="I310" i="1" s="1"/>
  <c r="H912" i="1" a="1"/>
  <c r="H912" i="1" s="1"/>
  <c r="H311" i="1"/>
  <c r="H913" i="1" a="1"/>
  <c r="H913" i="1" s="1"/>
  <c r="H314" i="1" a="1"/>
  <c r="H314" i="1"/>
  <c r="H315" i="1" a="1"/>
  <c r="H315" i="1" s="1"/>
  <c r="H316" i="1" a="1"/>
  <c r="H316" i="1" s="1"/>
  <c r="I316" i="1" s="1" a="1"/>
  <c r="I316" i="1" s="1"/>
  <c r="H317" i="1" a="1"/>
  <c r="H317" i="1" s="1"/>
  <c r="H319" i="1" a="1"/>
  <c r="H319" i="1" s="1"/>
  <c r="H320" i="1" a="1"/>
  <c r="H320" i="1" s="1"/>
  <c r="H321" i="1" a="1"/>
  <c r="H321" i="1" s="1"/>
  <c r="H322" i="1" a="1"/>
  <c r="H322" i="1" s="1"/>
  <c r="I322" i="1" s="1" a="1"/>
  <c r="I322" i="1" s="1"/>
  <c r="H915" i="1" a="1"/>
  <c r="H915" i="1" s="1"/>
  <c r="H916" i="1" a="1"/>
  <c r="H916" i="1" s="1"/>
  <c r="H917" i="1" a="1"/>
  <c r="H917" i="1" s="1"/>
  <c r="H918" i="1" a="1"/>
  <c r="H918" i="1" s="1"/>
  <c r="H919" i="1" a="1"/>
  <c r="H919" i="1" s="1"/>
  <c r="H922" i="1" a="1"/>
  <c r="H922" i="1" s="1"/>
  <c r="H924" i="1" a="1"/>
  <c r="H924" i="1" s="1"/>
  <c r="H925" i="1" a="1"/>
  <c r="H925" i="1" s="1"/>
  <c r="H926" i="1" a="1"/>
  <c r="H926" i="1"/>
  <c r="L926" i="1" s="1" a="1"/>
  <c r="L926" i="1" s="1"/>
  <c r="N926" i="1" s="1"/>
  <c r="H325" i="1" a="1"/>
  <c r="H325" i="1" s="1"/>
  <c r="H927" i="1" a="1"/>
  <c r="H927" i="1" s="1"/>
  <c r="H930" i="1" a="1"/>
  <c r="H930" i="1"/>
  <c r="H931" i="1" a="1"/>
  <c r="H931" i="1" s="1"/>
  <c r="H932" i="1" a="1"/>
  <c r="H932" i="1" s="1"/>
  <c r="I932" i="1" s="1" a="1"/>
  <c r="I932" i="1" s="1"/>
  <c r="H933" i="1" a="1"/>
  <c r="H933" i="1" s="1"/>
  <c r="H936" i="1" a="1"/>
  <c r="H936" i="1" s="1"/>
  <c r="H937" i="1" a="1"/>
  <c r="H937" i="1" s="1"/>
  <c r="H938" i="1" a="1"/>
  <c r="H938" i="1" s="1"/>
  <c r="H939" i="1" a="1"/>
  <c r="H939" i="1" s="1"/>
  <c r="H940" i="1" a="1"/>
  <c r="H940" i="1"/>
  <c r="H942" i="1" a="1"/>
  <c r="H942" i="1" s="1"/>
  <c r="H944" i="1"/>
  <c r="H945" i="1" a="1"/>
  <c r="H945" i="1" s="1"/>
  <c r="H1288" i="1"/>
  <c r="H947" i="1" a="1"/>
  <c r="H947" i="1"/>
  <c r="H951" i="1" a="1"/>
  <c r="H951" i="1"/>
  <c r="H952" i="1" a="1"/>
  <c r="H952" i="1" s="1"/>
  <c r="H953" i="1" a="1"/>
  <c r="H953" i="1" s="1"/>
  <c r="H954" i="1" a="1"/>
  <c r="H954" i="1" s="1"/>
  <c r="H957" i="1" a="1"/>
  <c r="H957" i="1" s="1"/>
  <c r="I957" i="1" s="1" a="1"/>
  <c r="H1339" i="1" a="1"/>
  <c r="H1339" i="1"/>
  <c r="H326" i="1" a="1"/>
  <c r="H326" i="1" s="1"/>
  <c r="H328" i="1" a="1"/>
  <c r="H328" i="1" s="1"/>
  <c r="H1193" i="1" a="1"/>
  <c r="H1193" i="1" s="1"/>
  <c r="H1194" i="1" a="1"/>
  <c r="H1194" i="1" s="1"/>
  <c r="I1194" i="1" s="1" a="1"/>
  <c r="I1194" i="1" s="1"/>
  <c r="H1195" i="1" a="1"/>
  <c r="H1195" i="1" s="1"/>
  <c r="H1197" i="1" a="1"/>
  <c r="H1197" i="1" s="1"/>
  <c r="H1198" i="1" a="1"/>
  <c r="H1198" i="1"/>
  <c r="H1340" i="1" a="1"/>
  <c r="H1340" i="1" s="1"/>
  <c r="H1341" i="1" a="1"/>
  <c r="H1341" i="1" s="1"/>
  <c r="H1199" i="1" a="1"/>
  <c r="H1199" i="1"/>
  <c r="I1199" i="1" s="1" a="1"/>
  <c r="H1202" i="1" a="1"/>
  <c r="H1202" i="1" s="1"/>
  <c r="H1203" i="1"/>
  <c r="H1204" i="1" a="1"/>
  <c r="H1204" i="1" s="1"/>
  <c r="H1205" i="1" a="1"/>
  <c r="H1205" i="1"/>
  <c r="H1208" i="1"/>
  <c r="H1209" i="1" a="1"/>
  <c r="H1209" i="1" s="1"/>
  <c r="H1342" i="1" a="1"/>
  <c r="H1342" i="1" s="1"/>
  <c r="I1342" i="1" s="1" a="1"/>
  <c r="H1212" i="1" a="1"/>
  <c r="H1212" i="1" s="1"/>
  <c r="H329" i="1" a="1"/>
  <c r="H329" i="1" s="1"/>
  <c r="H330" i="1"/>
  <c r="H331" i="1" a="1"/>
  <c r="H331" i="1" s="1"/>
  <c r="H332" i="1" a="1"/>
  <c r="H332" i="1" s="1"/>
  <c r="I332" i="1" s="1" a="1"/>
  <c r="I332" i="1" s="1"/>
  <c r="H333" i="1" a="1"/>
  <c r="H333" i="1" s="1"/>
  <c r="H334" i="1" a="1"/>
  <c r="H334" i="1"/>
  <c r="H337" i="1" a="1"/>
  <c r="H337" i="1" s="1"/>
  <c r="H338" i="1" a="1"/>
  <c r="H338" i="1" s="1"/>
  <c r="H339" i="1" a="1"/>
  <c r="H339" i="1" s="1"/>
  <c r="H342" i="1" a="1"/>
  <c r="H342" i="1" s="1"/>
  <c r="H343" i="1" a="1"/>
  <c r="H343" i="1" s="1"/>
  <c r="I343" i="1" s="1" a="1"/>
  <c r="I343" i="1" s="1"/>
  <c r="H345" i="1" a="1"/>
  <c r="H345" i="1" s="1"/>
  <c r="H346" i="1" a="1"/>
  <c r="H346" i="1" s="1"/>
  <c r="I346" i="1" s="1" a="1"/>
  <c r="I346" i="1" s="1"/>
  <c r="H347" i="1" a="1"/>
  <c r="H347" i="1" s="1"/>
  <c r="H348" i="1" a="1"/>
  <c r="H348" i="1"/>
  <c r="H349" i="1" a="1"/>
  <c r="H349" i="1" s="1"/>
  <c r="H350" i="1"/>
  <c r="H351" i="1" a="1"/>
  <c r="H351" i="1" s="1"/>
  <c r="H352" i="1" a="1"/>
  <c r="H352" i="1" s="1"/>
  <c r="H353" i="1" a="1"/>
  <c r="H353" i="1" s="1"/>
  <c r="I353" i="1" s="1" a="1"/>
  <c r="H354" i="1" a="1"/>
  <c r="H354" i="1"/>
  <c r="H359" i="1" a="1"/>
  <c r="H359" i="1" s="1"/>
  <c r="I359" i="1" s="1" a="1"/>
  <c r="I359" i="1" s="1"/>
  <c r="H958" i="1" a="1"/>
  <c r="H958" i="1" s="1"/>
  <c r="H959" i="1" a="1"/>
  <c r="H959" i="1" s="1"/>
  <c r="H960" i="1"/>
  <c r="H962" i="1" a="1"/>
  <c r="H962" i="1"/>
  <c r="H963" i="1" a="1"/>
  <c r="H963" i="1" s="1"/>
  <c r="H964" i="1" a="1"/>
  <c r="H964" i="1" s="1"/>
  <c r="H965" i="1" a="1"/>
  <c r="H965" i="1" s="1"/>
  <c r="I965" i="1" s="1" a="1"/>
  <c r="I965" i="1" s="1"/>
  <c r="H967" i="1" a="1"/>
  <c r="H967" i="1" s="1"/>
  <c r="H968" i="1" a="1"/>
  <c r="H968" i="1" s="1"/>
  <c r="H969" i="1" a="1"/>
  <c r="H969" i="1" s="1"/>
  <c r="H972" i="1" a="1"/>
  <c r="H972" i="1" s="1"/>
  <c r="H973" i="1" a="1"/>
  <c r="H973" i="1"/>
  <c r="H974" i="1" a="1"/>
  <c r="H974" i="1" s="1"/>
  <c r="H976" i="1" a="1"/>
  <c r="H976" i="1" s="1"/>
  <c r="I976" i="1" s="1" a="1"/>
  <c r="H977" i="1" a="1"/>
  <c r="H977" i="1" s="1"/>
  <c r="H979" i="1" a="1"/>
  <c r="H979" i="1" s="1"/>
  <c r="H981" i="1" a="1"/>
  <c r="H981" i="1" s="1"/>
  <c r="H982" i="1" a="1"/>
  <c r="H982" i="1"/>
  <c r="H984" i="1"/>
  <c r="I984" i="1" s="1" a="1"/>
  <c r="I984" i="1" s="1"/>
  <c r="H985" i="1" a="1"/>
  <c r="H985" i="1" s="1"/>
  <c r="H1213" i="1" a="1"/>
  <c r="H1213" i="1" s="1"/>
  <c r="H1214" i="1" a="1"/>
  <c r="H1214" i="1" s="1"/>
  <c r="H1216" i="1" a="1"/>
  <c r="H1216" i="1" s="1"/>
  <c r="H1217" i="1" a="1"/>
  <c r="H1217" i="1" s="1"/>
  <c r="H1218" i="1" a="1"/>
  <c r="H1218" i="1" s="1"/>
  <c r="H1219" i="1"/>
  <c r="H1221" i="1" a="1"/>
  <c r="H1221" i="1" s="1"/>
  <c r="H1222" i="1" a="1"/>
  <c r="H1222" i="1" s="1"/>
  <c r="H1223" i="1" a="1"/>
  <c r="H1223" i="1" s="1"/>
  <c r="I1223" i="1" s="1" a="1"/>
  <c r="I1223" i="1" s="1"/>
  <c r="H987" i="1" a="1"/>
  <c r="H987" i="1" s="1"/>
  <c r="H360" i="1" a="1"/>
  <c r="H360" i="1" s="1"/>
  <c r="I360" i="1" s="1" a="1"/>
  <c r="I360" i="1" s="1"/>
  <c r="H361" i="1" a="1"/>
  <c r="H361" i="1" s="1"/>
  <c r="I361" i="1" s="1" a="1"/>
  <c r="H1343" i="1" a="1"/>
  <c r="H1343" i="1" s="1"/>
  <c r="H1344" i="1" a="1"/>
  <c r="H1344" i="1"/>
  <c r="H365" i="1"/>
  <c r="H367" i="1" a="1"/>
  <c r="H367" i="1" s="1"/>
  <c r="H368" i="1" a="1"/>
  <c r="H368" i="1" s="1"/>
  <c r="H370" i="1" a="1"/>
  <c r="H370" i="1" s="1"/>
  <c r="H371" i="1" a="1"/>
  <c r="H371" i="1" s="1"/>
  <c r="H372" i="1" a="1"/>
  <c r="H372" i="1" s="1"/>
  <c r="I372" i="1" s="1" a="1"/>
  <c r="I372" i="1" s="1"/>
  <c r="H374" i="1"/>
  <c r="H990" i="1" a="1"/>
  <c r="H990" i="1" s="1"/>
  <c r="H992" i="1" a="1"/>
  <c r="H992" i="1" s="1"/>
  <c r="H993" i="1" a="1"/>
  <c r="H993" i="1" s="1"/>
  <c r="H1225" i="1" a="1"/>
  <c r="H1225" i="1" s="1"/>
  <c r="H1226" i="1" a="1"/>
  <c r="H1226" i="1" s="1"/>
  <c r="H1289" i="1" a="1"/>
  <c r="H1289" i="1"/>
  <c r="H1227" i="1" a="1"/>
  <c r="H1227" i="1"/>
  <c r="H994" i="1" a="1"/>
  <c r="H994" i="1" s="1"/>
  <c r="H995" i="1"/>
  <c r="H1228" i="1" a="1"/>
  <c r="H1228" i="1" s="1"/>
  <c r="H997" i="1" a="1"/>
  <c r="H997" i="1" s="1"/>
  <c r="H1291" i="1" a="1"/>
  <c r="H1291" i="1"/>
  <c r="I1291" i="1" s="1" a="1"/>
  <c r="I1291" i="1" s="1"/>
  <c r="H1345" i="1" a="1"/>
  <c r="H1345" i="1" s="1"/>
  <c r="H376" i="1"/>
  <c r="H378" i="1" a="1"/>
  <c r="H378" i="1" s="1"/>
  <c r="H999" i="1" a="1"/>
  <c r="H999" i="1" s="1"/>
  <c r="I999" i="1" s="1" a="1"/>
  <c r="I999" i="1" s="1"/>
  <c r="H380" i="1" a="1"/>
  <c r="H380" i="1" s="1"/>
  <c r="H1000" i="1"/>
  <c r="H382" i="1" a="1"/>
  <c r="H382" i="1" s="1"/>
  <c r="H1001" i="1" a="1"/>
  <c r="H1001" i="1" s="1"/>
  <c r="I1001" i="1" s="1" a="1"/>
  <c r="I1001" i="1" s="1"/>
  <c r="H383" i="1" a="1"/>
  <c r="H383" i="1" s="1"/>
  <c r="H1003" i="1" a="1"/>
  <c r="H1003" i="1" s="1"/>
  <c r="H384" i="1" a="1"/>
  <c r="H384" i="1" s="1"/>
  <c r="I384" i="1" s="1" a="1"/>
  <c r="I384" i="1" s="1"/>
  <c r="H385" i="1" a="1"/>
  <c r="H385" i="1" s="1"/>
  <c r="H387" i="1"/>
  <c r="H1004" i="1" a="1"/>
  <c r="H1004" i="1"/>
  <c r="H388" i="1" a="1"/>
  <c r="H388" i="1" s="1"/>
  <c r="I388" i="1" s="1" a="1"/>
  <c r="I388" i="1" s="1"/>
  <c r="H389" i="1" a="1"/>
  <c r="H389" i="1" s="1"/>
  <c r="H390" i="1" a="1"/>
  <c r="H390" i="1" s="1"/>
  <c r="H1005" i="1" a="1"/>
  <c r="H1005" i="1" s="1"/>
  <c r="H391" i="1" a="1"/>
  <c r="H391" i="1" s="1"/>
  <c r="H392" i="1" a="1"/>
  <c r="H392" i="1"/>
  <c r="H1006" i="1" a="1"/>
  <c r="H1006" i="1" s="1"/>
  <c r="H393" i="1" a="1"/>
  <c r="H393" i="1" s="1"/>
  <c r="I393" i="1" s="1" a="1"/>
  <c r="I393" i="1" s="1"/>
  <c r="H394" i="1" a="1"/>
  <c r="H394" i="1" s="1"/>
  <c r="H1007" i="1" a="1"/>
  <c r="H1007" i="1" s="1"/>
  <c r="I1007" i="1" s="1" a="1"/>
  <c r="I1007" i="1" s="1"/>
  <c r="H396" i="1" a="1"/>
  <c r="H396" i="1" s="1"/>
  <c r="H1009" i="1" a="1"/>
  <c r="H1009" i="1" s="1"/>
  <c r="H398" i="1" a="1"/>
  <c r="H398" i="1" s="1"/>
  <c r="H399" i="1" a="1"/>
  <c r="H399" i="1" s="1"/>
  <c r="H1011" i="1" a="1"/>
  <c r="H1011" i="1" s="1"/>
  <c r="H1013" i="1" a="1"/>
  <c r="H1013" i="1" s="1"/>
  <c r="H1014" i="1" a="1"/>
  <c r="H1014" i="1" s="1"/>
  <c r="H401" i="1" a="1"/>
  <c r="H401" i="1" s="1"/>
  <c r="I401" i="1" s="1" a="1"/>
  <c r="I401" i="1" s="1"/>
  <c r="H402" i="1" a="1"/>
  <c r="H402" i="1" s="1"/>
  <c r="I402" i="1" s="1" a="1"/>
  <c r="I402" i="1" s="1"/>
  <c r="H1017" i="1" a="1"/>
  <c r="H1017" i="1" s="1"/>
  <c r="H1018" i="1" a="1"/>
  <c r="H1018" i="1" s="1"/>
  <c r="I1018" i="1" s="1" a="1"/>
  <c r="H1019" i="1"/>
  <c r="H1020" i="1" a="1"/>
  <c r="H1020" i="1" s="1"/>
  <c r="H404" i="1" a="1"/>
  <c r="H404" i="1" s="1"/>
  <c r="H1022" i="1" a="1"/>
  <c r="H1022" i="1" s="1"/>
  <c r="I1022" i="1" s="1" a="1"/>
  <c r="I1022" i="1" s="1"/>
  <c r="H1023" i="1" a="1"/>
  <c r="H1023" i="1" s="1"/>
  <c r="H1024" i="1" a="1"/>
  <c r="H1024" i="1"/>
  <c r="H406" i="1" a="1"/>
  <c r="H406" i="1" s="1"/>
  <c r="H1025" i="1"/>
  <c r="H407" i="1" a="1"/>
  <c r="H407" i="1" s="1"/>
  <c r="H1026" i="1" a="1"/>
  <c r="H1026" i="1" s="1"/>
  <c r="H409" i="1" a="1"/>
  <c r="H409" i="1" s="1"/>
  <c r="H410" i="1" a="1"/>
  <c r="H410" i="1" s="1"/>
  <c r="H411" i="1" a="1"/>
  <c r="H411" i="1" s="1"/>
  <c r="I411" i="1" s="1" a="1"/>
  <c r="I411" i="1" s="1"/>
  <c r="H412" i="1" a="1"/>
  <c r="H412" i="1" s="1"/>
  <c r="I412" i="1" s="1" a="1"/>
  <c r="I412" i="1" s="1"/>
  <c r="H413" i="1" a="1"/>
  <c r="H413" i="1" s="1"/>
  <c r="I413" i="1" s="1" a="1"/>
  <c r="I413" i="1" s="1"/>
  <c r="H414" i="1" a="1"/>
  <c r="H414" i="1" s="1"/>
  <c r="H415" i="1" a="1"/>
  <c r="H415" i="1" s="1"/>
  <c r="H416" i="1" a="1"/>
  <c r="H416" i="1" s="1"/>
  <c r="H417" i="1" a="1"/>
  <c r="H417" i="1" s="1"/>
  <c r="H420" i="1" a="1"/>
  <c r="H420" i="1" s="1"/>
  <c r="H421" i="1" a="1"/>
  <c r="H421" i="1" s="1"/>
  <c r="I421" i="1" s="1" a="1"/>
  <c r="I421" i="1" s="1"/>
  <c r="H422" i="1" a="1"/>
  <c r="H422" i="1" s="1"/>
  <c r="I422" i="1" s="1" a="1"/>
  <c r="I422" i="1" s="1"/>
  <c r="H423" i="1"/>
  <c r="I423" i="1" s="1" a="1"/>
  <c r="I423" i="1" s="1"/>
  <c r="H1229" i="1" a="1"/>
  <c r="H1229" i="1" s="1"/>
  <c r="H424" i="1" a="1"/>
  <c r="H424" i="1" s="1"/>
  <c r="H425" i="1" a="1"/>
  <c r="H425" i="1" s="1"/>
  <c r="H1230" i="1" a="1"/>
  <c r="H1230" i="1" s="1"/>
  <c r="H426" i="1" a="1"/>
  <c r="H426" i="1" s="1"/>
  <c r="H1231" i="1" a="1"/>
  <c r="H1231" i="1" s="1"/>
  <c r="H1232" i="1" a="1"/>
  <c r="H1232" i="1" s="1"/>
  <c r="H427" i="1" a="1"/>
  <c r="H427" i="1" s="1"/>
  <c r="I427" i="1" s="1" a="1"/>
  <c r="I427" i="1" s="1"/>
  <c r="H1233" i="1" a="1"/>
  <c r="H1233" i="1" s="1"/>
  <c r="I1233" i="1" s="1" a="1"/>
  <c r="I1233" i="1" s="1"/>
  <c r="H1234" i="1"/>
  <c r="H428" i="1" a="1"/>
  <c r="H428" i="1" s="1"/>
  <c r="H1235" i="1" a="1"/>
  <c r="H1235" i="1" s="1"/>
  <c r="I1235" i="1" s="1" a="1"/>
  <c r="H1236" i="1" a="1"/>
  <c r="H1236" i="1" s="1"/>
  <c r="H429" i="1" a="1"/>
  <c r="H429" i="1"/>
  <c r="H1237" i="1" a="1"/>
  <c r="H1237" i="1" s="1"/>
  <c r="I1237" i="1" s="1" a="1"/>
  <c r="I1237" i="1" s="1"/>
  <c r="H430" i="1" a="1"/>
  <c r="H430" i="1" s="1"/>
  <c r="H1239" i="1" a="1"/>
  <c r="H1239" i="1" s="1"/>
  <c r="H1240" i="1" a="1"/>
  <c r="H1240" i="1" s="1"/>
  <c r="H431" i="1" a="1"/>
  <c r="H431" i="1" s="1"/>
  <c r="H1241" i="1" a="1"/>
  <c r="H1241" i="1" s="1"/>
  <c r="H1242" i="1" a="1"/>
  <c r="H1242" i="1" s="1"/>
  <c r="H432" i="1" a="1"/>
  <c r="H432" i="1" s="1"/>
  <c r="H1243" i="1" a="1"/>
  <c r="H1243" i="1" s="1"/>
  <c r="H1244" i="1" a="1"/>
  <c r="H1244" i="1" s="1"/>
  <c r="H433" i="1" a="1"/>
  <c r="H433" i="1" s="1"/>
  <c r="H434" i="1" a="1"/>
  <c r="H434" i="1" s="1"/>
  <c r="H1027" i="1" a="1"/>
  <c r="H1027" i="1" s="1"/>
  <c r="H1028" i="1" a="1"/>
  <c r="H1028" i="1" s="1"/>
  <c r="I1028" i="1" s="1" a="1"/>
  <c r="I1028" i="1" s="1"/>
  <c r="H435" i="1" a="1"/>
  <c r="H435" i="1" s="1"/>
  <c r="I435" i="1" s="1" a="1"/>
  <c r="I435" i="1" s="1"/>
  <c r="H436" i="1" a="1"/>
  <c r="H436" i="1" s="1"/>
  <c r="H1029" i="1"/>
  <c r="I1029" i="1" s="1" a="1"/>
  <c r="I1029" i="1" s="1"/>
  <c r="H1030" i="1"/>
  <c r="H437" i="1" a="1"/>
  <c r="H437" i="1" s="1"/>
  <c r="H438" i="1" a="1"/>
  <c r="H438" i="1" s="1"/>
  <c r="H439" i="1" a="1"/>
  <c r="H439" i="1" s="1"/>
  <c r="H440" i="1" a="1"/>
  <c r="H440" i="1" s="1"/>
  <c r="H443" i="1" a="1"/>
  <c r="H443" i="1" s="1"/>
  <c r="H1245" i="1" a="1"/>
  <c r="H1245" i="1" s="1"/>
  <c r="H445" i="1" a="1"/>
  <c r="H445" i="1" s="1"/>
  <c r="I445" i="1" s="1" a="1"/>
  <c r="I445" i="1" s="1"/>
  <c r="H1246" i="1" a="1"/>
  <c r="H1246" i="1" s="1"/>
  <c r="I1246" i="1" s="1" a="1"/>
  <c r="H446" i="1" a="1"/>
  <c r="H446" i="1" s="1"/>
  <c r="H447" i="1" a="1"/>
  <c r="H447" i="1"/>
  <c r="I447" i="1" s="1" a="1"/>
  <c r="I447" i="1" s="1"/>
  <c r="H448" i="1" a="1"/>
  <c r="H448" i="1" s="1"/>
  <c r="H449" i="1" a="1"/>
  <c r="H449" i="1" s="1"/>
  <c r="H1247" i="1" a="1"/>
  <c r="H1247" i="1" s="1"/>
  <c r="H1031" i="1" a="1"/>
  <c r="H1031" i="1"/>
  <c r="H450" i="1" a="1"/>
  <c r="H450" i="1" s="1"/>
  <c r="H1248" i="1" a="1"/>
  <c r="H1248" i="1" s="1"/>
  <c r="H451" i="1" a="1"/>
  <c r="H451" i="1" s="1"/>
  <c r="I451" i="1" s="1" a="1"/>
  <c r="I451" i="1" s="1"/>
  <c r="H1249" i="1" a="1"/>
  <c r="H1249" i="1" s="1"/>
  <c r="I1249" i="1" s="1" a="1"/>
  <c r="I1249" i="1" s="1"/>
  <c r="H1032" i="1" a="1"/>
  <c r="H1032" i="1" s="1"/>
  <c r="H453" i="1" a="1"/>
  <c r="H453" i="1" s="1"/>
  <c r="K453" i="1" s="1" a="1"/>
  <c r="K453" i="1" s="1"/>
  <c r="H1250" i="1" a="1"/>
  <c r="H1250" i="1" s="1"/>
  <c r="H1033" i="1" a="1"/>
  <c r="H1033" i="1" s="1"/>
  <c r="H454" i="1" a="1"/>
  <c r="H454" i="1" s="1"/>
  <c r="H1251" i="1" a="1"/>
  <c r="H1251" i="1" s="1"/>
  <c r="H1034" i="1" a="1"/>
  <c r="H1034" i="1" s="1"/>
  <c r="I1034" i="1" s="1" a="1"/>
  <c r="I1034" i="1" s="1"/>
  <c r="H1035" i="1" a="1"/>
  <c r="H1035" i="1" s="1"/>
  <c r="H456" i="1" a="1"/>
  <c r="H456" i="1" s="1"/>
  <c r="I456" i="1" s="1" a="1"/>
  <c r="I456" i="1" s="1"/>
  <c r="H457" i="1" a="1"/>
  <c r="H457" i="1" s="1"/>
  <c r="H1036" i="1" a="1"/>
  <c r="H1036" i="1" s="1"/>
  <c r="H458" i="1" a="1"/>
  <c r="H458" i="1" s="1"/>
  <c r="H1037" i="1" a="1"/>
  <c r="H1037" i="1" s="1"/>
  <c r="I1037" i="1" s="1" a="1"/>
  <c r="I1037" i="1" s="1"/>
  <c r="H1038" i="1" a="1"/>
  <c r="H1038" i="1" s="1"/>
  <c r="H459" i="1" a="1"/>
  <c r="H459" i="1" s="1"/>
  <c r="H1039" i="1" a="1"/>
  <c r="H1039" i="1" s="1"/>
  <c r="H460" i="1" a="1"/>
  <c r="H460" i="1" s="1"/>
  <c r="H461" i="1" a="1"/>
  <c r="H461" i="1" s="1"/>
  <c r="I461" i="1" s="1" a="1"/>
  <c r="H462" i="1" a="1"/>
  <c r="H462" i="1" s="1"/>
  <c r="H463" i="1" a="1"/>
  <c r="H463" i="1"/>
  <c r="H464" i="1" a="1"/>
  <c r="H464" i="1" s="1"/>
  <c r="I464" i="1" s="1" a="1"/>
  <c r="I464" i="1" s="1"/>
  <c r="H465" i="1" a="1"/>
  <c r="H465" i="1" s="1"/>
  <c r="H466" i="1" a="1"/>
  <c r="H466" i="1" s="1"/>
  <c r="H467" i="1" a="1"/>
  <c r="H467" i="1" s="1"/>
  <c r="H468" i="1" a="1"/>
  <c r="H468" i="1" s="1"/>
  <c r="H469" i="1" a="1"/>
  <c r="H469" i="1"/>
  <c r="H470" i="1" a="1"/>
  <c r="H470" i="1" s="1"/>
  <c r="H471" i="1" a="1"/>
  <c r="H471" i="1" s="1"/>
  <c r="I471" i="1" s="1" a="1"/>
  <c r="H472" i="1" a="1"/>
  <c r="H472" i="1" s="1"/>
  <c r="H1041" i="1" a="1"/>
  <c r="H1041" i="1" s="1"/>
  <c r="H1042" i="1" a="1"/>
  <c r="H1042" i="1"/>
  <c r="H1045" i="1" a="1"/>
  <c r="H1045" i="1" s="1"/>
  <c r="I1045" i="1" s="1" a="1"/>
  <c r="I1045" i="1" s="1"/>
  <c r="H1046" i="1" a="1"/>
  <c r="H1046" i="1" s="1"/>
  <c r="H1047" i="1" a="1"/>
  <c r="H1047" i="1"/>
  <c r="H1048" i="1" a="1"/>
  <c r="H1048" i="1" s="1"/>
  <c r="H1050" i="1" a="1"/>
  <c r="H1050" i="1" s="1"/>
  <c r="H1051" i="1" a="1"/>
  <c r="H1051" i="1" s="1"/>
  <c r="I1051" i="1" s="1" a="1"/>
  <c r="H1052" i="1" a="1"/>
  <c r="H1052" i="1" s="1"/>
  <c r="H1346" i="1" a="1"/>
  <c r="H1346" i="1" s="1"/>
  <c r="H1347" i="1" a="1"/>
  <c r="H1347" i="1" s="1"/>
  <c r="H1292" i="1" a="1"/>
  <c r="H1292" i="1" s="1"/>
  <c r="H1348" i="1" a="1"/>
  <c r="H1348" i="1" s="1"/>
  <c r="I1348" i="1" s="1" a="1"/>
  <c r="I1348" i="1" s="1"/>
  <c r="H1293" i="1" a="1"/>
  <c r="H1293" i="1" s="1"/>
  <c r="I1293" i="1" s="1" a="1"/>
  <c r="H1294" i="1" a="1"/>
  <c r="H1294" i="1" s="1"/>
  <c r="I1294" i="1" s="1" a="1"/>
  <c r="I1294" i="1" s="1"/>
  <c r="H1350" i="1" a="1"/>
  <c r="H1350" i="1"/>
  <c r="H1295" i="1" a="1"/>
  <c r="H1295" i="1" s="1"/>
  <c r="H1296" i="1" a="1"/>
  <c r="H1296" i="1" s="1"/>
  <c r="H1351" i="1" a="1"/>
  <c r="H1351" i="1" s="1"/>
  <c r="I1351" i="1" s="1" a="1"/>
  <c r="H1297" i="1" a="1"/>
  <c r="H1297" i="1" s="1"/>
  <c r="H1298" i="1" a="1"/>
  <c r="H1298" i="1" s="1"/>
  <c r="H1352" i="1" a="1"/>
  <c r="H1352" i="1" s="1"/>
  <c r="H1353" i="1" a="1"/>
  <c r="H1353" i="1" s="1"/>
  <c r="H1299" i="1" a="1"/>
  <c r="H1299" i="1" s="1"/>
  <c r="H1300" i="1" a="1"/>
  <c r="H1300" i="1" s="1"/>
  <c r="I1300" i="1" s="1" a="1"/>
  <c r="H1354" i="1" a="1"/>
  <c r="H1354" i="1" s="1"/>
  <c r="I1354" i="1" s="1" a="1"/>
  <c r="I1354" i="1" s="1"/>
  <c r="H1301" i="1" a="1"/>
  <c r="H1301" i="1" s="1"/>
  <c r="H1355" i="1" a="1"/>
  <c r="H1355" i="1" s="1"/>
  <c r="H1302" i="1" a="1"/>
  <c r="H1302" i="1" s="1"/>
  <c r="H1356" i="1" a="1"/>
  <c r="H1356" i="1"/>
  <c r="H1303" i="1" a="1"/>
  <c r="H1303" i="1" s="1"/>
  <c r="H1053" i="1" a="1"/>
  <c r="H1053" i="1" s="1"/>
  <c r="H1054" i="1" a="1"/>
  <c r="H1054" i="1" s="1"/>
  <c r="I1054" i="1" s="1" a="1"/>
  <c r="I1054" i="1" s="1"/>
  <c r="H473" i="1" a="1"/>
  <c r="H473" i="1" s="1"/>
  <c r="H475" i="1" a="1"/>
  <c r="H475" i="1" s="1"/>
  <c r="I475" i="1" s="1" a="1"/>
  <c r="I475" i="1" s="1"/>
  <c r="H476" i="1" a="1"/>
  <c r="H476" i="1" s="1"/>
  <c r="H477" i="1" a="1"/>
  <c r="H477" i="1"/>
  <c r="H478" i="1" a="1"/>
  <c r="H478" i="1" s="1"/>
  <c r="I478" i="1" s="1" a="1"/>
  <c r="H1055" i="1" a="1"/>
  <c r="H1055" i="1" s="1"/>
  <c r="H479" i="1" a="1"/>
  <c r="H479" i="1"/>
  <c r="I479" i="1" s="1" a="1"/>
  <c r="I479" i="1" s="1"/>
  <c r="H480" i="1" a="1"/>
  <c r="H480" i="1" s="1"/>
  <c r="I480" i="1" s="1" a="1"/>
  <c r="I480" i="1" s="1"/>
  <c r="H1056" i="1" a="1"/>
  <c r="H1056" i="1" s="1"/>
  <c r="H481" i="1" a="1"/>
  <c r="H481" i="1" s="1"/>
  <c r="H482" i="1" a="1"/>
  <c r="H482" i="1"/>
  <c r="H1057" i="1" a="1"/>
  <c r="H1057" i="1" s="1"/>
  <c r="H1058" i="1" a="1"/>
  <c r="H1058" i="1"/>
  <c r="I1058" i="1" s="1" a="1"/>
  <c r="I1058" i="1" s="1"/>
  <c r="H483" i="1" a="1"/>
  <c r="H483" i="1" s="1"/>
  <c r="I483" i="1" s="1" a="1"/>
  <c r="I483" i="1" s="1"/>
  <c r="H484" i="1" a="1"/>
  <c r="H484" i="1" s="1"/>
  <c r="H1059" i="1" a="1"/>
  <c r="H1059" i="1" s="1"/>
  <c r="I1059" i="1" s="1" a="1"/>
  <c r="I1059" i="1" s="1"/>
  <c r="H1060" i="1" a="1"/>
  <c r="H1060" i="1" s="1"/>
  <c r="I1060" i="1" s="1" a="1"/>
  <c r="I1060" i="1" s="1"/>
  <c r="H485" i="1" a="1"/>
  <c r="H485" i="1" s="1"/>
  <c r="H486" i="1" a="1"/>
  <c r="H486" i="1" s="1"/>
  <c r="H487" i="1" a="1"/>
  <c r="H487" i="1"/>
  <c r="H488" i="1" a="1"/>
  <c r="H488" i="1" s="1"/>
  <c r="H489" i="1" a="1"/>
  <c r="H489" i="1" s="1"/>
  <c r="I489" i="1" s="1" a="1"/>
  <c r="I489" i="1" s="1"/>
  <c r="H490" i="1" a="1"/>
  <c r="H490" i="1" s="1"/>
  <c r="I490" i="1" s="1" a="1"/>
  <c r="I490" i="1" s="1"/>
  <c r="H1061" i="1" a="1"/>
  <c r="H1061" i="1" s="1"/>
  <c r="H491" i="1" a="1"/>
  <c r="H491" i="1" s="1"/>
  <c r="H492" i="1" a="1"/>
  <c r="H492" i="1" s="1"/>
  <c r="H1062" i="1" a="1"/>
  <c r="H1062" i="1"/>
  <c r="H494" i="1" a="1"/>
  <c r="H494" i="1" s="1"/>
  <c r="H495" i="1" a="1"/>
  <c r="H495" i="1" s="1"/>
  <c r="I495" i="1" s="1" a="1"/>
  <c r="I495" i="1" s="1"/>
  <c r="H496" i="1" a="1"/>
  <c r="H496" i="1" s="1"/>
  <c r="H1063" i="1" a="1"/>
  <c r="H1063" i="1" s="1"/>
  <c r="H497" i="1"/>
  <c r="H498" i="1" a="1"/>
  <c r="H498" i="1" s="1"/>
  <c r="H1064" i="1" a="1"/>
  <c r="H1064" i="1" s="1"/>
  <c r="I1064" i="1" s="1" a="1"/>
  <c r="I1064" i="1" s="1"/>
  <c r="H499" i="1" a="1"/>
  <c r="H499" i="1" s="1"/>
  <c r="H500" i="1" a="1"/>
  <c r="H500" i="1" s="1"/>
  <c r="I500" i="1" s="1" a="1"/>
  <c r="H1253" i="1" a="1"/>
  <c r="H1253" i="1" s="1"/>
  <c r="I1253" i="1" s="1" a="1"/>
  <c r="I1253" i="1" s="1"/>
  <c r="H501" i="1" a="1"/>
  <c r="H501" i="1"/>
  <c r="H1254" i="1" a="1"/>
  <c r="H1254" i="1" s="1"/>
  <c r="H1065" i="1" a="1"/>
  <c r="H1065" i="1" s="1"/>
  <c r="H502" i="1" a="1"/>
  <c r="H502" i="1" s="1"/>
  <c r="I502" i="1" s="1" a="1"/>
  <c r="H1255" i="1" a="1"/>
  <c r="H1255" i="1" s="1"/>
  <c r="H1066" i="1" a="1"/>
  <c r="H1066" i="1" s="1"/>
  <c r="H503" i="1" a="1"/>
  <c r="H503" i="1" s="1"/>
  <c r="I503" i="1" s="1" a="1"/>
  <c r="I503" i="1" s="1"/>
  <c r="H1256" i="1" a="1"/>
  <c r="H1256" i="1" s="1"/>
  <c r="H1067" i="1" a="1"/>
  <c r="H1067" i="1" s="1"/>
  <c r="H504" i="1" a="1"/>
  <c r="H504" i="1" s="1"/>
  <c r="H1257" i="1" a="1"/>
  <c r="H1257" i="1" s="1"/>
  <c r="H1068" i="1" a="1"/>
  <c r="H1068" i="1" s="1"/>
  <c r="I1068" i="1" s="1" a="1"/>
  <c r="I1068" i="1" s="1"/>
  <c r="H505" i="1" a="1"/>
  <c r="H505" i="1" s="1"/>
  <c r="H1258" i="1" a="1"/>
  <c r="H1258" i="1" s="1"/>
  <c r="H1069" i="1" a="1"/>
  <c r="H1069" i="1" s="1"/>
  <c r="I1069" i="1" s="1" a="1"/>
  <c r="I1069" i="1" s="1"/>
  <c r="H506" i="1" a="1"/>
  <c r="H506" i="1" s="1"/>
  <c r="H1259" i="1" a="1"/>
  <c r="H1259" i="1" s="1"/>
  <c r="I1259" i="1" s="1" a="1"/>
  <c r="I1259" i="1" s="1"/>
  <c r="H507" i="1" a="1"/>
  <c r="H507" i="1" s="1"/>
  <c r="H508" i="1" a="1"/>
  <c r="H508" i="1"/>
  <c r="I508" i="1" s="1" a="1"/>
  <c r="I508" i="1" s="1"/>
  <c r="H1260" i="1" a="1"/>
  <c r="H1260" i="1" s="1"/>
  <c r="H1070" i="1" a="1"/>
  <c r="H1070" i="1" s="1"/>
  <c r="H509" i="1" a="1"/>
  <c r="H509" i="1" s="1"/>
  <c r="I509" i="1" s="1" a="1"/>
  <c r="I509" i="1" s="1"/>
  <c r="H1071" i="1" a="1"/>
  <c r="H1071" i="1" s="1"/>
  <c r="H1072" i="1" a="1"/>
  <c r="H1072" i="1" s="1"/>
  <c r="H510" i="1" a="1"/>
  <c r="H510" i="1" s="1"/>
  <c r="H511" i="1" a="1"/>
  <c r="H511" i="1" s="1"/>
  <c r="I511" i="1" s="1" a="1"/>
  <c r="I511" i="1" s="1"/>
  <c r="H1074" i="1" a="1"/>
  <c r="H1074" i="1" s="1"/>
  <c r="H512" i="1" a="1"/>
  <c r="H512" i="1" s="1"/>
  <c r="H513" i="1" a="1"/>
  <c r="H513" i="1" s="1"/>
  <c r="H1304" i="1" a="1"/>
  <c r="H1304" i="1" s="1"/>
  <c r="I1304" i="1" s="1" a="1"/>
  <c r="I1304" i="1" s="1"/>
  <c r="H1358" i="1" a="1"/>
  <c r="H1358" i="1" s="1"/>
  <c r="H1305" i="1" a="1"/>
  <c r="H1305" i="1"/>
  <c r="I1305" i="1" s="1" a="1"/>
  <c r="I1305" i="1" s="1"/>
  <c r="H1359" i="1" a="1"/>
  <c r="H1359" i="1" s="1"/>
  <c r="H1306" i="1" a="1"/>
  <c r="H1306" i="1" s="1"/>
  <c r="H1360" i="1" a="1"/>
  <c r="H1360" i="1" s="1"/>
  <c r="H1361" i="1" a="1"/>
  <c r="H1361" i="1"/>
  <c r="H1307" i="1" a="1"/>
  <c r="H1307" i="1" s="1"/>
  <c r="I1307" i="1" s="1" a="1"/>
  <c r="I1307" i="1" s="1"/>
  <c r="H514" i="1" a="1"/>
  <c r="H514" i="1"/>
  <c r="I514" i="1" s="1" a="1"/>
  <c r="I514" i="1" s="1"/>
  <c r="H1075" i="1" a="1"/>
  <c r="H1075" i="1" s="1"/>
  <c r="H1076" i="1" a="1"/>
  <c r="H1076" i="1" s="1"/>
  <c r="H515" i="1" a="1"/>
  <c r="H515" i="1" s="1"/>
  <c r="H516" i="1" a="1"/>
  <c r="H516" i="1" s="1"/>
  <c r="I516" i="1" s="1" a="1"/>
  <c r="I516" i="1" s="1"/>
  <c r="H1077" i="1" a="1"/>
  <c r="H1077" i="1" s="1"/>
  <c r="H1078" i="1" a="1"/>
  <c r="H1078" i="1" s="1"/>
  <c r="H517" i="1" a="1"/>
  <c r="H517" i="1"/>
  <c r="H518" i="1" a="1"/>
  <c r="H518" i="1" s="1"/>
  <c r="H519" i="1" a="1"/>
  <c r="H519" i="1" s="1"/>
  <c r="H520" i="1" a="1"/>
  <c r="H520" i="1" s="1"/>
  <c r="I520" i="1" s="1" a="1"/>
  <c r="I520" i="1" s="1"/>
  <c r="H521" i="1" a="1"/>
  <c r="H521" i="1" s="1"/>
  <c r="H522" i="1" a="1"/>
  <c r="H522" i="1" s="1"/>
  <c r="H523" i="1" a="1"/>
  <c r="H523" i="1" s="1"/>
  <c r="H524" i="1" a="1"/>
  <c r="H524" i="1"/>
  <c r="H525" i="1" a="1"/>
  <c r="H525" i="1" s="1"/>
  <c r="I525" i="1" s="1" a="1"/>
  <c r="H526" i="1" a="1"/>
  <c r="H526" i="1" s="1"/>
  <c r="I526" i="1" s="1" a="1"/>
  <c r="I526" i="1" s="1"/>
  <c r="H527" i="1" a="1"/>
  <c r="H527" i="1" s="1"/>
  <c r="H1079" i="1" a="1"/>
  <c r="H1079" i="1" s="1"/>
  <c r="H1080" i="1" a="1"/>
  <c r="H1080" i="1" s="1"/>
  <c r="I1080" i="1" s="1" a="1"/>
  <c r="I1080" i="1" s="1"/>
  <c r="H1081" i="1" a="1"/>
  <c r="H1081" i="1"/>
  <c r="H528" i="1" a="1"/>
  <c r="H528" i="1" s="1"/>
  <c r="I528" i="1" s="1" a="1"/>
  <c r="I528" i="1" s="1"/>
  <c r="H529" i="1" a="1"/>
  <c r="H529" i="1" s="1"/>
  <c r="I529" i="1" s="1" a="1"/>
  <c r="I529" i="1" s="1"/>
  <c r="H530" i="1" a="1"/>
  <c r="H530" i="1" s="1"/>
  <c r="H531" i="1" a="1"/>
  <c r="H531" i="1" s="1"/>
  <c r="I531" i="1" s="1" a="1"/>
  <c r="H532" i="1" a="1"/>
  <c r="H532" i="1" s="1"/>
  <c r="H533" i="1" a="1"/>
  <c r="H533" i="1" s="1"/>
  <c r="H534" i="1" a="1"/>
  <c r="H534" i="1" s="1"/>
  <c r="I534" i="1" s="1" a="1"/>
  <c r="I534" i="1" s="1"/>
  <c r="H535" i="1" a="1"/>
  <c r="H535" i="1" s="1"/>
  <c r="I535" i="1" s="1" a="1"/>
  <c r="I535" i="1" s="1"/>
  <c r="H536" i="1" a="1"/>
  <c r="H536" i="1" s="1"/>
  <c r="I536" i="1" s="1" a="1"/>
  <c r="I536" i="1" s="1"/>
  <c r="H537" i="1" a="1"/>
  <c r="H537" i="1" s="1"/>
  <c r="I537" i="1" s="1" a="1"/>
  <c r="I537" i="1" s="1"/>
  <c r="H538" i="1" a="1"/>
  <c r="H538" i="1" s="1"/>
  <c r="H539" i="1" a="1"/>
  <c r="H539" i="1" s="1"/>
  <c r="I539" i="1" s="1" a="1"/>
  <c r="I539" i="1" s="1"/>
  <c r="H540" i="1" a="1"/>
  <c r="H540" i="1" s="1"/>
  <c r="I540" i="1" s="1" a="1"/>
  <c r="H541" i="1" a="1"/>
  <c r="H541" i="1" s="1"/>
  <c r="I541" i="1" s="1" a="1"/>
  <c r="I541" i="1" s="1"/>
  <c r="H542" i="1" a="1"/>
  <c r="H542" i="1" s="1"/>
  <c r="H543" i="1" a="1"/>
  <c r="H543" i="1" s="1"/>
  <c r="H544" i="1" a="1"/>
  <c r="H544" i="1" s="1"/>
  <c r="H545" i="1" a="1"/>
  <c r="H545" i="1" s="1"/>
  <c r="I545" i="1" s="1" a="1"/>
  <c r="I545" i="1" s="1"/>
  <c r="H546" i="1" a="1"/>
  <c r="H546" i="1" s="1"/>
  <c r="I546" i="1" s="1" a="1"/>
  <c r="I546" i="1" s="1"/>
  <c r="H1082" i="1" a="1"/>
  <c r="H1082" i="1" s="1"/>
  <c r="H1083" i="1" a="1"/>
  <c r="H1083" i="1" s="1"/>
  <c r="H1084" i="1" a="1"/>
  <c r="H1084" i="1" s="1"/>
  <c r="I1084" i="1" s="1" a="1"/>
  <c r="I1084" i="1" s="1"/>
  <c r="H1085" i="1" a="1"/>
  <c r="H1085" i="1" s="1"/>
  <c r="H1086" i="1" a="1"/>
  <c r="H1086" i="1" s="1"/>
  <c r="I1086" i="1" s="1" a="1"/>
  <c r="H1087" i="1" a="1"/>
  <c r="H1087" i="1" s="1"/>
  <c r="I1087" i="1" s="1" a="1"/>
  <c r="H1088" i="1" a="1"/>
  <c r="H1088" i="1"/>
  <c r="H1089" i="1" a="1"/>
  <c r="H1089" i="1" s="1"/>
  <c r="I1089" i="1" s="1" a="1"/>
  <c r="I1089" i="1" s="1"/>
  <c r="H1090" i="1" a="1"/>
  <c r="H1090" i="1" s="1"/>
  <c r="H1091" i="1" a="1"/>
  <c r="H1091" i="1" s="1"/>
  <c r="H1092" i="1" a="1"/>
  <c r="H1092" i="1" s="1"/>
  <c r="H1093" i="1" a="1"/>
  <c r="H1093" i="1" s="1"/>
  <c r="I1093" i="1" s="1" a="1"/>
  <c r="I1093" i="1" s="1"/>
  <c r="H548" i="1" a="1"/>
  <c r="H548" i="1" s="1"/>
  <c r="H549" i="1" a="1"/>
  <c r="H549" i="1" s="1"/>
  <c r="H550" i="1" a="1"/>
  <c r="H550" i="1"/>
  <c r="H551" i="1" a="1"/>
  <c r="H551" i="1" s="1"/>
  <c r="I551" i="1" s="1" a="1"/>
  <c r="I551" i="1" s="1"/>
  <c r="H552" i="1" a="1"/>
  <c r="H552" i="1" s="1"/>
  <c r="H553" i="1" a="1"/>
  <c r="H553" i="1" s="1"/>
  <c r="H554" i="1" a="1"/>
  <c r="H554" i="1" s="1"/>
  <c r="H555" i="1" a="1"/>
  <c r="H555" i="1" s="1"/>
  <c r="H556" i="1" a="1"/>
  <c r="H556" i="1" s="1"/>
  <c r="H557" i="1" a="1"/>
  <c r="H557" i="1"/>
  <c r="I557" i="1" s="1" a="1"/>
  <c r="I557" i="1" s="1"/>
  <c r="H559" i="1" a="1"/>
  <c r="H559" i="1"/>
  <c r="I559" i="1" s="1" a="1"/>
  <c r="I559" i="1" s="1"/>
  <c r="H560" i="1" a="1"/>
  <c r="H560" i="1" s="1"/>
  <c r="H561" i="1" a="1"/>
  <c r="H561" i="1" s="1"/>
  <c r="H562" i="1" a="1"/>
  <c r="H562" i="1" s="1"/>
  <c r="H563" i="1" a="1"/>
  <c r="H563" i="1" s="1"/>
  <c r="I563" i="1" s="1" a="1"/>
  <c r="I563" i="1" s="1"/>
  <c r="H564" i="1" a="1"/>
  <c r="H564" i="1" s="1"/>
  <c r="H565" i="1" a="1"/>
  <c r="H565" i="1" s="1"/>
  <c r="H566" i="1" a="1"/>
  <c r="H566" i="1" s="1"/>
  <c r="I566" i="1" s="1" a="1"/>
  <c r="I566" i="1" s="1"/>
  <c r="H567" i="1" a="1"/>
  <c r="H567" i="1" s="1"/>
  <c r="H568" i="1" a="1"/>
  <c r="H568" i="1" s="1"/>
  <c r="H569" i="1" a="1"/>
  <c r="H569" i="1" s="1"/>
  <c r="I569" i="1" s="1" a="1"/>
  <c r="I569" i="1" s="1"/>
  <c r="H570" i="1" a="1"/>
  <c r="H570" i="1" s="1"/>
  <c r="H571" i="1" a="1"/>
  <c r="H571" i="1" s="1"/>
  <c r="I571" i="1" s="1" a="1"/>
  <c r="I571" i="1" s="1"/>
  <c r="H1094" i="1" a="1"/>
  <c r="H1094" i="1" s="1"/>
  <c r="H1095" i="1" a="1"/>
  <c r="H1095" i="1" s="1"/>
  <c r="I1095" i="1" s="1" a="1"/>
  <c r="I1095" i="1" s="1"/>
  <c r="H1261" i="1" a="1"/>
  <c r="H1261" i="1" s="1"/>
  <c r="H1096" i="1" a="1"/>
  <c r="H1096" i="1" s="1"/>
  <c r="H1097" i="1" a="1"/>
  <c r="H1097" i="1" s="1"/>
  <c r="I1097" i="1" s="1" a="1"/>
  <c r="I1097" i="1" s="1"/>
  <c r="H572" i="1" a="1"/>
  <c r="H572" i="1" s="1"/>
  <c r="H573" i="1" a="1"/>
  <c r="H573" i="1" s="1"/>
  <c r="H574" i="1" a="1"/>
  <c r="H574" i="1"/>
  <c r="H575" i="1" a="1"/>
  <c r="H575" i="1" s="1"/>
  <c r="H576" i="1" a="1"/>
  <c r="H576" i="1" s="1"/>
  <c r="I576" i="1" s="1" a="1"/>
  <c r="I576" i="1" s="1"/>
  <c r="H1098" i="1" a="1"/>
  <c r="H1098" i="1" s="1"/>
  <c r="H1099" i="1" a="1"/>
  <c r="H1099" i="1" s="1"/>
  <c r="H1100" i="1" a="1"/>
  <c r="H1100" i="1" s="1"/>
  <c r="H1308" i="1" a="1"/>
  <c r="H1308" i="1" s="1"/>
  <c r="I1308" i="1" s="1" a="1"/>
  <c r="I1308" i="1" s="1"/>
  <c r="H1309" i="1" a="1"/>
  <c r="H1309" i="1" s="1"/>
  <c r="I1309" i="1" s="1" a="1"/>
  <c r="I1309" i="1" s="1"/>
  <c r="H1101" i="1" a="1"/>
  <c r="H1101" i="1" s="1"/>
  <c r="I1101" i="1" s="1" a="1"/>
  <c r="I1101" i="1" s="1"/>
  <c r="H1102" i="1" a="1"/>
  <c r="H1102" i="1" s="1"/>
  <c r="H1103" i="1" a="1"/>
  <c r="H1103" i="1" s="1"/>
  <c r="I1103" i="1" s="1" a="1"/>
  <c r="I1103" i="1" s="1"/>
  <c r="H1104" i="1" a="1"/>
  <c r="H1104" i="1" s="1"/>
  <c r="H1105" i="1" a="1"/>
  <c r="H1105" i="1"/>
  <c r="H1106" i="1" a="1"/>
  <c r="H1106" i="1" s="1"/>
  <c r="I1106" i="1" s="1" a="1"/>
  <c r="I1106" i="1" s="1"/>
  <c r="H1107" i="1" a="1"/>
  <c r="H1107" i="1" s="1"/>
  <c r="H1262" i="1" a="1"/>
  <c r="H1262" i="1" s="1"/>
  <c r="I1262" i="1" s="1" a="1"/>
  <c r="I1262" i="1" s="1"/>
  <c r="H1310" i="1" a="1"/>
  <c r="H1310" i="1" s="1"/>
  <c r="H1311" i="1" a="1"/>
  <c r="H1311" i="1" s="1"/>
  <c r="I1311" i="1" s="1" a="1"/>
  <c r="I1311" i="1" s="1"/>
  <c r="H1312" i="1" a="1"/>
  <c r="H1312" i="1" s="1"/>
  <c r="H1313" i="1" a="1"/>
  <c r="H1313" i="1" s="1"/>
  <c r="I1313" i="1" s="1" a="1"/>
  <c r="I1313" i="1" s="1"/>
  <c r="H1314" i="1" a="1"/>
  <c r="H1314" i="1" s="1"/>
  <c r="I1314" i="1" s="1" a="1"/>
  <c r="I1314" i="1" s="1"/>
  <c r="H1315" i="1" a="1"/>
  <c r="H1315" i="1" s="1"/>
  <c r="I1315" i="1" s="1" a="1"/>
  <c r="I1315" i="1" s="1"/>
  <c r="H1316" i="1" a="1"/>
  <c r="H1316" i="1" s="1"/>
  <c r="H1317" i="1" a="1"/>
  <c r="H1317" i="1" s="1"/>
  <c r="H1318" i="1" a="1"/>
  <c r="H1318" i="1"/>
  <c r="H1319" i="1" a="1"/>
  <c r="H1319" i="1" s="1"/>
  <c r="H1320" i="1" a="1"/>
  <c r="H1320" i="1" s="1"/>
  <c r="H1321" i="1" a="1"/>
  <c r="H1321" i="1" s="1"/>
  <c r="I1321" i="1" s="1" a="1"/>
  <c r="I1321" i="1" s="1"/>
  <c r="H1263" i="1" a="1"/>
  <c r="H1263" i="1" s="1"/>
  <c r="H1322" i="1" a="1"/>
  <c r="H1322" i="1" s="1"/>
  <c r="I1322" i="1" s="1" a="1"/>
  <c r="I1322" i="1" s="1"/>
  <c r="H1323" i="1" a="1"/>
  <c r="H1323" i="1" s="1"/>
  <c r="H1324" i="1" a="1"/>
  <c r="H1324" i="1" s="1"/>
  <c r="I1324" i="1" s="1" a="1"/>
  <c r="I1324" i="1" s="1"/>
  <c r="H1326" i="1" a="1"/>
  <c r="H1326" i="1" s="1"/>
  <c r="H1327" i="1" a="1"/>
  <c r="H1327" i="1" s="1"/>
  <c r="I1327" i="1" s="1" a="1"/>
  <c r="I1327" i="1" s="1"/>
  <c r="H1328" i="1" a="1"/>
  <c r="H1328" i="1" s="1"/>
  <c r="L1328" i="1" s="1" a="1"/>
  <c r="L1328" i="1" s="1"/>
  <c r="N1328" i="1" s="1"/>
  <c r="H1329" i="1" a="1"/>
  <c r="H1329" i="1" s="1"/>
  <c r="H1264" i="1" a="1"/>
  <c r="H1264" i="1" s="1"/>
  <c r="H577" i="1" a="1"/>
  <c r="H577" i="1" s="1"/>
  <c r="H578" i="1" a="1"/>
  <c r="H578" i="1" s="1"/>
  <c r="I578" i="1" s="1" a="1"/>
  <c r="I578" i="1" s="1"/>
  <c r="H1265" i="1" a="1"/>
  <c r="H1265" i="1" s="1"/>
  <c r="H1266" i="1" a="1"/>
  <c r="H1266" i="1" s="1"/>
  <c r="I1266" i="1" s="1" a="1"/>
  <c r="I1266" i="1" s="1"/>
  <c r="H1267" i="1" a="1"/>
  <c r="H1267" i="1" s="1"/>
  <c r="I1267" i="1" s="1" a="1"/>
  <c r="I1267" i="1" s="1"/>
  <c r="H1362" i="1" a="1"/>
  <c r="H1362" i="1"/>
  <c r="I1362" i="1" s="1" a="1"/>
  <c r="I1362" i="1" s="1"/>
  <c r="H1268" i="1" a="1"/>
  <c r="H1268" i="1" s="1"/>
  <c r="H1363" i="1" a="1"/>
  <c r="H1363" i="1" s="1"/>
  <c r="H1269" i="1" a="1"/>
  <c r="H1269" i="1" s="1"/>
  <c r="H1270" i="1" a="1"/>
  <c r="H1270" i="1" s="1"/>
  <c r="H1271" i="1" a="1"/>
  <c r="H1271" i="1" s="1"/>
  <c r="I1271" i="1" s="1" a="1"/>
  <c r="I1271" i="1" s="1"/>
  <c r="H1272" i="1" a="1"/>
  <c r="H1272" i="1" s="1"/>
  <c r="I1272" i="1" s="1" a="1"/>
  <c r="I1272" i="1" s="1"/>
  <c r="H1273" i="1" a="1"/>
  <c r="H1273" i="1" s="1"/>
  <c r="I1273" i="1" s="1" a="1"/>
  <c r="I1273" i="1" s="1"/>
  <c r="H1274" i="1" a="1"/>
  <c r="H1274" i="1" s="1"/>
  <c r="H1275" i="1" a="1"/>
  <c r="H1275" i="1" s="1"/>
  <c r="H1276" i="1" a="1"/>
  <c r="H1276" i="1" s="1"/>
  <c r="H1277" i="1" a="1"/>
  <c r="H1277" i="1" s="1"/>
  <c r="I1277" i="1" s="1" a="1"/>
  <c r="I1277" i="1" s="1"/>
  <c r="H1108" i="1" a="1"/>
  <c r="H1108" i="1" s="1"/>
  <c r="I1108" i="1" s="1" a="1"/>
  <c r="I1108" i="1" s="1"/>
  <c r="H579" i="1" a="1"/>
  <c r="H579" i="1" s="1"/>
  <c r="I579" i="1" s="1" a="1"/>
  <c r="I579" i="1" s="1"/>
  <c r="H580" i="1" a="1"/>
  <c r="H580" i="1" s="1"/>
  <c r="I580" i="1" s="1" a="1"/>
  <c r="I580" i="1" s="1"/>
  <c r="H1109" i="1" a="1"/>
  <c r="H1109" i="1" s="1"/>
  <c r="I1109" i="1" s="1" a="1"/>
  <c r="I1109" i="1" s="1"/>
  <c r="H581" i="1" a="1"/>
  <c r="H581" i="1" s="1"/>
  <c r="H582" i="1" a="1"/>
  <c r="H582" i="1" s="1"/>
  <c r="H583" i="1" a="1"/>
  <c r="H583" i="1" s="1"/>
  <c r="I583" i="1" s="1" a="1"/>
  <c r="I583" i="1" s="1"/>
  <c r="H584" i="1" a="1"/>
  <c r="H584" i="1" s="1"/>
  <c r="I584" i="1" s="1" a="1"/>
  <c r="I584" i="1" s="1"/>
  <c r="H585" i="1" a="1"/>
  <c r="H585" i="1"/>
  <c r="I585" i="1" s="1" a="1"/>
  <c r="I585" i="1" s="1"/>
  <c r="H1110" i="1" a="1"/>
  <c r="H1110" i="1" s="1"/>
  <c r="I1110" i="1" s="1" a="1"/>
  <c r="I1110" i="1" s="1"/>
  <c r="H1111" i="1" a="1"/>
  <c r="H1111" i="1" s="1"/>
  <c r="H1112" i="1" a="1"/>
  <c r="H1112" i="1" s="1"/>
  <c r="I1112" i="1" s="1" a="1"/>
  <c r="I1112" i="1" s="1"/>
  <c r="H1113" i="1" a="1"/>
  <c r="H1113" i="1" s="1"/>
  <c r="I1113" i="1" s="1" a="1"/>
  <c r="I1113" i="1" s="1"/>
  <c r="H1114" i="1" a="1"/>
  <c r="H1114" i="1" s="1"/>
  <c r="I1114" i="1" s="1" a="1"/>
  <c r="I1114" i="1" s="1"/>
  <c r="H586" i="1" a="1"/>
  <c r="H586" i="1" s="1"/>
  <c r="H587" i="1" a="1"/>
  <c r="H587" i="1" s="1"/>
  <c r="I587" i="1" s="1" a="1"/>
  <c r="I587" i="1" s="1"/>
  <c r="H588" i="1" a="1"/>
  <c r="H588" i="1" s="1"/>
  <c r="I588" i="1" s="1" a="1"/>
  <c r="I588" i="1" s="1"/>
  <c r="H589" i="1" a="1"/>
  <c r="H589" i="1" s="1"/>
  <c r="I589" i="1" s="1" a="1"/>
  <c r="I589" i="1" s="1"/>
  <c r="I1181" i="1" a="1"/>
  <c r="I1181" i="1" s="1"/>
  <c r="I1338" i="1" a="1"/>
  <c r="I1338" i="1" s="1"/>
  <c r="I1182" i="1" a="1"/>
  <c r="I1182" i="1" s="1"/>
  <c r="I1183" i="1" a="1"/>
  <c r="I1183" i="1" s="1"/>
  <c r="I1184" i="1" a="1"/>
  <c r="I1184" i="1" s="1"/>
  <c r="I1185" i="1" a="1"/>
  <c r="I1185" i="1" s="1"/>
  <c r="I1186" i="1" a="1"/>
  <c r="I1186" i="1" s="1"/>
  <c r="I894" i="1" a="1"/>
  <c r="I894" i="1" s="1"/>
  <c r="I1188" i="1" a="1"/>
  <c r="I1188" i="1" s="1"/>
  <c r="I895" i="1" a="1"/>
  <c r="I895" i="1" s="1"/>
  <c r="I896" i="1" a="1"/>
  <c r="I896" i="1" s="1"/>
  <c r="I1189" i="1" a="1"/>
  <c r="I1189" i="1" s="1"/>
  <c r="I897" i="1" a="1"/>
  <c r="I897" i="1" s="1"/>
  <c r="I898" i="1" a="1"/>
  <c r="I898" i="1" s="1"/>
  <c r="I899" i="1" a="1"/>
  <c r="I899" i="1"/>
  <c r="I900" i="1" a="1"/>
  <c r="I900" i="1" s="1"/>
  <c r="I1190" i="1" a="1"/>
  <c r="I1190" i="1" s="1"/>
  <c r="I222" i="1" a="1"/>
  <c r="I222" i="1" s="1"/>
  <c r="I223" i="1" a="1"/>
  <c r="I223" i="1"/>
  <c r="I224" i="1" a="1"/>
  <c r="I224" i="1" s="1"/>
  <c r="I226" i="1" a="1"/>
  <c r="I226" i="1" s="1"/>
  <c r="I228" i="1" a="1"/>
  <c r="I228" i="1" s="1"/>
  <c r="I229" i="1" a="1"/>
  <c r="I229" i="1" s="1"/>
  <c r="I230" i="1" a="1"/>
  <c r="I230" i="1" s="1"/>
  <c r="I231" i="1" a="1"/>
  <c r="I231" i="1" s="1"/>
  <c r="I901" i="1" a="1"/>
  <c r="I901" i="1" s="1"/>
  <c r="I232" i="1" a="1"/>
  <c r="I232" i="1" s="1"/>
  <c r="I233" i="1" a="1"/>
  <c r="I233" i="1"/>
  <c r="I234" i="1" a="1"/>
  <c r="I234" i="1" s="1"/>
  <c r="I235" i="1" a="1"/>
  <c r="I235" i="1" s="1"/>
  <c r="I236" i="1" a="1"/>
  <c r="I236" i="1" s="1"/>
  <c r="I237" i="1" a="1"/>
  <c r="I237" i="1" s="1"/>
  <c r="I238" i="1" a="1"/>
  <c r="I238" i="1" s="1"/>
  <c r="I239" i="1" a="1"/>
  <c r="I239" i="1" s="1"/>
  <c r="I240" i="1" a="1"/>
  <c r="I240" i="1" s="1"/>
  <c r="I241" i="1" a="1"/>
  <c r="I241" i="1" s="1"/>
  <c r="I242" i="1" a="1"/>
  <c r="I242" i="1" s="1"/>
  <c r="I243" i="1" a="1"/>
  <c r="I243" i="1" s="1"/>
  <c r="I244" i="1" a="1"/>
  <c r="I244" i="1" s="1"/>
  <c r="I245" i="1" a="1"/>
  <c r="I245" i="1" s="1"/>
  <c r="I246" i="1" a="1"/>
  <c r="I246" i="1" s="1"/>
  <c r="I247" i="1" a="1"/>
  <c r="I247" i="1" s="1"/>
  <c r="I248" i="1" a="1"/>
  <c r="I248" i="1" s="1"/>
  <c r="I249" i="1" a="1"/>
  <c r="I249" i="1" s="1"/>
  <c r="I250" i="1" a="1"/>
  <c r="I250" i="1" s="1"/>
  <c r="I251" i="1" a="1"/>
  <c r="I251" i="1" s="1"/>
  <c r="I252" i="1" a="1"/>
  <c r="I252" i="1"/>
  <c r="I253" i="1" a="1"/>
  <c r="I253" i="1" s="1"/>
  <c r="I254" i="1" a="1"/>
  <c r="I254" i="1" s="1"/>
  <c r="I255" i="1" a="1"/>
  <c r="I255" i="1" s="1"/>
  <c r="I256" i="1" a="1"/>
  <c r="I256" i="1" s="1"/>
  <c r="I257" i="1" a="1"/>
  <c r="I257" i="1" s="1"/>
  <c r="I258" i="1" a="1"/>
  <c r="I258" i="1" s="1"/>
  <c r="I259" i="1" a="1"/>
  <c r="I259" i="1" s="1"/>
  <c r="I260" i="1" a="1"/>
  <c r="I260" i="1" s="1"/>
  <c r="I261" i="1" a="1"/>
  <c r="I261" i="1" s="1"/>
  <c r="I262" i="1" a="1"/>
  <c r="I262" i="1" s="1"/>
  <c r="I263" i="1" a="1"/>
  <c r="I263" i="1" s="1"/>
  <c r="I264" i="1" a="1"/>
  <c r="I264" i="1" s="1"/>
  <c r="I266" i="1" a="1"/>
  <c r="I266" i="1" s="1"/>
  <c r="I267" i="1" a="1"/>
  <c r="I267" i="1" s="1"/>
  <c r="I903" i="1" a="1"/>
  <c r="I903" i="1" s="1"/>
  <c r="I904" i="1" a="1"/>
  <c r="I904" i="1"/>
  <c r="I905" i="1" a="1"/>
  <c r="I905" i="1" s="1"/>
  <c r="I906" i="1" a="1"/>
  <c r="I906" i="1" s="1"/>
  <c r="I907" i="1" a="1"/>
  <c r="I907" i="1" s="1"/>
  <c r="I908" i="1" a="1"/>
  <c r="I908" i="1" s="1"/>
  <c r="I268" i="1" a="1"/>
  <c r="I268" i="1" s="1"/>
  <c r="I269" i="1" a="1"/>
  <c r="I269" i="1" s="1"/>
  <c r="I909" i="1" a="1"/>
  <c r="I909" i="1" s="1"/>
  <c r="I910" i="1" a="1"/>
  <c r="I910" i="1" s="1"/>
  <c r="I270" i="1" a="1"/>
  <c r="I270" i="1" s="1"/>
  <c r="I271" i="1" a="1"/>
  <c r="I271" i="1" s="1"/>
  <c r="I272" i="1" a="1"/>
  <c r="I272" i="1" s="1"/>
  <c r="I273" i="1" a="1"/>
  <c r="I273" i="1" s="1"/>
  <c r="I274" i="1" a="1"/>
  <c r="I274" i="1" s="1"/>
  <c r="I275" i="1" a="1"/>
  <c r="I275" i="1" s="1"/>
  <c r="I276" i="1" a="1"/>
  <c r="I276" i="1" s="1"/>
  <c r="I277" i="1" a="1"/>
  <c r="I277" i="1" s="1"/>
  <c r="I278" i="1" a="1"/>
  <c r="I278" i="1" s="1"/>
  <c r="I280" i="1" a="1"/>
  <c r="I280" i="1" s="1"/>
  <c r="I281" i="1" a="1"/>
  <c r="I281" i="1" s="1"/>
  <c r="I282" i="1" a="1"/>
  <c r="I282" i="1" s="1"/>
  <c r="I283" i="1" a="1"/>
  <c r="I283" i="1" s="1"/>
  <c r="I284" i="1" a="1"/>
  <c r="I284" i="1" s="1"/>
  <c r="I285" i="1" a="1"/>
  <c r="I285" i="1" s="1"/>
  <c r="I287" i="1" a="1"/>
  <c r="I287" i="1" s="1"/>
  <c r="I288" i="1" a="1"/>
  <c r="I288" i="1"/>
  <c r="I289" i="1" a="1"/>
  <c r="I289" i="1"/>
  <c r="I291" i="1" a="1"/>
  <c r="I291" i="1" s="1"/>
  <c r="I292" i="1" a="1"/>
  <c r="I292" i="1" s="1"/>
  <c r="I293" i="1" a="1"/>
  <c r="I293" i="1" s="1"/>
  <c r="I294" i="1" a="1"/>
  <c r="I294" i="1" s="1"/>
  <c r="I295" i="1" a="1"/>
  <c r="I295" i="1" s="1"/>
  <c r="I296" i="1" a="1"/>
  <c r="I296" i="1" s="1"/>
  <c r="I297" i="1" a="1"/>
  <c r="I297" i="1" s="1"/>
  <c r="I298" i="1" a="1"/>
  <c r="I298" i="1" s="1"/>
  <c r="I299" i="1" a="1"/>
  <c r="I299" i="1" s="1"/>
  <c r="I300" i="1" a="1"/>
  <c r="I300" i="1" s="1"/>
  <c r="I301" i="1" a="1"/>
  <c r="I301" i="1" s="1"/>
  <c r="I302" i="1" a="1"/>
  <c r="I302" i="1" s="1"/>
  <c r="I303" i="1" a="1"/>
  <c r="I303" i="1"/>
  <c r="I304" i="1" a="1"/>
  <c r="I304" i="1" s="1"/>
  <c r="I305" i="1" a="1"/>
  <c r="I305" i="1" s="1"/>
  <c r="I1192" i="1" a="1"/>
  <c r="I1192" i="1" s="1"/>
  <c r="I306" i="1" a="1"/>
  <c r="I306" i="1" s="1"/>
  <c r="I307" i="1" a="1"/>
  <c r="I307" i="1" s="1"/>
  <c r="I308" i="1" a="1"/>
  <c r="I308" i="1" s="1"/>
  <c r="I309" i="1" a="1"/>
  <c r="I309" i="1" s="1"/>
  <c r="I911" i="1" a="1"/>
  <c r="I911" i="1" s="1"/>
  <c r="I912" i="1" a="1"/>
  <c r="I912" i="1" s="1"/>
  <c r="I311" i="1" a="1"/>
  <c r="I311" i="1" s="1"/>
  <c r="I913" i="1" a="1"/>
  <c r="I913" i="1" s="1"/>
  <c r="I312" i="1" a="1"/>
  <c r="I312" i="1" s="1"/>
  <c r="I313" i="1" a="1"/>
  <c r="I313" i="1" s="1"/>
  <c r="I314" i="1" a="1"/>
  <c r="I314" i="1" s="1"/>
  <c r="I317" i="1" a="1"/>
  <c r="I317" i="1" s="1"/>
  <c r="I318" i="1" a="1"/>
  <c r="I318" i="1" s="1"/>
  <c r="I319" i="1" a="1"/>
  <c r="I319" i="1"/>
  <c r="I320" i="1" a="1"/>
  <c r="I320" i="1" s="1"/>
  <c r="I321" i="1" a="1"/>
  <c r="I321" i="1" s="1"/>
  <c r="I914" i="1" a="1"/>
  <c r="I914" i="1" s="1"/>
  <c r="I915" i="1" a="1"/>
  <c r="I915" i="1" s="1"/>
  <c r="I917" i="1" a="1"/>
  <c r="I917" i="1" s="1"/>
  <c r="I918" i="1" a="1"/>
  <c r="I918" i="1" s="1"/>
  <c r="I919" i="1" a="1"/>
  <c r="I919" i="1" s="1"/>
  <c r="I920" i="1" a="1"/>
  <c r="I920" i="1" s="1"/>
  <c r="I921" i="1" a="1"/>
  <c r="I921" i="1" s="1"/>
  <c r="I922" i="1" a="1"/>
  <c r="I922" i="1"/>
  <c r="I923" i="1" a="1"/>
  <c r="I923" i="1" s="1"/>
  <c r="I924" i="1" a="1"/>
  <c r="I924" i="1" s="1"/>
  <c r="I925" i="1" a="1"/>
  <c r="I925" i="1" s="1"/>
  <c r="I324" i="1" a="1"/>
  <c r="I324" i="1" s="1"/>
  <c r="I325" i="1" a="1"/>
  <c r="I325" i="1" s="1"/>
  <c r="I927" i="1" a="1"/>
  <c r="I927" i="1" s="1"/>
  <c r="I929" i="1" a="1"/>
  <c r="I929" i="1" s="1"/>
  <c r="I930" i="1" a="1"/>
  <c r="I930" i="1" s="1"/>
  <c r="I931" i="1" a="1"/>
  <c r="I931" i="1" s="1"/>
  <c r="I933" i="1" a="1"/>
  <c r="I933" i="1" s="1"/>
  <c r="I934" i="1" a="1"/>
  <c r="I934" i="1" s="1"/>
  <c r="I935" i="1" a="1"/>
  <c r="I935" i="1" s="1"/>
  <c r="I936" i="1" a="1"/>
  <c r="I936" i="1"/>
  <c r="I937" i="1" a="1"/>
  <c r="I937" i="1" s="1"/>
  <c r="I938" i="1" a="1"/>
  <c r="I938" i="1" s="1"/>
  <c r="I939" i="1" a="1"/>
  <c r="I939" i="1" s="1"/>
  <c r="I940" i="1" a="1"/>
  <c r="I940" i="1" s="1"/>
  <c r="I941" i="1" a="1"/>
  <c r="I941" i="1" s="1"/>
  <c r="I942" i="1" a="1"/>
  <c r="I942" i="1"/>
  <c r="I943" i="1" a="1"/>
  <c r="I943" i="1" s="1"/>
  <c r="I944" i="1" a="1"/>
  <c r="I944" i="1" s="1"/>
  <c r="I945" i="1" a="1"/>
  <c r="I945" i="1" s="1"/>
  <c r="I946" i="1" a="1"/>
  <c r="I946" i="1" s="1"/>
  <c r="I1287" i="1" a="1"/>
  <c r="I1287" i="1" s="1"/>
  <c r="I1288" i="1" a="1"/>
  <c r="I1288" i="1"/>
  <c r="I947" i="1" a="1"/>
  <c r="I947" i="1" s="1"/>
  <c r="I949" i="1" a="1"/>
  <c r="I949" i="1" s="1"/>
  <c r="I950" i="1" a="1"/>
  <c r="I950" i="1" s="1"/>
  <c r="I951" i="1" a="1"/>
  <c r="I951" i="1" s="1"/>
  <c r="I952" i="1" a="1"/>
  <c r="I952" i="1"/>
  <c r="I953" i="1" a="1"/>
  <c r="I953" i="1" s="1"/>
  <c r="I955" i="1" a="1"/>
  <c r="I955" i="1" s="1"/>
  <c r="I956" i="1" a="1"/>
  <c r="I956" i="1" s="1"/>
  <c r="I957" i="1"/>
  <c r="I1339" i="1" a="1"/>
  <c r="I1339" i="1" s="1"/>
  <c r="I326" i="1" a="1"/>
  <c r="I326" i="1" s="1"/>
  <c r="I327" i="1" a="1"/>
  <c r="I327" i="1" s="1"/>
  <c r="I328" i="1" a="1"/>
  <c r="I328" i="1" s="1"/>
  <c r="I1193" i="1" a="1"/>
  <c r="I1193" i="1" s="1"/>
  <c r="I1196" i="1" a="1"/>
  <c r="I1196" i="1" s="1"/>
  <c r="I1197" i="1" a="1"/>
  <c r="I1197" i="1" s="1"/>
  <c r="I1198" i="1" a="1"/>
  <c r="I1198" i="1" s="1"/>
  <c r="I1340" i="1" a="1"/>
  <c r="I1340" i="1" s="1"/>
  <c r="I1341" i="1" a="1"/>
  <c r="I1341" i="1" s="1"/>
  <c r="I1199" i="1"/>
  <c r="I1200" i="1" a="1"/>
  <c r="I1200" i="1" s="1"/>
  <c r="I1201" i="1" a="1"/>
  <c r="I1201" i="1" s="1"/>
  <c r="I1202" i="1" a="1"/>
  <c r="I1202" i="1" s="1"/>
  <c r="I1203" i="1" a="1"/>
  <c r="I1203" i="1" s="1"/>
  <c r="I1204" i="1" a="1"/>
  <c r="I1204" i="1" s="1"/>
  <c r="I1205" i="1" a="1"/>
  <c r="I1205" i="1" s="1"/>
  <c r="I1206" i="1" a="1"/>
  <c r="I1206" i="1" s="1"/>
  <c r="I1207" i="1" a="1"/>
  <c r="I1207" i="1" s="1"/>
  <c r="I1208" i="1" a="1"/>
  <c r="I1208" i="1" s="1"/>
  <c r="I1209" i="1" a="1"/>
  <c r="I1209" i="1"/>
  <c r="I1210" i="1" a="1"/>
  <c r="I1210" i="1"/>
  <c r="I1342" i="1"/>
  <c r="I1211" i="1" a="1"/>
  <c r="I1211" i="1" s="1"/>
  <c r="I1212" i="1" a="1"/>
  <c r="I1212" i="1" s="1"/>
  <c r="I329" i="1" a="1"/>
  <c r="I329" i="1" s="1"/>
  <c r="I330" i="1" a="1"/>
  <c r="I330" i="1" s="1"/>
  <c r="I331" i="1" a="1"/>
  <c r="I331" i="1" s="1"/>
  <c r="I333" i="1" a="1"/>
  <c r="I333" i="1" s="1"/>
  <c r="I334" i="1" a="1"/>
  <c r="I334" i="1" s="1"/>
  <c r="I336" i="1" a="1"/>
  <c r="I336" i="1" s="1"/>
  <c r="I337" i="1" a="1"/>
  <c r="I337" i="1" s="1"/>
  <c r="I338" i="1" a="1"/>
  <c r="I338" i="1" s="1"/>
  <c r="I339" i="1" a="1"/>
  <c r="I339" i="1" s="1"/>
  <c r="I340" i="1" a="1"/>
  <c r="I340" i="1"/>
  <c r="I341" i="1" a="1"/>
  <c r="I341" i="1" s="1"/>
  <c r="I342" i="1" a="1"/>
  <c r="I342" i="1" s="1"/>
  <c r="I344" i="1" a="1"/>
  <c r="I344" i="1" s="1"/>
  <c r="I345" i="1" a="1"/>
  <c r="I345" i="1" s="1"/>
  <c r="I347" i="1" a="1"/>
  <c r="I347" i="1" s="1"/>
  <c r="I348" i="1" a="1"/>
  <c r="I348" i="1"/>
  <c r="I349" i="1" a="1"/>
  <c r="I349" i="1"/>
  <c r="I350" i="1" a="1"/>
  <c r="I350" i="1"/>
  <c r="I351" i="1" a="1"/>
  <c r="I351" i="1" s="1"/>
  <c r="I352" i="1" a="1"/>
  <c r="I352" i="1" s="1"/>
  <c r="I353" i="1"/>
  <c r="I354" i="1" a="1"/>
  <c r="I354" i="1" s="1"/>
  <c r="I356" i="1" a="1"/>
  <c r="I356" i="1" s="1"/>
  <c r="I357" i="1" a="1"/>
  <c r="I357" i="1" s="1"/>
  <c r="I358" i="1" a="1"/>
  <c r="I358" i="1" s="1"/>
  <c r="I958" i="1" a="1"/>
  <c r="I958" i="1" s="1"/>
  <c r="I959" i="1" a="1"/>
  <c r="I959" i="1" s="1"/>
  <c r="I961" i="1" a="1"/>
  <c r="I961" i="1" s="1"/>
  <c r="I962" i="1" a="1"/>
  <c r="I962" i="1" s="1"/>
  <c r="I963" i="1" a="1"/>
  <c r="I963" i="1" s="1"/>
  <c r="I964" i="1" a="1"/>
  <c r="I964" i="1" s="1"/>
  <c r="I966" i="1" a="1"/>
  <c r="I966" i="1" s="1"/>
  <c r="I967" i="1" a="1"/>
  <c r="I967" i="1" s="1"/>
  <c r="I968" i="1" a="1"/>
  <c r="I968" i="1" s="1"/>
  <c r="I971" i="1" a="1"/>
  <c r="I971" i="1" s="1"/>
  <c r="I972" i="1" a="1"/>
  <c r="I972" i="1" s="1"/>
  <c r="I973" i="1" a="1"/>
  <c r="I973" i="1" s="1"/>
  <c r="I974" i="1" a="1"/>
  <c r="I974" i="1" s="1"/>
  <c r="I975" i="1"/>
  <c r="I976" i="1"/>
  <c r="I977" i="1" a="1"/>
  <c r="I977" i="1" s="1"/>
  <c r="I978" i="1" a="1"/>
  <c r="I978" i="1" s="1"/>
  <c r="I979" i="1" a="1"/>
  <c r="I979" i="1" s="1"/>
  <c r="I981" i="1" a="1"/>
  <c r="I981" i="1" s="1"/>
  <c r="I982" i="1" a="1"/>
  <c r="I982" i="1" s="1"/>
  <c r="I983" i="1" a="1"/>
  <c r="I983" i="1" s="1"/>
  <c r="I986" i="1" a="1"/>
  <c r="I986" i="1" s="1"/>
  <c r="I1213" i="1" a="1"/>
  <c r="I1213" i="1"/>
  <c r="I1214" i="1" a="1"/>
  <c r="I1214" i="1"/>
  <c r="I1215" i="1" a="1"/>
  <c r="I1215" i="1" s="1"/>
  <c r="I1216" i="1" a="1"/>
  <c r="I1216" i="1" s="1"/>
  <c r="I1217" i="1" a="1"/>
  <c r="I1217" i="1" s="1"/>
  <c r="I1218" i="1" a="1"/>
  <c r="I1218" i="1" s="1"/>
  <c r="I1219" i="1" a="1"/>
  <c r="I1219" i="1" s="1"/>
  <c r="I1220" i="1" a="1"/>
  <c r="I1220" i="1" s="1"/>
  <c r="I1221" i="1" a="1"/>
  <c r="I1221" i="1" s="1"/>
  <c r="I1222" i="1" a="1"/>
  <c r="I1222" i="1" s="1"/>
  <c r="I1224" i="1" a="1"/>
  <c r="I1224" i="1" s="1"/>
  <c r="I987" i="1" a="1"/>
  <c r="I987" i="1" s="1"/>
  <c r="I988" i="1" a="1"/>
  <c r="I988" i="1" s="1"/>
  <c r="I361" i="1"/>
  <c r="I362" i="1" a="1"/>
  <c r="I362" i="1" s="1"/>
  <c r="I1343" i="1" a="1"/>
  <c r="I1343" i="1" s="1"/>
  <c r="I1344" i="1" a="1"/>
  <c r="I1344" i="1" s="1"/>
  <c r="I363" i="1" a="1"/>
  <c r="I363" i="1" s="1"/>
  <c r="I364" i="1" a="1"/>
  <c r="I364" i="1" s="1"/>
  <c r="I365" i="1" a="1"/>
  <c r="I365" i="1" s="1"/>
  <c r="I366" i="1" a="1"/>
  <c r="I366" i="1" s="1"/>
  <c r="I367" i="1" a="1"/>
  <c r="I367" i="1" s="1"/>
  <c r="I368" i="1" a="1"/>
  <c r="I368" i="1" s="1"/>
  <c r="I369" i="1" a="1"/>
  <c r="I369" i="1" s="1"/>
  <c r="I370" i="1" a="1"/>
  <c r="I370" i="1" s="1"/>
  <c r="I371" i="1" a="1"/>
  <c r="I371" i="1" s="1"/>
  <c r="I373" i="1" a="1"/>
  <c r="I373" i="1" s="1"/>
  <c r="I374" i="1" a="1"/>
  <c r="I374" i="1" s="1"/>
  <c r="I989" i="1" a="1"/>
  <c r="I989" i="1" s="1"/>
  <c r="I990" i="1" a="1"/>
  <c r="I990" i="1" s="1"/>
  <c r="I991" i="1" a="1"/>
  <c r="I991" i="1" s="1"/>
  <c r="I375" i="1" a="1"/>
  <c r="I375" i="1" s="1"/>
  <c r="I992" i="1" a="1"/>
  <c r="I992" i="1" s="1"/>
  <c r="I993" i="1" a="1"/>
  <c r="I993" i="1" s="1"/>
  <c r="I1225" i="1" a="1"/>
  <c r="I1225" i="1" s="1"/>
  <c r="I1226" i="1" a="1"/>
  <c r="I1226" i="1" s="1"/>
  <c r="I1289" i="1" a="1"/>
  <c r="I1289" i="1" s="1"/>
  <c r="I1290" i="1" a="1"/>
  <c r="I1290" i="1" s="1"/>
  <c r="I1227" i="1" a="1"/>
  <c r="I1227" i="1" s="1"/>
  <c r="I994" i="1" a="1"/>
  <c r="I994" i="1" s="1"/>
  <c r="I995" i="1" a="1"/>
  <c r="I995" i="1" s="1"/>
  <c r="I1228" i="1" a="1"/>
  <c r="I1228" i="1" s="1"/>
  <c r="I996" i="1" a="1"/>
  <c r="I996" i="1" s="1"/>
  <c r="I997" i="1" a="1"/>
  <c r="I997" i="1" s="1"/>
  <c r="I1345" i="1" a="1"/>
  <c r="I1345" i="1" s="1"/>
  <c r="I376" i="1" a="1"/>
  <c r="I376" i="1" s="1"/>
  <c r="I377" i="1" a="1"/>
  <c r="I377" i="1" s="1"/>
  <c r="I378" i="1" a="1"/>
  <c r="I378" i="1"/>
  <c r="I379" i="1" a="1"/>
  <c r="I379" i="1" s="1"/>
  <c r="I381" i="1" a="1"/>
  <c r="I381" i="1" s="1"/>
  <c r="I1000" i="1" a="1"/>
  <c r="I1000" i="1" s="1"/>
  <c r="I382" i="1" a="1"/>
  <c r="I382" i="1" s="1"/>
  <c r="I383" i="1" a="1"/>
  <c r="I383" i="1" s="1"/>
  <c r="I1002" i="1" a="1"/>
  <c r="I1002" i="1" s="1"/>
  <c r="I1003" i="1" a="1"/>
  <c r="I1003" i="1" s="1"/>
  <c r="I385" i="1" a="1"/>
  <c r="I385" i="1" s="1"/>
  <c r="I386" i="1" a="1"/>
  <c r="I386" i="1" s="1"/>
  <c r="I387" i="1" a="1"/>
  <c r="I387" i="1" s="1"/>
  <c r="I1004" i="1" a="1"/>
  <c r="I1004" i="1" s="1"/>
  <c r="I389" i="1" a="1"/>
  <c r="I389" i="1" s="1"/>
  <c r="I390" i="1" a="1"/>
  <c r="I390" i="1" s="1"/>
  <c r="I1005" i="1" a="1"/>
  <c r="I1005" i="1" s="1"/>
  <c r="I391" i="1" a="1"/>
  <c r="I391" i="1" s="1"/>
  <c r="I392" i="1" a="1"/>
  <c r="I392" i="1" s="1"/>
  <c r="I1006" i="1" a="1"/>
  <c r="I1006" i="1" s="1"/>
  <c r="I394" i="1" a="1"/>
  <c r="I394" i="1" s="1"/>
  <c r="I395" i="1" a="1"/>
  <c r="I395" i="1" s="1"/>
  <c r="I396" i="1" a="1"/>
  <c r="I396" i="1" s="1"/>
  <c r="I1009" i="1" a="1"/>
  <c r="I1009" i="1" s="1"/>
  <c r="I398" i="1" a="1"/>
  <c r="I398" i="1" s="1"/>
  <c r="I1010" i="1" a="1"/>
  <c r="I1010" i="1" s="1"/>
  <c r="I399" i="1" a="1"/>
  <c r="I399" i="1" s="1"/>
  <c r="I400" i="1" a="1"/>
  <c r="I400" i="1" s="1"/>
  <c r="I1013" i="1" a="1"/>
  <c r="I1013" i="1" s="1"/>
  <c r="I1014" i="1" a="1"/>
  <c r="I1014" i="1" s="1"/>
  <c r="I1016" i="1" a="1"/>
  <c r="I1016" i="1" s="1"/>
  <c r="I1017" i="1" a="1"/>
  <c r="I1017" i="1" s="1"/>
  <c r="I1018" i="1"/>
  <c r="I403" i="1" a="1"/>
  <c r="I403" i="1" s="1"/>
  <c r="I1019" i="1" a="1"/>
  <c r="I1019" i="1" s="1"/>
  <c r="I1020" i="1" a="1"/>
  <c r="I1020" i="1" s="1"/>
  <c r="I404" i="1" a="1"/>
  <c r="I404" i="1" s="1"/>
  <c r="I1023" i="1" a="1"/>
  <c r="I1023" i="1" s="1"/>
  <c r="I1024" i="1" a="1"/>
  <c r="I1024" i="1" s="1"/>
  <c r="I406" i="1" a="1"/>
  <c r="I406" i="1" s="1"/>
  <c r="I1025" i="1" a="1"/>
  <c r="I1025" i="1" s="1"/>
  <c r="I407" i="1" a="1"/>
  <c r="I407" i="1" s="1"/>
  <c r="I408" i="1" a="1"/>
  <c r="I408" i="1" s="1"/>
  <c r="I409" i="1" a="1"/>
  <c r="I409" i="1" s="1"/>
  <c r="I410" i="1" a="1"/>
  <c r="I410" i="1" s="1"/>
  <c r="I414" i="1" a="1"/>
  <c r="I414" i="1" s="1"/>
  <c r="I415" i="1" a="1"/>
  <c r="I415" i="1" s="1"/>
  <c r="I416" i="1" a="1"/>
  <c r="I416" i="1" s="1"/>
  <c r="I418" i="1" a="1"/>
  <c r="I418" i="1" s="1"/>
  <c r="I419" i="1" a="1"/>
  <c r="I419" i="1" s="1"/>
  <c r="I420" i="1" a="1"/>
  <c r="I420" i="1" s="1"/>
  <c r="I1229" i="1" a="1"/>
  <c r="I1229" i="1" s="1"/>
  <c r="I424" i="1" a="1"/>
  <c r="I424" i="1" s="1"/>
  <c r="I425" i="1" a="1"/>
  <c r="I425" i="1" s="1"/>
  <c r="I1230" i="1" a="1"/>
  <c r="I1230" i="1" s="1"/>
  <c r="I426" i="1" a="1"/>
  <c r="I426" i="1" s="1"/>
  <c r="I1231" i="1" a="1"/>
  <c r="I1231" i="1" s="1"/>
  <c r="I1232" i="1" a="1"/>
  <c r="I1232" i="1" s="1"/>
  <c r="I1234" i="1" a="1"/>
  <c r="I1234" i="1" s="1"/>
  <c r="I428" i="1" a="1"/>
  <c r="I428" i="1" s="1"/>
  <c r="I1235" i="1"/>
  <c r="I1236" i="1" a="1"/>
  <c r="I1236" i="1" s="1"/>
  <c r="I429" i="1" a="1"/>
  <c r="I429" i="1" s="1"/>
  <c r="I1238" i="1" a="1"/>
  <c r="I1238" i="1" s="1"/>
  <c r="I430" i="1" a="1"/>
  <c r="I430" i="1" s="1"/>
  <c r="I1239" i="1" a="1"/>
  <c r="I1239" i="1" s="1"/>
  <c r="I1240" i="1" a="1"/>
  <c r="I1240" i="1" s="1"/>
  <c r="I431" i="1" a="1"/>
  <c r="I431" i="1" s="1"/>
  <c r="I1241" i="1" a="1"/>
  <c r="I1241" i="1" s="1"/>
  <c r="I1242" i="1" a="1"/>
  <c r="I1242" i="1" s="1"/>
  <c r="I432" i="1" a="1"/>
  <c r="I432" i="1" s="1"/>
  <c r="I1243" i="1" a="1"/>
  <c r="I1243" i="1" s="1"/>
  <c r="I1244" i="1" a="1"/>
  <c r="I1244" i="1" s="1"/>
  <c r="I433" i="1" a="1"/>
  <c r="I433" i="1" s="1"/>
  <c r="I434" i="1" a="1"/>
  <c r="I434" i="1" s="1"/>
  <c r="I1027" i="1" a="1"/>
  <c r="I1027" i="1" s="1"/>
  <c r="I436" i="1" a="1"/>
  <c r="I436" i="1" s="1"/>
  <c r="I1030" i="1" a="1"/>
  <c r="I1030" i="1" s="1"/>
  <c r="I437" i="1" a="1"/>
  <c r="I437" i="1" s="1"/>
  <c r="I438" i="1" a="1"/>
  <c r="I438" i="1" s="1"/>
  <c r="I439" i="1" a="1"/>
  <c r="I439" i="1" s="1"/>
  <c r="I440" i="1" a="1"/>
  <c r="I440" i="1" s="1"/>
  <c r="I442" i="1" a="1"/>
  <c r="I442" i="1" s="1"/>
  <c r="I1246" i="1"/>
  <c r="I446" i="1" a="1"/>
  <c r="I446" i="1" s="1"/>
  <c r="I448" i="1" a="1"/>
  <c r="I448" i="1" s="1"/>
  <c r="I449" i="1" a="1"/>
  <c r="I449" i="1" s="1"/>
  <c r="I1247" i="1" a="1"/>
  <c r="I1247" i="1" s="1"/>
  <c r="I1031" i="1" a="1"/>
  <c r="I1031" i="1" s="1"/>
  <c r="I450" i="1" a="1"/>
  <c r="I450" i="1" s="1"/>
  <c r="I1248" i="1" a="1"/>
  <c r="I1248" i="1" s="1"/>
  <c r="I452" i="1" a="1"/>
  <c r="I452" i="1" s="1"/>
  <c r="I1032" i="1" a="1"/>
  <c r="I1032" i="1" s="1"/>
  <c r="I453" i="1" a="1"/>
  <c r="I453" i="1" s="1"/>
  <c r="I1250" i="1" a="1"/>
  <c r="I1250" i="1" s="1"/>
  <c r="I1033" i="1" a="1"/>
  <c r="I1033" i="1" s="1"/>
  <c r="I454" i="1" a="1"/>
  <c r="I454" i="1" s="1"/>
  <c r="I1251" i="1" a="1"/>
  <c r="I1251" i="1" s="1"/>
  <c r="I1035" i="1" a="1"/>
  <c r="I1035" i="1" s="1"/>
  <c r="I457" i="1" a="1"/>
  <c r="I457" i="1" s="1"/>
  <c r="I1036" i="1" a="1"/>
  <c r="I1036" i="1"/>
  <c r="I458" i="1" a="1"/>
  <c r="I458" i="1" s="1"/>
  <c r="I1038" i="1" a="1"/>
  <c r="I1038" i="1" s="1"/>
  <c r="I459" i="1" a="1"/>
  <c r="I459" i="1" s="1"/>
  <c r="I461" i="1"/>
  <c r="I462" i="1" a="1"/>
  <c r="I462" i="1" s="1"/>
  <c r="I463" i="1" a="1"/>
  <c r="I463" i="1" s="1"/>
  <c r="I465" i="1" a="1"/>
  <c r="I465" i="1" s="1"/>
  <c r="I466" i="1" a="1"/>
  <c r="I466" i="1" s="1"/>
  <c r="I468" i="1" a="1"/>
  <c r="I468" i="1" s="1"/>
  <c r="I469" i="1" a="1"/>
  <c r="I469" i="1" s="1"/>
  <c r="I471" i="1"/>
  <c r="I472" i="1" a="1"/>
  <c r="I472" i="1" s="1"/>
  <c r="I1041" i="1" a="1"/>
  <c r="I1041" i="1" s="1"/>
  <c r="I1042" i="1" a="1"/>
  <c r="I1042" i="1" s="1"/>
  <c r="I1044" i="1" a="1"/>
  <c r="I1044" i="1" s="1"/>
  <c r="I1047" i="1" a="1"/>
  <c r="I1047" i="1" s="1"/>
  <c r="I1048" i="1" a="1"/>
  <c r="I1048" i="1" s="1"/>
  <c r="I1049" i="1" a="1"/>
  <c r="I1049" i="1" s="1"/>
  <c r="I1050" i="1" a="1"/>
  <c r="I1050" i="1" s="1"/>
  <c r="I1051" i="1"/>
  <c r="I1052" i="1" a="1"/>
  <c r="I1052" i="1" s="1"/>
  <c r="I1346" i="1" a="1"/>
  <c r="I1346" i="1" s="1"/>
  <c r="I1347" i="1" a="1"/>
  <c r="I1347" i="1" s="1"/>
  <c r="I1292" i="1" a="1"/>
  <c r="I1292" i="1" s="1"/>
  <c r="I1293" i="1"/>
  <c r="I1350" i="1" a="1"/>
  <c r="I1350" i="1" s="1"/>
  <c r="I1295" i="1" a="1"/>
  <c r="I1295" i="1" s="1"/>
  <c r="I1296" i="1" a="1"/>
  <c r="I1296" i="1" s="1"/>
  <c r="I1351" i="1"/>
  <c r="I1297" i="1" a="1"/>
  <c r="I1297" i="1" s="1"/>
  <c r="I1298" i="1" a="1"/>
  <c r="I1298" i="1" s="1"/>
  <c r="I1352" i="1" a="1"/>
  <c r="I1352" i="1" s="1"/>
  <c r="I1353" i="1" a="1"/>
  <c r="I1353" i="1" s="1"/>
  <c r="I1299" i="1" a="1"/>
  <c r="I1299" i="1"/>
  <c r="I1300" i="1"/>
  <c r="I1301" i="1" a="1"/>
  <c r="I1301" i="1" s="1"/>
  <c r="I1355" i="1" a="1"/>
  <c r="I1355" i="1" s="1"/>
  <c r="I1302" i="1" a="1"/>
  <c r="I1302" i="1" s="1"/>
  <c r="I1303" i="1" a="1"/>
  <c r="I1303" i="1" s="1"/>
  <c r="I1053" i="1" a="1"/>
  <c r="I1053" i="1" s="1"/>
  <c r="I473" i="1" a="1"/>
  <c r="I473" i="1" s="1"/>
  <c r="I476" i="1" a="1"/>
  <c r="I476" i="1" s="1"/>
  <c r="I477" i="1" a="1"/>
  <c r="I477" i="1" s="1"/>
  <c r="I478" i="1"/>
  <c r="I1055" i="1" a="1"/>
  <c r="I1055" i="1" s="1"/>
  <c r="I1056" i="1" a="1"/>
  <c r="I1056" i="1" s="1"/>
  <c r="I481" i="1" a="1"/>
  <c r="I481" i="1"/>
  <c r="I482" i="1" a="1"/>
  <c r="I482" i="1" s="1"/>
  <c r="I1057" i="1" a="1"/>
  <c r="I1057" i="1" s="1"/>
  <c r="I484" i="1" a="1"/>
  <c r="I484" i="1" s="1"/>
  <c r="I485" i="1" a="1"/>
  <c r="I485" i="1" s="1"/>
  <c r="I486" i="1" a="1"/>
  <c r="I486" i="1" s="1"/>
  <c r="I487" i="1" a="1"/>
  <c r="I487" i="1" s="1"/>
  <c r="I488" i="1" a="1"/>
  <c r="I488" i="1" s="1"/>
  <c r="I1061" i="1" a="1"/>
  <c r="I1061" i="1" s="1"/>
  <c r="I491" i="1" a="1"/>
  <c r="I491" i="1" s="1"/>
  <c r="I492" i="1" a="1"/>
  <c r="I492" i="1" s="1"/>
  <c r="I1062" i="1" a="1"/>
  <c r="I1062" i="1" s="1"/>
  <c r="I494" i="1" a="1"/>
  <c r="I494" i="1" s="1"/>
  <c r="I496" i="1" a="1"/>
  <c r="I496" i="1" s="1"/>
  <c r="I1063" i="1" a="1"/>
  <c r="I1063" i="1" s="1"/>
  <c r="I497" i="1" a="1"/>
  <c r="I497" i="1" s="1"/>
  <c r="I498" i="1" a="1"/>
  <c r="I498" i="1" s="1"/>
  <c r="I499" i="1" a="1"/>
  <c r="I499" i="1" s="1"/>
  <c r="I500" i="1"/>
  <c r="I501" i="1" a="1"/>
  <c r="I501" i="1" s="1"/>
  <c r="I1254" i="1" a="1"/>
  <c r="I1254" i="1" s="1"/>
  <c r="I1065" i="1" a="1"/>
  <c r="I1065" i="1" s="1"/>
  <c r="I502" i="1"/>
  <c r="I1255" i="1" a="1"/>
  <c r="I1255" i="1" s="1"/>
  <c r="I1066" i="1" a="1"/>
  <c r="I1066" i="1" s="1"/>
  <c r="I1256" i="1" a="1"/>
  <c r="I1256" i="1" s="1"/>
  <c r="I504" i="1" a="1"/>
  <c r="I504" i="1" s="1"/>
  <c r="I1257" i="1" a="1"/>
  <c r="I1257" i="1"/>
  <c r="I505" i="1" a="1"/>
  <c r="I505" i="1" s="1"/>
  <c r="I1258" i="1" a="1"/>
  <c r="I1258" i="1" s="1"/>
  <c r="I506" i="1" a="1"/>
  <c r="I506" i="1" s="1"/>
  <c r="I507" i="1" a="1"/>
  <c r="I507" i="1" s="1"/>
  <c r="I1260" i="1" a="1"/>
  <c r="I1260" i="1" s="1"/>
  <c r="I1070" i="1" a="1"/>
  <c r="I1070" i="1" s="1"/>
  <c r="I1072" i="1" a="1"/>
  <c r="I1072" i="1" s="1"/>
  <c r="I510" i="1" a="1"/>
  <c r="I510" i="1" s="1"/>
  <c r="I1074" i="1" a="1"/>
  <c r="I1074" i="1" s="1"/>
  <c r="I512" i="1" a="1"/>
  <c r="I512" i="1" s="1"/>
  <c r="I513" i="1" a="1"/>
  <c r="I513" i="1" s="1"/>
  <c r="I1358" i="1" a="1"/>
  <c r="I1358" i="1" s="1"/>
  <c r="I1359" i="1" a="1"/>
  <c r="I1359" i="1" s="1"/>
  <c r="I1306" i="1" a="1"/>
  <c r="I1306" i="1" s="1"/>
  <c r="I1360" i="1" a="1"/>
  <c r="I1360" i="1" s="1"/>
  <c r="I1361" i="1" a="1"/>
  <c r="I1361" i="1" s="1"/>
  <c r="I1075" i="1" a="1"/>
  <c r="I1075" i="1" s="1"/>
  <c r="I1076" i="1" a="1"/>
  <c r="I1076" i="1" s="1"/>
  <c r="I515" i="1" a="1"/>
  <c r="I515" i="1" s="1"/>
  <c r="I1077" i="1" a="1"/>
  <c r="I1077" i="1" s="1"/>
  <c r="I1078" i="1" a="1"/>
  <c r="I1078" i="1" s="1"/>
  <c r="I517" i="1" a="1"/>
  <c r="I517" i="1" s="1"/>
  <c r="I518" i="1" a="1"/>
  <c r="I518" i="1" s="1"/>
  <c r="I519" i="1" a="1"/>
  <c r="I519" i="1"/>
  <c r="I521" i="1" a="1"/>
  <c r="I521" i="1" s="1"/>
  <c r="I522" i="1" a="1"/>
  <c r="I522" i="1" s="1"/>
  <c r="I523" i="1" a="1"/>
  <c r="I523" i="1"/>
  <c r="I524" i="1" a="1"/>
  <c r="I524" i="1" s="1"/>
  <c r="I525" i="1"/>
  <c r="I527" i="1" a="1"/>
  <c r="I527" i="1" s="1"/>
  <c r="I1079" i="1" a="1"/>
  <c r="I1079" i="1" s="1"/>
  <c r="I1081" i="1" a="1"/>
  <c r="I1081" i="1" s="1"/>
  <c r="I530" i="1" a="1"/>
  <c r="I530" i="1" s="1"/>
  <c r="I531" i="1"/>
  <c r="I532" i="1" a="1"/>
  <c r="I532" i="1" s="1"/>
  <c r="I538" i="1" a="1"/>
  <c r="I538" i="1" s="1"/>
  <c r="I540" i="1"/>
  <c r="I543" i="1" a="1"/>
  <c r="I543" i="1" s="1"/>
  <c r="I544" i="1" a="1"/>
  <c r="I544" i="1" s="1"/>
  <c r="I1082" i="1" a="1"/>
  <c r="I1082" i="1"/>
  <c r="I1083" i="1" a="1"/>
  <c r="I1083" i="1"/>
  <c r="I1086" i="1"/>
  <c r="I1087" i="1"/>
  <c r="I1088" i="1" a="1"/>
  <c r="I1088" i="1" s="1"/>
  <c r="I1090" i="1" a="1"/>
  <c r="I1090" i="1" s="1"/>
  <c r="I1091" i="1" a="1"/>
  <c r="I1091" i="1" s="1"/>
  <c r="I548" i="1" a="1"/>
  <c r="I548" i="1" s="1"/>
  <c r="I549" i="1" a="1"/>
  <c r="I549" i="1" s="1"/>
  <c r="I550" i="1" a="1"/>
  <c r="I550" i="1" s="1"/>
  <c r="I552" i="1" a="1"/>
  <c r="I552" i="1" s="1"/>
  <c r="I554" i="1" a="1"/>
  <c r="I554" i="1" s="1"/>
  <c r="I555" i="1" a="1"/>
  <c r="I555" i="1" s="1"/>
  <c r="I556" i="1" a="1"/>
  <c r="I556" i="1"/>
  <c r="I560" i="1" a="1"/>
  <c r="I560" i="1" s="1"/>
  <c r="I561" i="1" a="1"/>
  <c r="I561" i="1" s="1"/>
  <c r="I562" i="1" a="1"/>
  <c r="I562" i="1" s="1"/>
  <c r="I564" i="1" a="1"/>
  <c r="I564" i="1" s="1"/>
  <c r="I565" i="1" a="1"/>
  <c r="I565" i="1" s="1"/>
  <c r="I567" i="1" a="1"/>
  <c r="I567" i="1" s="1"/>
  <c r="I568" i="1" a="1"/>
  <c r="I568" i="1" s="1"/>
  <c r="I1094" i="1" a="1"/>
  <c r="I1094" i="1"/>
  <c r="I1261" i="1" a="1"/>
  <c r="I1261" i="1" s="1"/>
  <c r="I1096" i="1" a="1"/>
  <c r="I1096" i="1" s="1"/>
  <c r="I572" i="1" a="1"/>
  <c r="I572" i="1" s="1"/>
  <c r="I573" i="1" a="1"/>
  <c r="I573" i="1" s="1"/>
  <c r="I574" i="1" a="1"/>
  <c r="I574" i="1" s="1"/>
  <c r="I575" i="1" a="1"/>
  <c r="I575" i="1" s="1"/>
  <c r="I1098" i="1" a="1"/>
  <c r="I1098" i="1" s="1"/>
  <c r="I1099" i="1" a="1"/>
  <c r="I1099" i="1" s="1"/>
  <c r="I1100" i="1" a="1"/>
  <c r="I1100" i="1" s="1"/>
  <c r="I1102" i="1" a="1"/>
  <c r="I1102" i="1"/>
  <c r="I1104" i="1" a="1"/>
  <c r="I1104" i="1" s="1"/>
  <c r="I1105" i="1" a="1"/>
  <c r="I1105" i="1" s="1"/>
  <c r="I1107" i="1" a="1"/>
  <c r="I1107" i="1" s="1"/>
  <c r="I1310" i="1" a="1"/>
  <c r="I1310" i="1" s="1"/>
  <c r="I1316" i="1" a="1"/>
  <c r="I1316" i="1" s="1"/>
  <c r="I1317" i="1" a="1"/>
  <c r="I1317" i="1" s="1"/>
  <c r="I1319" i="1" a="1"/>
  <c r="I1319" i="1" s="1"/>
  <c r="I1320" i="1" a="1"/>
  <c r="I1320" i="1" s="1"/>
  <c r="I1263" i="1" a="1"/>
  <c r="I1263" i="1" s="1"/>
  <c r="I1323" i="1" a="1"/>
  <c r="I1323" i="1" s="1"/>
  <c r="I1326" i="1" a="1"/>
  <c r="I1326" i="1" s="1"/>
  <c r="I1329" i="1" a="1"/>
  <c r="I1329" i="1" s="1"/>
  <c r="I1264" i="1" a="1"/>
  <c r="I1264" i="1" s="1"/>
  <c r="I577" i="1" a="1"/>
  <c r="I577" i="1" s="1"/>
  <c r="I1265" i="1" a="1"/>
  <c r="I1265" i="1" s="1"/>
  <c r="I1268" i="1" a="1"/>
  <c r="I1268" i="1" s="1"/>
  <c r="I1363" i="1" a="1"/>
  <c r="I1363" i="1" s="1"/>
  <c r="I1269" i="1" a="1"/>
  <c r="I1269" i="1" s="1"/>
  <c r="I1274" i="1" a="1"/>
  <c r="I1274" i="1" s="1"/>
  <c r="I1275" i="1" a="1"/>
  <c r="I1275" i="1" s="1"/>
  <c r="I1276" i="1" a="1"/>
  <c r="I1276" i="1" s="1"/>
  <c r="I581" i="1" a="1"/>
  <c r="I581" i="1" s="1"/>
  <c r="I582" i="1" a="1"/>
  <c r="I582" i="1" s="1"/>
  <c r="I1111" i="1" a="1"/>
  <c r="I1111" i="1" s="1"/>
  <c r="I586" i="1" a="1"/>
  <c r="I586" i="1" s="1"/>
  <c r="J1181" i="1"/>
  <c r="K1181" i="1" s="1" a="1"/>
  <c r="K1181" i="1" s="1"/>
  <c r="M1181" i="1" s="1"/>
  <c r="J1338" i="1"/>
  <c r="J1182" i="1"/>
  <c r="K1182" i="1" s="1" a="1"/>
  <c r="K1182" i="1" s="1"/>
  <c r="J1183" i="1"/>
  <c r="K1183" i="1" s="1" a="1"/>
  <c r="K1183" i="1" s="1"/>
  <c r="J1184" i="1"/>
  <c r="K1184" i="1" s="1" a="1"/>
  <c r="J1185" i="1"/>
  <c r="K1185" i="1" s="1" a="1"/>
  <c r="J1186" i="1"/>
  <c r="J1187" i="1"/>
  <c r="J894" i="1"/>
  <c r="K894" i="1" s="1" a="1"/>
  <c r="K894" i="1" s="1"/>
  <c r="M894" i="1" s="1"/>
  <c r="J1188" i="1"/>
  <c r="K1188" i="1" s="1" a="1"/>
  <c r="K1188" i="1" s="1"/>
  <c r="J895" i="1"/>
  <c r="K895" i="1" s="1" a="1"/>
  <c r="K895" i="1" s="1"/>
  <c r="M895" i="1" s="1"/>
  <c r="J896" i="1"/>
  <c r="K896" i="1" s="1" a="1"/>
  <c r="K896" i="1" s="1"/>
  <c r="J1189" i="1"/>
  <c r="K1189" i="1" s="1" a="1"/>
  <c r="J897" i="1"/>
  <c r="K897" i="1" s="1" a="1"/>
  <c r="K897" i="1" s="1"/>
  <c r="J898" i="1"/>
  <c r="J899" i="1"/>
  <c r="L899" i="1" s="1" a="1"/>
  <c r="L899" i="1" s="1"/>
  <c r="N899" i="1" s="1"/>
  <c r="J900" i="1"/>
  <c r="K900" i="1" s="1" a="1"/>
  <c r="K900" i="1" s="1"/>
  <c r="J1190" i="1"/>
  <c r="J222" i="1"/>
  <c r="J223" i="1"/>
  <c r="J224" i="1"/>
  <c r="K224" i="1" s="1" a="1"/>
  <c r="J225" i="1"/>
  <c r="K225" i="1" s="1" a="1"/>
  <c r="K225" i="1" s="1"/>
  <c r="J226" i="1"/>
  <c r="J227" i="1"/>
  <c r="J228" i="1"/>
  <c r="K228" i="1" s="1" a="1"/>
  <c r="K228" i="1" s="1"/>
  <c r="M228" i="1" s="1"/>
  <c r="J229" i="1"/>
  <c r="J230" i="1"/>
  <c r="J231" i="1"/>
  <c r="J901" i="1"/>
  <c r="K901" i="1" s="1" a="1"/>
  <c r="K901" i="1" s="1"/>
  <c r="J232" i="1"/>
  <c r="K232" i="1" s="1" a="1"/>
  <c r="K232" i="1" s="1"/>
  <c r="M232" i="1" s="1"/>
  <c r="J233" i="1"/>
  <c r="J234" i="1"/>
  <c r="K234" i="1" s="1" a="1"/>
  <c r="K234" i="1" s="1"/>
  <c r="J235" i="1"/>
  <c r="K235" i="1" s="1" a="1"/>
  <c r="K235" i="1" s="1"/>
  <c r="M235" i="1" s="1"/>
  <c r="J236" i="1"/>
  <c r="J237" i="1"/>
  <c r="K237" i="1" s="1" a="1"/>
  <c r="K237" i="1" s="1"/>
  <c r="J238" i="1"/>
  <c r="K238" i="1" s="1" a="1"/>
  <c r="K238" i="1" s="1"/>
  <c r="M238" i="1" s="1"/>
  <c r="J239" i="1"/>
  <c r="K239" i="1" s="1" a="1"/>
  <c r="J240" i="1"/>
  <c r="J241" i="1"/>
  <c r="J242" i="1"/>
  <c r="J243" i="1"/>
  <c r="K243" i="1" s="1" a="1"/>
  <c r="K243" i="1" s="1"/>
  <c r="J244" i="1"/>
  <c r="K244" i="1" s="1" a="1"/>
  <c r="K244" i="1" s="1"/>
  <c r="J245" i="1"/>
  <c r="J246" i="1"/>
  <c r="K246" i="1" s="1" a="1"/>
  <c r="K246" i="1" s="1"/>
  <c r="M246" i="1" s="1"/>
  <c r="J247" i="1"/>
  <c r="K247" i="1" s="1" a="1"/>
  <c r="J248" i="1"/>
  <c r="J249" i="1"/>
  <c r="L249" i="1" s="1" a="1"/>
  <c r="L249" i="1" s="1"/>
  <c r="J250" i="1"/>
  <c r="J251" i="1"/>
  <c r="K251" i="1" s="1" a="1"/>
  <c r="K251" i="1" s="1"/>
  <c r="J252" i="1"/>
  <c r="J253" i="1"/>
  <c r="J254" i="1"/>
  <c r="J255" i="1"/>
  <c r="K255" i="1" s="1" a="1"/>
  <c r="J256" i="1"/>
  <c r="L256" i="1" s="1" a="1"/>
  <c r="L256" i="1" s="1"/>
  <c r="J257" i="1"/>
  <c r="J258" i="1"/>
  <c r="K258" i="1" s="1" a="1"/>
  <c r="K258" i="1" s="1"/>
  <c r="J259" i="1"/>
  <c r="K259" i="1" s="1" a="1"/>
  <c r="J260" i="1"/>
  <c r="J261" i="1"/>
  <c r="K261" i="1" s="1" a="1"/>
  <c r="K261" i="1" s="1"/>
  <c r="M261" i="1" s="1"/>
  <c r="J262" i="1"/>
  <c r="J263" i="1"/>
  <c r="K263" i="1" s="1" a="1"/>
  <c r="J264" i="1"/>
  <c r="J265" i="1"/>
  <c r="J266" i="1"/>
  <c r="J267" i="1"/>
  <c r="K267" i="1" s="1" a="1"/>
  <c r="K267" i="1" s="1"/>
  <c r="M267" i="1" s="1"/>
  <c r="J903" i="1"/>
  <c r="J904" i="1"/>
  <c r="J905" i="1"/>
  <c r="K905" i="1" s="1" a="1"/>
  <c r="K905" i="1" s="1"/>
  <c r="M905" i="1" s="1"/>
  <c r="J906" i="1"/>
  <c r="K906" i="1" s="1" a="1"/>
  <c r="J907" i="1"/>
  <c r="L907" i="1" s="1" a="1"/>
  <c r="L907" i="1" s="1"/>
  <c r="J908" i="1"/>
  <c r="K908" i="1" s="1" a="1"/>
  <c r="K908" i="1" s="1"/>
  <c r="J268" i="1"/>
  <c r="K268" i="1" s="1" a="1"/>
  <c r="K268" i="1" s="1"/>
  <c r="J269" i="1"/>
  <c r="K269" i="1" s="1" a="1"/>
  <c r="K269" i="1" s="1"/>
  <c r="J909" i="1"/>
  <c r="J910" i="1"/>
  <c r="J270" i="1"/>
  <c r="K270" i="1" s="1" a="1"/>
  <c r="K270" i="1" s="1"/>
  <c r="M270" i="1" s="1"/>
  <c r="J271" i="1"/>
  <c r="K271" i="1" s="1" a="1"/>
  <c r="K271" i="1" s="1"/>
  <c r="J272" i="1"/>
  <c r="L272" i="1" s="1" a="1"/>
  <c r="L272" i="1" s="1"/>
  <c r="N272" i="1" s="1"/>
  <c r="J273" i="1"/>
  <c r="J274" i="1"/>
  <c r="K274" i="1" s="1" a="1"/>
  <c r="K274" i="1" s="1"/>
  <c r="J275" i="1"/>
  <c r="J276" i="1"/>
  <c r="J277" i="1"/>
  <c r="K277" i="1" s="1" a="1"/>
  <c r="K277" i="1" s="1"/>
  <c r="J278" i="1"/>
  <c r="K278" i="1" s="1" a="1"/>
  <c r="K278" i="1" s="1"/>
  <c r="M278" i="1" s="1"/>
  <c r="J279" i="1"/>
  <c r="J280" i="1"/>
  <c r="L280" i="1" s="1" a="1"/>
  <c r="L280" i="1" s="1"/>
  <c r="J281" i="1"/>
  <c r="J282" i="1"/>
  <c r="K282" i="1" s="1" a="1"/>
  <c r="K282" i="1" s="1"/>
  <c r="J283" i="1"/>
  <c r="J284" i="1"/>
  <c r="J285" i="1"/>
  <c r="J286" i="1"/>
  <c r="J287" i="1"/>
  <c r="J288" i="1"/>
  <c r="J289" i="1"/>
  <c r="K289" i="1" s="1" a="1"/>
  <c r="K289" i="1" s="1"/>
  <c r="J1191" i="1"/>
  <c r="K1191" i="1" s="1" a="1"/>
  <c r="J291" i="1"/>
  <c r="J292" i="1"/>
  <c r="L292" i="1" s="1" a="1"/>
  <c r="J293" i="1"/>
  <c r="K293" i="1" s="1" a="1"/>
  <c r="K293" i="1" s="1"/>
  <c r="M293" i="1" s="1"/>
  <c r="J294" i="1"/>
  <c r="J295" i="1"/>
  <c r="J296" i="1"/>
  <c r="J297" i="1"/>
  <c r="K297" i="1" s="1" a="1"/>
  <c r="K297" i="1" s="1"/>
  <c r="J298" i="1"/>
  <c r="K298" i="1" s="1" a="1"/>
  <c r="K298" i="1" s="1"/>
  <c r="J299" i="1"/>
  <c r="J300" i="1"/>
  <c r="J301" i="1"/>
  <c r="J302" i="1"/>
  <c r="K302" i="1" s="1" a="1"/>
  <c r="K302" i="1" s="1"/>
  <c r="J303" i="1"/>
  <c r="J304" i="1"/>
  <c r="J305" i="1"/>
  <c r="J1192" i="1"/>
  <c r="K1192" i="1" s="1" a="1"/>
  <c r="K1192" i="1" s="1"/>
  <c r="J306" i="1"/>
  <c r="J307" i="1"/>
  <c r="J308" i="1"/>
  <c r="J309" i="1"/>
  <c r="J911" i="1"/>
  <c r="J310" i="1"/>
  <c r="J912" i="1"/>
  <c r="K912" i="1" s="1" a="1"/>
  <c r="K912" i="1" s="1"/>
  <c r="J311" i="1"/>
  <c r="K311" i="1" s="1" a="1"/>
  <c r="K311" i="1" s="1"/>
  <c r="J913" i="1"/>
  <c r="J312" i="1"/>
  <c r="J313" i="1"/>
  <c r="J314" i="1"/>
  <c r="J315" i="1"/>
  <c r="J316" i="1"/>
  <c r="J317" i="1"/>
  <c r="J318" i="1"/>
  <c r="K318" i="1" s="1" a="1"/>
  <c r="K318" i="1" s="1"/>
  <c r="J319" i="1"/>
  <c r="J320" i="1"/>
  <c r="J321" i="1"/>
  <c r="K321" i="1" s="1" a="1"/>
  <c r="K321" i="1" s="1"/>
  <c r="M321" i="1" s="1"/>
  <c r="J322" i="1"/>
  <c r="J914" i="1"/>
  <c r="J915" i="1"/>
  <c r="J916" i="1"/>
  <c r="J917" i="1"/>
  <c r="K917" i="1" s="1" a="1"/>
  <c r="K917" i="1" s="1"/>
  <c r="J918" i="1"/>
  <c r="J919" i="1"/>
  <c r="J920" i="1"/>
  <c r="J921" i="1"/>
  <c r="K921" i="1" s="1" a="1"/>
  <c r="K921" i="1" s="1"/>
  <c r="J922" i="1"/>
  <c r="L922" i="1" s="1" a="1"/>
  <c r="L922" i="1" s="1"/>
  <c r="J923" i="1"/>
  <c r="J924" i="1"/>
  <c r="J925" i="1"/>
  <c r="K925" i="1" s="1" a="1"/>
  <c r="K925" i="1" s="1"/>
  <c r="J323" i="1"/>
  <c r="J324" i="1"/>
  <c r="J926" i="1"/>
  <c r="J325" i="1"/>
  <c r="K325" i="1" s="1" a="1"/>
  <c r="K325" i="1" s="1"/>
  <c r="J927" i="1"/>
  <c r="J929" i="1"/>
  <c r="K929" i="1" s="1" a="1"/>
  <c r="K929" i="1" s="1"/>
  <c r="J930" i="1"/>
  <c r="K930" i="1" s="1" a="1"/>
  <c r="K930" i="1" s="1"/>
  <c r="J931" i="1"/>
  <c r="J932" i="1"/>
  <c r="K932" i="1" s="1" a="1"/>
  <c r="K932" i="1" s="1"/>
  <c r="M932" i="1" s="1"/>
  <c r="J933" i="1"/>
  <c r="J934" i="1"/>
  <c r="K934" i="1" s="1" a="1"/>
  <c r="K934" i="1" s="1"/>
  <c r="J935" i="1"/>
  <c r="K935" i="1" s="1" a="1"/>
  <c r="K935" i="1" s="1"/>
  <c r="M935" i="1" s="1"/>
  <c r="J936" i="1"/>
  <c r="J937" i="1"/>
  <c r="K937" i="1" s="1" a="1"/>
  <c r="K937" i="1" s="1"/>
  <c r="J938" i="1"/>
  <c r="K938" i="1" s="1" a="1"/>
  <c r="K938" i="1" s="1"/>
  <c r="J939" i="1"/>
  <c r="L939" i="1" s="1" a="1"/>
  <c r="L939" i="1" s="1"/>
  <c r="J940" i="1"/>
  <c r="J941" i="1"/>
  <c r="J942" i="1"/>
  <c r="J943" i="1"/>
  <c r="J944" i="1"/>
  <c r="J945" i="1"/>
  <c r="K945" i="1" s="1" a="1"/>
  <c r="K945" i="1" s="1"/>
  <c r="J946" i="1"/>
  <c r="K946" i="1" s="1" a="1"/>
  <c r="K946" i="1" s="1"/>
  <c r="J1287" i="1"/>
  <c r="J1288" i="1"/>
  <c r="J947" i="1"/>
  <c r="J948" i="1"/>
  <c r="K948" i="1" s="1" a="1"/>
  <c r="K948" i="1" s="1"/>
  <c r="J949" i="1"/>
  <c r="K949" i="1" s="1" a="1"/>
  <c r="K949" i="1" s="1"/>
  <c r="J950" i="1"/>
  <c r="J951" i="1"/>
  <c r="J952" i="1"/>
  <c r="K952" i="1" s="1" a="1"/>
  <c r="K952" i="1" s="1"/>
  <c r="J953" i="1"/>
  <c r="J954" i="1"/>
  <c r="J955" i="1"/>
  <c r="J956" i="1"/>
  <c r="K956" i="1" s="1" a="1"/>
  <c r="K956" i="1" s="1"/>
  <c r="J957" i="1"/>
  <c r="K957" i="1" s="1" a="1"/>
  <c r="K957" i="1" s="1"/>
  <c r="M957" i="1" s="1"/>
  <c r="J1339" i="1"/>
  <c r="J326" i="1"/>
  <c r="K326" i="1" s="1" a="1"/>
  <c r="K326" i="1" s="1"/>
  <c r="J327" i="1"/>
  <c r="K327" i="1" s="1" a="1"/>
  <c r="K327" i="1" s="1"/>
  <c r="J328" i="1"/>
  <c r="J1193" i="1"/>
  <c r="J1194" i="1"/>
  <c r="J1195" i="1"/>
  <c r="J1196" i="1"/>
  <c r="K1196" i="1" s="1" a="1"/>
  <c r="K1196" i="1" s="1"/>
  <c r="J1197" i="1"/>
  <c r="L1197" i="1" s="1" a="1"/>
  <c r="L1197" i="1" s="1"/>
  <c r="N1197" i="1" s="1"/>
  <c r="J1198" i="1"/>
  <c r="J1340" i="1"/>
  <c r="K1340" i="1" s="1" a="1"/>
  <c r="K1340" i="1" s="1"/>
  <c r="J1341" i="1"/>
  <c r="J1199" i="1"/>
  <c r="K1199" i="1" s="1" a="1"/>
  <c r="K1199" i="1" s="1"/>
  <c r="J1200" i="1"/>
  <c r="J1201" i="1"/>
  <c r="K1201" i="1" s="1" a="1"/>
  <c r="K1201" i="1" s="1"/>
  <c r="J1202" i="1"/>
  <c r="K1202" i="1" s="1" a="1"/>
  <c r="K1202" i="1" s="1"/>
  <c r="M1202" i="1" s="1"/>
  <c r="J1203" i="1"/>
  <c r="J1204" i="1"/>
  <c r="J1205" i="1"/>
  <c r="K1205" i="1" s="1" a="1"/>
  <c r="K1205" i="1" s="1"/>
  <c r="J1206" i="1"/>
  <c r="J1207" i="1"/>
  <c r="J1208" i="1"/>
  <c r="J1209" i="1"/>
  <c r="K1209" i="1" s="1" a="1"/>
  <c r="K1209" i="1" s="1"/>
  <c r="J1210" i="1"/>
  <c r="L1210" i="1" s="1" a="1"/>
  <c r="L1210" i="1" s="1"/>
  <c r="J1342" i="1"/>
  <c r="J1211" i="1"/>
  <c r="J1212" i="1"/>
  <c r="K1212" i="1" s="1" a="1"/>
  <c r="K1212" i="1" s="1"/>
  <c r="J329" i="1"/>
  <c r="J330" i="1"/>
  <c r="J331" i="1"/>
  <c r="J332" i="1"/>
  <c r="J333" i="1"/>
  <c r="L333" i="1" s="1" a="1"/>
  <c r="L333" i="1" s="1"/>
  <c r="J334" i="1"/>
  <c r="J335" i="1"/>
  <c r="K335" i="1" s="1" a="1"/>
  <c r="K335" i="1" s="1"/>
  <c r="J336" i="1"/>
  <c r="K336" i="1" s="1" a="1"/>
  <c r="K336" i="1" s="1"/>
  <c r="J337" i="1"/>
  <c r="J338" i="1"/>
  <c r="J339" i="1"/>
  <c r="J340" i="1"/>
  <c r="K340" i="1" s="1" a="1"/>
  <c r="K340" i="1" s="1"/>
  <c r="J341" i="1"/>
  <c r="L341" i="1" s="1" a="1"/>
  <c r="L341" i="1" s="1"/>
  <c r="J342" i="1"/>
  <c r="J343" i="1"/>
  <c r="K343" i="1" s="1" a="1"/>
  <c r="K343" i="1" s="1"/>
  <c r="M343" i="1" s="1"/>
  <c r="J344" i="1"/>
  <c r="K344" i="1" s="1" a="1"/>
  <c r="K344" i="1" s="1"/>
  <c r="J345" i="1"/>
  <c r="J346" i="1"/>
  <c r="K346" i="1" s="1" a="1"/>
  <c r="K346" i="1" s="1"/>
  <c r="J347" i="1"/>
  <c r="J348" i="1"/>
  <c r="J349" i="1"/>
  <c r="J350" i="1"/>
  <c r="J351" i="1"/>
  <c r="J352" i="1"/>
  <c r="K352" i="1" s="1" a="1"/>
  <c r="K352" i="1" s="1"/>
  <c r="J353" i="1"/>
  <c r="J354" i="1"/>
  <c r="J355" i="1"/>
  <c r="J356" i="1"/>
  <c r="K356" i="1" s="1" a="1"/>
  <c r="K356" i="1" s="1"/>
  <c r="J357" i="1"/>
  <c r="J358" i="1"/>
  <c r="J359" i="1"/>
  <c r="J958" i="1"/>
  <c r="K958" i="1" s="1" a="1"/>
  <c r="K958" i="1" s="1"/>
  <c r="J959" i="1"/>
  <c r="J960" i="1"/>
  <c r="J961" i="1"/>
  <c r="J962" i="1"/>
  <c r="K962" i="1" s="1" a="1"/>
  <c r="K962" i="1" s="1"/>
  <c r="J963" i="1"/>
  <c r="K963" i="1" s="1" a="1"/>
  <c r="K963" i="1" s="1"/>
  <c r="J964" i="1"/>
  <c r="J965" i="1"/>
  <c r="K965" i="1" s="1" a="1"/>
  <c r="K965" i="1" s="1"/>
  <c r="J966" i="1"/>
  <c r="K966" i="1" s="1" a="1"/>
  <c r="K966" i="1" s="1"/>
  <c r="J967" i="1"/>
  <c r="J968" i="1"/>
  <c r="J969" i="1"/>
  <c r="J970" i="1"/>
  <c r="K970" i="1" s="1" a="1"/>
  <c r="K970" i="1" s="1"/>
  <c r="J971" i="1"/>
  <c r="K971" i="1" s="1" a="1"/>
  <c r="K971" i="1" s="1"/>
  <c r="M971" i="1" s="1"/>
  <c r="J972" i="1"/>
  <c r="J973" i="1"/>
  <c r="L973" i="1" s="1" a="1"/>
  <c r="L973" i="1" s="1"/>
  <c r="N973" i="1" s="1"/>
  <c r="J974" i="1"/>
  <c r="K974" i="1" s="1" a="1"/>
  <c r="K974" i="1" s="1"/>
  <c r="J975" i="1"/>
  <c r="J976" i="1"/>
  <c r="K976" i="1" s="1" a="1"/>
  <c r="K976" i="1" s="1"/>
  <c r="J977" i="1"/>
  <c r="K977" i="1" s="1" a="1"/>
  <c r="K977" i="1" s="1"/>
  <c r="M977" i="1" s="1"/>
  <c r="J978" i="1"/>
  <c r="K978" i="1" s="1" a="1"/>
  <c r="K978" i="1" s="1"/>
  <c r="J979" i="1"/>
  <c r="K979" i="1" s="1" a="1"/>
  <c r="K979" i="1" s="1"/>
  <c r="M979" i="1" s="1"/>
  <c r="J980" i="1"/>
  <c r="J981" i="1"/>
  <c r="K981" i="1" s="1" a="1"/>
  <c r="K981" i="1" s="1"/>
  <c r="J982" i="1"/>
  <c r="K982" i="1" s="1" a="1"/>
  <c r="K982" i="1" s="1"/>
  <c r="J983" i="1"/>
  <c r="J984" i="1"/>
  <c r="J985" i="1"/>
  <c r="L985" i="1" s="1" a="1"/>
  <c r="L985" i="1" s="1"/>
  <c r="N985" i="1" s="1"/>
  <c r="J986" i="1"/>
  <c r="K986" i="1" s="1" a="1"/>
  <c r="K986" i="1" s="1"/>
  <c r="J1213" i="1"/>
  <c r="J1214" i="1"/>
  <c r="J1215" i="1"/>
  <c r="K1215" i="1" s="1" a="1"/>
  <c r="K1215" i="1" s="1"/>
  <c r="J1216" i="1"/>
  <c r="K1216" i="1" s="1" a="1"/>
  <c r="K1216" i="1" s="1"/>
  <c r="J1217" i="1"/>
  <c r="J1218" i="1"/>
  <c r="J1219" i="1"/>
  <c r="K1219" i="1" s="1" a="1"/>
  <c r="K1219" i="1" s="1"/>
  <c r="M1219" i="1" s="1"/>
  <c r="J1220" i="1"/>
  <c r="K1220" i="1" s="1" a="1"/>
  <c r="K1220" i="1" s="1"/>
  <c r="J1221" i="1"/>
  <c r="L1221" i="1" s="1" a="1"/>
  <c r="L1221" i="1" s="1"/>
  <c r="N1221" i="1" s="1"/>
  <c r="J1222" i="1"/>
  <c r="J1223" i="1"/>
  <c r="K1223" i="1" s="1" a="1"/>
  <c r="K1223" i="1" s="1"/>
  <c r="J1224" i="1"/>
  <c r="K1224" i="1" s="1" a="1"/>
  <c r="K1224" i="1" s="1"/>
  <c r="J987" i="1"/>
  <c r="J988" i="1"/>
  <c r="K988" i="1" s="1" a="1"/>
  <c r="K988" i="1" s="1"/>
  <c r="M988" i="1" s="1"/>
  <c r="J360" i="1"/>
  <c r="J361" i="1"/>
  <c r="K361" i="1" s="1" a="1"/>
  <c r="K361" i="1" s="1"/>
  <c r="J362" i="1"/>
  <c r="L362" i="1" s="1" a="1"/>
  <c r="L362" i="1" s="1"/>
  <c r="J1343" i="1"/>
  <c r="J1344" i="1"/>
  <c r="K1344" i="1" s="1" a="1"/>
  <c r="K1344" i="1" s="1"/>
  <c r="M1344" i="1" s="1"/>
  <c r="J363" i="1"/>
  <c r="K363" i="1" s="1" a="1"/>
  <c r="K363" i="1" s="1"/>
  <c r="J364" i="1"/>
  <c r="L364" i="1" s="1" a="1"/>
  <c r="L364" i="1" s="1"/>
  <c r="J365" i="1"/>
  <c r="K365" i="1" s="1" a="1"/>
  <c r="K365" i="1" s="1"/>
  <c r="J366" i="1"/>
  <c r="J367" i="1"/>
  <c r="J368" i="1"/>
  <c r="K368" i="1" s="1" a="1"/>
  <c r="K368" i="1" s="1"/>
  <c r="M368" i="1" s="1"/>
  <c r="J369" i="1"/>
  <c r="J370" i="1"/>
  <c r="J371" i="1"/>
  <c r="K371" i="1" s="1" a="1"/>
  <c r="K371" i="1" s="1"/>
  <c r="J372" i="1"/>
  <c r="J373" i="1"/>
  <c r="J374" i="1"/>
  <c r="J989" i="1"/>
  <c r="K989" i="1" s="1" a="1"/>
  <c r="K989" i="1" s="1"/>
  <c r="J990" i="1"/>
  <c r="L990" i="1" s="1" a="1"/>
  <c r="L990" i="1" s="1"/>
  <c r="N990" i="1" s="1"/>
  <c r="J991" i="1"/>
  <c r="J375" i="1"/>
  <c r="J992" i="1"/>
  <c r="K992" i="1" s="1" a="1"/>
  <c r="K992" i="1" s="1"/>
  <c r="J993" i="1"/>
  <c r="J1225" i="1"/>
  <c r="J1226" i="1"/>
  <c r="J1289" i="1"/>
  <c r="J1290" i="1"/>
  <c r="L1290" i="1" s="1" a="1"/>
  <c r="L1290" i="1" s="1"/>
  <c r="J1227" i="1"/>
  <c r="J994" i="1"/>
  <c r="J995" i="1"/>
  <c r="K995" i="1" s="1" a="1"/>
  <c r="K995" i="1" s="1"/>
  <c r="J1228" i="1"/>
  <c r="J996" i="1"/>
  <c r="J997" i="1"/>
  <c r="J1291" i="1"/>
  <c r="J998" i="1"/>
  <c r="K998" i="1" s="1" a="1"/>
  <c r="K998" i="1" s="1"/>
  <c r="J1345" i="1"/>
  <c r="J376" i="1"/>
  <c r="L376" i="1" s="1" a="1"/>
  <c r="L376" i="1" s="1"/>
  <c r="N376" i="1" s="1"/>
  <c r="J377" i="1"/>
  <c r="K377" i="1" s="1" a="1"/>
  <c r="K377" i="1" s="1"/>
  <c r="J378" i="1"/>
  <c r="J379" i="1"/>
  <c r="K379" i="1" s="1" a="1"/>
  <c r="K379" i="1" s="1"/>
  <c r="J999" i="1"/>
  <c r="J380" i="1"/>
  <c r="J381" i="1"/>
  <c r="K381" i="1" s="1" a="1"/>
  <c r="K381" i="1" s="1"/>
  <c r="M381" i="1" s="1"/>
  <c r="J1000" i="1"/>
  <c r="J382" i="1"/>
  <c r="J1001" i="1"/>
  <c r="J383" i="1"/>
  <c r="J1002" i="1"/>
  <c r="J1003" i="1"/>
  <c r="J384" i="1"/>
  <c r="J385" i="1"/>
  <c r="K385" i="1" s="1" a="1"/>
  <c r="K385" i="1" s="1"/>
  <c r="J386" i="1"/>
  <c r="J387" i="1"/>
  <c r="J1004" i="1"/>
  <c r="K1004" i="1" s="1" a="1"/>
  <c r="K1004" i="1" s="1"/>
  <c r="M1004" i="1" s="1"/>
  <c r="J388" i="1"/>
  <c r="J389" i="1"/>
  <c r="L389" i="1" s="1" a="1"/>
  <c r="L389" i="1" s="1"/>
  <c r="N389" i="1" s="1"/>
  <c r="J390" i="1"/>
  <c r="J1005" i="1"/>
  <c r="K1005" i="1" s="1" a="1"/>
  <c r="K1005" i="1" s="1"/>
  <c r="J391" i="1"/>
  <c r="K391" i="1" s="1" a="1"/>
  <c r="K391" i="1" s="1"/>
  <c r="J392" i="1"/>
  <c r="J1006" i="1"/>
  <c r="K1006" i="1" s="1" a="1"/>
  <c r="K1006" i="1" s="1"/>
  <c r="J393" i="1"/>
  <c r="J394" i="1"/>
  <c r="J395" i="1"/>
  <c r="J1007" i="1"/>
  <c r="K1007" i="1" s="1" a="1"/>
  <c r="K1007" i="1" s="1"/>
  <c r="M1007" i="1" s="1"/>
  <c r="J396" i="1"/>
  <c r="K396" i="1" s="1" a="1"/>
  <c r="K396" i="1" s="1"/>
  <c r="J1009" i="1"/>
  <c r="L1009" i="1" s="1" a="1"/>
  <c r="J397" i="1"/>
  <c r="J398" i="1"/>
  <c r="J1010" i="1"/>
  <c r="J399" i="1"/>
  <c r="K399" i="1" s="1" a="1"/>
  <c r="K399" i="1" s="1"/>
  <c r="M399" i="1" s="1"/>
  <c r="J1011" i="1"/>
  <c r="J1012" i="1"/>
  <c r="J400" i="1"/>
  <c r="J1013" i="1"/>
  <c r="K1013" i="1" s="1" a="1"/>
  <c r="K1013" i="1" s="1"/>
  <c r="M1013" i="1" s="1"/>
  <c r="J1014" i="1"/>
  <c r="L1014" i="1" s="1" a="1"/>
  <c r="L1014" i="1" s="1"/>
  <c r="N1014" i="1" s="1"/>
  <c r="J401" i="1"/>
  <c r="K401" i="1" s="1" a="1"/>
  <c r="K401" i="1" s="1"/>
  <c r="M401" i="1" s="1"/>
  <c r="J1015" i="1"/>
  <c r="J1016" i="1"/>
  <c r="K1016" i="1" s="1" a="1"/>
  <c r="K1016" i="1" s="1"/>
  <c r="M1016" i="1" s="1"/>
  <c r="J402" i="1"/>
  <c r="J1017" i="1"/>
  <c r="J1018" i="1"/>
  <c r="K1018" i="1" s="1" a="1"/>
  <c r="K1018" i="1" s="1"/>
  <c r="M1018" i="1" s="1"/>
  <c r="J403" i="1"/>
  <c r="J1019" i="1"/>
  <c r="J1020" i="1"/>
  <c r="K1020" i="1" s="1" a="1"/>
  <c r="K1020" i="1" s="1"/>
  <c r="M1020" i="1" s="1"/>
  <c r="J404" i="1"/>
  <c r="J1022" i="1"/>
  <c r="J405" i="1"/>
  <c r="J1023" i="1"/>
  <c r="J1024" i="1"/>
  <c r="L1024" i="1" s="1" a="1"/>
  <c r="L1024" i="1" s="1"/>
  <c r="N1024" i="1" s="1"/>
  <c r="J406" i="1"/>
  <c r="K406" i="1" s="1" a="1"/>
  <c r="K406" i="1" s="1"/>
  <c r="J1025" i="1"/>
  <c r="K1025" i="1" s="1" a="1"/>
  <c r="K1025" i="1" s="1"/>
  <c r="J407" i="1"/>
  <c r="J408" i="1"/>
  <c r="J1026" i="1"/>
  <c r="J409" i="1"/>
  <c r="J410" i="1"/>
  <c r="J411" i="1"/>
  <c r="J412" i="1"/>
  <c r="K412" i="1" s="1" a="1"/>
  <c r="K412" i="1" s="1"/>
  <c r="M412" i="1" s="1"/>
  <c r="J413" i="1"/>
  <c r="K413" i="1" s="1" a="1"/>
  <c r="K413" i="1" s="1"/>
  <c r="J414" i="1"/>
  <c r="J415" i="1"/>
  <c r="J416" i="1"/>
  <c r="K416" i="1" s="1" a="1"/>
  <c r="J417" i="1"/>
  <c r="J418" i="1"/>
  <c r="J419" i="1"/>
  <c r="K419" i="1" s="1" a="1"/>
  <c r="K419" i="1" s="1"/>
  <c r="M419" i="1" s="1"/>
  <c r="J420" i="1"/>
  <c r="K420" i="1" s="1" a="1"/>
  <c r="K420" i="1" s="1"/>
  <c r="M420" i="1" s="1"/>
  <c r="J421" i="1"/>
  <c r="J422" i="1"/>
  <c r="J423" i="1"/>
  <c r="J1229" i="1"/>
  <c r="J424" i="1"/>
  <c r="K424" i="1" s="1" a="1"/>
  <c r="K424" i="1" s="1"/>
  <c r="J425" i="1"/>
  <c r="J1230" i="1"/>
  <c r="J426" i="1"/>
  <c r="J1231" i="1"/>
  <c r="K1231" i="1" s="1" a="1"/>
  <c r="K1231" i="1" s="1"/>
  <c r="M1231" i="1" s="1"/>
  <c r="J1232" i="1"/>
  <c r="J427" i="1"/>
  <c r="J1233" i="1"/>
  <c r="J1234" i="1"/>
  <c r="K1234" i="1" s="1" a="1"/>
  <c r="K1234" i="1" s="1"/>
  <c r="J428" i="1"/>
  <c r="J1235" i="1"/>
  <c r="J1236" i="1"/>
  <c r="K1236" i="1" s="1" a="1"/>
  <c r="K1236" i="1" s="1"/>
  <c r="J429" i="1"/>
  <c r="K429" i="1" s="1" a="1"/>
  <c r="K429" i="1" s="1"/>
  <c r="J1237" i="1"/>
  <c r="J1238" i="1"/>
  <c r="J430" i="1"/>
  <c r="L430" i="1" s="1" a="1"/>
  <c r="L430" i="1" s="1"/>
  <c r="J1239" i="1"/>
  <c r="K1239" i="1" s="1" a="1"/>
  <c r="K1239" i="1" s="1"/>
  <c r="J1240" i="1"/>
  <c r="J431" i="1"/>
  <c r="J1241" i="1"/>
  <c r="J1242" i="1"/>
  <c r="K1242" i="1" s="1" a="1"/>
  <c r="K1242" i="1" s="1"/>
  <c r="J432" i="1"/>
  <c r="J1243" i="1"/>
  <c r="J1244" i="1"/>
  <c r="K1244" i="1" s="1" a="1"/>
  <c r="J434" i="1"/>
  <c r="J1027" i="1"/>
  <c r="J1028" i="1"/>
  <c r="J435" i="1"/>
  <c r="K435" i="1" s="1" a="1"/>
  <c r="K435" i="1" s="1"/>
  <c r="J436" i="1"/>
  <c r="J1029" i="1"/>
  <c r="J1030" i="1"/>
  <c r="K1030" i="1" s="1" a="1"/>
  <c r="K1030" i="1" s="1"/>
  <c r="M1030" i="1" s="1"/>
  <c r="J437" i="1"/>
  <c r="J438" i="1"/>
  <c r="K438" i="1" s="1" a="1"/>
  <c r="K438" i="1" s="1"/>
  <c r="J439" i="1"/>
  <c r="J440" i="1"/>
  <c r="J441" i="1"/>
  <c r="K441" i="1" s="1" a="1"/>
  <c r="K441" i="1" s="1"/>
  <c r="M441" i="1" s="1"/>
  <c r="J442" i="1"/>
  <c r="J443" i="1"/>
  <c r="J1245" i="1"/>
  <c r="J445" i="1"/>
  <c r="J1246" i="1"/>
  <c r="J446" i="1"/>
  <c r="J447" i="1"/>
  <c r="K447" i="1" s="1" a="1"/>
  <c r="K447" i="1" s="1"/>
  <c r="J448" i="1"/>
  <c r="J449" i="1"/>
  <c r="K449" i="1" s="1" a="1"/>
  <c r="K449" i="1" s="1"/>
  <c r="M449" i="1" s="1"/>
  <c r="J1247" i="1"/>
  <c r="J1031" i="1"/>
  <c r="J450" i="1"/>
  <c r="J1248" i="1"/>
  <c r="K1248" i="1" s="1" a="1"/>
  <c r="K1248" i="1" s="1"/>
  <c r="M1248" i="1" s="1"/>
  <c r="J451" i="1"/>
  <c r="J452" i="1"/>
  <c r="J1249" i="1"/>
  <c r="J1032" i="1"/>
  <c r="K1032" i="1" s="1" a="1"/>
  <c r="K1032" i="1" s="1"/>
  <c r="M1032" i="1" s="1"/>
  <c r="J453" i="1"/>
  <c r="J1033" i="1"/>
  <c r="J454" i="1"/>
  <c r="K454" i="1" s="1" a="1"/>
  <c r="K454" i="1" s="1"/>
  <c r="J1251" i="1"/>
  <c r="J1034" i="1"/>
  <c r="J1252" i="1"/>
  <c r="J1035" i="1"/>
  <c r="K1035" i="1" s="1" a="1"/>
  <c r="J456" i="1"/>
  <c r="K456" i="1" s="1" a="1"/>
  <c r="J457" i="1"/>
  <c r="J1036" i="1"/>
  <c r="J458" i="1"/>
  <c r="L458" i="1" s="1" a="1"/>
  <c r="L458" i="1" s="1"/>
  <c r="J1037" i="1"/>
  <c r="J1038" i="1"/>
  <c r="J459" i="1"/>
  <c r="J1039" i="1"/>
  <c r="J460" i="1"/>
  <c r="J461" i="1"/>
  <c r="L461" i="1" s="1" a="1"/>
  <c r="L461" i="1" s="1"/>
  <c r="N461" i="1" s="1"/>
  <c r="J462" i="1"/>
  <c r="J463" i="1"/>
  <c r="K463" i="1" s="1" a="1"/>
  <c r="K463" i="1" s="1"/>
  <c r="J464" i="1"/>
  <c r="L464" i="1" s="1" a="1"/>
  <c r="L464" i="1" s="1"/>
  <c r="N464" i="1" s="1"/>
  <c r="J465" i="1"/>
  <c r="K465" i="1" s="1" a="1"/>
  <c r="J466" i="1"/>
  <c r="J467" i="1"/>
  <c r="J468" i="1"/>
  <c r="J469" i="1"/>
  <c r="J470" i="1"/>
  <c r="J471" i="1"/>
  <c r="K471" i="1" s="1" a="1"/>
  <c r="K471" i="1" s="1"/>
  <c r="J472" i="1"/>
  <c r="J1041" i="1"/>
  <c r="L1041" i="1" s="1" a="1"/>
  <c r="L1041" i="1" s="1"/>
  <c r="N1041" i="1" s="1"/>
  <c r="J1042" i="1"/>
  <c r="L1042" i="1" s="1" a="1"/>
  <c r="L1042" i="1" s="1"/>
  <c r="J1044" i="1"/>
  <c r="K1044" i="1" s="1" a="1"/>
  <c r="K1044" i="1" s="1"/>
  <c r="J1045" i="1"/>
  <c r="J1046" i="1"/>
  <c r="J1047" i="1"/>
  <c r="K1047" i="1" s="1" a="1"/>
  <c r="K1047" i="1" s="1"/>
  <c r="J1048" i="1"/>
  <c r="J1049" i="1"/>
  <c r="L1049" i="1" s="1" a="1"/>
  <c r="L1049" i="1" s="1"/>
  <c r="N1049" i="1" s="1"/>
  <c r="J1050" i="1"/>
  <c r="K1050" i="1" s="1" a="1"/>
  <c r="K1050" i="1" s="1"/>
  <c r="M1050" i="1" s="1"/>
  <c r="J1051" i="1"/>
  <c r="J1052" i="1"/>
  <c r="J1346" i="1"/>
  <c r="J1347" i="1"/>
  <c r="K1347" i="1" s="1" a="1"/>
  <c r="K1347" i="1" s="1"/>
  <c r="J1292" i="1"/>
  <c r="K1292" i="1" s="1" a="1"/>
  <c r="K1292" i="1" s="1"/>
  <c r="M1292" i="1" s="1"/>
  <c r="J1348" i="1"/>
  <c r="J1293" i="1"/>
  <c r="J1294" i="1"/>
  <c r="J1350" i="1"/>
  <c r="J1295" i="1"/>
  <c r="J1296" i="1"/>
  <c r="J1351" i="1"/>
  <c r="J1297" i="1"/>
  <c r="J1298" i="1"/>
  <c r="J1352" i="1"/>
  <c r="J1353" i="1"/>
  <c r="J1299" i="1"/>
  <c r="J1300" i="1"/>
  <c r="J1354" i="1"/>
  <c r="J1301" i="1"/>
  <c r="K1301" i="1" s="1" a="1"/>
  <c r="K1301" i="1" s="1"/>
  <c r="M1301" i="1" s="1"/>
  <c r="J1355" i="1"/>
  <c r="J1302" i="1"/>
  <c r="J1356" i="1"/>
  <c r="K1356" i="1" s="1" a="1"/>
  <c r="K1356" i="1" s="1"/>
  <c r="J1303" i="1"/>
  <c r="K1303" i="1" s="1" a="1"/>
  <c r="J1053" i="1"/>
  <c r="J1054" i="1"/>
  <c r="K1054" i="1" s="1" a="1"/>
  <c r="K1054" i="1" s="1"/>
  <c r="M1054" i="1" s="1"/>
  <c r="J473" i="1"/>
  <c r="K473" i="1" s="1" a="1"/>
  <c r="K473" i="1" s="1"/>
  <c r="J475" i="1"/>
  <c r="J476" i="1"/>
  <c r="K476" i="1" s="1" a="1"/>
  <c r="J477" i="1"/>
  <c r="J478" i="1"/>
  <c r="J1055" i="1"/>
  <c r="J479" i="1"/>
  <c r="K479" i="1" s="1" a="1"/>
  <c r="K479" i="1" s="1"/>
  <c r="M479" i="1" s="1"/>
  <c r="J480" i="1"/>
  <c r="J1056" i="1"/>
  <c r="J481" i="1"/>
  <c r="L481" i="1" s="1" a="1"/>
  <c r="L481" i="1" s="1"/>
  <c r="N481" i="1" s="1"/>
  <c r="J482" i="1"/>
  <c r="J1058" i="1"/>
  <c r="K1058" i="1" s="1" a="1"/>
  <c r="J483" i="1"/>
  <c r="J484" i="1"/>
  <c r="J1059" i="1"/>
  <c r="K1059" i="1" s="1" a="1"/>
  <c r="K1059" i="1" s="1"/>
  <c r="J1060" i="1"/>
  <c r="J485" i="1"/>
  <c r="J486" i="1"/>
  <c r="K486" i="1" s="1" a="1"/>
  <c r="K486" i="1" s="1"/>
  <c r="M486" i="1" s="1"/>
  <c r="J487" i="1"/>
  <c r="J488" i="1"/>
  <c r="J489" i="1"/>
  <c r="J490" i="1"/>
  <c r="J1061" i="1"/>
  <c r="J491" i="1"/>
  <c r="J492" i="1"/>
  <c r="K492" i="1" s="1" a="1"/>
  <c r="K492" i="1" s="1"/>
  <c r="M492" i="1" s="1"/>
  <c r="J1062" i="1"/>
  <c r="J494" i="1"/>
  <c r="J495" i="1"/>
  <c r="J496" i="1"/>
  <c r="J1063" i="1"/>
  <c r="K1063" i="1" s="1" a="1"/>
  <c r="K1063" i="1" s="1"/>
  <c r="J497" i="1"/>
  <c r="J498" i="1"/>
  <c r="J1064" i="1"/>
  <c r="K1064" i="1" s="1" a="1"/>
  <c r="K1064" i="1" s="1"/>
  <c r="M1064" i="1" s="1"/>
  <c r="J499" i="1"/>
  <c r="J500" i="1"/>
  <c r="J1253" i="1"/>
  <c r="J501" i="1"/>
  <c r="J1254" i="1"/>
  <c r="K1254" i="1" s="1" a="1"/>
  <c r="K1254" i="1" s="1"/>
  <c r="M1254" i="1" s="1"/>
  <c r="J1065" i="1"/>
  <c r="J502" i="1"/>
  <c r="J1255" i="1"/>
  <c r="J503" i="1"/>
  <c r="J1256" i="1"/>
  <c r="J1067" i="1"/>
  <c r="J504" i="1"/>
  <c r="J1257" i="1"/>
  <c r="J1068" i="1"/>
  <c r="K1068" i="1" s="1" a="1"/>
  <c r="K1068" i="1" s="1"/>
  <c r="M1068" i="1" s="1"/>
  <c r="J505" i="1"/>
  <c r="K505" i="1" s="1" a="1"/>
  <c r="K505" i="1" s="1"/>
  <c r="M505" i="1" s="1"/>
  <c r="J1258" i="1"/>
  <c r="J1069" i="1"/>
  <c r="J506" i="1"/>
  <c r="J1259" i="1"/>
  <c r="K1259" i="1" s="1" a="1"/>
  <c r="K1259" i="1" s="1"/>
  <c r="J507" i="1"/>
  <c r="J508" i="1"/>
  <c r="J1260" i="1"/>
  <c r="K1260" i="1" s="1" a="1"/>
  <c r="K1260" i="1" s="1"/>
  <c r="M1260" i="1" s="1"/>
  <c r="J1070" i="1"/>
  <c r="K1070" i="1" s="1" a="1"/>
  <c r="J1071" i="1"/>
  <c r="J1072" i="1"/>
  <c r="J510" i="1"/>
  <c r="K510" i="1" s="1" a="1"/>
  <c r="K510" i="1" s="1"/>
  <c r="J511" i="1"/>
  <c r="K511" i="1" s="1" a="1"/>
  <c r="K511" i="1" s="1"/>
  <c r="J1074" i="1"/>
  <c r="J512" i="1"/>
  <c r="K512" i="1" s="1" a="1"/>
  <c r="J513" i="1"/>
  <c r="J1304" i="1"/>
  <c r="J1358" i="1"/>
  <c r="J1305" i="1"/>
  <c r="J1359" i="1"/>
  <c r="K1359" i="1" s="1" a="1"/>
  <c r="K1359" i="1" s="1"/>
  <c r="J1306" i="1"/>
  <c r="J1360" i="1"/>
  <c r="J1361" i="1"/>
  <c r="K1361" i="1" s="1" a="1"/>
  <c r="J514" i="1"/>
  <c r="J1075" i="1"/>
  <c r="J1076" i="1"/>
  <c r="K1076" i="1" s="1" a="1"/>
  <c r="K1076" i="1" s="1"/>
  <c r="M1076" i="1" s="1"/>
  <c r="J515" i="1"/>
  <c r="K515" i="1" s="1" a="1"/>
  <c r="K515" i="1" s="1"/>
  <c r="J516" i="1"/>
  <c r="J1077" i="1"/>
  <c r="J1078" i="1"/>
  <c r="J517" i="1"/>
  <c r="J518" i="1"/>
  <c r="J519" i="1"/>
  <c r="K519" i="1" s="1" a="1"/>
  <c r="K519" i="1" s="1"/>
  <c r="M519" i="1" s="1"/>
  <c r="J520" i="1"/>
  <c r="K520" i="1" s="1" a="1"/>
  <c r="K520" i="1" s="1"/>
  <c r="M520" i="1" s="1"/>
  <c r="J521" i="1"/>
  <c r="J522" i="1"/>
  <c r="J523" i="1"/>
  <c r="L523" i="1" s="1" a="1"/>
  <c r="L523" i="1" s="1"/>
  <c r="N523" i="1" s="1"/>
  <c r="J524" i="1"/>
  <c r="J526" i="1"/>
  <c r="K526" i="1" s="1" a="1"/>
  <c r="K526" i="1" s="1"/>
  <c r="J527" i="1"/>
  <c r="K527" i="1" s="1" a="1"/>
  <c r="K527" i="1" s="1"/>
  <c r="M527" i="1" s="1"/>
  <c r="J1079" i="1"/>
  <c r="J1080" i="1"/>
  <c r="K1080" i="1" s="1" a="1"/>
  <c r="K1080" i="1" s="1"/>
  <c r="J1081" i="1"/>
  <c r="J528" i="1"/>
  <c r="J529" i="1"/>
  <c r="J530" i="1"/>
  <c r="J531" i="1"/>
  <c r="K531" i="1" s="1" a="1"/>
  <c r="J532" i="1"/>
  <c r="J533" i="1"/>
  <c r="J534" i="1"/>
  <c r="K534" i="1" s="1" a="1"/>
  <c r="K534" i="1" s="1"/>
  <c r="J535" i="1"/>
  <c r="J536" i="1"/>
  <c r="J537" i="1"/>
  <c r="K537" i="1" s="1" a="1"/>
  <c r="K537" i="1" s="1"/>
  <c r="M537" i="1" s="1"/>
  <c r="J539" i="1"/>
  <c r="J540" i="1"/>
  <c r="J541" i="1"/>
  <c r="J542" i="1"/>
  <c r="J543" i="1"/>
  <c r="L543" i="1" s="1" a="1"/>
  <c r="L543" i="1" s="1"/>
  <c r="N543" i="1" s="1"/>
  <c r="J544" i="1"/>
  <c r="K544" i="1" s="1" a="1"/>
  <c r="K544" i="1" s="1"/>
  <c r="M544" i="1" s="1"/>
  <c r="J545" i="1"/>
  <c r="K545" i="1" s="1" a="1"/>
  <c r="K545" i="1" s="1"/>
  <c r="J546" i="1"/>
  <c r="J1082" i="1"/>
  <c r="J1083" i="1"/>
  <c r="K1083" i="1" s="1" a="1"/>
  <c r="K1083" i="1" s="1"/>
  <c r="M1083" i="1" s="1"/>
  <c r="J1084" i="1"/>
  <c r="J1085" i="1"/>
  <c r="J1086" i="1"/>
  <c r="J1087" i="1"/>
  <c r="K1087" i="1" s="1" a="1"/>
  <c r="K1087" i="1" s="1"/>
  <c r="M1087" i="1" s="1"/>
  <c r="J1088" i="1"/>
  <c r="K1088" i="1" s="1" a="1"/>
  <c r="K1088" i="1" s="1"/>
  <c r="M1088" i="1" s="1"/>
  <c r="J1090" i="1"/>
  <c r="J1091" i="1"/>
  <c r="J1092" i="1"/>
  <c r="J1093" i="1"/>
  <c r="K1093" i="1" s="1" a="1"/>
  <c r="K1093" i="1" s="1"/>
  <c r="J548" i="1"/>
  <c r="J549" i="1"/>
  <c r="K549" i="1" s="1" a="1"/>
  <c r="K549" i="1" s="1"/>
  <c r="M549" i="1" s="1"/>
  <c r="J550" i="1"/>
  <c r="J551" i="1"/>
  <c r="L551" i="1" s="1" a="1"/>
  <c r="L551" i="1" s="1"/>
  <c r="J552" i="1"/>
  <c r="J553" i="1"/>
  <c r="J554" i="1"/>
  <c r="K554" i="1" s="1" a="1"/>
  <c r="K554" i="1" s="1"/>
  <c r="J555" i="1"/>
  <c r="J556" i="1"/>
  <c r="J557" i="1"/>
  <c r="K557" i="1" s="1" a="1"/>
  <c r="K557" i="1" s="1"/>
  <c r="M557" i="1" s="1"/>
  <c r="J559" i="1"/>
  <c r="K559" i="1" s="1" a="1"/>
  <c r="K559" i="1" s="1"/>
  <c r="M559" i="1" s="1"/>
  <c r="J560" i="1"/>
  <c r="J561" i="1"/>
  <c r="K561" i="1" s="1" a="1"/>
  <c r="K561" i="1" s="1"/>
  <c r="M561" i="1" s="1"/>
  <c r="J562" i="1"/>
  <c r="K562" i="1" s="1" a="1"/>
  <c r="K562" i="1" s="1"/>
  <c r="J563" i="1"/>
  <c r="J564" i="1"/>
  <c r="J565" i="1"/>
  <c r="J566" i="1"/>
  <c r="J567" i="1"/>
  <c r="J568" i="1"/>
  <c r="K568" i="1" s="1" a="1"/>
  <c r="K568" i="1" s="1"/>
  <c r="M568" i="1" s="1"/>
  <c r="J569" i="1"/>
  <c r="K569" i="1" s="1" a="1"/>
  <c r="K569" i="1" s="1"/>
  <c r="J570" i="1"/>
  <c r="J571" i="1"/>
  <c r="J1094" i="1"/>
  <c r="J1095" i="1"/>
  <c r="J1096" i="1"/>
  <c r="J1097" i="1"/>
  <c r="K1097" i="1" s="1" a="1"/>
  <c r="K1097" i="1" s="1"/>
  <c r="M1097" i="1" s="1"/>
  <c r="J572" i="1"/>
  <c r="J573" i="1"/>
  <c r="K573" i="1" s="1" a="1"/>
  <c r="K573" i="1" s="1"/>
  <c r="J574" i="1"/>
  <c r="K574" i="1" s="1" a="1"/>
  <c r="J575" i="1"/>
  <c r="K575" i="1" s="1" a="1"/>
  <c r="K575" i="1" s="1"/>
  <c r="M575" i="1" s="1"/>
  <c r="J576" i="1"/>
  <c r="K576" i="1" s="1" a="1"/>
  <c r="J1098" i="1"/>
  <c r="J1099" i="1"/>
  <c r="J1100" i="1"/>
  <c r="K1100" i="1" s="1" a="1"/>
  <c r="K1100" i="1" s="1"/>
  <c r="M1100" i="1" s="1"/>
  <c r="J1308" i="1"/>
  <c r="J1309" i="1"/>
  <c r="K1309" i="1" s="1" a="1"/>
  <c r="K1309" i="1" s="1"/>
  <c r="J1101" i="1"/>
  <c r="L1101" i="1" s="1" a="1"/>
  <c r="L1101" i="1" s="1"/>
  <c r="J1102" i="1"/>
  <c r="K1102" i="1" s="1" a="1"/>
  <c r="K1102" i="1" s="1"/>
  <c r="M1102" i="1" s="1"/>
  <c r="J1103" i="1"/>
  <c r="J1104" i="1"/>
  <c r="K1104" i="1" s="1" a="1"/>
  <c r="K1104" i="1" s="1"/>
  <c r="J1105" i="1"/>
  <c r="K1105" i="1" s="1" a="1"/>
  <c r="K1105" i="1" s="1"/>
  <c r="M1105" i="1" s="1"/>
  <c r="J1106" i="1"/>
  <c r="K1106" i="1" s="1" a="1"/>
  <c r="K1106" i="1" s="1"/>
  <c r="M1106" i="1" s="1"/>
  <c r="J1107" i="1"/>
  <c r="J1262" i="1"/>
  <c r="K1262" i="1" s="1" a="1"/>
  <c r="K1262" i="1" s="1"/>
  <c r="J1310" i="1"/>
  <c r="J1311" i="1"/>
  <c r="J1312" i="1"/>
  <c r="K1312" i="1" s="1" a="1"/>
  <c r="K1312" i="1" s="1"/>
  <c r="J1313" i="1"/>
  <c r="K1313" i="1" s="1" a="1"/>
  <c r="K1313" i="1" s="1"/>
  <c r="J1314" i="1"/>
  <c r="K1314" i="1" s="1" a="1"/>
  <c r="K1314" i="1" s="1"/>
  <c r="M1314" i="1" s="1"/>
  <c r="J1315" i="1"/>
  <c r="K1315" i="1" s="1" a="1"/>
  <c r="K1315" i="1" s="1"/>
  <c r="M1315" i="1" s="1"/>
  <c r="J1316" i="1"/>
  <c r="J1317" i="1"/>
  <c r="J1318" i="1"/>
  <c r="J1319" i="1"/>
  <c r="J1320" i="1"/>
  <c r="J1321" i="1"/>
  <c r="J1263" i="1"/>
  <c r="K1263" i="1" s="1" a="1"/>
  <c r="K1263" i="1" s="1"/>
  <c r="M1263" i="1" s="1"/>
  <c r="J1322" i="1"/>
  <c r="K1322" i="1" s="1" a="1"/>
  <c r="K1322" i="1" s="1"/>
  <c r="M1322" i="1" s="1"/>
  <c r="J1323" i="1"/>
  <c r="J1324" i="1"/>
  <c r="K1324" i="1" s="1" a="1"/>
  <c r="K1324" i="1" s="1"/>
  <c r="J1326" i="1"/>
  <c r="K1326" i="1" s="1" a="1"/>
  <c r="K1326" i="1" s="1"/>
  <c r="M1326" i="1" s="1"/>
  <c r="J1327" i="1"/>
  <c r="J1328" i="1"/>
  <c r="J1329" i="1"/>
  <c r="K1329" i="1" s="1" a="1"/>
  <c r="K1329" i="1" s="1"/>
  <c r="M1329" i="1" s="1"/>
  <c r="J1264" i="1"/>
  <c r="K1264" i="1" s="1" a="1"/>
  <c r="K1264" i="1" s="1"/>
  <c r="M1264" i="1" s="1"/>
  <c r="J577" i="1"/>
  <c r="K577" i="1" s="1" a="1"/>
  <c r="K577" i="1" s="1"/>
  <c r="J578" i="1"/>
  <c r="K578" i="1" s="1" a="1"/>
  <c r="K578" i="1" s="1"/>
  <c r="J1265" i="1"/>
  <c r="J1266" i="1"/>
  <c r="J1267" i="1"/>
  <c r="J1362" i="1"/>
  <c r="K1362" i="1" s="1" a="1"/>
  <c r="K1362" i="1" s="1"/>
  <c r="J1268" i="1"/>
  <c r="K1268" i="1" s="1" a="1"/>
  <c r="K1268" i="1" s="1"/>
  <c r="M1268" i="1" s="1"/>
  <c r="J1363" i="1"/>
  <c r="J1269" i="1"/>
  <c r="K1269" i="1" s="1" a="1"/>
  <c r="K1269" i="1" s="1"/>
  <c r="M1269" i="1" s="1"/>
  <c r="J1270" i="1"/>
  <c r="J1271" i="1"/>
  <c r="J1272" i="1"/>
  <c r="K1272" i="1" s="1" a="1"/>
  <c r="K1272" i="1" s="1"/>
  <c r="M1272" i="1" s="1"/>
  <c r="J1273" i="1"/>
  <c r="K1273" i="1" s="1" a="1"/>
  <c r="K1273" i="1" s="1"/>
  <c r="J1274" i="1"/>
  <c r="K1274" i="1" s="1" a="1"/>
  <c r="K1274" i="1" s="1"/>
  <c r="J1275" i="1"/>
  <c r="K1275" i="1" s="1" a="1"/>
  <c r="K1275" i="1" s="1"/>
  <c r="M1275" i="1" s="1"/>
  <c r="J1276" i="1"/>
  <c r="J1277" i="1"/>
  <c r="K1277" i="1" s="1" a="1"/>
  <c r="K1277" i="1" s="1"/>
  <c r="J1108" i="1"/>
  <c r="J579" i="1"/>
  <c r="J580" i="1"/>
  <c r="K580" i="1" s="1" a="1"/>
  <c r="K580" i="1" s="1"/>
  <c r="M580" i="1" s="1"/>
  <c r="J1109" i="1"/>
  <c r="J581" i="1"/>
  <c r="K581" i="1" s="1" a="1"/>
  <c r="K581" i="1" s="1"/>
  <c r="J582" i="1"/>
  <c r="K582" i="1" s="1" a="1"/>
  <c r="K582" i="1" s="1"/>
  <c r="M582" i="1" s="1"/>
  <c r="J583" i="1"/>
  <c r="J584" i="1"/>
  <c r="J585" i="1"/>
  <c r="J1110" i="1"/>
  <c r="K1110" i="1" s="1" a="1"/>
  <c r="K1110" i="1" s="1"/>
  <c r="J1111" i="1"/>
  <c r="K1111" i="1" s="1" a="1"/>
  <c r="K1111" i="1" s="1"/>
  <c r="M1111" i="1" s="1"/>
  <c r="J1112" i="1"/>
  <c r="K1112" i="1" s="1" a="1"/>
  <c r="K1112" i="1" s="1"/>
  <c r="M1112" i="1" s="1"/>
  <c r="J1113" i="1"/>
  <c r="K1113" i="1" s="1" a="1"/>
  <c r="K1113" i="1" s="1"/>
  <c r="J1114" i="1"/>
  <c r="K1114" i="1" s="1" a="1"/>
  <c r="K1114" i="1" s="1"/>
  <c r="M1114" i="1" s="1"/>
  <c r="J586" i="1"/>
  <c r="J587" i="1"/>
  <c r="K587" i="1" s="1" a="1"/>
  <c r="K587" i="1" s="1"/>
  <c r="M587" i="1" s="1"/>
  <c r="J588" i="1"/>
  <c r="J589" i="1"/>
  <c r="K1338" i="1" a="1"/>
  <c r="K1338" i="1" s="1"/>
  <c r="M1338" i="1" s="1"/>
  <c r="K1184" i="1"/>
  <c r="K1185" i="1"/>
  <c r="K1186" i="1" a="1"/>
  <c r="K1186" i="1" s="1"/>
  <c r="M1186" i="1" s="1"/>
  <c r="K1189" i="1"/>
  <c r="K898" i="1" a="1"/>
  <c r="K898" i="1"/>
  <c r="M898" i="1" s="1"/>
  <c r="K899" i="1" a="1"/>
  <c r="K899" i="1" s="1"/>
  <c r="M899" i="1" s="1"/>
  <c r="K1190" i="1" a="1"/>
  <c r="K1190" i="1" s="1"/>
  <c r="M1190" i="1" s="1"/>
  <c r="K222" i="1" a="1"/>
  <c r="K222" i="1"/>
  <c r="M222" i="1" s="1"/>
  <c r="K224" i="1"/>
  <c r="K226" i="1" a="1"/>
  <c r="K226" i="1" s="1"/>
  <c r="M226" i="1" s="1"/>
  <c r="K229" i="1" a="1"/>
  <c r="K229" i="1" s="1"/>
  <c r="K230" i="1" a="1"/>
  <c r="K230" i="1"/>
  <c r="K233" i="1" a="1"/>
  <c r="K233" i="1" s="1"/>
  <c r="K236" i="1" a="1"/>
  <c r="K236" i="1" s="1"/>
  <c r="M236" i="1" s="1"/>
  <c r="K239" i="1"/>
  <c r="K241" i="1" a="1"/>
  <c r="K241" i="1" s="1"/>
  <c r="K245" i="1" a="1"/>
  <c r="K245" i="1" s="1"/>
  <c r="K247" i="1"/>
  <c r="M247" i="1" s="1"/>
  <c r="K249" i="1" a="1"/>
  <c r="K249" i="1" s="1"/>
  <c r="K252" i="1" a="1"/>
  <c r="K252" i="1" s="1"/>
  <c r="M252" i="1" s="1"/>
  <c r="K253" i="1" a="1"/>
  <c r="K253" i="1"/>
  <c r="M253" i="1" s="1"/>
  <c r="K254" i="1" a="1"/>
  <c r="K254" i="1" s="1"/>
  <c r="K255" i="1"/>
  <c r="K256" i="1" a="1"/>
  <c r="K256" i="1" s="1"/>
  <c r="K257" i="1" a="1"/>
  <c r="K257" i="1" s="1"/>
  <c r="K259" i="1"/>
  <c r="M259" i="1" s="1"/>
  <c r="K260" i="1" a="1"/>
  <c r="K260" i="1" s="1"/>
  <c r="M260" i="1" s="1"/>
  <c r="K263" i="1"/>
  <c r="K265" i="1" a="1"/>
  <c r="K265" i="1" s="1"/>
  <c r="M265" i="1" s="1"/>
  <c r="K266" i="1" a="1"/>
  <c r="K266" i="1" s="1"/>
  <c r="M266" i="1" s="1"/>
  <c r="K904" i="1" a="1"/>
  <c r="K904" i="1" s="1"/>
  <c r="M904" i="1" s="1"/>
  <c r="K906" i="1"/>
  <c r="M906" i="1" s="1"/>
  <c r="K907" i="1" a="1"/>
  <c r="K907" i="1" s="1"/>
  <c r="K910" i="1" a="1"/>
  <c r="K910" i="1" s="1"/>
  <c r="M910" i="1" s="1"/>
  <c r="K272" i="1" a="1"/>
  <c r="K272" i="1" s="1"/>
  <c r="K273" i="1" a="1"/>
  <c r="K273" i="1"/>
  <c r="K275" i="1" a="1"/>
  <c r="K275" i="1" s="1"/>
  <c r="K279" i="1" a="1"/>
  <c r="K279" i="1" s="1"/>
  <c r="K280" i="1" a="1"/>
  <c r="K280" i="1" s="1"/>
  <c r="M280" i="1" s="1"/>
  <c r="K281" i="1" a="1"/>
  <c r="K281" i="1"/>
  <c r="K283" i="1" a="1"/>
  <c r="K283" i="1" s="1"/>
  <c r="K285" i="1" a="1"/>
  <c r="K285" i="1" s="1"/>
  <c r="M285" i="1" s="1"/>
  <c r="K287" i="1" a="1"/>
  <c r="K287" i="1"/>
  <c r="K288" i="1" a="1"/>
  <c r="K288" i="1" s="1"/>
  <c r="K1191" i="1"/>
  <c r="K291" i="1" a="1"/>
  <c r="K291" i="1" s="1"/>
  <c r="K292" i="1" a="1"/>
  <c r="K292" i="1" s="1"/>
  <c r="M292" i="1" s="1"/>
  <c r="K296" i="1" a="1"/>
  <c r="K296" i="1" s="1"/>
  <c r="K299" i="1" a="1"/>
  <c r="K299" i="1" s="1"/>
  <c r="K300" i="1" a="1"/>
  <c r="K300" i="1" s="1"/>
  <c r="K303" i="1" a="1"/>
  <c r="K303" i="1" s="1"/>
  <c r="K304" i="1" a="1"/>
  <c r="K304" i="1" s="1"/>
  <c r="M304" i="1" s="1"/>
  <c r="K307" i="1" a="1"/>
  <c r="K307" i="1" s="1"/>
  <c r="M307" i="1" s="1"/>
  <c r="K308" i="1" a="1"/>
  <c r="K308" i="1" s="1"/>
  <c r="K911" i="1" a="1"/>
  <c r="K911" i="1" s="1"/>
  <c r="K310" i="1" a="1"/>
  <c r="K310" i="1" s="1"/>
  <c r="M310" i="1" s="1"/>
  <c r="K312" i="1" a="1"/>
  <c r="K312" i="1" s="1"/>
  <c r="K313" i="1" a="1"/>
  <c r="K313" i="1" s="1"/>
  <c r="K316" i="1" a="1"/>
  <c r="K316" i="1" s="1"/>
  <c r="M316" i="1" s="1"/>
  <c r="K914" i="1" a="1"/>
  <c r="K914" i="1" s="1"/>
  <c r="K915" i="1" a="1"/>
  <c r="K915" i="1" s="1"/>
  <c r="M915" i="1" s="1"/>
  <c r="K919" i="1" a="1"/>
  <c r="K919" i="1" s="1"/>
  <c r="M919" i="1" s="1"/>
  <c r="K920" i="1" a="1"/>
  <c r="K920" i="1" s="1"/>
  <c r="K922" i="1" a="1"/>
  <c r="K922" i="1" s="1"/>
  <c r="K923" i="1" a="1"/>
  <c r="K923" i="1" s="1"/>
  <c r="K324" i="1" a="1"/>
  <c r="K324" i="1" s="1"/>
  <c r="M324" i="1" s="1"/>
  <c r="K927" i="1" a="1"/>
  <c r="K927" i="1" s="1"/>
  <c r="M927" i="1" s="1"/>
  <c r="K936" i="1" a="1"/>
  <c r="K936" i="1" s="1"/>
  <c r="K939" i="1" a="1"/>
  <c r="K939" i="1" s="1"/>
  <c r="M939" i="1" s="1"/>
  <c r="K943" i="1" a="1"/>
  <c r="K943" i="1" s="1"/>
  <c r="K944" i="1" a="1"/>
  <c r="K944" i="1" s="1"/>
  <c r="M944" i="1" s="1"/>
  <c r="K1288" i="1" a="1"/>
  <c r="K1288" i="1" s="1"/>
  <c r="K950" i="1" a="1"/>
  <c r="K950" i="1" s="1"/>
  <c r="K951" i="1" a="1"/>
  <c r="K951" i="1" s="1"/>
  <c r="K1339" i="1" a="1"/>
  <c r="K1339" i="1" s="1"/>
  <c r="M1339" i="1" s="1"/>
  <c r="K328" i="1" a="1"/>
  <c r="K328" i="1" s="1"/>
  <c r="K1193" i="1" a="1"/>
  <c r="K1193" i="1" s="1"/>
  <c r="K1197" i="1" a="1"/>
  <c r="K1197" i="1" s="1"/>
  <c r="K1198" i="1" a="1"/>
  <c r="K1198" i="1" s="1"/>
  <c r="K1203" i="1" a="1"/>
  <c r="K1203" i="1" s="1"/>
  <c r="M1203" i="1" s="1"/>
  <c r="K1204" i="1" a="1"/>
  <c r="K1204" i="1" s="1"/>
  <c r="K1207" i="1" a="1"/>
  <c r="K1207" i="1" s="1"/>
  <c r="K1210" i="1" a="1"/>
  <c r="K1210" i="1" s="1"/>
  <c r="M1210" i="1" s="1"/>
  <c r="K1342" i="1" a="1"/>
  <c r="K1342" i="1" s="1"/>
  <c r="K1211" i="1" a="1"/>
  <c r="K1211" i="1" s="1"/>
  <c r="M1211" i="1" s="1"/>
  <c r="K330" i="1" a="1"/>
  <c r="K330" i="1" s="1"/>
  <c r="K334" i="1" a="1"/>
  <c r="K334" i="1" s="1"/>
  <c r="M334" i="1" s="1"/>
  <c r="K338" i="1" a="1"/>
  <c r="K338" i="1" s="1"/>
  <c r="M338" i="1" s="1"/>
  <c r="K342" i="1" a="1"/>
  <c r="K342" i="1" s="1"/>
  <c r="M342" i="1" s="1"/>
  <c r="K350" i="1" a="1"/>
  <c r="K350" i="1" s="1"/>
  <c r="M350" i="1" s="1"/>
  <c r="K351" i="1" a="1"/>
  <c r="K351" i="1" s="1"/>
  <c r="M351" i="1" s="1"/>
  <c r="K354" i="1" a="1"/>
  <c r="K354" i="1" s="1"/>
  <c r="K358" i="1" a="1"/>
  <c r="K358" i="1" s="1"/>
  <c r="K359" i="1" a="1"/>
  <c r="K359" i="1" s="1"/>
  <c r="K964" i="1" a="1"/>
  <c r="K964" i="1" s="1"/>
  <c r="M964" i="1" s="1"/>
  <c r="K968" i="1" a="1"/>
  <c r="K968" i="1" s="1"/>
  <c r="K972" i="1" a="1"/>
  <c r="K972" i="1" s="1"/>
  <c r="K973" i="1" a="1"/>
  <c r="K973" i="1" s="1"/>
  <c r="K980" i="1" a="1"/>
  <c r="K980" i="1" s="1"/>
  <c r="M980" i="1" s="1"/>
  <c r="K984" i="1" a="1"/>
  <c r="K984" i="1" s="1"/>
  <c r="M984" i="1" s="1"/>
  <c r="K1214" i="1" a="1"/>
  <c r="K1214" i="1" s="1"/>
  <c r="K1218" i="1" a="1"/>
  <c r="K1218" i="1" s="1"/>
  <c r="K1222" i="1" a="1"/>
  <c r="K1222" i="1" s="1"/>
  <c r="M1222" i="1" s="1"/>
  <c r="K362" i="1" a="1"/>
  <c r="K362" i="1" s="1"/>
  <c r="K1343" i="1" a="1"/>
  <c r="K1343" i="1" s="1"/>
  <c r="K369" i="1" a="1"/>
  <c r="K369" i="1" s="1"/>
  <c r="M369" i="1" s="1"/>
  <c r="K373" i="1" a="1"/>
  <c r="K373" i="1" s="1"/>
  <c r="K990" i="1" a="1"/>
  <c r="K990" i="1" s="1"/>
  <c r="K991" i="1" a="1"/>
  <c r="K991" i="1" s="1"/>
  <c r="K1225" i="1" a="1"/>
  <c r="K1225" i="1" s="1"/>
  <c r="K1227" i="1" a="1"/>
  <c r="K1227" i="1" s="1"/>
  <c r="M1227" i="1" s="1"/>
  <c r="K1228" i="1" a="1"/>
  <c r="K1228" i="1" s="1"/>
  <c r="K996" i="1" a="1"/>
  <c r="K996" i="1" s="1"/>
  <c r="K1345" i="1" a="1"/>
  <c r="K1345" i="1" s="1"/>
  <c r="K376" i="1" a="1"/>
  <c r="K376" i="1" s="1"/>
  <c r="K1000" i="1" a="1"/>
  <c r="K1000" i="1" s="1"/>
  <c r="M1000" i="1" s="1"/>
  <c r="K382" i="1" a="1"/>
  <c r="K382" i="1" s="1"/>
  <c r="M382" i="1" s="1"/>
  <c r="K1002" i="1" a="1"/>
  <c r="K1002" i="1" s="1"/>
  <c r="K386" i="1" a="1"/>
  <c r="K386" i="1" s="1"/>
  <c r="K387" i="1" a="1"/>
  <c r="K387" i="1" s="1"/>
  <c r="M387" i="1" s="1"/>
  <c r="K389" i="1" a="1"/>
  <c r="K389" i="1" s="1"/>
  <c r="K392" i="1" a="1"/>
  <c r="K392" i="1" s="1"/>
  <c r="M392" i="1" s="1"/>
  <c r="K395" i="1" a="1"/>
  <c r="K395" i="1" s="1"/>
  <c r="K397" i="1" a="1"/>
  <c r="K397" i="1" s="1"/>
  <c r="M397" i="1" s="1"/>
  <c r="K400" i="1" a="1"/>
  <c r="K400" i="1" s="1"/>
  <c r="K1014" i="1" a="1"/>
  <c r="K1014" i="1" s="1"/>
  <c r="K402" i="1" a="1"/>
  <c r="K402" i="1" s="1"/>
  <c r="M402" i="1" s="1"/>
  <c r="K1019" i="1" a="1"/>
  <c r="K1019" i="1" s="1"/>
  <c r="K1022" i="1" a="1"/>
  <c r="K1022" i="1" s="1"/>
  <c r="M1022" i="1" s="1"/>
  <c r="K1024" i="1" a="1"/>
  <c r="K1024" i="1" s="1"/>
  <c r="M1024" i="1" s="1"/>
  <c r="K408" i="1" a="1"/>
  <c r="K408" i="1" s="1"/>
  <c r="M408" i="1" s="1"/>
  <c r="K411" i="1" a="1"/>
  <c r="K411" i="1" s="1"/>
  <c r="K415" i="1" a="1"/>
  <c r="K415" i="1" s="1"/>
  <c r="M415" i="1" s="1"/>
  <c r="K416" i="1"/>
  <c r="K1229" i="1" a="1"/>
  <c r="K1229" i="1"/>
  <c r="K425" i="1" a="1"/>
  <c r="K425" i="1" s="1"/>
  <c r="K426" i="1" a="1"/>
  <c r="K426" i="1" s="1"/>
  <c r="M426" i="1" s="1"/>
  <c r="K427" i="1" a="1"/>
  <c r="K427" i="1" s="1"/>
  <c r="M427" i="1" s="1"/>
  <c r="K1233" i="1" a="1"/>
  <c r="K1233" i="1" s="1"/>
  <c r="K1235" i="1" a="1"/>
  <c r="K1235" i="1" s="1"/>
  <c r="M1235" i="1" s="1"/>
  <c r="K1238" i="1" a="1"/>
  <c r="K1238" i="1" s="1"/>
  <c r="M1238" i="1" s="1"/>
  <c r="K431" i="1" a="1"/>
  <c r="K431" i="1" s="1"/>
  <c r="K1241" i="1" a="1"/>
  <c r="K1241" i="1" s="1"/>
  <c r="M1241" i="1" s="1"/>
  <c r="K1244" i="1"/>
  <c r="K434" i="1" a="1"/>
  <c r="K434" i="1" s="1"/>
  <c r="K1028" i="1" a="1"/>
  <c r="K1028" i="1" s="1"/>
  <c r="M1028" i="1" s="1"/>
  <c r="K440" i="1" a="1"/>
  <c r="K440" i="1" s="1"/>
  <c r="K445" i="1" a="1"/>
  <c r="K445" i="1" s="1"/>
  <c r="M445" i="1" s="1"/>
  <c r="K1246" i="1" a="1"/>
  <c r="K1246" i="1" s="1"/>
  <c r="M1246" i="1" s="1"/>
  <c r="K1247" i="1" a="1"/>
  <c r="K1247" i="1" s="1"/>
  <c r="M1247" i="1" s="1"/>
  <c r="K450" i="1" a="1"/>
  <c r="K450" i="1" s="1"/>
  <c r="M450" i="1" s="1"/>
  <c r="K1033" i="1" a="1"/>
  <c r="K1033" i="1" s="1"/>
  <c r="M1033" i="1" s="1"/>
  <c r="K1251" i="1" a="1"/>
  <c r="K1251" i="1" s="1"/>
  <c r="M1251" i="1" s="1"/>
  <c r="K1252" i="1" a="1"/>
  <c r="K1252" i="1" s="1"/>
  <c r="M1252" i="1" s="1"/>
  <c r="K1035" i="1"/>
  <c r="K456" i="1"/>
  <c r="M456" i="1" s="1"/>
  <c r="K457" i="1" a="1"/>
  <c r="K457" i="1" s="1"/>
  <c r="M457" i="1" s="1"/>
  <c r="K1036" i="1" a="1"/>
  <c r="K1036" i="1" s="1"/>
  <c r="K459" i="1" a="1"/>
  <c r="K459" i="1" s="1"/>
  <c r="K461" i="1" a="1"/>
  <c r="K461" i="1" s="1"/>
  <c r="M461" i="1" s="1"/>
  <c r="K462" i="1" a="1"/>
  <c r="K462" i="1" s="1"/>
  <c r="K465" i="1"/>
  <c r="K466" i="1" a="1"/>
  <c r="K466" i="1"/>
  <c r="K468" i="1" a="1"/>
  <c r="K468" i="1" s="1"/>
  <c r="M468" i="1" s="1"/>
  <c r="K469" i="1" a="1"/>
  <c r="K469" i="1" s="1"/>
  <c r="K1041" i="1" a="1"/>
  <c r="K1041" i="1" s="1"/>
  <c r="M1041" i="1" s="1"/>
  <c r="K1042" i="1" a="1"/>
  <c r="K1042" i="1" s="1"/>
  <c r="M1042" i="1" s="1"/>
  <c r="K1045" i="1" a="1"/>
  <c r="K1045" i="1" s="1"/>
  <c r="K1052" i="1" a="1"/>
  <c r="K1052" i="1" s="1"/>
  <c r="M1052" i="1" s="1"/>
  <c r="K1346" i="1" a="1"/>
  <c r="K1346" i="1" s="1"/>
  <c r="M1346" i="1" s="1"/>
  <c r="K1294" i="1" a="1"/>
  <c r="K1294" i="1" s="1"/>
  <c r="K1350" i="1" a="1"/>
  <c r="K1350" i="1" s="1"/>
  <c r="M1350" i="1" s="1"/>
  <c r="K1296" i="1" a="1"/>
  <c r="K1296" i="1" s="1"/>
  <c r="K1298" i="1" a="1"/>
  <c r="K1298" i="1" s="1"/>
  <c r="M1298" i="1" s="1"/>
  <c r="K1352" i="1" a="1"/>
  <c r="K1352" i="1" s="1"/>
  <c r="K1299" i="1" a="1"/>
  <c r="K1299" i="1"/>
  <c r="K1300" i="1" a="1"/>
  <c r="K1300" i="1" s="1"/>
  <c r="M1300" i="1" s="1"/>
  <c r="K1354" i="1" a="1"/>
  <c r="K1354" i="1" s="1"/>
  <c r="M1354" i="1" s="1"/>
  <c r="K1355" i="1" a="1"/>
  <c r="K1355" i="1" s="1"/>
  <c r="M1355" i="1" s="1"/>
  <c r="K1302" i="1" a="1"/>
  <c r="K1302" i="1" s="1"/>
  <c r="M1302" i="1" s="1"/>
  <c r="K1303" i="1"/>
  <c r="M1303" i="1" s="1"/>
  <c r="K1053" i="1" a="1"/>
  <c r="K1053" i="1" s="1"/>
  <c r="M1053" i="1" s="1"/>
  <c r="K476" i="1"/>
  <c r="M476" i="1" s="1"/>
  <c r="K1055" i="1" a="1"/>
  <c r="K1055" i="1" s="1"/>
  <c r="M1055" i="1" s="1"/>
  <c r="K481" i="1" a="1"/>
  <c r="K481" i="1"/>
  <c r="M481" i="1" s="1"/>
  <c r="K482" i="1" a="1"/>
  <c r="K482" i="1" s="1"/>
  <c r="M482" i="1" s="1"/>
  <c r="K1058" i="1"/>
  <c r="K484" i="1" a="1"/>
  <c r="K484" i="1" s="1"/>
  <c r="K485" i="1" a="1"/>
  <c r="K485" i="1" s="1"/>
  <c r="M485" i="1" s="1"/>
  <c r="K488" i="1" a="1"/>
  <c r="K488" i="1" s="1"/>
  <c r="K490" i="1" a="1"/>
  <c r="K490" i="1"/>
  <c r="M490" i="1" s="1"/>
  <c r="K494" i="1" a="1"/>
  <c r="K494" i="1" s="1"/>
  <c r="M494" i="1" s="1"/>
  <c r="K495" i="1" a="1"/>
  <c r="K495" i="1" s="1"/>
  <c r="M495" i="1" s="1"/>
  <c r="K498" i="1" a="1"/>
  <c r="K498" i="1" s="1"/>
  <c r="M498" i="1" s="1"/>
  <c r="K500" i="1" a="1"/>
  <c r="K500" i="1" s="1"/>
  <c r="K1255" i="1" a="1"/>
  <c r="K1255" i="1" s="1"/>
  <c r="M1255" i="1" s="1"/>
  <c r="K503" i="1" a="1"/>
  <c r="K503" i="1" s="1"/>
  <c r="K1256" i="1" a="1"/>
  <c r="K1256" i="1" s="1"/>
  <c r="K1069" i="1" a="1"/>
  <c r="K1069" i="1" s="1"/>
  <c r="M1069" i="1" s="1"/>
  <c r="K506" i="1" a="1"/>
  <c r="K506" i="1" s="1"/>
  <c r="M506" i="1" s="1"/>
  <c r="K1070" i="1"/>
  <c r="K1072" i="1" a="1"/>
  <c r="K1072" i="1" s="1"/>
  <c r="M1072" i="1" s="1"/>
  <c r="K1074" i="1" a="1"/>
  <c r="K1074" i="1" s="1"/>
  <c r="M1074" i="1" s="1"/>
  <c r="K512" i="1"/>
  <c r="K1304" i="1" a="1"/>
  <c r="K1304" i="1" s="1"/>
  <c r="M1304" i="1" s="1"/>
  <c r="K1358" i="1" a="1"/>
  <c r="K1358" i="1" s="1"/>
  <c r="M1358" i="1" s="1"/>
  <c r="K1305" i="1" a="1"/>
  <c r="K1305" i="1" s="1"/>
  <c r="M1305" i="1" s="1"/>
  <c r="K1360" i="1" a="1"/>
  <c r="K1360" i="1" s="1"/>
  <c r="M1360" i="1" s="1"/>
  <c r="K1361" i="1"/>
  <c r="M1361" i="1" s="1"/>
  <c r="K514" i="1" a="1"/>
  <c r="K514" i="1" s="1"/>
  <c r="M514" i="1" s="1"/>
  <c r="K1075" i="1" a="1"/>
  <c r="K1075" i="1" s="1"/>
  <c r="M1075" i="1" s="1"/>
  <c r="K1078" i="1" a="1"/>
  <c r="K1078" i="1" s="1"/>
  <c r="M1078" i="1" s="1"/>
  <c r="K518" i="1" a="1"/>
  <c r="K518" i="1" s="1"/>
  <c r="K524" i="1" a="1"/>
  <c r="K524" i="1" s="1"/>
  <c r="M524" i="1" s="1"/>
  <c r="K1079" i="1" a="1"/>
  <c r="K1079" i="1" s="1"/>
  <c r="M1079" i="1" s="1"/>
  <c r="K528" i="1" a="1"/>
  <c r="K528" i="1" s="1"/>
  <c r="M528" i="1" s="1"/>
  <c r="K531" i="1"/>
  <c r="M531" i="1" s="1"/>
  <c r="K532" i="1" a="1"/>
  <c r="K532" i="1" s="1"/>
  <c r="M532" i="1" s="1"/>
  <c r="K536" i="1" a="1"/>
  <c r="K536" i="1" s="1"/>
  <c r="M536" i="1" s="1"/>
  <c r="K539" i="1" a="1"/>
  <c r="K539" i="1" s="1"/>
  <c r="K540" i="1" a="1"/>
  <c r="K540" i="1" s="1"/>
  <c r="M540" i="1" s="1"/>
  <c r="K541" i="1" a="1"/>
  <c r="K541" i="1" s="1"/>
  <c r="M541" i="1" s="1"/>
  <c r="K1082" i="1" a="1"/>
  <c r="K1082" i="1" s="1"/>
  <c r="K1084" i="1" a="1"/>
  <c r="K1084" i="1" s="1"/>
  <c r="M1084" i="1" s="1"/>
  <c r="K1091" i="1" a="1"/>
  <c r="K1091" i="1" s="1"/>
  <c r="M1091" i="1" s="1"/>
  <c r="K548" i="1" a="1"/>
  <c r="K548" i="1" s="1"/>
  <c r="M548" i="1" s="1"/>
  <c r="K551" i="1" a="1"/>
  <c r="K551" i="1" s="1"/>
  <c r="M551" i="1" s="1"/>
  <c r="K552" i="1" a="1"/>
  <c r="K552" i="1" s="1"/>
  <c r="M552" i="1" s="1"/>
  <c r="K556" i="1" a="1"/>
  <c r="K556" i="1" s="1"/>
  <c r="M556" i="1" s="1"/>
  <c r="K560" i="1" a="1"/>
  <c r="K560" i="1" s="1"/>
  <c r="M560" i="1" s="1"/>
  <c r="K564" i="1" a="1"/>
  <c r="K564" i="1" s="1"/>
  <c r="M564" i="1" s="1"/>
  <c r="K565" i="1" a="1"/>
  <c r="K565" i="1" s="1"/>
  <c r="M565" i="1" s="1"/>
  <c r="K567" i="1" a="1"/>
  <c r="K567" i="1" s="1"/>
  <c r="M567" i="1" s="1"/>
  <c r="K1094" i="1" a="1"/>
  <c r="K1094" i="1" s="1"/>
  <c r="M1094" i="1" s="1"/>
  <c r="K1095" i="1" a="1"/>
  <c r="K1095" i="1" s="1"/>
  <c r="K572" i="1" a="1"/>
  <c r="K572" i="1" s="1"/>
  <c r="M572" i="1" s="1"/>
  <c r="K574" i="1"/>
  <c r="M574" i="1" s="1"/>
  <c r="K576" i="1"/>
  <c r="K1099" i="1" a="1"/>
  <c r="K1099" i="1" s="1"/>
  <c r="K1308" i="1" a="1"/>
  <c r="K1308" i="1" s="1"/>
  <c r="M1308" i="1" s="1"/>
  <c r="K1101" i="1" a="1"/>
  <c r="K1101" i="1" s="1"/>
  <c r="M1101" i="1" s="1"/>
  <c r="K1103" i="1" a="1"/>
  <c r="K1103" i="1" s="1"/>
  <c r="K1107" i="1" a="1"/>
  <c r="K1107" i="1" s="1"/>
  <c r="M1107" i="1" s="1"/>
  <c r="K1310" i="1" a="1"/>
  <c r="K1310" i="1" s="1"/>
  <c r="K1311" i="1" a="1"/>
  <c r="K1311" i="1" s="1"/>
  <c r="M1311" i="1" s="1"/>
  <c r="K1316" i="1" a="1"/>
  <c r="K1316" i="1" s="1"/>
  <c r="M1316" i="1" s="1"/>
  <c r="K1319" i="1" a="1"/>
  <c r="K1319" i="1" s="1"/>
  <c r="M1319" i="1" s="1"/>
  <c r="K1323" i="1" a="1"/>
  <c r="K1323" i="1"/>
  <c r="M1323" i="1" s="1"/>
  <c r="K1363" i="1" a="1"/>
  <c r="K1363" i="1" s="1"/>
  <c r="M1363" i="1" s="1"/>
  <c r="K1276" i="1" a="1"/>
  <c r="K1276" i="1" s="1"/>
  <c r="M1276" i="1" s="1"/>
  <c r="K583" i="1" a="1"/>
  <c r="K583" i="1" s="1"/>
  <c r="M583" i="1" s="1"/>
  <c r="K584" i="1" a="1"/>
  <c r="K584" i="1"/>
  <c r="K586" i="1" a="1"/>
  <c r="K586" i="1" s="1"/>
  <c r="M586" i="1" s="1"/>
  <c r="L1338" i="1" a="1"/>
  <c r="L1338" i="1"/>
  <c r="L1182" i="1" a="1"/>
  <c r="L1182" i="1" s="1"/>
  <c r="L1183" i="1" a="1"/>
  <c r="L1183" i="1" s="1"/>
  <c r="N1183" i="1" s="1"/>
  <c r="L1184" i="1" a="1"/>
  <c r="L1184" i="1" s="1"/>
  <c r="N1184" i="1" s="1"/>
  <c r="L1185" i="1" a="1"/>
  <c r="L1185" i="1" s="1"/>
  <c r="N1185" i="1" s="1"/>
  <c r="L1186" i="1" a="1"/>
  <c r="L1186" i="1" s="1"/>
  <c r="L894" i="1" a="1"/>
  <c r="L894" i="1" s="1"/>
  <c r="N894" i="1" s="1"/>
  <c r="L1188" i="1" a="1"/>
  <c r="L1188" i="1" s="1"/>
  <c r="N1188" i="1" s="1"/>
  <c r="L895" i="1" a="1"/>
  <c r="L895" i="1" s="1"/>
  <c r="N895" i="1" s="1"/>
  <c r="L896" i="1" a="1"/>
  <c r="L896" i="1" s="1"/>
  <c r="N896" i="1" s="1"/>
  <c r="L1189" i="1" a="1"/>
  <c r="L1189" i="1" s="1"/>
  <c r="N1189" i="1" s="1"/>
  <c r="L897" i="1" a="1"/>
  <c r="L897" i="1" s="1"/>
  <c r="N897" i="1" s="1"/>
  <c r="L898" i="1" a="1"/>
  <c r="L898" i="1" s="1"/>
  <c r="N898" i="1" s="1"/>
  <c r="L900" i="1" a="1"/>
  <c r="L900" i="1" s="1"/>
  <c r="N900" i="1" s="1"/>
  <c r="L1190" i="1" a="1"/>
  <c r="L1190" i="1"/>
  <c r="L222" i="1" a="1"/>
  <c r="L222" i="1" s="1"/>
  <c r="L224" i="1" a="1"/>
  <c r="L224" i="1" s="1"/>
  <c r="N224" i="1" s="1"/>
  <c r="L225" i="1" a="1"/>
  <c r="L225" i="1" s="1"/>
  <c r="N225" i="1" s="1"/>
  <c r="L226" i="1" a="1"/>
  <c r="L226" i="1" s="1"/>
  <c r="N226" i="1" s="1"/>
  <c r="L227" i="1" a="1"/>
  <c r="L227" i="1" s="1"/>
  <c r="N227" i="1" s="1"/>
  <c r="L228" i="1" a="1"/>
  <c r="L228" i="1" s="1"/>
  <c r="N228" i="1" s="1"/>
  <c r="L229" i="1" a="1"/>
  <c r="L229" i="1" s="1"/>
  <c r="N229" i="1" s="1"/>
  <c r="L230" i="1" a="1"/>
  <c r="L230" i="1" s="1"/>
  <c r="N230" i="1" s="1"/>
  <c r="L901" i="1" a="1"/>
  <c r="L901" i="1" s="1"/>
  <c r="N901" i="1" s="1"/>
  <c r="L232" i="1" a="1"/>
  <c r="L232" i="1" s="1"/>
  <c r="N232" i="1" s="1"/>
  <c r="L233" i="1" a="1"/>
  <c r="L233" i="1" s="1"/>
  <c r="N233" i="1" s="1"/>
  <c r="L234" i="1" a="1"/>
  <c r="L234" i="1" s="1"/>
  <c r="L236" i="1" a="1"/>
  <c r="L236" i="1" s="1"/>
  <c r="N236" i="1" s="1"/>
  <c r="L237" i="1" a="1"/>
  <c r="L237" i="1" s="1"/>
  <c r="L238" i="1" a="1"/>
  <c r="L238" i="1" s="1"/>
  <c r="N238" i="1" s="1"/>
  <c r="L239" i="1" a="1"/>
  <c r="L239" i="1" s="1"/>
  <c r="N239" i="1" s="1"/>
  <c r="L241" i="1" a="1"/>
  <c r="L241" i="1" s="1"/>
  <c r="L244" i="1" a="1"/>
  <c r="L244" i="1"/>
  <c r="N244" i="1" s="1"/>
  <c r="L245" i="1" a="1"/>
  <c r="L245" i="1" s="1"/>
  <c r="N245" i="1" s="1"/>
  <c r="L246" i="1" a="1"/>
  <c r="L246" i="1" s="1"/>
  <c r="N246" i="1" s="1"/>
  <c r="L247" i="1" a="1"/>
  <c r="L247" i="1" s="1"/>
  <c r="N247" i="1" s="1"/>
  <c r="L251" i="1" a="1"/>
  <c r="L251" i="1" s="1"/>
  <c r="N251" i="1" s="1"/>
  <c r="L252" i="1" a="1"/>
  <c r="L252" i="1" s="1"/>
  <c r="N252" i="1" s="1"/>
  <c r="L253" i="1" a="1"/>
  <c r="L253" i="1" s="1"/>
  <c r="N253" i="1" s="1"/>
  <c r="L254" i="1" a="1"/>
  <c r="L254" i="1" s="1"/>
  <c r="N254" i="1" s="1"/>
  <c r="L255" i="1" a="1"/>
  <c r="L255" i="1" s="1"/>
  <c r="N255" i="1" s="1"/>
  <c r="L257" i="1" a="1"/>
  <c r="L257" i="1" s="1"/>
  <c r="L258" i="1" a="1"/>
  <c r="L258" i="1" s="1"/>
  <c r="N258" i="1" s="1"/>
  <c r="L259" i="1" a="1"/>
  <c r="L259" i="1" s="1"/>
  <c r="N259" i="1" s="1"/>
  <c r="L260" i="1" a="1"/>
  <c r="L260" i="1"/>
  <c r="N260" i="1" s="1"/>
  <c r="L261" i="1" a="1"/>
  <c r="L261" i="1" s="1"/>
  <c r="N261" i="1" s="1"/>
  <c r="L263" i="1" a="1"/>
  <c r="L263" i="1" s="1"/>
  <c r="N263" i="1" s="1"/>
  <c r="L265" i="1" a="1"/>
  <c r="L265" i="1" s="1"/>
  <c r="L266" i="1" a="1"/>
  <c r="L266" i="1"/>
  <c r="L267" i="1" a="1"/>
  <c r="L267" i="1" s="1"/>
  <c r="N267" i="1" s="1"/>
  <c r="L904" i="1" a="1"/>
  <c r="L904" i="1" s="1"/>
  <c r="N904" i="1" s="1"/>
  <c r="L905" i="1" a="1"/>
  <c r="L905" i="1" s="1"/>
  <c r="N905" i="1" s="1"/>
  <c r="L906" i="1" a="1"/>
  <c r="L906" i="1" s="1"/>
  <c r="N906" i="1" s="1"/>
  <c r="L908" i="1" a="1"/>
  <c r="L908" i="1" s="1"/>
  <c r="N908" i="1" s="1"/>
  <c r="L268" i="1" a="1"/>
  <c r="L268" i="1" s="1"/>
  <c r="N268" i="1" s="1"/>
  <c r="L269" i="1" a="1"/>
  <c r="L269" i="1" s="1"/>
  <c r="L910" i="1" a="1"/>
  <c r="L910" i="1" s="1"/>
  <c r="N910" i="1" s="1"/>
  <c r="L270" i="1" a="1"/>
  <c r="L270" i="1" s="1"/>
  <c r="N270" i="1" s="1"/>
  <c r="L271" i="1" a="1"/>
  <c r="L271" i="1" s="1"/>
  <c r="N271" i="1" s="1"/>
  <c r="L273" i="1" a="1"/>
  <c r="L273" i="1" s="1"/>
  <c r="N273" i="1" s="1"/>
  <c r="L274" i="1" a="1"/>
  <c r="L274" i="1" s="1"/>
  <c r="N274" i="1" s="1"/>
  <c r="L275" i="1" a="1"/>
  <c r="L275" i="1" s="1"/>
  <c r="N275" i="1" s="1"/>
  <c r="L277" i="1" a="1"/>
  <c r="L277" i="1" s="1"/>
  <c r="N277" i="1" s="1"/>
  <c r="L279" i="1" a="1"/>
  <c r="L279" i="1" s="1"/>
  <c r="N279" i="1" s="1"/>
  <c r="L281" i="1" a="1"/>
  <c r="L281" i="1" s="1"/>
  <c r="N281" i="1" s="1"/>
  <c r="L282" i="1" a="1"/>
  <c r="L282" i="1" s="1"/>
  <c r="N282" i="1" s="1"/>
  <c r="L283" i="1" a="1"/>
  <c r="L283" i="1" s="1"/>
  <c r="N283" i="1" s="1"/>
  <c r="L285" i="1" a="1"/>
  <c r="L285" i="1" s="1"/>
  <c r="L287" i="1" a="1"/>
  <c r="L287" i="1" s="1"/>
  <c r="N287" i="1" s="1"/>
  <c r="L288" i="1" a="1"/>
  <c r="L288" i="1" s="1"/>
  <c r="L289" i="1" a="1"/>
  <c r="L289" i="1" s="1"/>
  <c r="N289" i="1" s="1"/>
  <c r="L1191" i="1" a="1"/>
  <c r="L1191" i="1" s="1"/>
  <c r="L292" i="1"/>
  <c r="N292" i="1" s="1"/>
  <c r="L293" i="1" a="1"/>
  <c r="L293" i="1" s="1"/>
  <c r="N293" i="1" s="1"/>
  <c r="L294" i="1" a="1"/>
  <c r="L294" i="1" s="1"/>
  <c r="N294" i="1" s="1"/>
  <c r="L296" i="1" a="1"/>
  <c r="L296" i="1" s="1"/>
  <c r="N296" i="1" s="1"/>
  <c r="L298" i="1" a="1"/>
  <c r="L298" i="1" s="1"/>
  <c r="N298" i="1" s="1"/>
  <c r="L300" i="1" a="1"/>
  <c r="L300" i="1" s="1"/>
  <c r="N300" i="1" s="1"/>
  <c r="L302" i="1" a="1"/>
  <c r="L302" i="1" s="1"/>
  <c r="N302" i="1" s="1"/>
  <c r="L303" i="1" a="1"/>
  <c r="L303" i="1" s="1"/>
  <c r="N303" i="1" s="1"/>
  <c r="L304" i="1" a="1"/>
  <c r="L304" i="1" s="1"/>
  <c r="N304" i="1" s="1"/>
  <c r="L1192" i="1" a="1"/>
  <c r="L1192" i="1"/>
  <c r="L307" i="1" a="1"/>
  <c r="L307" i="1" s="1"/>
  <c r="N307" i="1" s="1"/>
  <c r="L308" i="1" a="1"/>
  <c r="L308" i="1" s="1"/>
  <c r="N308" i="1" s="1"/>
  <c r="L309" i="1" a="1"/>
  <c r="L309" i="1" s="1"/>
  <c r="N309" i="1" s="1"/>
  <c r="L911" i="1" a="1"/>
  <c r="L911" i="1" s="1"/>
  <c r="L310" i="1" a="1"/>
  <c r="L310" i="1" s="1"/>
  <c r="N310" i="1" s="1"/>
  <c r="L311" i="1" a="1"/>
  <c r="L311" i="1"/>
  <c r="N311" i="1" s="1"/>
  <c r="L312" i="1" a="1"/>
  <c r="L312" i="1" s="1"/>
  <c r="L313" i="1" a="1"/>
  <c r="L313" i="1" s="1"/>
  <c r="N313" i="1" s="1"/>
  <c r="L314" i="1" a="1"/>
  <c r="L314" i="1" s="1"/>
  <c r="N314" i="1" s="1"/>
  <c r="L316" i="1" a="1"/>
  <c r="L316" i="1" s="1"/>
  <c r="N316" i="1" s="1"/>
  <c r="L318" i="1" a="1"/>
  <c r="L318" i="1" s="1"/>
  <c r="N318" i="1" s="1"/>
  <c r="L321" i="1" a="1"/>
  <c r="L321" i="1" s="1"/>
  <c r="N321" i="1" s="1"/>
  <c r="L322" i="1" a="1"/>
  <c r="L322" i="1" s="1"/>
  <c r="N322" i="1" s="1"/>
  <c r="L914" i="1" a="1"/>
  <c r="L914" i="1" s="1"/>
  <c r="N914" i="1" s="1"/>
  <c r="L915" i="1" a="1"/>
  <c r="L915" i="1" s="1"/>
  <c r="N915" i="1" s="1"/>
  <c r="L917" i="1" a="1"/>
  <c r="L917" i="1" s="1"/>
  <c r="L919" i="1" a="1"/>
  <c r="L919" i="1" s="1"/>
  <c r="N919" i="1" s="1"/>
  <c r="L920" i="1" a="1"/>
  <c r="L920" i="1" s="1"/>
  <c r="N920" i="1" s="1"/>
  <c r="L921" i="1" a="1"/>
  <c r="L921" i="1" s="1"/>
  <c r="N921" i="1" s="1"/>
  <c r="L923" i="1" a="1"/>
  <c r="L923" i="1" s="1"/>
  <c r="N923" i="1" s="1"/>
  <c r="L925" i="1" a="1"/>
  <c r="L925" i="1" s="1"/>
  <c r="L324" i="1" a="1"/>
  <c r="L324" i="1" s="1"/>
  <c r="N324" i="1" s="1"/>
  <c r="L325" i="1" a="1"/>
  <c r="L325" i="1" s="1"/>
  <c r="L927" i="1" a="1"/>
  <c r="L927" i="1" s="1"/>
  <c r="N927" i="1" s="1"/>
  <c r="L929" i="1" a="1"/>
  <c r="L929" i="1" s="1"/>
  <c r="N929" i="1" s="1"/>
  <c r="L930" i="1" a="1"/>
  <c r="L930" i="1" s="1"/>
  <c r="N930" i="1" s="1"/>
  <c r="L932" i="1" a="1"/>
  <c r="L932" i="1" s="1"/>
  <c r="N932" i="1" s="1"/>
  <c r="L934" i="1" a="1"/>
  <c r="L934" i="1" s="1"/>
  <c r="N934" i="1" s="1"/>
  <c r="L935" i="1" a="1"/>
  <c r="L935" i="1" s="1"/>
  <c r="N935" i="1" s="1"/>
  <c r="L936" i="1" a="1"/>
  <c r="L936" i="1"/>
  <c r="N936" i="1" s="1"/>
  <c r="L937" i="1" a="1"/>
  <c r="L937" i="1" s="1"/>
  <c r="N937" i="1" s="1"/>
  <c r="L938" i="1" a="1"/>
  <c r="L938" i="1"/>
  <c r="N938" i="1" s="1"/>
  <c r="L942" i="1" a="1"/>
  <c r="L942" i="1" s="1"/>
  <c r="N942" i="1" s="1"/>
  <c r="L943" i="1" a="1"/>
  <c r="L943" i="1" s="1"/>
  <c r="N943" i="1" s="1"/>
  <c r="L944" i="1" a="1"/>
  <c r="L944" i="1" s="1"/>
  <c r="N944" i="1" s="1"/>
  <c r="L945" i="1" a="1"/>
  <c r="L945" i="1" s="1"/>
  <c r="N945" i="1" s="1"/>
  <c r="L946" i="1" a="1"/>
  <c r="L946" i="1" s="1"/>
  <c r="N946" i="1" s="1"/>
  <c r="L1288" i="1" a="1"/>
  <c r="L1288" i="1" s="1"/>
  <c r="N1288" i="1" s="1"/>
  <c r="L948" i="1" a="1"/>
  <c r="L948" i="1" s="1"/>
  <c r="N948" i="1" s="1"/>
  <c r="L949" i="1" a="1"/>
  <c r="L949" i="1" s="1"/>
  <c r="N949" i="1" s="1"/>
  <c r="L950" i="1" a="1"/>
  <c r="L950" i="1" s="1"/>
  <c r="N950" i="1" s="1"/>
  <c r="L951" i="1" a="1"/>
  <c r="L951" i="1" s="1"/>
  <c r="N951" i="1" s="1"/>
  <c r="L952" i="1" a="1"/>
  <c r="L952" i="1" s="1"/>
  <c r="N952" i="1" s="1"/>
  <c r="L956" i="1" a="1"/>
  <c r="L956" i="1" s="1"/>
  <c r="L957" i="1" a="1"/>
  <c r="L957" i="1" s="1"/>
  <c r="L1339" i="1" a="1"/>
  <c r="L1339" i="1" s="1"/>
  <c r="N1339" i="1" s="1"/>
  <c r="L327" i="1" a="1"/>
  <c r="L327" i="1"/>
  <c r="N327" i="1" s="1"/>
  <c r="L1193" i="1" a="1"/>
  <c r="L1193" i="1" s="1"/>
  <c r="N1193" i="1" s="1"/>
  <c r="L1196" i="1" a="1"/>
  <c r="L1196" i="1" s="1"/>
  <c r="L1198" i="1" a="1"/>
  <c r="L1198" i="1" s="1"/>
  <c r="N1198" i="1" s="1"/>
  <c r="L1340" i="1" a="1"/>
  <c r="L1340" i="1"/>
  <c r="N1340" i="1" s="1"/>
  <c r="L1341" i="1" a="1"/>
  <c r="L1341" i="1" s="1"/>
  <c r="L1199" i="1" a="1"/>
  <c r="L1199" i="1" s="1"/>
  <c r="N1199" i="1" s="1"/>
  <c r="L1200" i="1" a="1"/>
  <c r="L1200" i="1" s="1"/>
  <c r="N1200" i="1" s="1"/>
  <c r="L1201" i="1" a="1"/>
  <c r="L1201" i="1" s="1"/>
  <c r="N1201" i="1" s="1"/>
  <c r="L1202" i="1" a="1"/>
  <c r="L1202" i="1" s="1"/>
  <c r="N1202" i="1" s="1"/>
  <c r="L1203" i="1" a="1"/>
  <c r="L1203" i="1" s="1"/>
  <c r="N1203" i="1" s="1"/>
  <c r="L1204" i="1" a="1"/>
  <c r="L1204" i="1" s="1"/>
  <c r="N1204" i="1" s="1"/>
  <c r="L1205" i="1" a="1"/>
  <c r="L1205" i="1" s="1"/>
  <c r="N1205" i="1" s="1"/>
  <c r="L1207" i="1" a="1"/>
  <c r="L1207" i="1" s="1"/>
  <c r="N1207" i="1" s="1"/>
  <c r="L1209" i="1" a="1"/>
  <c r="L1209" i="1" s="1"/>
  <c r="N1209" i="1" s="1"/>
  <c r="L1342" i="1" a="1"/>
  <c r="L1342" i="1"/>
  <c r="N1342" i="1" s="1"/>
  <c r="L1211" i="1" a="1"/>
  <c r="L1211" i="1" s="1"/>
  <c r="N1211" i="1" s="1"/>
  <c r="L1212" i="1" a="1"/>
  <c r="L1212" i="1" s="1"/>
  <c r="N1212" i="1" s="1"/>
  <c r="L330" i="1" a="1"/>
  <c r="L330" i="1" s="1"/>
  <c r="N330" i="1" s="1"/>
  <c r="L332" i="1" a="1"/>
  <c r="L332" i="1" s="1"/>
  <c r="L334" i="1" a="1"/>
  <c r="L334" i="1" s="1"/>
  <c r="N334" i="1" s="1"/>
  <c r="L335" i="1" a="1"/>
  <c r="L335" i="1" s="1"/>
  <c r="N335" i="1" s="1"/>
  <c r="L336" i="1" a="1"/>
  <c r="L336" i="1" s="1"/>
  <c r="L338" i="1" a="1"/>
  <c r="L338" i="1" s="1"/>
  <c r="L340" i="1" a="1"/>
  <c r="L340" i="1" s="1"/>
  <c r="N340" i="1" s="1"/>
  <c r="L342" i="1" a="1"/>
  <c r="L342" i="1" s="1"/>
  <c r="N342" i="1" s="1"/>
  <c r="L343" i="1" a="1"/>
  <c r="L343" i="1" s="1"/>
  <c r="N343" i="1" s="1"/>
  <c r="L344" i="1" a="1"/>
  <c r="L344" i="1"/>
  <c r="N344" i="1" s="1"/>
  <c r="L346" i="1" a="1"/>
  <c r="L346" i="1" s="1"/>
  <c r="N346" i="1" s="1"/>
  <c r="L348" i="1" a="1"/>
  <c r="L348" i="1" s="1"/>
  <c r="N348" i="1" s="1"/>
  <c r="L350" i="1" a="1"/>
  <c r="L350" i="1" s="1"/>
  <c r="N350" i="1" s="1"/>
  <c r="L351" i="1" a="1"/>
  <c r="L351" i="1" s="1"/>
  <c r="N351" i="1" s="1"/>
  <c r="L352" i="1" a="1"/>
  <c r="L352" i="1" s="1"/>
  <c r="N352" i="1" s="1"/>
  <c r="L354" i="1" a="1"/>
  <c r="L354" i="1" s="1"/>
  <c r="N354" i="1" s="1"/>
  <c r="L356" i="1" a="1"/>
  <c r="L356" i="1" s="1"/>
  <c r="N356" i="1" s="1"/>
  <c r="L358" i="1" a="1"/>
  <c r="L358" i="1" s="1"/>
  <c r="N358" i="1" s="1"/>
  <c r="L359" i="1" a="1"/>
  <c r="L359" i="1" s="1"/>
  <c r="N359" i="1" s="1"/>
  <c r="L958" i="1" a="1"/>
  <c r="L958" i="1"/>
  <c r="N958" i="1" s="1"/>
  <c r="L962" i="1" a="1"/>
  <c r="L962" i="1" s="1"/>
  <c r="N962" i="1" s="1"/>
  <c r="L963" i="1" a="1"/>
  <c r="L963" i="1" s="1"/>
  <c r="L964" i="1" a="1"/>
  <c r="L964" i="1" s="1"/>
  <c r="N964" i="1" s="1"/>
  <c r="L965" i="1" a="1"/>
  <c r="L965" i="1" s="1"/>
  <c r="N965" i="1" s="1"/>
  <c r="L966" i="1" a="1"/>
  <c r="L966" i="1" s="1"/>
  <c r="L968" i="1" a="1"/>
  <c r="L968" i="1" s="1"/>
  <c r="L970" i="1" a="1"/>
  <c r="L970" i="1" s="1"/>
  <c r="N970" i="1" s="1"/>
  <c r="L971" i="1" a="1"/>
  <c r="L971" i="1" s="1"/>
  <c r="L972" i="1" a="1"/>
  <c r="L972" i="1" s="1"/>
  <c r="N972" i="1" s="1"/>
  <c r="L974" i="1" a="1"/>
  <c r="L974" i="1"/>
  <c r="N974" i="1" s="1"/>
  <c r="L975" i="1" a="1"/>
  <c r="L975" i="1" s="1"/>
  <c r="L976" i="1" a="1"/>
  <c r="L976" i="1" s="1"/>
  <c r="N976" i="1" s="1"/>
  <c r="L977" i="1" a="1"/>
  <c r="L977" i="1" s="1"/>
  <c r="N977" i="1" s="1"/>
  <c r="L978" i="1" a="1"/>
  <c r="L978" i="1" s="1"/>
  <c r="N978" i="1" s="1"/>
  <c r="L979" i="1" a="1"/>
  <c r="L979" i="1" s="1"/>
  <c r="N979" i="1" s="1"/>
  <c r="L980" i="1" a="1"/>
  <c r="L980" i="1" s="1"/>
  <c r="N980" i="1" s="1"/>
  <c r="L981" i="1" a="1"/>
  <c r="L981" i="1" s="1"/>
  <c r="N981" i="1" s="1"/>
  <c r="L982" i="1" a="1"/>
  <c r="L982" i="1" s="1"/>
  <c r="N982" i="1" s="1"/>
  <c r="L984" i="1" a="1"/>
  <c r="L984" i="1" s="1"/>
  <c r="N984" i="1" s="1"/>
  <c r="L986" i="1" a="1"/>
  <c r="L986" i="1"/>
  <c r="L1214" i="1" a="1"/>
  <c r="L1214" i="1" s="1"/>
  <c r="N1214" i="1" s="1"/>
  <c r="L1215" i="1" a="1"/>
  <c r="L1215" i="1" s="1"/>
  <c r="N1215" i="1" s="1"/>
  <c r="L1216" i="1" a="1"/>
  <c r="L1216" i="1" s="1"/>
  <c r="L1218" i="1" a="1"/>
  <c r="L1218" i="1" s="1"/>
  <c r="N1218" i="1" s="1"/>
  <c r="L1220" i="1" a="1"/>
  <c r="L1220" i="1" s="1"/>
  <c r="N1220" i="1" s="1"/>
  <c r="L1222" i="1" a="1"/>
  <c r="L1222" i="1" s="1"/>
  <c r="N1222" i="1" s="1"/>
  <c r="L1223" i="1" a="1"/>
  <c r="L1223" i="1" s="1"/>
  <c r="N1223" i="1" s="1"/>
  <c r="L1224" i="1" a="1"/>
  <c r="L1224" i="1" s="1"/>
  <c r="L988" i="1" a="1"/>
  <c r="L988" i="1" s="1"/>
  <c r="N988" i="1" s="1"/>
  <c r="L361" i="1" a="1"/>
  <c r="L361" i="1"/>
  <c r="L1343" i="1" a="1"/>
  <c r="L1343" i="1" s="1"/>
  <c r="N1343" i="1" s="1"/>
  <c r="L1344" i="1" a="1"/>
  <c r="L1344" i="1" s="1"/>
  <c r="N1344" i="1" s="1"/>
  <c r="L365" i="1" a="1"/>
  <c r="L365" i="1" s="1"/>
  <c r="N365" i="1" s="1"/>
  <c r="L367" i="1" a="1"/>
  <c r="L367" i="1" s="1"/>
  <c r="N367" i="1" s="1"/>
  <c r="L368" i="1" a="1"/>
  <c r="L368" i="1" s="1"/>
  <c r="L369" i="1" a="1"/>
  <c r="L369" i="1" s="1"/>
  <c r="N369" i="1" s="1"/>
  <c r="L373" i="1" a="1"/>
  <c r="L373" i="1" s="1"/>
  <c r="N373" i="1" s="1"/>
  <c r="L989" i="1" a="1"/>
  <c r="L989" i="1" s="1"/>
  <c r="N989" i="1" s="1"/>
  <c r="L991" i="1" a="1"/>
  <c r="L991" i="1" s="1"/>
  <c r="N991" i="1" s="1"/>
  <c r="L992" i="1" a="1"/>
  <c r="L992" i="1"/>
  <c r="L1225" i="1" a="1"/>
  <c r="L1225" i="1" s="1"/>
  <c r="N1225" i="1" s="1"/>
  <c r="L1289" i="1" a="1"/>
  <c r="L1289" i="1" s="1"/>
  <c r="L1227" i="1" a="1"/>
  <c r="L1227" i="1" s="1"/>
  <c r="N1227" i="1" s="1"/>
  <c r="L995" i="1" a="1"/>
  <c r="L995" i="1" s="1"/>
  <c r="N995" i="1" s="1"/>
  <c r="L1228" i="1" a="1"/>
  <c r="L1228" i="1" s="1"/>
  <c r="N1228" i="1" s="1"/>
  <c r="L996" i="1" a="1"/>
  <c r="L996" i="1" s="1"/>
  <c r="N996" i="1" s="1"/>
  <c r="L1291" i="1" a="1"/>
  <c r="L1291" i="1" s="1"/>
  <c r="N1291" i="1" s="1"/>
  <c r="L998" i="1" a="1"/>
  <c r="L998" i="1" s="1"/>
  <c r="L1345" i="1" a="1"/>
  <c r="L1345" i="1" s="1"/>
  <c r="N1345" i="1" s="1"/>
  <c r="L377" i="1" a="1"/>
  <c r="L377" i="1" s="1"/>
  <c r="N377" i="1" s="1"/>
  <c r="L379" i="1" a="1"/>
  <c r="L379" i="1" s="1"/>
  <c r="N379" i="1" s="1"/>
  <c r="L381" i="1" a="1"/>
  <c r="L381" i="1" s="1"/>
  <c r="L1000" i="1" a="1"/>
  <c r="L1000" i="1" s="1"/>
  <c r="N1000" i="1" s="1"/>
  <c r="L382" i="1" a="1"/>
  <c r="L382" i="1" s="1"/>
  <c r="N382" i="1" s="1"/>
  <c r="L1001" i="1" a="1"/>
  <c r="L1001" i="1" s="1"/>
  <c r="N1001" i="1" s="1"/>
  <c r="L1002" i="1" a="1"/>
  <c r="L1002" i="1" s="1"/>
  <c r="N1002" i="1" s="1"/>
  <c r="L384" i="1" a="1"/>
  <c r="L384" i="1" s="1"/>
  <c r="N384" i="1" s="1"/>
  <c r="L385" i="1" a="1"/>
  <c r="L385" i="1" s="1"/>
  <c r="N385" i="1" s="1"/>
  <c r="L386" i="1" a="1"/>
  <c r="L386" i="1" s="1"/>
  <c r="N386" i="1" s="1"/>
  <c r="L387" i="1" a="1"/>
  <c r="L387" i="1" s="1"/>
  <c r="N387" i="1" s="1"/>
  <c r="L1005" i="1" a="1"/>
  <c r="L1005" i="1" s="1"/>
  <c r="L392" i="1" a="1"/>
  <c r="L392" i="1" s="1"/>
  <c r="N392" i="1" s="1"/>
  <c r="L1006" i="1" a="1"/>
  <c r="L1006" i="1" s="1"/>
  <c r="N1006" i="1" s="1"/>
  <c r="L395" i="1" a="1"/>
  <c r="L395" i="1" s="1"/>
  <c r="N395" i="1" s="1"/>
  <c r="L1007" i="1" a="1"/>
  <c r="L1007" i="1" s="1"/>
  <c r="N1007" i="1" s="1"/>
  <c r="L396" i="1" a="1"/>
  <c r="L396" i="1" s="1"/>
  <c r="N396" i="1" s="1"/>
  <c r="L1009" i="1"/>
  <c r="L397" i="1" a="1"/>
  <c r="L397" i="1" s="1"/>
  <c r="N397" i="1" s="1"/>
  <c r="L399" i="1" a="1"/>
  <c r="L399" i="1" s="1"/>
  <c r="N399" i="1" s="1"/>
  <c r="L1012" i="1" a="1"/>
  <c r="L1012" i="1" s="1"/>
  <c r="N1012" i="1" s="1"/>
  <c r="L400" i="1" a="1"/>
  <c r="L400" i="1" s="1"/>
  <c r="L1013" i="1" a="1"/>
  <c r="L1013" i="1" s="1"/>
  <c r="N1013" i="1" s="1"/>
  <c r="L1016" i="1" a="1"/>
  <c r="L1016" i="1" s="1"/>
  <c r="N1016" i="1" s="1"/>
  <c r="L402" i="1" a="1"/>
  <c r="L402" i="1" s="1"/>
  <c r="N402" i="1" s="1"/>
  <c r="L1017" i="1" a="1"/>
  <c r="L1017" i="1" s="1"/>
  <c r="N1017" i="1" s="1"/>
  <c r="L1018" i="1" a="1"/>
  <c r="L1018" i="1" s="1"/>
  <c r="L1019" i="1" a="1"/>
  <c r="L1019" i="1" s="1"/>
  <c r="N1019" i="1" s="1"/>
  <c r="L1022" i="1" a="1"/>
  <c r="L1022" i="1" s="1"/>
  <c r="N1022" i="1" s="1"/>
  <c r="L406" i="1" a="1"/>
  <c r="L406" i="1" s="1"/>
  <c r="N406" i="1" s="1"/>
  <c r="L408" i="1" a="1"/>
  <c r="L408" i="1" s="1"/>
  <c r="N408" i="1" s="1"/>
  <c r="L409" i="1" a="1"/>
  <c r="L409" i="1" s="1"/>
  <c r="L411" i="1" a="1"/>
  <c r="L411" i="1" s="1"/>
  <c r="L412" i="1" a="1"/>
  <c r="L412" i="1" s="1"/>
  <c r="N412" i="1" s="1"/>
  <c r="L413" i="1" a="1"/>
  <c r="L413" i="1" s="1"/>
  <c r="N413" i="1" s="1"/>
  <c r="L415" i="1" a="1"/>
  <c r="L415" i="1" s="1"/>
  <c r="N415" i="1" s="1"/>
  <c r="L416" i="1" a="1"/>
  <c r="L416" i="1" s="1"/>
  <c r="N416" i="1" s="1"/>
  <c r="L419" i="1" a="1"/>
  <c r="L419" i="1" s="1"/>
  <c r="N419" i="1" s="1"/>
  <c r="L420" i="1" a="1"/>
  <c r="L420" i="1" s="1"/>
  <c r="N420" i="1" s="1"/>
  <c r="L423" i="1" a="1"/>
  <c r="L423" i="1" s="1"/>
  <c r="N423" i="1" s="1"/>
  <c r="L1229" i="1" a="1"/>
  <c r="L1229" i="1" s="1"/>
  <c r="L424" i="1" a="1"/>
  <c r="L424" i="1" s="1"/>
  <c r="L426" i="1" a="1"/>
  <c r="L426" i="1" s="1"/>
  <c r="N426" i="1" s="1"/>
  <c r="L1231" i="1" a="1"/>
  <c r="L1231" i="1" s="1"/>
  <c r="N1231" i="1" s="1"/>
  <c r="L427" i="1" a="1"/>
  <c r="L427" i="1" s="1"/>
  <c r="L1233" i="1" a="1"/>
  <c r="L1233" i="1" s="1"/>
  <c r="L1234" i="1" a="1"/>
  <c r="L1234" i="1" s="1"/>
  <c r="N1234" i="1" s="1"/>
  <c r="L1235" i="1" a="1"/>
  <c r="L1235" i="1" s="1"/>
  <c r="N1235" i="1" s="1"/>
  <c r="L1236" i="1" a="1"/>
  <c r="L1236" i="1" s="1"/>
  <c r="L429" i="1" a="1"/>
  <c r="L429" i="1" s="1"/>
  <c r="N429" i="1" s="1"/>
  <c r="L1238" i="1" a="1"/>
  <c r="L1238" i="1" s="1"/>
  <c r="N1238" i="1" s="1"/>
  <c r="L1239" i="1" a="1"/>
  <c r="L1239" i="1" s="1"/>
  <c r="N1239" i="1" s="1"/>
  <c r="L431" i="1" a="1"/>
  <c r="L431" i="1" s="1"/>
  <c r="N431" i="1" s="1"/>
  <c r="L1241" i="1" a="1"/>
  <c r="L1241" i="1" s="1"/>
  <c r="N1241" i="1" s="1"/>
  <c r="L1242" i="1" a="1"/>
  <c r="L1242" i="1" s="1"/>
  <c r="L1243" i="1" a="1"/>
  <c r="L1243" i="1" s="1"/>
  <c r="N1243" i="1" s="1"/>
  <c r="L1244" i="1" a="1"/>
  <c r="L1244" i="1" s="1"/>
  <c r="L433" i="1" a="1"/>
  <c r="L433" i="1" s="1"/>
  <c r="N433" i="1" s="1"/>
  <c r="L434" i="1" a="1"/>
  <c r="L434" i="1" s="1"/>
  <c r="L1028" i="1" a="1"/>
  <c r="L1028" i="1" s="1"/>
  <c r="N1028" i="1" s="1"/>
  <c r="L435" i="1" a="1"/>
  <c r="L435" i="1" s="1"/>
  <c r="N435" i="1" s="1"/>
  <c r="L1029" i="1" a="1"/>
  <c r="L1029" i="1" s="1"/>
  <c r="N1029" i="1" s="1"/>
  <c r="L1030" i="1" a="1"/>
  <c r="L1030" i="1" s="1"/>
  <c r="L437" i="1" a="1"/>
  <c r="L437" i="1" s="1"/>
  <c r="L438" i="1" a="1"/>
  <c r="L438" i="1" s="1"/>
  <c r="L440" i="1" a="1"/>
  <c r="L440" i="1" s="1"/>
  <c r="L441" i="1" a="1"/>
  <c r="L441" i="1" s="1"/>
  <c r="L1245" i="1" a="1"/>
  <c r="L1245" i="1" s="1"/>
  <c r="N1245" i="1" s="1"/>
  <c r="L445" i="1" a="1"/>
  <c r="L445" i="1" s="1"/>
  <c r="N445" i="1" s="1"/>
  <c r="L1246" i="1" a="1"/>
  <c r="L1246" i="1" s="1"/>
  <c r="N1246" i="1" s="1"/>
  <c r="L449" i="1" a="1"/>
  <c r="L449" i="1" s="1"/>
  <c r="L1247" i="1" a="1"/>
  <c r="L1247" i="1" s="1"/>
  <c r="L1031" i="1" a="1"/>
  <c r="L1031" i="1"/>
  <c r="L450" i="1" a="1"/>
  <c r="L450" i="1" s="1"/>
  <c r="N450" i="1" s="1"/>
  <c r="L1248" i="1" a="1"/>
  <c r="L1248" i="1" s="1"/>
  <c r="N1248" i="1" s="1"/>
  <c r="L1032" i="1" a="1"/>
  <c r="L1032" i="1" s="1"/>
  <c r="L453" i="1" a="1"/>
  <c r="L453" i="1" s="1"/>
  <c r="L1250" i="1" a="1"/>
  <c r="L1250" i="1" s="1"/>
  <c r="N1250" i="1" s="1"/>
  <c r="L1033" i="1" a="1"/>
  <c r="L1033" i="1" s="1"/>
  <c r="N1033" i="1" s="1"/>
  <c r="L454" i="1" a="1"/>
  <c r="L454" i="1" s="1"/>
  <c r="N454" i="1" s="1"/>
  <c r="L1251" i="1" a="1"/>
  <c r="L1251" i="1" s="1"/>
  <c r="L1252" i="1" a="1"/>
  <c r="L1252" i="1" s="1"/>
  <c r="N1252" i="1" s="1"/>
  <c r="L1035" i="1" a="1"/>
  <c r="L1035" i="1" s="1"/>
  <c r="L456" i="1" a="1"/>
  <c r="L456" i="1" s="1"/>
  <c r="N456" i="1" s="1"/>
  <c r="L457" i="1" a="1"/>
  <c r="L457" i="1" s="1"/>
  <c r="N457" i="1" s="1"/>
  <c r="L1036" i="1" a="1"/>
  <c r="L1036" i="1"/>
  <c r="N1036" i="1" s="1"/>
  <c r="L1037" i="1" a="1"/>
  <c r="L1037" i="1" s="1"/>
  <c r="L1038" i="1" a="1"/>
  <c r="L1038" i="1" s="1"/>
  <c r="L459" i="1" a="1"/>
  <c r="L459" i="1" s="1"/>
  <c r="L462" i="1" a="1"/>
  <c r="L462" i="1" s="1"/>
  <c r="N462" i="1" s="1"/>
  <c r="L463" i="1" a="1"/>
  <c r="L463" i="1"/>
  <c r="N463" i="1" s="1"/>
  <c r="L465" i="1" a="1"/>
  <c r="L465" i="1" s="1"/>
  <c r="L466" i="1" a="1"/>
  <c r="L466" i="1" s="1"/>
  <c r="L468" i="1" a="1"/>
  <c r="L468" i="1" s="1"/>
  <c r="L469" i="1" a="1"/>
  <c r="L469" i="1"/>
  <c r="N469" i="1" s="1"/>
  <c r="L471" i="1" a="1"/>
  <c r="L471" i="1" s="1"/>
  <c r="L1044" i="1" a="1"/>
  <c r="L1044" i="1" s="1"/>
  <c r="N1044" i="1" s="1"/>
  <c r="L1045" i="1" a="1"/>
  <c r="L1045" i="1" s="1"/>
  <c r="N1045" i="1" s="1"/>
  <c r="L1047" i="1" a="1"/>
  <c r="L1047" i="1" s="1"/>
  <c r="N1047" i="1" s="1"/>
  <c r="L1050" i="1" a="1"/>
  <c r="L1050" i="1" s="1"/>
  <c r="L1051" i="1" a="1"/>
  <c r="L1051" i="1" s="1"/>
  <c r="N1051" i="1" s="1"/>
  <c r="L1052" i="1" a="1"/>
  <c r="L1052" i="1" s="1"/>
  <c r="N1052" i="1" s="1"/>
  <c r="L1346" i="1" a="1"/>
  <c r="L1346" i="1"/>
  <c r="N1346" i="1" s="1"/>
  <c r="L1347" i="1" a="1"/>
  <c r="L1347" i="1" s="1"/>
  <c r="N1347" i="1" s="1"/>
  <c r="L1292" i="1" a="1"/>
  <c r="L1292" i="1" s="1"/>
  <c r="L1294" i="1" a="1"/>
  <c r="L1294" i="1" s="1"/>
  <c r="L1350" i="1" a="1"/>
  <c r="L1350" i="1" s="1"/>
  <c r="N1350" i="1" s="1"/>
  <c r="L1296" i="1" a="1"/>
  <c r="L1296" i="1" s="1"/>
  <c r="L1298" i="1" a="1"/>
  <c r="L1298" i="1" s="1"/>
  <c r="L1352" i="1" a="1"/>
  <c r="L1352" i="1" s="1"/>
  <c r="N1352" i="1" s="1"/>
  <c r="L1353" i="1" a="1"/>
  <c r="L1353" i="1" s="1"/>
  <c r="N1353" i="1" s="1"/>
  <c r="L1299" i="1" a="1"/>
  <c r="L1299" i="1" s="1"/>
  <c r="N1299" i="1" s="1"/>
  <c r="L1300" i="1" a="1"/>
  <c r="L1300" i="1" s="1"/>
  <c r="N1300" i="1" s="1"/>
  <c r="L1354" i="1" a="1"/>
  <c r="L1354" i="1" s="1"/>
  <c r="N1354" i="1" s="1"/>
  <c r="L1301" i="1" a="1"/>
  <c r="L1301" i="1"/>
  <c r="L1302" i="1" a="1"/>
  <c r="L1302" i="1" s="1"/>
  <c r="N1302" i="1" s="1"/>
  <c r="L1303" i="1" a="1"/>
  <c r="L1303" i="1" s="1"/>
  <c r="L1053" i="1" a="1"/>
  <c r="L1053" i="1" s="1"/>
  <c r="N1053" i="1" s="1"/>
  <c r="L1054" i="1" a="1"/>
  <c r="L1054" i="1" s="1"/>
  <c r="N1054" i="1" s="1"/>
  <c r="L473" i="1" a="1"/>
  <c r="L473" i="1" s="1"/>
  <c r="L476" i="1" a="1"/>
  <c r="L476" i="1" s="1"/>
  <c r="N476" i="1" s="1"/>
  <c r="L477" i="1" a="1"/>
  <c r="L477" i="1" s="1"/>
  <c r="N477" i="1" s="1"/>
  <c r="L1055" i="1" a="1"/>
  <c r="L1055" i="1" s="1"/>
  <c r="N1055" i="1" s="1"/>
  <c r="L479" i="1" a="1"/>
  <c r="L479" i="1" s="1"/>
  <c r="N479" i="1" s="1"/>
  <c r="L482" i="1" a="1"/>
  <c r="L482" i="1" s="1"/>
  <c r="L1057" i="1" a="1"/>
  <c r="L1057" i="1" s="1"/>
  <c r="N1057" i="1" s="1"/>
  <c r="L1058" i="1" a="1"/>
  <c r="L1058" i="1" s="1"/>
  <c r="N1058" i="1" s="1"/>
  <c r="L484" i="1" a="1"/>
  <c r="L484" i="1" s="1"/>
  <c r="L485" i="1" a="1"/>
  <c r="L485" i="1" s="1"/>
  <c r="N485" i="1" s="1"/>
  <c r="L486" i="1" a="1"/>
  <c r="L486" i="1" s="1"/>
  <c r="N486" i="1" s="1"/>
  <c r="L487" i="1" a="1"/>
  <c r="L487" i="1" s="1"/>
  <c r="N487" i="1" s="1"/>
  <c r="L488" i="1" a="1"/>
  <c r="L488" i="1" s="1"/>
  <c r="L490" i="1" a="1"/>
  <c r="L490" i="1" s="1"/>
  <c r="L492" i="1" a="1"/>
  <c r="L492" i="1" s="1"/>
  <c r="N492" i="1" s="1"/>
  <c r="L1062" i="1" a="1"/>
  <c r="L1062" i="1" s="1"/>
  <c r="N1062" i="1" s="1"/>
  <c r="L494" i="1" a="1"/>
  <c r="L494" i="1" s="1"/>
  <c r="N494" i="1" s="1"/>
  <c r="L495" i="1" a="1"/>
  <c r="L495" i="1" s="1"/>
  <c r="N495" i="1" s="1"/>
  <c r="L498" i="1" a="1"/>
  <c r="L498" i="1" s="1"/>
  <c r="L1064" i="1" a="1"/>
  <c r="L1064" i="1" s="1"/>
  <c r="N1064" i="1" s="1"/>
  <c r="L499" i="1" a="1"/>
  <c r="L499" i="1" s="1"/>
  <c r="N499" i="1" s="1"/>
  <c r="L500" i="1" a="1"/>
  <c r="L500" i="1" s="1"/>
  <c r="N500" i="1" s="1"/>
  <c r="L1254" i="1" a="1"/>
  <c r="L1254" i="1" s="1"/>
  <c r="L502" i="1" a="1"/>
  <c r="L502" i="1" s="1"/>
  <c r="N502" i="1" s="1"/>
  <c r="L1255" i="1" a="1"/>
  <c r="L1255" i="1" s="1"/>
  <c r="N1255" i="1" s="1"/>
  <c r="L1066" i="1" a="1"/>
  <c r="L1066" i="1" s="1"/>
  <c r="N1066" i="1" s="1"/>
  <c r="L503" i="1" a="1"/>
  <c r="L503" i="1" s="1"/>
  <c r="N503" i="1" s="1"/>
  <c r="L1256" i="1" a="1"/>
  <c r="L1256" i="1" s="1"/>
  <c r="N1256" i="1" s="1"/>
  <c r="L1257" i="1" a="1"/>
  <c r="L1257" i="1" s="1"/>
  <c r="N1257" i="1" s="1"/>
  <c r="L1068" i="1" a="1"/>
  <c r="L1068" i="1" s="1"/>
  <c r="N1068" i="1" s="1"/>
  <c r="L505" i="1" a="1"/>
  <c r="L505" i="1" s="1"/>
  <c r="N505" i="1" s="1"/>
  <c r="L1258" i="1" a="1"/>
  <c r="L1258" i="1" s="1"/>
  <c r="N1258" i="1" s="1"/>
  <c r="L1069" i="1" a="1"/>
  <c r="L1069" i="1" s="1"/>
  <c r="N1069" i="1" s="1"/>
  <c r="L506" i="1" a="1"/>
  <c r="L506" i="1"/>
  <c r="N506" i="1" s="1"/>
  <c r="L1259" i="1" a="1"/>
  <c r="L1259" i="1" s="1"/>
  <c r="N1259" i="1" s="1"/>
  <c r="L1260" i="1" a="1"/>
  <c r="L1260" i="1" s="1"/>
  <c r="N1260" i="1" s="1"/>
  <c r="L1070" i="1" a="1"/>
  <c r="L1070" i="1" s="1"/>
  <c r="L509" i="1" a="1"/>
  <c r="L509" i="1" s="1"/>
  <c r="N509" i="1" s="1"/>
  <c r="L1072" i="1" a="1"/>
  <c r="L1072" i="1" s="1"/>
  <c r="N1072" i="1" s="1"/>
  <c r="L510" i="1" a="1"/>
  <c r="L510" i="1" s="1"/>
  <c r="L511" i="1" a="1"/>
  <c r="L511" i="1"/>
  <c r="N511" i="1" s="1"/>
  <c r="L1074" i="1" a="1"/>
  <c r="L1074" i="1" s="1"/>
  <c r="L512" i="1" a="1"/>
  <c r="L512" i="1" s="1"/>
  <c r="N512" i="1" s="1"/>
  <c r="L513" i="1" a="1"/>
  <c r="L513" i="1" s="1"/>
  <c r="N513" i="1" s="1"/>
  <c r="L1304" i="1" a="1"/>
  <c r="L1304" i="1" s="1"/>
  <c r="N1304" i="1" s="1"/>
  <c r="L1358" i="1" a="1"/>
  <c r="L1358" i="1" s="1"/>
  <c r="N1358" i="1" s="1"/>
  <c r="L1305" i="1" a="1"/>
  <c r="L1305" i="1" s="1"/>
  <c r="N1305" i="1" s="1"/>
  <c r="L1360" i="1" a="1"/>
  <c r="L1360" i="1" s="1"/>
  <c r="N1360" i="1" s="1"/>
  <c r="L1361" i="1" a="1"/>
  <c r="L1361" i="1" s="1"/>
  <c r="N1361" i="1" s="1"/>
  <c r="L1307" i="1" a="1"/>
  <c r="L1307" i="1" s="1"/>
  <c r="N1307" i="1" s="1"/>
  <c r="L514" i="1" a="1"/>
  <c r="L514" i="1" s="1"/>
  <c r="L1075" i="1" a="1"/>
  <c r="L1075" i="1" s="1"/>
  <c r="N1075" i="1" s="1"/>
  <c r="L1076" i="1" a="1"/>
  <c r="L1076" i="1" s="1"/>
  <c r="L1078" i="1" a="1"/>
  <c r="L1078" i="1" s="1"/>
  <c r="N1078" i="1" s="1"/>
  <c r="L517" i="1" a="1"/>
  <c r="L517" i="1" s="1"/>
  <c r="N517" i="1" s="1"/>
  <c r="L518" i="1" a="1"/>
  <c r="L518" i="1" s="1"/>
  <c r="N518" i="1" s="1"/>
  <c r="L519" i="1" a="1"/>
  <c r="L519" i="1" s="1"/>
  <c r="N519" i="1" s="1"/>
  <c r="L520" i="1" a="1"/>
  <c r="L520" i="1" s="1"/>
  <c r="N520" i="1" s="1"/>
  <c r="L522" i="1" a="1"/>
  <c r="L522" i="1" s="1"/>
  <c r="L524" i="1" a="1"/>
  <c r="L524" i="1" s="1"/>
  <c r="L525" i="1" a="1"/>
  <c r="L525" i="1" s="1"/>
  <c r="N525" i="1" s="1"/>
  <c r="L526" i="1" a="1"/>
  <c r="L526" i="1" s="1"/>
  <c r="L527" i="1" a="1"/>
  <c r="L527" i="1" s="1"/>
  <c r="N527" i="1" s="1"/>
  <c r="L1079" i="1" a="1"/>
  <c r="L1079" i="1" s="1"/>
  <c r="N1079" i="1" s="1"/>
  <c r="L1080" i="1" a="1"/>
  <c r="L1080" i="1" s="1"/>
  <c r="L528" i="1" a="1"/>
  <c r="L528" i="1" s="1"/>
  <c r="N528" i="1" s="1"/>
  <c r="L530" i="1" a="1"/>
  <c r="L530" i="1" s="1"/>
  <c r="N530" i="1" s="1"/>
  <c r="L531" i="1" a="1"/>
  <c r="L531" i="1" s="1"/>
  <c r="L532" i="1" a="1"/>
  <c r="L532" i="1" s="1"/>
  <c r="N532" i="1" s="1"/>
  <c r="L534" i="1" a="1"/>
  <c r="L534" i="1" s="1"/>
  <c r="N534" i="1" s="1"/>
  <c r="L536" i="1" a="1"/>
  <c r="L536" i="1" s="1"/>
  <c r="L538" i="1" a="1"/>
  <c r="L538" i="1" s="1"/>
  <c r="N538" i="1" s="1"/>
  <c r="L539" i="1" a="1"/>
  <c r="L539" i="1" s="1"/>
  <c r="N539" i="1" s="1"/>
  <c r="L540" i="1" a="1"/>
  <c r="L540" i="1" s="1"/>
  <c r="N540" i="1" s="1"/>
  <c r="L541" i="1" a="1"/>
  <c r="L541" i="1" s="1"/>
  <c r="N541" i="1" s="1"/>
  <c r="L544" i="1" a="1"/>
  <c r="L544" i="1" s="1"/>
  <c r="L545" i="1" a="1"/>
  <c r="L545" i="1" s="1"/>
  <c r="N545" i="1" s="1"/>
  <c r="L546" i="1" a="1"/>
  <c r="L546" i="1" s="1"/>
  <c r="N546" i="1" s="1"/>
  <c r="L1082" i="1" a="1"/>
  <c r="L1082" i="1" s="1"/>
  <c r="L1083" i="1" a="1"/>
  <c r="L1083" i="1" s="1"/>
  <c r="N1083" i="1" s="1"/>
  <c r="L1084" i="1" a="1"/>
  <c r="L1084" i="1" s="1"/>
  <c r="L1086" i="1" a="1"/>
  <c r="L1086" i="1" s="1"/>
  <c r="L1087" i="1" a="1"/>
  <c r="L1087" i="1" s="1"/>
  <c r="N1087" i="1" s="1"/>
  <c r="L1088" i="1" a="1"/>
  <c r="L1088" i="1" s="1"/>
  <c r="N1088" i="1" s="1"/>
  <c r="L1089" i="1" a="1"/>
  <c r="L1089" i="1" s="1"/>
  <c r="N1089" i="1" s="1"/>
  <c r="L1090" i="1" a="1"/>
  <c r="L1090" i="1" s="1"/>
  <c r="L1091" i="1" a="1"/>
  <c r="L1091" i="1" s="1"/>
  <c r="N1091" i="1" s="1"/>
  <c r="L1093" i="1" a="1"/>
  <c r="L1093" i="1"/>
  <c r="L548" i="1" a="1"/>
  <c r="L548" i="1" s="1"/>
  <c r="N548" i="1" s="1"/>
  <c r="L549" i="1" a="1"/>
  <c r="L549" i="1" s="1"/>
  <c r="N549" i="1" s="1"/>
  <c r="L550" i="1" a="1"/>
  <c r="L550" i="1" s="1"/>
  <c r="N550" i="1" s="1"/>
  <c r="L552" i="1" a="1"/>
  <c r="L552" i="1"/>
  <c r="N552" i="1" s="1"/>
  <c r="L554" i="1" a="1"/>
  <c r="L554" i="1"/>
  <c r="L556" i="1" a="1"/>
  <c r="L556" i="1" s="1"/>
  <c r="L557" i="1" a="1"/>
  <c r="L557" i="1" s="1"/>
  <c r="L559" i="1" a="1"/>
  <c r="L559" i="1" s="1"/>
  <c r="N559" i="1" s="1"/>
  <c r="L560" i="1" a="1"/>
  <c r="L560" i="1" s="1"/>
  <c r="N560" i="1" s="1"/>
  <c r="L561" i="1" a="1"/>
  <c r="L561" i="1" s="1"/>
  <c r="N561" i="1" s="1"/>
  <c r="L562" i="1" a="1"/>
  <c r="L562" i="1" s="1"/>
  <c r="L564" i="1" a="1"/>
  <c r="L564" i="1" s="1"/>
  <c r="N564" i="1" s="1"/>
  <c r="L565" i="1" a="1"/>
  <c r="L565" i="1" s="1"/>
  <c r="N565" i="1" s="1"/>
  <c r="L566" i="1" a="1"/>
  <c r="L566" i="1" s="1"/>
  <c r="N566" i="1" s="1"/>
  <c r="L567" i="1" a="1"/>
  <c r="L567" i="1" s="1"/>
  <c r="N567" i="1" s="1"/>
  <c r="L568" i="1" a="1"/>
  <c r="L568" i="1" s="1"/>
  <c r="N568" i="1" s="1"/>
  <c r="L569" i="1" a="1"/>
  <c r="L569" i="1" s="1"/>
  <c r="L571" i="1" a="1"/>
  <c r="L571" i="1" s="1"/>
  <c r="N571" i="1" s="1"/>
  <c r="L1094" i="1" a="1"/>
  <c r="L1094" i="1" s="1"/>
  <c r="N1094" i="1" s="1"/>
  <c r="L1095" i="1" a="1"/>
  <c r="L1095" i="1" s="1"/>
  <c r="L1261" i="1" a="1"/>
  <c r="L1261" i="1" s="1"/>
  <c r="N1261" i="1" s="1"/>
  <c r="L1097" i="1" a="1"/>
  <c r="L1097" i="1" s="1"/>
  <c r="N1097" i="1" s="1"/>
  <c r="L572" i="1" a="1"/>
  <c r="L572" i="1" s="1"/>
  <c r="N572" i="1" s="1"/>
  <c r="L573" i="1" a="1"/>
  <c r="L573" i="1" s="1"/>
  <c r="L574" i="1" a="1"/>
  <c r="L574" i="1" s="1"/>
  <c r="N574" i="1" s="1"/>
  <c r="L575" i="1" a="1"/>
  <c r="L575" i="1" s="1"/>
  <c r="N575" i="1" s="1"/>
  <c r="L576" i="1" a="1"/>
  <c r="L576" i="1" s="1"/>
  <c r="N576" i="1" s="1"/>
  <c r="L1098" i="1" a="1"/>
  <c r="L1098" i="1" s="1"/>
  <c r="N1098" i="1" s="1"/>
  <c r="L1099" i="1" a="1"/>
  <c r="L1099" i="1" s="1"/>
  <c r="L1100" i="1" a="1"/>
  <c r="L1100" i="1"/>
  <c r="N1100" i="1" s="1"/>
  <c r="L1308" i="1" a="1"/>
  <c r="L1308" i="1" s="1"/>
  <c r="N1308" i="1" s="1"/>
  <c r="L1309" i="1" a="1"/>
  <c r="L1309" i="1" s="1"/>
  <c r="L1102" i="1" a="1"/>
  <c r="L1102" i="1" s="1"/>
  <c r="L1103" i="1" a="1"/>
  <c r="L1103" i="1" s="1"/>
  <c r="N1103" i="1" s="1"/>
  <c r="L1104" i="1" a="1"/>
  <c r="L1104" i="1" s="1"/>
  <c r="N1104" i="1" s="1"/>
  <c r="L1105" i="1" a="1"/>
  <c r="L1105" i="1" s="1"/>
  <c r="N1105" i="1" s="1"/>
  <c r="L1106" i="1" a="1"/>
  <c r="L1106" i="1" s="1"/>
  <c r="N1106" i="1" s="1"/>
  <c r="L1107" i="1" a="1"/>
  <c r="L1107" i="1" s="1"/>
  <c r="L1262" i="1" a="1"/>
  <c r="L1262" i="1" s="1"/>
  <c r="N1262" i="1" s="1"/>
  <c r="L1311" i="1" a="1"/>
  <c r="L1311" i="1" s="1"/>
  <c r="N1311" i="1" s="1"/>
  <c r="L1313" i="1" a="1"/>
  <c r="L1313" i="1"/>
  <c r="N1313" i="1" s="1"/>
  <c r="L1314" i="1" a="1"/>
  <c r="L1314" i="1" s="1"/>
  <c r="L1315" i="1" a="1"/>
  <c r="L1315" i="1" s="1"/>
  <c r="L1316" i="1" a="1"/>
  <c r="L1316" i="1" s="1"/>
  <c r="N1316" i="1" s="1"/>
  <c r="L1318" i="1" a="1"/>
  <c r="L1318" i="1" s="1"/>
  <c r="L1319" i="1" a="1"/>
  <c r="L1319" i="1" s="1"/>
  <c r="N1319" i="1" s="1"/>
  <c r="L1320" i="1" a="1"/>
  <c r="L1320" i="1" s="1"/>
  <c r="L1321" i="1" a="1"/>
  <c r="L1321" i="1" s="1"/>
  <c r="N1321" i="1" s="1"/>
  <c r="L1263" i="1" a="1"/>
  <c r="L1263" i="1" s="1"/>
  <c r="L1322" i="1" a="1"/>
  <c r="L1322" i="1" s="1"/>
  <c r="L1323" i="1" a="1"/>
  <c r="L1323" i="1" s="1"/>
  <c r="L1324" i="1" a="1"/>
  <c r="L1324" i="1" s="1"/>
  <c r="L1326" i="1" a="1"/>
  <c r="L1326" i="1" s="1"/>
  <c r="N1326" i="1" s="1"/>
  <c r="L1327" i="1" a="1"/>
  <c r="L1327" i="1" s="1"/>
  <c r="N1327" i="1" s="1"/>
  <c r="L1329" i="1" a="1"/>
  <c r="L1329" i="1" s="1"/>
  <c r="L1264" i="1" a="1"/>
  <c r="L1264" i="1"/>
  <c r="N1264" i="1" s="1"/>
  <c r="L577" i="1" a="1"/>
  <c r="L577" i="1" s="1"/>
  <c r="N577" i="1" s="1"/>
  <c r="L578" i="1" a="1"/>
  <c r="L578" i="1" s="1"/>
  <c r="N578" i="1" s="1"/>
  <c r="L1266" i="1" a="1"/>
  <c r="L1266" i="1" s="1"/>
  <c r="L1267" i="1" a="1"/>
  <c r="L1267" i="1" s="1"/>
  <c r="N1267" i="1" s="1"/>
  <c r="L1362" i="1" a="1"/>
  <c r="L1362" i="1" s="1"/>
  <c r="N1362" i="1" s="1"/>
  <c r="L1268" i="1" a="1"/>
  <c r="L1268" i="1" s="1"/>
  <c r="N1268" i="1" s="1"/>
  <c r="L1363" i="1" a="1"/>
  <c r="L1363" i="1" s="1"/>
  <c r="N1363" i="1" s="1"/>
  <c r="L1269" i="1" a="1"/>
  <c r="L1269" i="1" s="1"/>
  <c r="L1272" i="1" a="1"/>
  <c r="L1272" i="1" s="1"/>
  <c r="L1273" i="1" a="1"/>
  <c r="L1273" i="1" s="1"/>
  <c r="N1273" i="1" s="1"/>
  <c r="L1274" i="1" a="1"/>
  <c r="L1274" i="1" s="1"/>
  <c r="N1274" i="1" s="1"/>
  <c r="L1275" i="1" a="1"/>
  <c r="L1275" i="1" s="1"/>
  <c r="L1276" i="1" a="1"/>
  <c r="L1276" i="1" s="1"/>
  <c r="N1276" i="1" s="1"/>
  <c r="L1277" i="1" a="1"/>
  <c r="L1277" i="1" s="1"/>
  <c r="N1277" i="1" s="1"/>
  <c r="L579" i="1" a="1"/>
  <c r="L579" i="1" s="1"/>
  <c r="L580" i="1" a="1"/>
  <c r="L580" i="1" s="1"/>
  <c r="N580" i="1" s="1"/>
  <c r="L1109" i="1" a="1"/>
  <c r="L1109" i="1" s="1"/>
  <c r="L581" i="1" a="1"/>
  <c r="L581" i="1" s="1"/>
  <c r="N581" i="1" s="1"/>
  <c r="L582" i="1" a="1"/>
  <c r="L582" i="1" s="1"/>
  <c r="L583" i="1" a="1"/>
  <c r="L583" i="1" s="1"/>
  <c r="L584" i="1" a="1"/>
  <c r="L584" i="1" s="1"/>
  <c r="L585" i="1" a="1"/>
  <c r="L585" i="1" s="1"/>
  <c r="L1111" i="1" a="1"/>
  <c r="L1111" i="1" s="1"/>
  <c r="N1111" i="1" s="1"/>
  <c r="L1112" i="1" a="1"/>
  <c r="L1112" i="1" s="1"/>
  <c r="N1112" i="1" s="1"/>
  <c r="L1113" i="1" a="1"/>
  <c r="L1113" i="1" s="1"/>
  <c r="N1113" i="1" s="1"/>
  <c r="L1114" i="1" a="1"/>
  <c r="L1114" i="1" s="1"/>
  <c r="N1114" i="1" s="1"/>
  <c r="L586" i="1" a="1"/>
  <c r="L586" i="1"/>
  <c r="N586" i="1" s="1"/>
  <c r="L587" i="1" a="1"/>
  <c r="L587" i="1" s="1"/>
  <c r="N587" i="1" s="1"/>
  <c r="L588" i="1" a="1"/>
  <c r="L588" i="1" s="1"/>
  <c r="M1182" i="1"/>
  <c r="M1183" i="1"/>
  <c r="M1184" i="1"/>
  <c r="M1185" i="1"/>
  <c r="M1188" i="1"/>
  <c r="M896" i="1"/>
  <c r="M1189" i="1"/>
  <c r="M897" i="1"/>
  <c r="M900" i="1"/>
  <c r="M224" i="1"/>
  <c r="M225" i="1"/>
  <c r="M229" i="1"/>
  <c r="M230" i="1"/>
  <c r="M901" i="1"/>
  <c r="M233" i="1"/>
  <c r="M234" i="1"/>
  <c r="M237" i="1"/>
  <c r="M239" i="1"/>
  <c r="M241" i="1"/>
  <c r="M243" i="1"/>
  <c r="M244" i="1"/>
  <c r="M245" i="1"/>
  <c r="M249" i="1"/>
  <c r="M251" i="1"/>
  <c r="M254" i="1"/>
  <c r="M255" i="1"/>
  <c r="M256" i="1"/>
  <c r="M257" i="1"/>
  <c r="M258" i="1"/>
  <c r="M263" i="1"/>
  <c r="M907" i="1"/>
  <c r="M908" i="1"/>
  <c r="M268" i="1"/>
  <c r="M269" i="1"/>
  <c r="M271" i="1"/>
  <c r="M272" i="1"/>
  <c r="M273" i="1"/>
  <c r="M274" i="1"/>
  <c r="M275" i="1"/>
  <c r="M277" i="1"/>
  <c r="M279" i="1"/>
  <c r="M281" i="1"/>
  <c r="M282" i="1"/>
  <c r="M283" i="1"/>
  <c r="M287" i="1"/>
  <c r="M288" i="1"/>
  <c r="M289" i="1"/>
  <c r="M296" i="1"/>
  <c r="M298" i="1"/>
  <c r="M300" i="1"/>
  <c r="M302" i="1"/>
  <c r="M303" i="1"/>
  <c r="M1192" i="1"/>
  <c r="M308" i="1"/>
  <c r="M911" i="1"/>
  <c r="M912" i="1"/>
  <c r="M311" i="1"/>
  <c r="M312" i="1"/>
  <c r="M313" i="1"/>
  <c r="M318" i="1"/>
  <c r="M914" i="1"/>
  <c r="M917" i="1"/>
  <c r="M920" i="1"/>
  <c r="M921" i="1"/>
  <c r="M922" i="1"/>
  <c r="M923" i="1"/>
  <c r="M925" i="1"/>
  <c r="M325" i="1"/>
  <c r="M929" i="1"/>
  <c r="M930" i="1"/>
  <c r="M934" i="1"/>
  <c r="M936" i="1"/>
  <c r="M937" i="1"/>
  <c r="M938" i="1"/>
  <c r="M943" i="1"/>
  <c r="M945" i="1"/>
  <c r="M946" i="1"/>
  <c r="M1288" i="1"/>
  <c r="M948" i="1"/>
  <c r="M949" i="1"/>
  <c r="M950" i="1"/>
  <c r="M951" i="1"/>
  <c r="M952" i="1"/>
  <c r="M956" i="1"/>
  <c r="M326" i="1"/>
  <c r="M327" i="1"/>
  <c r="M1193" i="1"/>
  <c r="M1196" i="1"/>
  <c r="M1197" i="1"/>
  <c r="M1198" i="1"/>
  <c r="M1340" i="1"/>
  <c r="M1199" i="1"/>
  <c r="M1201" i="1"/>
  <c r="M1204" i="1"/>
  <c r="M1205" i="1"/>
  <c r="M1207" i="1"/>
  <c r="M1209" i="1"/>
  <c r="M1342" i="1"/>
  <c r="M1212" i="1"/>
  <c r="M330" i="1"/>
  <c r="M335" i="1"/>
  <c r="M336" i="1"/>
  <c r="M340" i="1"/>
  <c r="M344" i="1"/>
  <c r="M346" i="1"/>
  <c r="M352" i="1"/>
  <c r="M354" i="1"/>
  <c r="M356" i="1"/>
  <c r="M358" i="1"/>
  <c r="M359" i="1"/>
  <c r="M958" i="1"/>
  <c r="M962" i="1"/>
  <c r="M963" i="1"/>
  <c r="M965" i="1"/>
  <c r="M966" i="1"/>
  <c r="M968" i="1"/>
  <c r="M970" i="1"/>
  <c r="M972" i="1"/>
  <c r="M973" i="1"/>
  <c r="M974" i="1"/>
  <c r="M976" i="1"/>
  <c r="M978" i="1"/>
  <c r="M981" i="1"/>
  <c r="M982" i="1"/>
  <c r="M986" i="1"/>
  <c r="M1214" i="1"/>
  <c r="M1215" i="1"/>
  <c r="M1216" i="1"/>
  <c r="M1218" i="1"/>
  <c r="M1220" i="1"/>
  <c r="M1223" i="1"/>
  <c r="M1224" i="1"/>
  <c r="M361" i="1"/>
  <c r="M362" i="1"/>
  <c r="M1343" i="1"/>
  <c r="M363" i="1"/>
  <c r="M365" i="1"/>
  <c r="M371" i="1"/>
  <c r="M373" i="1"/>
  <c r="M989" i="1"/>
  <c r="M990" i="1"/>
  <c r="M991" i="1"/>
  <c r="M992" i="1"/>
  <c r="M1225" i="1"/>
  <c r="M995" i="1"/>
  <c r="M996" i="1"/>
  <c r="M998" i="1"/>
  <c r="M1345" i="1"/>
  <c r="M376" i="1"/>
  <c r="M377" i="1"/>
  <c r="M379" i="1"/>
  <c r="M1002" i="1"/>
  <c r="M385" i="1"/>
  <c r="M386" i="1"/>
  <c r="M389" i="1"/>
  <c r="M1005" i="1"/>
  <c r="M391" i="1"/>
  <c r="M1006" i="1"/>
  <c r="M395" i="1"/>
  <c r="M396" i="1"/>
  <c r="M400" i="1"/>
  <c r="M1014" i="1"/>
  <c r="M1019" i="1"/>
  <c r="M406" i="1"/>
  <c r="M1025" i="1"/>
  <c r="M411" i="1"/>
  <c r="M413" i="1"/>
  <c r="M416" i="1"/>
  <c r="M1229" i="1"/>
  <c r="M424" i="1"/>
  <c r="M1233" i="1"/>
  <c r="M1234" i="1"/>
  <c r="M1236" i="1"/>
  <c r="M1239" i="1"/>
  <c r="M431" i="1"/>
  <c r="M1244" i="1"/>
  <c r="M434" i="1"/>
  <c r="M435" i="1"/>
  <c r="M438" i="1"/>
  <c r="M440" i="1"/>
  <c r="M447" i="1"/>
  <c r="M453" i="1"/>
  <c r="M454" i="1"/>
  <c r="M1035" i="1"/>
  <c r="M1036" i="1"/>
  <c r="M459" i="1"/>
  <c r="M462" i="1"/>
  <c r="M465" i="1"/>
  <c r="M466" i="1"/>
  <c r="M469" i="1"/>
  <c r="M1044" i="1"/>
  <c r="M1045" i="1"/>
  <c r="M1347" i="1"/>
  <c r="M1294" i="1"/>
  <c r="M1296" i="1"/>
  <c r="M1299" i="1"/>
  <c r="M1058" i="1"/>
  <c r="M484" i="1"/>
  <c r="M1059" i="1"/>
  <c r="M488" i="1"/>
  <c r="M1063" i="1"/>
  <c r="M500" i="1"/>
  <c r="M503" i="1"/>
  <c r="M1256" i="1"/>
  <c r="M1259" i="1"/>
  <c r="M1070" i="1"/>
  <c r="M510" i="1"/>
  <c r="M511" i="1"/>
  <c r="M512" i="1"/>
  <c r="M515" i="1"/>
  <c r="M518" i="1"/>
  <c r="M526" i="1"/>
  <c r="M534" i="1"/>
  <c r="M539" i="1"/>
  <c r="M545" i="1"/>
  <c r="M1082" i="1"/>
  <c r="M1093" i="1"/>
  <c r="M554" i="1"/>
  <c r="M569" i="1"/>
  <c r="M1261" i="1"/>
  <c r="M573" i="1"/>
  <c r="M576" i="1"/>
  <c r="M1099" i="1"/>
  <c r="M1309" i="1"/>
  <c r="M1103" i="1"/>
  <c r="M1104" i="1"/>
  <c r="M1262" i="1"/>
  <c r="M1313" i="1"/>
  <c r="M577" i="1"/>
  <c r="M578" i="1"/>
  <c r="M1362" i="1"/>
  <c r="M1273" i="1"/>
  <c r="M1274" i="1"/>
  <c r="M1277" i="1"/>
  <c r="M581" i="1"/>
  <c r="M1110" i="1"/>
  <c r="M1113" i="1"/>
  <c r="N1338" i="1"/>
  <c r="N1182" i="1"/>
  <c r="N1186" i="1"/>
  <c r="N1190" i="1"/>
  <c r="N222" i="1"/>
  <c r="N234" i="1"/>
  <c r="N237" i="1"/>
  <c r="N241" i="1"/>
  <c r="N249" i="1"/>
  <c r="N256" i="1"/>
  <c r="N257" i="1"/>
  <c r="N265" i="1"/>
  <c r="N266" i="1"/>
  <c r="N907" i="1"/>
  <c r="N269" i="1"/>
  <c r="N280" i="1"/>
  <c r="N285" i="1"/>
  <c r="N288" i="1"/>
  <c r="N1192" i="1"/>
  <c r="N911" i="1"/>
  <c r="N312" i="1"/>
  <c r="N917" i="1"/>
  <c r="N922" i="1"/>
  <c r="N925" i="1"/>
  <c r="N325" i="1"/>
  <c r="N939" i="1"/>
  <c r="N956" i="1"/>
  <c r="N957" i="1"/>
  <c r="N1196" i="1"/>
  <c r="N1210" i="1"/>
  <c r="N332" i="1"/>
  <c r="N333" i="1"/>
  <c r="N336" i="1"/>
  <c r="N338" i="1"/>
  <c r="N341" i="1"/>
  <c r="N963" i="1"/>
  <c r="N966" i="1"/>
  <c r="N968" i="1"/>
  <c r="N971" i="1"/>
  <c r="N986" i="1"/>
  <c r="N1216" i="1"/>
  <c r="N1224" i="1"/>
  <c r="N361" i="1"/>
  <c r="N362" i="1"/>
  <c r="N364" i="1"/>
  <c r="N368" i="1"/>
  <c r="N992" i="1"/>
  <c r="N1289" i="1"/>
  <c r="N1290" i="1"/>
  <c r="N998" i="1"/>
  <c r="N381" i="1"/>
  <c r="N1005" i="1"/>
  <c r="N1009" i="1"/>
  <c r="N400" i="1"/>
  <c r="N1018" i="1"/>
  <c r="N409" i="1"/>
  <c r="N411" i="1"/>
  <c r="N1229" i="1"/>
  <c r="N424" i="1"/>
  <c r="N427" i="1"/>
  <c r="N1233" i="1"/>
  <c r="N1236" i="1"/>
  <c r="N430" i="1"/>
  <c r="N1242" i="1"/>
  <c r="N1244" i="1"/>
  <c r="N434" i="1"/>
  <c r="N1030" i="1"/>
  <c r="N437" i="1"/>
  <c r="N438" i="1"/>
  <c r="N440" i="1"/>
  <c r="N441" i="1"/>
  <c r="N449" i="1"/>
  <c r="N1247" i="1"/>
  <c r="N1031" i="1"/>
  <c r="N1032" i="1"/>
  <c r="N453" i="1"/>
  <c r="N1251" i="1"/>
  <c r="N1035" i="1"/>
  <c r="N458" i="1"/>
  <c r="N1037" i="1"/>
  <c r="N1038" i="1"/>
  <c r="N459" i="1"/>
  <c r="N465" i="1"/>
  <c r="N466" i="1"/>
  <c r="N468" i="1"/>
  <c r="N1042" i="1"/>
  <c r="N1050" i="1"/>
  <c r="N1294" i="1"/>
  <c r="N1296" i="1"/>
  <c r="N1298" i="1"/>
  <c r="N1301" i="1"/>
  <c r="N1303" i="1"/>
  <c r="N482" i="1"/>
  <c r="N484" i="1"/>
  <c r="N488" i="1"/>
  <c r="N490" i="1"/>
  <c r="N498" i="1"/>
  <c r="N1254" i="1"/>
  <c r="N1070" i="1"/>
  <c r="N510" i="1"/>
  <c r="N1074" i="1"/>
  <c r="N514" i="1"/>
  <c r="N1076" i="1"/>
  <c r="N522" i="1"/>
  <c r="N524" i="1"/>
  <c r="N531" i="1"/>
  <c r="N536" i="1"/>
  <c r="N544" i="1"/>
  <c r="N1082" i="1"/>
  <c r="N1084" i="1"/>
  <c r="N1090" i="1"/>
  <c r="N1093" i="1"/>
  <c r="N551" i="1"/>
  <c r="N556" i="1"/>
  <c r="N557" i="1"/>
  <c r="N562" i="1"/>
  <c r="N569" i="1"/>
  <c r="N1095" i="1"/>
  <c r="N1099" i="1"/>
  <c r="N1309" i="1"/>
  <c r="N1101" i="1"/>
  <c r="N1102" i="1"/>
  <c r="N1107" i="1"/>
  <c r="N1314" i="1"/>
  <c r="N1315" i="1"/>
  <c r="N1320" i="1"/>
  <c r="N1263" i="1"/>
  <c r="N1322" i="1"/>
  <c r="N1323" i="1"/>
  <c r="N1329" i="1"/>
  <c r="N1266" i="1"/>
  <c r="N1269" i="1"/>
  <c r="N1272" i="1"/>
  <c r="N1275" i="1"/>
  <c r="N1109" i="1"/>
  <c r="N582" i="1"/>
  <c r="N583" i="1"/>
  <c r="N584" i="1"/>
  <c r="N588" i="1"/>
  <c r="S3" i="2" a="1"/>
  <c r="S3" i="2" s="1"/>
  <c r="S4" i="2" a="1"/>
  <c r="S4" i="2" s="1"/>
  <c r="S5" i="2" a="1"/>
  <c r="S5" i="2" s="1"/>
  <c r="S6" i="2" a="1"/>
  <c r="S6" i="2" s="1"/>
  <c r="S7" i="2" a="1"/>
  <c r="S7" i="2" s="1"/>
  <c r="S8" i="2" a="1"/>
  <c r="S8" i="2" s="1"/>
  <c r="S9" i="2" a="1"/>
  <c r="S9" i="2" s="1"/>
  <c r="S10" i="2" a="1"/>
  <c r="S10" i="2" s="1"/>
  <c r="S11" i="2" a="1"/>
  <c r="S11" i="2" s="1"/>
  <c r="S12" i="2" a="1"/>
  <c r="S12" i="2" s="1"/>
  <c r="S13" i="2" a="1"/>
  <c r="S13" i="2" s="1"/>
  <c r="S14" i="2" a="1"/>
  <c r="S14" i="2"/>
  <c r="S15" i="2" a="1"/>
  <c r="S15" i="2" s="1"/>
  <c r="S16" i="2" a="1"/>
  <c r="S16" i="2" s="1"/>
  <c r="S17" i="2" a="1"/>
  <c r="S17" i="2" s="1"/>
  <c r="S18" i="2" a="1"/>
  <c r="S18" i="2" s="1"/>
  <c r="S19" i="2" a="1"/>
  <c r="S19" i="2" s="1"/>
  <c r="S20" i="2" a="1"/>
  <c r="S20" i="2" s="1"/>
  <c r="S21" i="2" a="1"/>
  <c r="S21" i="2" s="1"/>
  <c r="S22" i="2" a="1"/>
  <c r="S22" i="2"/>
  <c r="S23" i="2" a="1"/>
  <c r="S23" i="2" s="1"/>
  <c r="S24" i="2" a="1"/>
  <c r="S24" i="2" s="1"/>
  <c r="S25" i="2" a="1"/>
  <c r="S25" i="2" s="1"/>
  <c r="S26" i="2" a="1"/>
  <c r="S26" i="2" s="1"/>
  <c r="S27" i="2" a="1"/>
  <c r="S27" i="2" s="1"/>
  <c r="S28" i="2" a="1"/>
  <c r="S28" i="2" s="1"/>
  <c r="S29" i="2" a="1"/>
  <c r="S29" i="2" s="1"/>
  <c r="S30" i="2" a="1"/>
  <c r="S30" i="2" s="1"/>
  <c r="S31" i="2" a="1"/>
  <c r="S31" i="2" s="1"/>
  <c r="S2" i="2" a="1"/>
  <c r="S2" i="2" s="1"/>
  <c r="C7" i="9" a="1"/>
  <c r="C7" i="9" s="1"/>
  <c r="B3" i="9" a="1"/>
  <c r="I467" i="1" l="1" a="1"/>
  <c r="I467" i="1" s="1"/>
  <c r="L467" i="1" a="1"/>
  <c r="L467" i="1" s="1"/>
  <c r="N467" i="1" s="1"/>
  <c r="I916" i="1" a="1"/>
  <c r="I916" i="1" s="1"/>
  <c r="H474" i="1" a="1"/>
  <c r="H474" i="1" s="1"/>
  <c r="I474" i="1" s="1" a="1"/>
  <c r="I474" i="1" s="1"/>
  <c r="J474" i="1"/>
  <c r="L1092" i="1" a="1"/>
  <c r="L1092" i="1" s="1"/>
  <c r="N1092" i="1" s="1"/>
  <c r="I1092" i="1" a="1"/>
  <c r="I1092" i="1" s="1"/>
  <c r="I1085" i="1" a="1"/>
  <c r="I1085" i="1" s="1"/>
  <c r="L1085" i="1" a="1"/>
  <c r="L1085" i="1" s="1"/>
  <c r="N1085" i="1"/>
  <c r="I542" i="1" a="1"/>
  <c r="I542" i="1" s="1"/>
  <c r="L542" i="1" a="1"/>
  <c r="L542" i="1" s="1"/>
  <c r="N542" i="1" s="1"/>
  <c r="K523" i="1" a="1"/>
  <c r="K523" i="1" s="1"/>
  <c r="M523" i="1" s="1"/>
  <c r="H1325" i="1" a="1"/>
  <c r="H1325" i="1" s="1"/>
  <c r="J1325" i="1"/>
  <c r="H1021" i="1" a="1"/>
  <c r="H1021" i="1" s="1"/>
  <c r="I1021" i="1" s="1" a="1"/>
  <c r="I1021" i="1" s="1"/>
  <c r="J1021" i="1"/>
  <c r="K916" i="1" a="1"/>
  <c r="K916" i="1" s="1"/>
  <c r="M916" i="1" s="1"/>
  <c r="I553" i="1" a="1"/>
  <c r="I553" i="1" s="1"/>
  <c r="L553" i="1" a="1"/>
  <c r="L553" i="1" s="1"/>
  <c r="N553" i="1" s="1"/>
  <c r="M553" i="1"/>
  <c r="H547" i="1" a="1"/>
  <c r="H547" i="1" s="1"/>
  <c r="I547" i="1" s="1" a="1"/>
  <c r="I547" i="1" s="1"/>
  <c r="J547" i="1"/>
  <c r="H455" i="1" a="1"/>
  <c r="H455" i="1" s="1"/>
  <c r="I455" i="1" s="1" a="1"/>
  <c r="I455" i="1" s="1"/>
  <c r="J455" i="1"/>
  <c r="L1219" i="1" a="1"/>
  <c r="L1219" i="1" s="1"/>
  <c r="N1219" i="1" s="1"/>
  <c r="K1049" i="1" a="1"/>
  <c r="K1049" i="1" s="1"/>
  <c r="M1049" i="1" s="1"/>
  <c r="I1270" i="1" a="1"/>
  <c r="I1270" i="1" s="1"/>
  <c r="L1270" i="1" a="1"/>
  <c r="L1270" i="1" s="1"/>
  <c r="N1270" i="1" s="1"/>
  <c r="L916" i="1" a="1"/>
  <c r="L916" i="1" s="1"/>
  <c r="N916" i="1" s="1"/>
  <c r="K1092" i="1" a="1"/>
  <c r="K1092" i="1" s="1"/>
  <c r="M1092" i="1" s="1"/>
  <c r="K1034" i="1" a="1"/>
  <c r="K1034" i="1" s="1"/>
  <c r="M1034" i="1" s="1"/>
  <c r="L1034" i="1" a="1"/>
  <c r="L1034" i="1" s="1"/>
  <c r="N1034" i="1" s="1"/>
  <c r="L451" i="1" a="1"/>
  <c r="L451" i="1" s="1"/>
  <c r="N451" i="1" s="1"/>
  <c r="K451" i="1" a="1"/>
  <c r="K451" i="1" s="1"/>
  <c r="M451" i="1" s="1"/>
  <c r="L446" i="1" a="1"/>
  <c r="L446" i="1" s="1"/>
  <c r="N446" i="1" s="1"/>
  <c r="K446" i="1" a="1"/>
  <c r="K446" i="1" s="1"/>
  <c r="M446" i="1"/>
  <c r="L439" i="1" a="1"/>
  <c r="L439" i="1" s="1"/>
  <c r="N439" i="1" s="1"/>
  <c r="K439" i="1" a="1"/>
  <c r="K439" i="1" s="1"/>
  <c r="M439" i="1" s="1"/>
  <c r="L1027" i="1" a="1"/>
  <c r="L1027" i="1" s="1"/>
  <c r="N1027" i="1" s="1"/>
  <c r="K1027" i="1" a="1"/>
  <c r="K1027" i="1" s="1"/>
  <c r="M1027" i="1" s="1"/>
  <c r="K1240" i="1" a="1"/>
  <c r="K1240" i="1" s="1"/>
  <c r="M1240" i="1" s="1"/>
  <c r="L1240" i="1" a="1"/>
  <c r="L1240" i="1" s="1"/>
  <c r="N1240" i="1" s="1"/>
  <c r="L428" i="1" a="1"/>
  <c r="L428" i="1" s="1"/>
  <c r="K428" i="1" a="1"/>
  <c r="K428" i="1" s="1"/>
  <c r="M428" i="1" s="1"/>
  <c r="N428" i="1"/>
  <c r="L425" i="1" a="1"/>
  <c r="L425" i="1" s="1"/>
  <c r="N425" i="1" s="1"/>
  <c r="M425" i="1"/>
  <c r="L418" i="1" a="1"/>
  <c r="L418" i="1" s="1"/>
  <c r="N418" i="1" s="1"/>
  <c r="K418" i="1" a="1"/>
  <c r="K418" i="1" s="1"/>
  <c r="M418" i="1" s="1"/>
  <c r="K410" i="1" a="1"/>
  <c r="K410" i="1" s="1"/>
  <c r="L410" i="1" a="1"/>
  <c r="L410" i="1" s="1"/>
  <c r="N410" i="1" s="1"/>
  <c r="M410" i="1"/>
  <c r="K1023" i="1" a="1"/>
  <c r="K1023" i="1" s="1"/>
  <c r="M1023" i="1" s="1"/>
  <c r="L1023" i="1" a="1"/>
  <c r="L1023" i="1" s="1"/>
  <c r="N1023" i="1"/>
  <c r="K390" i="1" a="1"/>
  <c r="K390" i="1" s="1"/>
  <c r="M390" i="1" s="1"/>
  <c r="L390" i="1" a="1"/>
  <c r="L390" i="1" s="1"/>
  <c r="N390" i="1" s="1"/>
  <c r="K1003" i="1" a="1"/>
  <c r="K1003" i="1" s="1"/>
  <c r="M1003" i="1" s="1"/>
  <c r="L1003" i="1" a="1"/>
  <c r="L1003" i="1" s="1"/>
  <c r="N1003" i="1" s="1"/>
  <c r="M999" i="1"/>
  <c r="K999" i="1" a="1"/>
  <c r="K999" i="1" s="1"/>
  <c r="L999" i="1" a="1"/>
  <c r="L999" i="1" s="1"/>
  <c r="N999" i="1" s="1"/>
  <c r="L997" i="1" a="1"/>
  <c r="L997" i="1" s="1"/>
  <c r="N997" i="1" s="1"/>
  <c r="K997" i="1" a="1"/>
  <c r="K997" i="1" s="1"/>
  <c r="M997" i="1"/>
  <c r="L1226" i="1" a="1"/>
  <c r="L1226" i="1" s="1"/>
  <c r="N1226" i="1" s="1"/>
  <c r="K1226" i="1" a="1"/>
  <c r="K1226" i="1" s="1"/>
  <c r="M1226" i="1"/>
  <c r="K374" i="1" a="1"/>
  <c r="K374" i="1" s="1"/>
  <c r="M374" i="1" s="1"/>
  <c r="L374" i="1" a="1"/>
  <c r="L374" i="1" s="1"/>
  <c r="N374" i="1" s="1"/>
  <c r="K366" i="1" a="1"/>
  <c r="K366" i="1" s="1"/>
  <c r="M366" i="1" s="1"/>
  <c r="L366" i="1" a="1"/>
  <c r="L366" i="1" s="1"/>
  <c r="N366" i="1" s="1"/>
  <c r="K360" i="1" a="1"/>
  <c r="K360" i="1" s="1"/>
  <c r="M360" i="1" s="1"/>
  <c r="L360" i="1" a="1"/>
  <c r="L360" i="1" s="1"/>
  <c r="N360" i="1" s="1"/>
  <c r="K985" i="1" a="1"/>
  <c r="K985" i="1" s="1"/>
  <c r="L961" i="1" a="1"/>
  <c r="L961" i="1" s="1"/>
  <c r="N961" i="1" s="1"/>
  <c r="K961" i="1" a="1"/>
  <c r="K961" i="1" s="1"/>
  <c r="M961" i="1" s="1"/>
  <c r="K355" i="1" a="1"/>
  <c r="K355" i="1" s="1"/>
  <c r="M355" i="1" s="1"/>
  <c r="L355" i="1" a="1"/>
  <c r="L355" i="1" s="1"/>
  <c r="N355" i="1" s="1"/>
  <c r="K347" i="1" a="1"/>
  <c r="K347" i="1" s="1"/>
  <c r="M347" i="1"/>
  <c r="L347" i="1" a="1"/>
  <c r="L347" i="1" s="1"/>
  <c r="N347" i="1" s="1"/>
  <c r="K339" i="1" a="1"/>
  <c r="K339" i="1" s="1"/>
  <c r="M339" i="1" s="1"/>
  <c r="L339" i="1" a="1"/>
  <c r="L339" i="1" s="1"/>
  <c r="N339" i="1" s="1"/>
  <c r="K331" i="1" a="1"/>
  <c r="K331" i="1" s="1"/>
  <c r="M331" i="1" s="1"/>
  <c r="L331" i="1" a="1"/>
  <c r="L331" i="1" s="1"/>
  <c r="N331" i="1" s="1"/>
  <c r="L1208" i="1" a="1"/>
  <c r="L1208" i="1" s="1"/>
  <c r="N1208" i="1" s="1"/>
  <c r="K1208" i="1" a="1"/>
  <c r="K1208" i="1" s="1"/>
  <c r="M1208" i="1"/>
  <c r="K1200" i="1" a="1"/>
  <c r="K1200" i="1" s="1"/>
  <c r="M1200" i="1" s="1"/>
  <c r="L1194" i="1" a="1"/>
  <c r="L1194" i="1" s="1"/>
  <c r="N1194" i="1" s="1"/>
  <c r="K1194" i="1" a="1"/>
  <c r="K1194" i="1" s="1"/>
  <c r="M1194" i="1"/>
  <c r="L955" i="1" a="1"/>
  <c r="L955" i="1" s="1"/>
  <c r="N955" i="1" s="1"/>
  <c r="K955" i="1" a="1"/>
  <c r="K955" i="1" s="1"/>
  <c r="M955" i="1" s="1"/>
  <c r="K947" i="1" a="1"/>
  <c r="K947" i="1" s="1"/>
  <c r="M947" i="1" s="1"/>
  <c r="L947" i="1" a="1"/>
  <c r="L947" i="1" s="1"/>
  <c r="N947" i="1" s="1"/>
  <c r="K941" i="1" a="1"/>
  <c r="K941" i="1" s="1"/>
  <c r="L941" i="1" a="1"/>
  <c r="L941" i="1" s="1"/>
  <c r="N941" i="1" s="1"/>
  <c r="M941" i="1"/>
  <c r="K933" i="1" a="1"/>
  <c r="K933" i="1" s="1"/>
  <c r="M933" i="1" s="1"/>
  <c r="L933" i="1" a="1"/>
  <c r="L933" i="1" s="1"/>
  <c r="N933" i="1" s="1"/>
  <c r="I1328" i="1" a="1"/>
  <c r="I1328" i="1" s="1"/>
  <c r="K460" i="1" a="1"/>
  <c r="K460" i="1" s="1"/>
  <c r="M460" i="1" s="1"/>
  <c r="I460" i="1" a="1"/>
  <c r="I460" i="1" s="1"/>
  <c r="L460" i="1" a="1"/>
  <c r="L460" i="1" s="1"/>
  <c r="N460" i="1" s="1"/>
  <c r="I443" i="1" a="1"/>
  <c r="I443" i="1" s="1"/>
  <c r="L443" i="1" a="1"/>
  <c r="L443" i="1" s="1"/>
  <c r="N443" i="1" s="1"/>
  <c r="I985" i="1" a="1"/>
  <c r="I985" i="1" s="1"/>
  <c r="M985" i="1"/>
  <c r="I926" i="1" a="1"/>
  <c r="I926" i="1" s="1"/>
  <c r="K926" i="1" a="1"/>
  <c r="K926" i="1" s="1"/>
  <c r="M926" i="1" s="1"/>
  <c r="I315" i="1" a="1"/>
  <c r="I315" i="1" s="1"/>
  <c r="M315" i="1"/>
  <c r="K315" i="1" a="1"/>
  <c r="K315" i="1" s="1"/>
  <c r="L315" i="1" a="1"/>
  <c r="L315" i="1" s="1"/>
  <c r="N315" i="1" s="1"/>
  <c r="I1191" i="1" a="1"/>
  <c r="I1191" i="1" s="1"/>
  <c r="M1191" i="1"/>
  <c r="M1090" i="1"/>
  <c r="K1090" i="1" a="1"/>
  <c r="K1090" i="1" s="1"/>
  <c r="N537" i="1"/>
  <c r="L537" i="1" a="1"/>
  <c r="L537" i="1" s="1"/>
  <c r="K529" i="1" a="1"/>
  <c r="K529" i="1" s="1"/>
  <c r="M529" i="1"/>
  <c r="L529" i="1" a="1"/>
  <c r="L529" i="1" s="1"/>
  <c r="N529" i="1" s="1"/>
  <c r="K1077" i="1" a="1"/>
  <c r="K1077" i="1" s="1"/>
  <c r="M1077" i="1" s="1"/>
  <c r="L1077" i="1" a="1"/>
  <c r="L1077" i="1" s="1"/>
  <c r="N1077" i="1" s="1"/>
  <c r="J1073" i="1"/>
  <c r="K507" i="1" a="1"/>
  <c r="K507" i="1" s="1"/>
  <c r="M507" i="1" s="1"/>
  <c r="L507" i="1" a="1"/>
  <c r="L507" i="1" s="1"/>
  <c r="K504" i="1" a="1"/>
  <c r="K504" i="1" s="1"/>
  <c r="M504" i="1" s="1"/>
  <c r="L504" i="1" a="1"/>
  <c r="L504" i="1" s="1"/>
  <c r="N504" i="1" s="1"/>
  <c r="K501" i="1" a="1"/>
  <c r="K501" i="1" s="1"/>
  <c r="M501" i="1" s="1"/>
  <c r="L501" i="1" a="1"/>
  <c r="L501" i="1" s="1"/>
  <c r="N501" i="1" s="1"/>
  <c r="L496" i="1" a="1"/>
  <c r="L496" i="1" s="1"/>
  <c r="N496" i="1" s="1"/>
  <c r="K496" i="1" a="1"/>
  <c r="K496" i="1" s="1"/>
  <c r="M496" i="1" s="1"/>
  <c r="L489" i="1" a="1"/>
  <c r="L489" i="1" s="1"/>
  <c r="N489" i="1" s="1"/>
  <c r="K489" i="1" a="1"/>
  <c r="K489" i="1" s="1"/>
  <c r="M489" i="1" s="1"/>
  <c r="K483" i="1" a="1"/>
  <c r="K483" i="1" s="1"/>
  <c r="M483" i="1" s="1"/>
  <c r="L483" i="1" a="1"/>
  <c r="L483" i="1" s="1"/>
  <c r="N483" i="1" s="1"/>
  <c r="K478" i="1" a="1"/>
  <c r="K478" i="1" s="1"/>
  <c r="M478" i="1" s="1"/>
  <c r="L478" i="1" a="1"/>
  <c r="L478" i="1" s="1"/>
  <c r="N478" i="1" s="1"/>
  <c r="M1352" i="1"/>
  <c r="L1293" i="1" a="1"/>
  <c r="L1293" i="1" s="1"/>
  <c r="N1293" i="1" s="1"/>
  <c r="K1293" i="1" a="1"/>
  <c r="K1293" i="1" s="1"/>
  <c r="M1293" i="1" s="1"/>
  <c r="K1037" i="1" a="1"/>
  <c r="K1037" i="1" s="1"/>
  <c r="M1037" i="1" s="1"/>
  <c r="H928" i="1" a="1"/>
  <c r="H928" i="1" s="1"/>
  <c r="I928" i="1" s="1" a="1"/>
  <c r="I928" i="1" s="1"/>
  <c r="J928" i="1"/>
  <c r="K1009" i="1" a="1"/>
  <c r="K1009" i="1" s="1"/>
  <c r="M1009" i="1" s="1"/>
  <c r="K341" i="1" a="1"/>
  <c r="K341" i="1" s="1"/>
  <c r="M341" i="1" s="1"/>
  <c r="L1253" i="1" a="1"/>
  <c r="L1253" i="1" s="1"/>
  <c r="N1253" i="1" s="1"/>
  <c r="K1253" i="1" a="1"/>
  <c r="K1253" i="1" s="1"/>
  <c r="M1253" i="1" s="1"/>
  <c r="I533" i="1" a="1"/>
  <c r="I533" i="1" s="1"/>
  <c r="L533" i="1" a="1"/>
  <c r="L533" i="1" s="1"/>
  <c r="N533" i="1" s="1"/>
  <c r="K533" i="1" a="1"/>
  <c r="K533" i="1" s="1"/>
  <c r="M533" i="1" s="1"/>
  <c r="H290" i="1" a="1"/>
  <c r="H290" i="1" s="1"/>
  <c r="J290" i="1"/>
  <c r="K1290" i="1" a="1"/>
  <c r="K1290" i="1" s="1"/>
  <c r="M1290" i="1" s="1"/>
  <c r="K521" i="1" a="1"/>
  <c r="K521" i="1" s="1"/>
  <c r="M521" i="1" s="1"/>
  <c r="L521" i="1" a="1"/>
  <c r="L521" i="1" s="1"/>
  <c r="N521" i="1" s="1"/>
  <c r="K250" i="1" a="1"/>
  <c r="K250" i="1" s="1"/>
  <c r="M250" i="1" s="1"/>
  <c r="L250" i="1" a="1"/>
  <c r="L250" i="1" s="1"/>
  <c r="N250" i="1" s="1"/>
  <c r="L242" i="1" a="1"/>
  <c r="L242" i="1" s="1"/>
  <c r="N242" i="1" s="1"/>
  <c r="K242" i="1" a="1"/>
  <c r="K242" i="1" s="1"/>
  <c r="M242" i="1" s="1"/>
  <c r="K1187" i="1" a="1"/>
  <c r="K1187" i="1" s="1"/>
  <c r="M1187" i="1" s="1"/>
  <c r="L1187" i="1" a="1"/>
  <c r="L1187" i="1" s="1"/>
  <c r="N1187" i="1" s="1"/>
  <c r="L1096" i="1" a="1"/>
  <c r="L1096" i="1" s="1"/>
  <c r="N1096" i="1" s="1"/>
  <c r="K1096" i="1" a="1"/>
  <c r="K1096" i="1" s="1"/>
  <c r="M1096" i="1" s="1"/>
  <c r="L924" i="1" a="1"/>
  <c r="L924" i="1" s="1"/>
  <c r="N924" i="1" s="1"/>
  <c r="K924" i="1" a="1"/>
  <c r="K924" i="1" s="1"/>
  <c r="M924" i="1" s="1"/>
  <c r="K317" i="1" a="1"/>
  <c r="K317" i="1" s="1"/>
  <c r="M317" i="1" s="1"/>
  <c r="L317" i="1" a="1"/>
  <c r="L317" i="1" s="1"/>
  <c r="N317" i="1" s="1"/>
  <c r="L305" i="1" a="1"/>
  <c r="L305" i="1" s="1"/>
  <c r="N305" i="1" s="1"/>
  <c r="K305" i="1" a="1"/>
  <c r="K305" i="1" s="1"/>
  <c r="M305" i="1" s="1"/>
  <c r="L475" i="1" a="1"/>
  <c r="L475" i="1" s="1"/>
  <c r="N475" i="1" s="1"/>
  <c r="K475" i="1" a="1"/>
  <c r="K475" i="1" s="1"/>
  <c r="M475" i="1" s="1"/>
  <c r="I1026" i="1" a="1"/>
  <c r="I1026" i="1" s="1"/>
  <c r="K1026" i="1" a="1"/>
  <c r="K1026" i="1" s="1"/>
  <c r="M1026" i="1" s="1"/>
  <c r="N1191" i="1"/>
  <c r="L391" i="1" a="1"/>
  <c r="L391" i="1" s="1"/>
  <c r="N391" i="1" s="1"/>
  <c r="L297" i="1" a="1"/>
  <c r="L297" i="1" s="1"/>
  <c r="L278" i="1" a="1"/>
  <c r="L278" i="1" s="1"/>
  <c r="N278" i="1" s="1"/>
  <c r="K333" i="1" a="1"/>
  <c r="K333" i="1" s="1"/>
  <c r="M333" i="1" s="1"/>
  <c r="K994" i="1" a="1"/>
  <c r="K994" i="1" s="1"/>
  <c r="M994" i="1" s="1"/>
  <c r="L994" i="1" a="1"/>
  <c r="L994" i="1" s="1"/>
  <c r="N994" i="1" s="1"/>
  <c r="L375" i="1" a="1"/>
  <c r="L375" i="1" s="1"/>
  <c r="N375" i="1" s="1"/>
  <c r="K375" i="1" a="1"/>
  <c r="K375" i="1" s="1"/>
  <c r="M375" i="1" s="1"/>
  <c r="K370" i="1" a="1"/>
  <c r="K370" i="1" s="1"/>
  <c r="M370" i="1" s="1"/>
  <c r="L370" i="1" a="1"/>
  <c r="L370" i="1" s="1"/>
  <c r="N370" i="1" s="1"/>
  <c r="K264" i="1" a="1"/>
  <c r="K264" i="1" s="1"/>
  <c r="M264" i="1" s="1"/>
  <c r="L264" i="1" a="1"/>
  <c r="L264" i="1" s="1"/>
  <c r="N264" i="1" s="1"/>
  <c r="K248" i="1" a="1"/>
  <c r="K248" i="1" s="1"/>
  <c r="M248" i="1" s="1"/>
  <c r="L248" i="1" a="1"/>
  <c r="L248" i="1" s="1"/>
  <c r="N248" i="1" s="1"/>
  <c r="K240" i="1" a="1"/>
  <c r="K240" i="1" s="1"/>
  <c r="M240" i="1" s="1"/>
  <c r="L240" i="1" a="1"/>
  <c r="L240" i="1" s="1"/>
  <c r="N240" i="1" s="1"/>
  <c r="K1221" i="1" a="1"/>
  <c r="K1221" i="1" s="1"/>
  <c r="M1221" i="1" s="1"/>
  <c r="L1295" i="1" a="1"/>
  <c r="L1295" i="1" s="1"/>
  <c r="N1295" i="1" s="1"/>
  <c r="K1295" i="1" a="1"/>
  <c r="K1295" i="1" s="1"/>
  <c r="M1295" i="1" s="1"/>
  <c r="K295" i="1" a="1"/>
  <c r="K295" i="1" s="1"/>
  <c r="M295" i="1" s="1"/>
  <c r="L295" i="1" a="1"/>
  <c r="L295" i="1" s="1"/>
  <c r="N295" i="1" s="1"/>
  <c r="M584" i="1"/>
  <c r="L403" i="1" a="1"/>
  <c r="L403" i="1" s="1"/>
  <c r="N403" i="1" s="1"/>
  <c r="K403" i="1" a="1"/>
  <c r="K403" i="1" s="1"/>
  <c r="M403" i="1" s="1"/>
  <c r="L1213" i="1" a="1"/>
  <c r="L1213" i="1" s="1"/>
  <c r="N1213" i="1" s="1"/>
  <c r="K1213" i="1" a="1"/>
  <c r="K1213" i="1" s="1"/>
  <c r="M1213" i="1" s="1"/>
  <c r="L357" i="1" a="1"/>
  <c r="L357" i="1" s="1"/>
  <c r="N357" i="1" s="1"/>
  <c r="K357" i="1" a="1"/>
  <c r="K357" i="1" s="1"/>
  <c r="M357" i="1" s="1"/>
  <c r="K349" i="1" a="1"/>
  <c r="K349" i="1" s="1"/>
  <c r="M349" i="1" s="1"/>
  <c r="L349" i="1" a="1"/>
  <c r="L349" i="1" s="1"/>
  <c r="N349" i="1" s="1"/>
  <c r="K286" i="1" a="1"/>
  <c r="K286" i="1" s="1"/>
  <c r="M286" i="1" s="1"/>
  <c r="L286" i="1" a="1"/>
  <c r="L286" i="1" s="1"/>
  <c r="N286" i="1" s="1"/>
  <c r="L262" i="1" a="1"/>
  <c r="L262" i="1" s="1"/>
  <c r="N262" i="1" s="1"/>
  <c r="K262" i="1" a="1"/>
  <c r="K262" i="1" s="1"/>
  <c r="M262" i="1" s="1"/>
  <c r="L231" i="1" a="1"/>
  <c r="L231" i="1" s="1"/>
  <c r="N231" i="1" s="1"/>
  <c r="K231" i="1" a="1"/>
  <c r="K231" i="1" s="1"/>
  <c r="M231" i="1" s="1"/>
  <c r="L223" i="1" a="1"/>
  <c r="L223" i="1" s="1"/>
  <c r="N223" i="1" s="1"/>
  <c r="K223" i="1" a="1"/>
  <c r="K223" i="1" s="1"/>
  <c r="M223" i="1" s="1"/>
  <c r="L912" i="1" a="1"/>
  <c r="L912" i="1" s="1"/>
  <c r="N912" i="1" s="1"/>
  <c r="K553" i="1" a="1"/>
  <c r="K553" i="1" s="1"/>
  <c r="K452" i="1" a="1"/>
  <c r="K452" i="1" s="1"/>
  <c r="M452" i="1" s="1"/>
  <c r="L452" i="1" a="1"/>
  <c r="L452" i="1" s="1"/>
  <c r="N452" i="1" s="1"/>
  <c r="L1230" i="1" a="1"/>
  <c r="L1230" i="1" s="1"/>
  <c r="N1230" i="1" s="1"/>
  <c r="K1230" i="1" a="1"/>
  <c r="K1230" i="1" s="1"/>
  <c r="M1230" i="1" s="1"/>
  <c r="K301" i="1" a="1"/>
  <c r="K301" i="1" s="1"/>
  <c r="M301" i="1" s="1"/>
  <c r="L301" i="1" a="1"/>
  <c r="L301" i="1" s="1"/>
  <c r="N301" i="1" s="1"/>
  <c r="I1245" i="1" a="1"/>
  <c r="I1245" i="1" s="1"/>
  <c r="K1245" i="1" a="1"/>
  <c r="K1245" i="1" s="1"/>
  <c r="M1245" i="1" s="1"/>
  <c r="K1328" i="1" a="1"/>
  <c r="K1328" i="1" s="1"/>
  <c r="M1328" i="1" s="1"/>
  <c r="K1321" i="1" a="1"/>
  <c r="K1321" i="1" s="1"/>
  <c r="M1321" i="1" s="1"/>
  <c r="K1062" i="1" a="1"/>
  <c r="K1062" i="1" s="1"/>
  <c r="M1062" i="1" s="1"/>
  <c r="L1355" i="1" a="1"/>
  <c r="L1355" i="1" s="1"/>
  <c r="N1355" i="1" s="1"/>
  <c r="L1026" i="1" a="1"/>
  <c r="L1026" i="1" s="1"/>
  <c r="N1026" i="1" s="1"/>
  <c r="H558" i="1" a="1"/>
  <c r="H558" i="1" s="1"/>
  <c r="J558" i="1"/>
  <c r="K1307" i="1" a="1"/>
  <c r="K1307" i="1" s="1"/>
  <c r="M1307" i="1" s="1"/>
  <c r="K1057" i="1" a="1"/>
  <c r="K1057" i="1" s="1"/>
  <c r="M1057" i="1" s="1"/>
  <c r="H1040" i="1" a="1"/>
  <c r="H1040" i="1" s="1"/>
  <c r="J1040" i="1"/>
  <c r="J1008" i="1"/>
  <c r="H1008" i="1" a="1"/>
  <c r="H1008" i="1" s="1"/>
  <c r="M1095" i="1"/>
  <c r="K1109" i="1" a="1"/>
  <c r="K1109" i="1" s="1"/>
  <c r="M1109" i="1" s="1"/>
  <c r="K1267" i="1" a="1"/>
  <c r="K1267" i="1" s="1"/>
  <c r="M1267" i="1" s="1"/>
  <c r="K1327" i="1" a="1"/>
  <c r="K1327" i="1" s="1"/>
  <c r="M1327" i="1" s="1"/>
  <c r="K1320" i="1" a="1"/>
  <c r="K1320" i="1" s="1"/>
  <c r="M1320" i="1" s="1"/>
  <c r="K1085" i="1" a="1"/>
  <c r="K1085" i="1" s="1"/>
  <c r="K542" i="1" a="1"/>
  <c r="K542" i="1" s="1"/>
  <c r="M542" i="1" s="1"/>
  <c r="K1243" i="1" a="1"/>
  <c r="K1243" i="1" s="1"/>
  <c r="M1243" i="1" s="1"/>
  <c r="K423" i="1" a="1"/>
  <c r="K423" i="1" s="1"/>
  <c r="M423" i="1" s="1"/>
  <c r="K1266" i="1" a="1"/>
  <c r="K1266" i="1" s="1"/>
  <c r="M1266" i="1" s="1"/>
  <c r="K502" i="1" a="1"/>
  <c r="K502" i="1" s="1"/>
  <c r="M502" i="1" s="1"/>
  <c r="K480" i="1" a="1"/>
  <c r="K480" i="1" s="1"/>
  <c r="M480" i="1" s="1"/>
  <c r="K443" i="1" a="1"/>
  <c r="K443" i="1" s="1"/>
  <c r="M443" i="1" s="1"/>
  <c r="K1029" i="1" a="1"/>
  <c r="K1029" i="1" s="1"/>
  <c r="M1029" i="1" s="1"/>
  <c r="K393" i="1" a="1"/>
  <c r="K393" i="1" s="1"/>
  <c r="M393" i="1" s="1"/>
  <c r="K1001" i="1" a="1"/>
  <c r="K1001" i="1" s="1"/>
  <c r="M1001" i="1" s="1"/>
  <c r="K1067" i="1" a="1"/>
  <c r="K1067" i="1" s="1"/>
  <c r="M1067" i="1" s="1"/>
  <c r="K525" i="1" a="1"/>
  <c r="K525" i="1" s="1"/>
  <c r="M525" i="1" s="1"/>
  <c r="H493" i="1" a="1"/>
  <c r="H493" i="1" s="1"/>
  <c r="J493" i="1"/>
  <c r="H1043" i="1" a="1"/>
  <c r="H1043" i="1" s="1"/>
  <c r="J1043" i="1"/>
  <c r="K433" i="1" a="1"/>
  <c r="K433" i="1" s="1"/>
  <c r="M433" i="1" s="1"/>
  <c r="K588" i="1" a="1"/>
  <c r="K588" i="1" s="1"/>
  <c r="M588" i="1" s="1"/>
  <c r="K585" i="1" a="1"/>
  <c r="K585" i="1" s="1"/>
  <c r="M585" i="1" s="1"/>
  <c r="K1108" i="1" a="1"/>
  <c r="K1108" i="1" s="1"/>
  <c r="K1270" i="1" a="1"/>
  <c r="K1270" i="1" s="1"/>
  <c r="M1270" i="1" s="1"/>
  <c r="K1317" i="1" a="1"/>
  <c r="K1317" i="1" s="1"/>
  <c r="M1317" i="1" s="1"/>
  <c r="K538" i="1" a="1"/>
  <c r="K538" i="1" s="1"/>
  <c r="M538" i="1" s="1"/>
  <c r="K1066" i="1" a="1"/>
  <c r="K1066" i="1" s="1"/>
  <c r="M1066" i="1" s="1"/>
  <c r="H1349" i="1" a="1"/>
  <c r="H1349" i="1" s="1"/>
  <c r="J1349" i="1"/>
  <c r="H444" i="1" a="1"/>
  <c r="H444" i="1" s="1"/>
  <c r="J444" i="1"/>
  <c r="K1089" i="1" a="1"/>
  <c r="K1089" i="1" s="1"/>
  <c r="M1089" i="1" s="1"/>
  <c r="K509" i="1" a="1"/>
  <c r="K509" i="1" s="1"/>
  <c r="M509" i="1" s="1"/>
  <c r="H1357" i="1" a="1"/>
  <c r="H1357" i="1" s="1"/>
  <c r="J1357" i="1"/>
  <c r="K1250" i="1" a="1"/>
  <c r="K1250" i="1" s="1"/>
  <c r="M1250" i="1" s="1"/>
  <c r="K566" i="1" a="1"/>
  <c r="K566" i="1" s="1"/>
  <c r="M566" i="1" s="1"/>
  <c r="K550" i="1" a="1"/>
  <c r="K550" i="1" s="1"/>
  <c r="M550" i="1" s="1"/>
  <c r="K530" i="1" a="1"/>
  <c r="K530" i="1" s="1"/>
  <c r="M530" i="1" s="1"/>
  <c r="K517" i="1" a="1"/>
  <c r="K517" i="1" s="1"/>
  <c r="M517" i="1" s="1"/>
  <c r="K513" i="1" a="1"/>
  <c r="K513" i="1" s="1"/>
  <c r="M513" i="1" s="1"/>
  <c r="K1258" i="1" a="1"/>
  <c r="K1258" i="1" s="1"/>
  <c r="M1258" i="1" s="1"/>
  <c r="K499" i="1" a="1"/>
  <c r="K499" i="1" s="1"/>
  <c r="M499" i="1" s="1"/>
  <c r="K487" i="1" a="1"/>
  <c r="K487" i="1" s="1"/>
  <c r="M487" i="1" s="1"/>
  <c r="K477" i="1" a="1"/>
  <c r="K477" i="1" s="1"/>
  <c r="M477" i="1" s="1"/>
  <c r="K1353" i="1" a="1"/>
  <c r="K1353" i="1" s="1"/>
  <c r="M1353" i="1" s="1"/>
  <c r="K1051" i="1" a="1"/>
  <c r="K1051" i="1" s="1"/>
  <c r="M1051" i="1" s="1"/>
  <c r="K467" i="1" a="1"/>
  <c r="K467" i="1" s="1"/>
  <c r="M467" i="1" s="1"/>
  <c r="K1031" i="1" a="1"/>
  <c r="K1031" i="1" s="1"/>
  <c r="M1031" i="1" s="1"/>
  <c r="K437" i="1" a="1"/>
  <c r="K437" i="1" s="1"/>
  <c r="M437" i="1" s="1"/>
  <c r="K409" i="1" a="1"/>
  <c r="K409" i="1" s="1"/>
  <c r="M409" i="1" s="1"/>
  <c r="K1017" i="1" a="1"/>
  <c r="K1017" i="1" s="1"/>
  <c r="M1017" i="1" s="1"/>
  <c r="K384" i="1" a="1"/>
  <c r="K384" i="1" s="1"/>
  <c r="M384" i="1" s="1"/>
  <c r="K1291" i="1" a="1"/>
  <c r="K1291" i="1" s="1"/>
  <c r="M1291" i="1" s="1"/>
  <c r="K1289" i="1" a="1"/>
  <c r="K1289" i="1" s="1"/>
  <c r="M1289" i="1" s="1"/>
  <c r="K367" i="1" a="1"/>
  <c r="K367" i="1" s="1"/>
  <c r="M367" i="1" s="1"/>
  <c r="K348" i="1" a="1"/>
  <c r="K348" i="1" s="1"/>
  <c r="M348" i="1" s="1"/>
  <c r="K332" i="1" a="1"/>
  <c r="K332" i="1" s="1"/>
  <c r="M332" i="1" s="1"/>
  <c r="K942" i="1" a="1"/>
  <c r="K942" i="1" s="1"/>
  <c r="M942" i="1" s="1"/>
  <c r="K322" i="1" a="1"/>
  <c r="K322" i="1" s="1"/>
  <c r="M322" i="1" s="1"/>
  <c r="K314" i="1" a="1"/>
  <c r="K314" i="1" s="1"/>
  <c r="M314" i="1" s="1"/>
  <c r="K309" i="1" a="1"/>
  <c r="K309" i="1" s="1"/>
  <c r="M309" i="1" s="1"/>
  <c r="K294" i="1" a="1"/>
  <c r="K294" i="1" s="1"/>
  <c r="M294" i="1" s="1"/>
  <c r="M297" i="1"/>
  <c r="I1011" i="1" a="1"/>
  <c r="I1011" i="1" s="1"/>
  <c r="L1011" i="1" a="1"/>
  <c r="L1011" i="1" s="1"/>
  <c r="N1011" i="1" s="1"/>
  <c r="I380" i="1" a="1"/>
  <c r="I380" i="1" s="1"/>
  <c r="L380" i="1" a="1"/>
  <c r="L380" i="1" s="1"/>
  <c r="N380" i="1" s="1"/>
  <c r="K969" i="1" a="1"/>
  <c r="K969" i="1" s="1"/>
  <c r="M969" i="1" s="1"/>
  <c r="I960" i="1" a="1"/>
  <c r="I960" i="1" s="1"/>
  <c r="L960" i="1" a="1"/>
  <c r="L960" i="1" s="1"/>
  <c r="N960" i="1" s="1"/>
  <c r="I1195" i="1" a="1"/>
  <c r="I1195" i="1" s="1"/>
  <c r="L1195" i="1" a="1"/>
  <c r="L1195" i="1" s="1"/>
  <c r="N1195" i="1" s="1"/>
  <c r="I954" i="1" a="1"/>
  <c r="I954" i="1" s="1"/>
  <c r="K954" i="1" a="1"/>
  <c r="K954" i="1" s="1"/>
  <c r="M954" i="1" s="1"/>
  <c r="I405" i="1" a="1"/>
  <c r="I405" i="1" s="1"/>
  <c r="L405" i="1" a="1"/>
  <c r="L405" i="1" s="1"/>
  <c r="N405" i="1" s="1"/>
  <c r="I1015" i="1" a="1"/>
  <c r="I1015" i="1" s="1"/>
  <c r="I1012" i="1" a="1"/>
  <c r="I1012" i="1" s="1"/>
  <c r="I227" i="1" a="1"/>
  <c r="I227" i="1" s="1"/>
  <c r="I417" i="1" a="1"/>
  <c r="I417" i="1" s="1"/>
  <c r="L417" i="1" a="1"/>
  <c r="L417" i="1" s="1"/>
  <c r="N417" i="1" s="1"/>
  <c r="L969" i="1" a="1"/>
  <c r="L969" i="1" s="1"/>
  <c r="N969" i="1" s="1"/>
  <c r="L589" i="1" a="1"/>
  <c r="L589" i="1" s="1"/>
  <c r="N589" i="1" s="1"/>
  <c r="M589" i="1"/>
  <c r="K589" i="1" a="1"/>
  <c r="K589" i="1" s="1"/>
  <c r="N579" i="1"/>
  <c r="K579" i="1" a="1"/>
  <c r="K579" i="1" s="1"/>
  <c r="M579" i="1" s="1"/>
  <c r="L1271" i="1" a="1"/>
  <c r="L1271" i="1" s="1"/>
  <c r="N1271" i="1" s="1"/>
  <c r="K1271" i="1" a="1"/>
  <c r="K1271" i="1" s="1"/>
  <c r="M1271" i="1" s="1"/>
  <c r="L1265" i="1" a="1"/>
  <c r="L1265" i="1" s="1"/>
  <c r="N1265" i="1" s="1"/>
  <c r="K1265" i="1" a="1"/>
  <c r="K1265" i="1" s="1"/>
  <c r="M1265" i="1" s="1"/>
  <c r="K1318" i="1" a="1"/>
  <c r="K1318" i="1" s="1"/>
  <c r="M1318" i="1" s="1"/>
  <c r="M1310" i="1"/>
  <c r="L1310" i="1" a="1"/>
  <c r="L1310" i="1" s="1"/>
  <c r="N1310" i="1" s="1"/>
  <c r="M571" i="1"/>
  <c r="K571" i="1" a="1"/>
  <c r="K571" i="1" s="1"/>
  <c r="K563" i="1" a="1"/>
  <c r="K563" i="1" s="1"/>
  <c r="L563" i="1" a="1"/>
  <c r="L563" i="1" s="1"/>
  <c r="N563" i="1" s="1"/>
  <c r="M563" i="1"/>
  <c r="L555" i="1" a="1"/>
  <c r="L555" i="1" s="1"/>
  <c r="N555" i="1" s="1"/>
  <c r="K555" i="1" a="1"/>
  <c r="K555" i="1" s="1"/>
  <c r="M555" i="1" s="1"/>
  <c r="K547" i="1" a="1"/>
  <c r="K547" i="1" s="1"/>
  <c r="M547" i="1" s="1"/>
  <c r="N1086" i="1"/>
  <c r="K1086" i="1" a="1"/>
  <c r="K1086" i="1" s="1"/>
  <c r="M1086" i="1" s="1"/>
  <c r="L535" i="1" a="1"/>
  <c r="L535" i="1" s="1"/>
  <c r="N535" i="1" s="1"/>
  <c r="K1081" i="1" a="1"/>
  <c r="K1081" i="1" s="1"/>
  <c r="M1081" i="1" s="1"/>
  <c r="L1081" i="1" a="1"/>
  <c r="L1081" i="1" s="1"/>
  <c r="N1081" i="1" s="1"/>
  <c r="K522" i="1" a="1"/>
  <c r="K522" i="1" s="1"/>
  <c r="M522" i="1" s="1"/>
  <c r="K516" i="1" a="1"/>
  <c r="K516" i="1" s="1"/>
  <c r="M516" i="1" s="1"/>
  <c r="L516" i="1" a="1"/>
  <c r="L516" i="1" s="1"/>
  <c r="N516" i="1" s="1"/>
  <c r="K1306" i="1" a="1"/>
  <c r="K1306" i="1" s="1"/>
  <c r="M1306" i="1" s="1"/>
  <c r="L1306" i="1" a="1"/>
  <c r="L1306" i="1" s="1"/>
  <c r="N1306" i="1"/>
  <c r="K1073" i="1" a="1"/>
  <c r="K1073" i="1" s="1"/>
  <c r="M1073" i="1" s="1"/>
  <c r="L1073" i="1" a="1"/>
  <c r="L1073" i="1" s="1"/>
  <c r="N1073" i="1" s="1"/>
  <c r="K508" i="1" a="1"/>
  <c r="K508" i="1" s="1"/>
  <c r="M508" i="1" s="1"/>
  <c r="L508" i="1" a="1"/>
  <c r="L508" i="1" s="1"/>
  <c r="N508" i="1" s="1"/>
  <c r="K1257" i="1" a="1"/>
  <c r="K1257" i="1" s="1"/>
  <c r="M1257" i="1" s="1"/>
  <c r="L1065" i="1" a="1"/>
  <c r="L1065" i="1" s="1"/>
  <c r="N1065" i="1" s="1"/>
  <c r="K1065" i="1" a="1"/>
  <c r="K1065" i="1" s="1"/>
  <c r="M1065" i="1" s="1"/>
  <c r="L497" i="1" a="1"/>
  <c r="L497" i="1" s="1"/>
  <c r="N497" i="1" s="1"/>
  <c r="K497" i="1" a="1"/>
  <c r="K497" i="1" s="1"/>
  <c r="M497" i="1" s="1"/>
  <c r="L491" i="1" a="1"/>
  <c r="L491" i="1" s="1"/>
  <c r="N491" i="1" s="1"/>
  <c r="M491" i="1"/>
  <c r="K491" i="1" a="1"/>
  <c r="K491" i="1" s="1"/>
  <c r="L1060" i="1" a="1"/>
  <c r="L1060" i="1" s="1"/>
  <c r="N1060" i="1" s="1"/>
  <c r="K1056" i="1" a="1"/>
  <c r="K1056" i="1" s="1"/>
  <c r="M1056" i="1" s="1"/>
  <c r="L1056" i="1" a="1"/>
  <c r="L1056" i="1" s="1"/>
  <c r="N1056" i="1" s="1"/>
  <c r="K474" i="1" a="1"/>
  <c r="K474" i="1" s="1"/>
  <c r="M474" i="1" s="1"/>
  <c r="L474" i="1" a="1"/>
  <c r="L474" i="1" s="1"/>
  <c r="N474" i="1" s="1"/>
  <c r="K1297" i="1" a="1"/>
  <c r="K1297" i="1" s="1"/>
  <c r="M1297" i="1"/>
  <c r="L1297" i="1" a="1"/>
  <c r="L1297" i="1" s="1"/>
  <c r="N1297" i="1" s="1"/>
  <c r="K1348" i="1" a="1"/>
  <c r="K1348" i="1" s="1"/>
  <c r="L1348" i="1" a="1"/>
  <c r="L1348" i="1" s="1"/>
  <c r="N1348" i="1" s="1"/>
  <c r="M1348" i="1"/>
  <c r="K1048" i="1" a="1"/>
  <c r="K1048" i="1" s="1"/>
  <c r="M1048" i="1" s="1"/>
  <c r="L1048" i="1" a="1"/>
  <c r="L1048" i="1" s="1"/>
  <c r="N1048" i="1" s="1"/>
  <c r="K472" i="1" a="1"/>
  <c r="K472" i="1" s="1"/>
  <c r="M472" i="1" s="1"/>
  <c r="L472" i="1" a="1"/>
  <c r="L472" i="1" s="1"/>
  <c r="N472" i="1" s="1"/>
  <c r="K464" i="1" a="1"/>
  <c r="K464" i="1" s="1"/>
  <c r="M464" i="1" s="1"/>
  <c r="K1038" i="1" a="1"/>
  <c r="K1038" i="1" s="1"/>
  <c r="M1038" i="1"/>
  <c r="K455" i="1" a="1"/>
  <c r="K455" i="1" s="1"/>
  <c r="M455" i="1" s="1"/>
  <c r="L455" i="1" a="1"/>
  <c r="L455" i="1" s="1"/>
  <c r="N455" i="1" s="1"/>
  <c r="L1249" i="1" a="1"/>
  <c r="L1249" i="1" s="1"/>
  <c r="N1249" i="1" s="1"/>
  <c r="K1249" i="1" a="1"/>
  <c r="K1249" i="1" s="1"/>
  <c r="M1249" i="1" s="1"/>
  <c r="L448" i="1" a="1"/>
  <c r="L448" i="1" s="1"/>
  <c r="N448" i="1" s="1"/>
  <c r="K448" i="1" a="1"/>
  <c r="K448" i="1" s="1"/>
  <c r="M448" i="1" s="1"/>
  <c r="L442" i="1" a="1"/>
  <c r="L442" i="1" s="1"/>
  <c r="N442" i="1" s="1"/>
  <c r="K442" i="1" a="1"/>
  <c r="K442" i="1" s="1"/>
  <c r="M442" i="1" s="1"/>
  <c r="K436" i="1" a="1"/>
  <c r="K436" i="1" s="1"/>
  <c r="M436" i="1" s="1"/>
  <c r="L436" i="1" a="1"/>
  <c r="L436" i="1" s="1"/>
  <c r="N436" i="1" s="1"/>
  <c r="L432" i="1" a="1"/>
  <c r="L432" i="1" s="1"/>
  <c r="N432" i="1" s="1"/>
  <c r="K432" i="1" a="1"/>
  <c r="K432" i="1" s="1"/>
  <c r="M432" i="1" s="1"/>
  <c r="K1237" i="1" a="1"/>
  <c r="K1237" i="1" s="1"/>
  <c r="M1237" i="1" s="1"/>
  <c r="L1237" i="1" a="1"/>
  <c r="L1237" i="1" s="1"/>
  <c r="N1237" i="1" s="1"/>
  <c r="K1232" i="1" a="1"/>
  <c r="K1232" i="1" s="1"/>
  <c r="M1232" i="1" s="1"/>
  <c r="L1232" i="1" a="1"/>
  <c r="L1232" i="1" s="1"/>
  <c r="N1232" i="1" s="1"/>
  <c r="L422" i="1" a="1"/>
  <c r="L422" i="1" s="1"/>
  <c r="N422" i="1" s="1"/>
  <c r="K422" i="1" a="1"/>
  <c r="K422" i="1" s="1"/>
  <c r="M422" i="1" s="1"/>
  <c r="K414" i="1" a="1"/>
  <c r="K414" i="1" s="1"/>
  <c r="M414" i="1" s="1"/>
  <c r="L414" i="1" a="1"/>
  <c r="L414" i="1" s="1"/>
  <c r="N414" i="1" s="1"/>
  <c r="K407" i="1" a="1"/>
  <c r="K407" i="1" s="1"/>
  <c r="M407" i="1" s="1"/>
  <c r="L407" i="1" a="1"/>
  <c r="L407" i="1" s="1"/>
  <c r="N407" i="1" s="1"/>
  <c r="K404" i="1" a="1"/>
  <c r="K404" i="1" s="1"/>
  <c r="L404" i="1" a="1"/>
  <c r="L404" i="1" s="1"/>
  <c r="N404" i="1" s="1"/>
  <c r="M404" i="1"/>
  <c r="L1015" i="1" a="1"/>
  <c r="L1015" i="1" s="1"/>
  <c r="N1015" i="1" s="1"/>
  <c r="K1015" i="1" a="1"/>
  <c r="K1015" i="1" s="1"/>
  <c r="M1015" i="1" s="1"/>
  <c r="L1010" i="1" a="1"/>
  <c r="L1010" i="1" s="1"/>
  <c r="N1010" i="1" s="1"/>
  <c r="M1010" i="1"/>
  <c r="K1010" i="1" a="1"/>
  <c r="K1010" i="1" s="1"/>
  <c r="L394" i="1" a="1"/>
  <c r="L394" i="1" s="1"/>
  <c r="N394" i="1" s="1"/>
  <c r="K394" i="1" a="1"/>
  <c r="K394" i="1" s="1"/>
  <c r="M394" i="1" s="1"/>
  <c r="L388" i="1" a="1"/>
  <c r="L388" i="1" s="1"/>
  <c r="N388" i="1" s="1"/>
  <c r="K388" i="1" a="1"/>
  <c r="K388" i="1" s="1"/>
  <c r="M388" i="1" s="1"/>
  <c r="K383" i="1" a="1"/>
  <c r="K383" i="1" s="1"/>
  <c r="M383" i="1" s="1"/>
  <c r="L383" i="1" a="1"/>
  <c r="L383" i="1" s="1"/>
  <c r="N383" i="1" s="1"/>
  <c r="K378" i="1" a="1"/>
  <c r="K378" i="1" s="1"/>
  <c r="M378" i="1" s="1"/>
  <c r="L378" i="1" a="1"/>
  <c r="L378" i="1" s="1"/>
  <c r="N378" i="1" s="1"/>
  <c r="M1228" i="1"/>
  <c r="L993" i="1" a="1"/>
  <c r="L993" i="1" s="1"/>
  <c r="N993" i="1" s="1"/>
  <c r="K993" i="1" a="1"/>
  <c r="K993" i="1" s="1"/>
  <c r="M993" i="1" s="1"/>
  <c r="K372" i="1" a="1"/>
  <c r="K372" i="1" s="1"/>
  <c r="M372" i="1" s="1"/>
  <c r="L372" i="1" a="1"/>
  <c r="L372" i="1" s="1"/>
  <c r="N372" i="1" s="1"/>
  <c r="L987" i="1" a="1"/>
  <c r="L987" i="1" s="1"/>
  <c r="N987" i="1" s="1"/>
  <c r="K987" i="1" a="1"/>
  <c r="K987" i="1" s="1"/>
  <c r="M987" i="1" s="1"/>
  <c r="L1217" i="1" a="1"/>
  <c r="L1217" i="1" s="1"/>
  <c r="N1217" i="1" s="1"/>
  <c r="K1217" i="1" a="1"/>
  <c r="K1217" i="1" s="1"/>
  <c r="M1217" i="1" s="1"/>
  <c r="K983" i="1" a="1"/>
  <c r="K983" i="1" s="1"/>
  <c r="L983" i="1" a="1"/>
  <c r="L983" i="1" s="1"/>
  <c r="N983" i="1" s="1"/>
  <c r="M983" i="1"/>
  <c r="N975" i="1"/>
  <c r="K975" i="1" a="1"/>
  <c r="K975" i="1" s="1"/>
  <c r="M975" i="1" s="1"/>
  <c r="K967" i="1" a="1"/>
  <c r="K967" i="1" s="1"/>
  <c r="L967" i="1" a="1"/>
  <c r="L967" i="1" s="1"/>
  <c r="N967" i="1" s="1"/>
  <c r="M967" i="1"/>
  <c r="L959" i="1" a="1"/>
  <c r="L959" i="1" s="1"/>
  <c r="N959" i="1" s="1"/>
  <c r="K959" i="1" a="1"/>
  <c r="K959" i="1" s="1"/>
  <c r="M959" i="1" s="1"/>
  <c r="M353" i="1"/>
  <c r="L353" i="1" a="1"/>
  <c r="L353" i="1" s="1"/>
  <c r="N353" i="1" s="1"/>
  <c r="K353" i="1" a="1"/>
  <c r="K353" i="1" s="1"/>
  <c r="L345" i="1" a="1"/>
  <c r="L345" i="1" s="1"/>
  <c r="K345" i="1" a="1"/>
  <c r="K345" i="1" s="1"/>
  <c r="M345" i="1" s="1"/>
  <c r="N345" i="1"/>
  <c r="K337" i="1" a="1"/>
  <c r="K337" i="1" s="1"/>
  <c r="M337" i="1" s="1"/>
  <c r="L337" i="1" a="1"/>
  <c r="L337" i="1" s="1"/>
  <c r="N337" i="1" s="1"/>
  <c r="L329" i="1" a="1"/>
  <c r="L329" i="1" s="1"/>
  <c r="N329" i="1" s="1"/>
  <c r="M329" i="1"/>
  <c r="K329" i="1" a="1"/>
  <c r="K329" i="1" s="1"/>
  <c r="K1206" i="1" a="1"/>
  <c r="K1206" i="1" s="1"/>
  <c r="M1206" i="1" s="1"/>
  <c r="L1206" i="1" a="1"/>
  <c r="L1206" i="1" s="1"/>
  <c r="N1206" i="1" s="1"/>
  <c r="N1341" i="1"/>
  <c r="K1341" i="1" a="1"/>
  <c r="K1341" i="1" s="1"/>
  <c r="M1341" i="1" s="1"/>
  <c r="M328" i="1"/>
  <c r="L328" i="1" a="1"/>
  <c r="L328" i="1" s="1"/>
  <c r="N328" i="1" s="1"/>
  <c r="K953" i="1" a="1"/>
  <c r="K953" i="1" s="1"/>
  <c r="M953" i="1" s="1"/>
  <c r="L953" i="1" a="1"/>
  <c r="L953" i="1" s="1"/>
  <c r="N953" i="1" s="1"/>
  <c r="L1287" i="1" a="1"/>
  <c r="L1287" i="1" s="1"/>
  <c r="N1287" i="1" s="1"/>
  <c r="K1287" i="1" a="1"/>
  <c r="K1287" i="1" s="1"/>
  <c r="M1287" i="1" s="1"/>
  <c r="L931" i="1" a="1"/>
  <c r="L931" i="1" s="1"/>
  <c r="N931" i="1" s="1"/>
  <c r="K931" i="1" a="1"/>
  <c r="K931" i="1" s="1"/>
  <c r="M931" i="1" s="1"/>
  <c r="L323" i="1" a="1"/>
  <c r="L323" i="1" s="1"/>
  <c r="N323" i="1" s="1"/>
  <c r="K323" i="1" a="1"/>
  <c r="K323" i="1" s="1"/>
  <c r="M323" i="1" s="1"/>
  <c r="L918" i="1" a="1"/>
  <c r="L918" i="1" s="1"/>
  <c r="N918" i="1" s="1"/>
  <c r="K918" i="1" a="1"/>
  <c r="K918" i="1" s="1"/>
  <c r="M918" i="1" s="1"/>
  <c r="L319" i="1" a="1"/>
  <c r="L319" i="1" s="1"/>
  <c r="N319" i="1" s="1"/>
  <c r="K319" i="1" a="1"/>
  <c r="K319" i="1" s="1"/>
  <c r="M319" i="1" s="1"/>
  <c r="K913" i="1" a="1"/>
  <c r="K913" i="1" s="1"/>
  <c r="M913" i="1" s="1"/>
  <c r="L913" i="1" a="1"/>
  <c r="L913" i="1" s="1"/>
  <c r="N913" i="1" s="1"/>
  <c r="L306" i="1" a="1"/>
  <c r="L306" i="1" s="1"/>
  <c r="N306" i="1" s="1"/>
  <c r="K306" i="1" a="1"/>
  <c r="K306" i="1" s="1"/>
  <c r="M306" i="1" s="1"/>
  <c r="M299" i="1"/>
  <c r="L299" i="1" a="1"/>
  <c r="L299" i="1" s="1"/>
  <c r="N299" i="1" s="1"/>
  <c r="M291" i="1"/>
  <c r="L291" i="1" a="1"/>
  <c r="L291" i="1" s="1"/>
  <c r="N291" i="1" s="1"/>
  <c r="K284" i="1" a="1"/>
  <c r="K284" i="1" s="1"/>
  <c r="M284" i="1" s="1"/>
  <c r="L284" i="1" a="1"/>
  <c r="L284" i="1" s="1"/>
  <c r="N284" i="1" s="1"/>
  <c r="L276" i="1" a="1"/>
  <c r="L276" i="1" s="1"/>
  <c r="N276" i="1" s="1"/>
  <c r="K276" i="1" a="1"/>
  <c r="K276" i="1" s="1"/>
  <c r="M276" i="1" s="1"/>
  <c r="K909" i="1" a="1"/>
  <c r="K909" i="1" s="1"/>
  <c r="M909" i="1"/>
  <c r="N909" i="1"/>
  <c r="L909" i="1" a="1"/>
  <c r="L909" i="1" s="1"/>
  <c r="K903" i="1" a="1"/>
  <c r="K903" i="1" s="1"/>
  <c r="M903" i="1" s="1"/>
  <c r="L903" i="1" a="1"/>
  <c r="L903" i="1" s="1"/>
  <c r="N903" i="1" s="1"/>
  <c r="M1312" i="1"/>
  <c r="L1312" i="1" a="1"/>
  <c r="L1312" i="1" s="1"/>
  <c r="N1312" i="1" s="1"/>
  <c r="I1312" i="1" a="1"/>
  <c r="I1312" i="1" s="1"/>
  <c r="I1071" i="1" a="1"/>
  <c r="I1071" i="1" s="1"/>
  <c r="M1071" i="1"/>
  <c r="L1071" i="1" a="1"/>
  <c r="L1071" i="1" s="1"/>
  <c r="N1071" i="1" s="1"/>
  <c r="I1046" i="1" a="1"/>
  <c r="I1046" i="1" s="1"/>
  <c r="L1046" i="1" a="1"/>
  <c r="L1046" i="1" s="1"/>
  <c r="N1046" i="1" s="1"/>
  <c r="I1356" i="1" a="1"/>
  <c r="I1356" i="1" s="1"/>
  <c r="L1356" i="1" a="1"/>
  <c r="L1356" i="1" s="1"/>
  <c r="N1356" i="1" s="1"/>
  <c r="I1039" i="1" a="1"/>
  <c r="I1039" i="1" s="1"/>
  <c r="N1039" i="1"/>
  <c r="K1039" i="1" a="1"/>
  <c r="K1039" i="1" s="1"/>
  <c r="M1039" i="1" s="1"/>
  <c r="L1039" i="1" a="1"/>
  <c r="L1039" i="1" s="1"/>
  <c r="K960" i="1" a="1"/>
  <c r="K960" i="1" s="1"/>
  <c r="M960" i="1" s="1"/>
  <c r="K470" i="1" a="1"/>
  <c r="K470" i="1" s="1"/>
  <c r="M470" i="1" s="1"/>
  <c r="I969" i="1" a="1"/>
  <c r="I969" i="1" s="1"/>
  <c r="K535" i="1" a="1"/>
  <c r="K535" i="1" s="1"/>
  <c r="M535" i="1" s="1"/>
  <c r="K1071" i="1" a="1"/>
  <c r="K1071" i="1" s="1"/>
  <c r="K1060" i="1" a="1"/>
  <c r="K1060" i="1" s="1"/>
  <c r="M1060" i="1" s="1"/>
  <c r="I1325" i="1" a="1"/>
  <c r="I1325" i="1" s="1"/>
  <c r="I1318" i="1" a="1"/>
  <c r="I1318" i="1" s="1"/>
  <c r="N1318" i="1"/>
  <c r="I570" i="1" a="1"/>
  <c r="I570" i="1" s="1"/>
  <c r="L570" i="1" a="1"/>
  <c r="L570" i="1" s="1"/>
  <c r="N570" i="1"/>
  <c r="I1067" i="1" a="1"/>
  <c r="I1067" i="1" s="1"/>
  <c r="L1067" i="1" a="1"/>
  <c r="L1067" i="1" s="1"/>
  <c r="N1067" i="1" s="1"/>
  <c r="L470" i="1" a="1"/>
  <c r="L470" i="1" s="1"/>
  <c r="N470" i="1" s="1"/>
  <c r="I470" i="1" a="1"/>
  <c r="I470" i="1" s="1"/>
  <c r="N526" i="1"/>
  <c r="M1356" i="1"/>
  <c r="L1110" i="1" a="1"/>
  <c r="L1110" i="1" s="1"/>
  <c r="N1110" i="1" s="1"/>
  <c r="L954" i="1" a="1"/>
  <c r="L954" i="1" s="1"/>
  <c r="N954" i="1" s="1"/>
  <c r="K543" i="1" a="1"/>
  <c r="K543" i="1" s="1"/>
  <c r="M543" i="1" s="1"/>
  <c r="K364" i="1" a="1"/>
  <c r="K364" i="1" s="1"/>
  <c r="M364" i="1" s="1"/>
  <c r="K1011" i="1" a="1"/>
  <c r="K1011" i="1" s="1"/>
  <c r="M1011" i="1" s="1"/>
  <c r="K940" i="1" a="1"/>
  <c r="K940" i="1" s="1"/>
  <c r="M940" i="1" s="1"/>
  <c r="L940" i="1" a="1"/>
  <c r="L940" i="1" s="1"/>
  <c r="N940" i="1" s="1"/>
  <c r="K320" i="1" a="1"/>
  <c r="K320" i="1" s="1"/>
  <c r="M320" i="1" s="1"/>
  <c r="L320" i="1" a="1"/>
  <c r="L320" i="1" s="1"/>
  <c r="N320" i="1" s="1"/>
  <c r="K570" i="1" a="1"/>
  <c r="K570" i="1" s="1"/>
  <c r="M570" i="1" s="1"/>
  <c r="K1061" i="1" a="1"/>
  <c r="K1061" i="1" s="1"/>
  <c r="M1061" i="1" s="1"/>
  <c r="L1061" i="1" a="1"/>
  <c r="L1061" i="1" s="1"/>
  <c r="N1061" i="1" s="1"/>
  <c r="K1351" i="1" a="1"/>
  <c r="K1351" i="1" s="1"/>
  <c r="M1351" i="1" s="1"/>
  <c r="L1351" i="1" a="1"/>
  <c r="L1351" i="1" s="1"/>
  <c r="N1351" i="1" s="1"/>
  <c r="K421" i="1" a="1"/>
  <c r="K421" i="1" s="1"/>
  <c r="M421" i="1" s="1"/>
  <c r="L421" i="1" a="1"/>
  <c r="L421" i="1" s="1"/>
  <c r="N421" i="1" s="1"/>
  <c r="K398" i="1" a="1"/>
  <c r="K398" i="1" s="1"/>
  <c r="M398" i="1" s="1"/>
  <c r="L398" i="1" a="1"/>
  <c r="L398" i="1" s="1"/>
  <c r="N398" i="1" s="1"/>
  <c r="K1046" i="1" a="1"/>
  <c r="K1046" i="1" s="1"/>
  <c r="M1046" i="1" s="1"/>
  <c r="K227" i="1" a="1"/>
  <c r="K227" i="1" s="1"/>
  <c r="M227" i="1" s="1"/>
  <c r="L1108" i="1" a="1"/>
  <c r="L1108" i="1" s="1"/>
  <c r="L1317" i="1" a="1"/>
  <c r="L1317" i="1" s="1"/>
  <c r="N1317" i="1" s="1"/>
  <c r="N1108" i="1"/>
  <c r="N573" i="1"/>
  <c r="N554" i="1"/>
  <c r="N1080" i="1"/>
  <c r="N473" i="1"/>
  <c r="N1292" i="1"/>
  <c r="M1324" i="1"/>
  <c r="M562" i="1"/>
  <c r="M1085" i="1"/>
  <c r="M473" i="1"/>
  <c r="M471" i="1"/>
  <c r="M463" i="1"/>
  <c r="L515" i="1" a="1"/>
  <c r="L515" i="1" s="1"/>
  <c r="N515" i="1" s="1"/>
  <c r="L1063" i="1" a="1"/>
  <c r="L1063" i="1" s="1"/>
  <c r="N1063" i="1" s="1"/>
  <c r="L1059" i="1" a="1"/>
  <c r="L1059" i="1" s="1"/>
  <c r="N1059" i="1" s="1"/>
  <c r="L480" i="1" a="1"/>
  <c r="L480" i="1" s="1"/>
  <c r="N480" i="1" s="1"/>
  <c r="L1025" i="1" a="1"/>
  <c r="L1025" i="1" s="1"/>
  <c r="N1025" i="1" s="1"/>
  <c r="L1020" i="1" a="1"/>
  <c r="L1020" i="1" s="1"/>
  <c r="N1020" i="1" s="1"/>
  <c r="L371" i="1" a="1"/>
  <c r="L371" i="1" s="1"/>
  <c r="N371" i="1" s="1"/>
  <c r="N297" i="1"/>
  <c r="L243" i="1" a="1"/>
  <c r="L243" i="1" s="1"/>
  <c r="N243" i="1" s="1"/>
  <c r="N585" i="1"/>
  <c r="N1324" i="1"/>
  <c r="N507" i="1"/>
  <c r="N471" i="1"/>
  <c r="M1108" i="1"/>
  <c r="M1080" i="1"/>
  <c r="M1359" i="1"/>
  <c r="M1047" i="1"/>
  <c r="M1242" i="1"/>
  <c r="M429" i="1"/>
  <c r="L1359" i="1" a="1"/>
  <c r="L1359" i="1" s="1"/>
  <c r="N1359" i="1" s="1"/>
  <c r="L447" i="1" a="1"/>
  <c r="L447" i="1" s="1"/>
  <c r="N447" i="1" s="1"/>
  <c r="L401" i="1" a="1"/>
  <c r="L401" i="1" s="1"/>
  <c r="N401" i="1" s="1"/>
  <c r="L393" i="1" a="1"/>
  <c r="L393" i="1" s="1"/>
  <c r="N393" i="1" s="1"/>
  <c r="L1004" i="1" a="1"/>
  <c r="L1004" i="1" s="1"/>
  <c r="N1004" i="1" s="1"/>
  <c r="L363" i="1" a="1"/>
  <c r="L363" i="1" s="1"/>
  <c r="N363" i="1" s="1"/>
  <c r="L235" i="1" a="1"/>
  <c r="L235" i="1" s="1"/>
  <c r="N235" i="1" s="1"/>
  <c r="L1181" i="1" a="1"/>
  <c r="L1181" i="1" s="1"/>
  <c r="N1181" i="1" s="1"/>
  <c r="K458" i="1" a="1"/>
  <c r="K458" i="1" s="1"/>
  <c r="M458" i="1" s="1"/>
  <c r="K430" i="1" a="1"/>
  <c r="K430" i="1" s="1"/>
  <c r="M430" i="1" s="1"/>
  <c r="L326" i="1" a="1"/>
  <c r="L326" i="1" s="1"/>
  <c r="N326" i="1" s="1"/>
  <c r="K1098" i="1" a="1"/>
  <c r="K1098" i="1" s="1"/>
  <c r="M1098" i="1" s="1"/>
  <c r="K546" i="1" a="1"/>
  <c r="K546" i="1" s="1"/>
  <c r="M546" i="1" s="1"/>
  <c r="K417" i="1" a="1"/>
  <c r="K417" i="1" s="1"/>
  <c r="M417" i="1" s="1"/>
  <c r="K405" i="1" a="1"/>
  <c r="K405" i="1" s="1"/>
  <c r="M405" i="1" s="1"/>
  <c r="K1012" i="1" a="1"/>
  <c r="K1012" i="1" s="1"/>
  <c r="M1012" i="1" s="1"/>
  <c r="K380" i="1" a="1"/>
  <c r="K380" i="1" s="1"/>
  <c r="M380" i="1" s="1"/>
  <c r="K1195" i="1" a="1"/>
  <c r="K1195" i="1" s="1"/>
  <c r="M1195" i="1" s="1"/>
  <c r="J902" i="1"/>
  <c r="H902" i="1" a="1"/>
  <c r="H902" i="1" s="1"/>
  <c r="P1186" i="1"/>
  <c r="P898" i="1"/>
  <c r="P226" i="1"/>
  <c r="P233" i="1"/>
  <c r="P241" i="1"/>
  <c r="P249" i="1"/>
  <c r="P257" i="1"/>
  <c r="P265" i="1"/>
  <c r="P907" i="1"/>
  <c r="P272" i="1"/>
  <c r="P280" i="1"/>
  <c r="P288" i="1"/>
  <c r="P295" i="1"/>
  <c r="P303" i="1"/>
  <c r="P911" i="1"/>
  <c r="P315" i="1"/>
  <c r="P914" i="1"/>
  <c r="P922" i="1"/>
  <c r="P927" i="1"/>
  <c r="P935" i="1"/>
  <c r="P943" i="1"/>
  <c r="P949" i="1"/>
  <c r="P957" i="1"/>
  <c r="P1196" i="1"/>
  <c r="P1202" i="1"/>
  <c r="P1210" i="1"/>
  <c r="P333" i="1"/>
  <c r="P341" i="1"/>
  <c r="P349" i="1"/>
  <c r="P357" i="1"/>
  <c r="P963" i="1"/>
  <c r="P971" i="1"/>
  <c r="P979" i="1"/>
  <c r="P1213" i="1"/>
  <c r="P1221" i="1"/>
  <c r="P362" i="1"/>
  <c r="P368" i="1"/>
  <c r="P990" i="1"/>
  <c r="P1290" i="1"/>
  <c r="P998" i="1"/>
  <c r="P381" i="1"/>
  <c r="P385" i="1"/>
  <c r="P391" i="1"/>
  <c r="Q391" i="1" s="1" a="1"/>
  <c r="Q391" i="1" s="1"/>
  <c r="P396" i="1"/>
  <c r="Q396" i="1" s="1" a="1"/>
  <c r="Q396" i="1" s="1"/>
  <c r="P400" i="1"/>
  <c r="Q400" i="1" s="1" a="1"/>
  <c r="Q400" i="1" s="1"/>
  <c r="P1018" i="1"/>
  <c r="Q1018" i="1" s="1" a="1"/>
  <c r="Q1018" i="1" s="1"/>
  <c r="P1023" i="1"/>
  <c r="Q1023" i="1" s="1" a="1"/>
  <c r="Q1023" i="1" s="1"/>
  <c r="P410" i="1"/>
  <c r="Q410" i="1" s="1" a="1"/>
  <c r="Q410" i="1" s="1"/>
  <c r="P418" i="1"/>
  <c r="P1181" i="1"/>
  <c r="P894" i="1"/>
  <c r="P900" i="1"/>
  <c r="P228" i="1"/>
  <c r="P235" i="1"/>
  <c r="P243" i="1"/>
  <c r="P251" i="1"/>
  <c r="P259" i="1"/>
  <c r="P267" i="1"/>
  <c r="P268" i="1"/>
  <c r="P274" i="1"/>
  <c r="P282" i="1"/>
  <c r="P1191" i="1"/>
  <c r="P297" i="1"/>
  <c r="P305" i="1"/>
  <c r="P912" i="1"/>
  <c r="P317" i="1"/>
  <c r="P916" i="1"/>
  <c r="P924" i="1"/>
  <c r="P929" i="1"/>
  <c r="P937" i="1"/>
  <c r="P945" i="1"/>
  <c r="P951" i="1"/>
  <c r="P326" i="1"/>
  <c r="P1198" i="1"/>
  <c r="P1204" i="1"/>
  <c r="P1211" i="1"/>
  <c r="P335" i="1"/>
  <c r="P343" i="1"/>
  <c r="P351" i="1"/>
  <c r="P359" i="1"/>
  <c r="P965" i="1"/>
  <c r="P973" i="1"/>
  <c r="P981" i="1"/>
  <c r="P1215" i="1"/>
  <c r="P1223" i="1"/>
  <c r="P1344" i="1"/>
  <c r="P370" i="1"/>
  <c r="P375" i="1"/>
  <c r="P994" i="1"/>
  <c r="P376" i="1"/>
  <c r="P382" i="1"/>
  <c r="P387" i="1"/>
  <c r="Q387" i="1" s="1" a="1"/>
  <c r="Q387" i="1" s="1"/>
  <c r="P1006" i="1"/>
  <c r="Q1006" i="1" s="1" a="1"/>
  <c r="Q1006" i="1" s="1"/>
  <c r="P397" i="1"/>
  <c r="Q397" i="1" s="1" a="1"/>
  <c r="Q397" i="1" s="1"/>
  <c r="P1014" i="1"/>
  <c r="Q1014" i="1" s="1" a="1"/>
  <c r="Q1014" i="1" s="1"/>
  <c r="P1019" i="1"/>
  <c r="Q1019" i="1" s="1" a="1"/>
  <c r="Q1019" i="1" s="1"/>
  <c r="P406" i="1"/>
  <c r="Q406" i="1" s="1" a="1"/>
  <c r="Q406" i="1" s="1"/>
  <c r="P412" i="1"/>
  <c r="Q412" i="1" s="1" a="1"/>
  <c r="Q412" i="1" s="1"/>
  <c r="P1187" i="1"/>
  <c r="P222" i="1"/>
  <c r="P901" i="1"/>
  <c r="P242" i="1"/>
  <c r="P253" i="1"/>
  <c r="P263" i="1"/>
  <c r="P908" i="1"/>
  <c r="P276" i="1"/>
  <c r="P286" i="1"/>
  <c r="P296" i="1"/>
  <c r="P306" i="1"/>
  <c r="P313" i="1"/>
  <c r="P915" i="1"/>
  <c r="P323" i="1"/>
  <c r="P933" i="1"/>
  <c r="P944" i="1"/>
  <c r="P953" i="1"/>
  <c r="P1194" i="1"/>
  <c r="P1203" i="1"/>
  <c r="P329" i="1"/>
  <c r="P339" i="1"/>
  <c r="P350" i="1"/>
  <c r="P959" i="1"/>
  <c r="P969" i="1"/>
  <c r="P980" i="1"/>
  <c r="P1217" i="1"/>
  <c r="P360" i="1"/>
  <c r="P369" i="1"/>
  <c r="P993" i="1"/>
  <c r="P997" i="1"/>
  <c r="P1000" i="1"/>
  <c r="P388" i="1"/>
  <c r="P1007" i="1"/>
  <c r="Q1007" i="1" s="1" a="1"/>
  <c r="Q1007" i="1" s="1"/>
  <c r="P1013" i="1"/>
  <c r="P404" i="1"/>
  <c r="Q404" i="1" s="1" a="1"/>
  <c r="Q404" i="1" s="1"/>
  <c r="P1026" i="1"/>
  <c r="Q1026" i="1" s="1" a="1"/>
  <c r="Q1026" i="1" s="1"/>
  <c r="P419" i="1"/>
  <c r="P1230" i="1"/>
  <c r="P1235" i="1"/>
  <c r="P431" i="1"/>
  <c r="P1027" i="1"/>
  <c r="P439" i="1"/>
  <c r="P1246" i="1"/>
  <c r="P1248" i="1"/>
  <c r="P454" i="1"/>
  <c r="P1036" i="1"/>
  <c r="P461" i="1"/>
  <c r="P469" i="1"/>
  <c r="P1045" i="1"/>
  <c r="P1346" i="1"/>
  <c r="P1295" i="1"/>
  <c r="P1300" i="1"/>
  <c r="P1053" i="1"/>
  <c r="P1055" i="1"/>
  <c r="Q1055" i="1" s="1" a="1"/>
  <c r="Q1055" i="1" s="1"/>
  <c r="P483" i="1"/>
  <c r="Q483" i="1" s="1" a="1"/>
  <c r="Q483" i="1" s="1"/>
  <c r="P489" i="1"/>
  <c r="Q489" i="1" s="1" a="1"/>
  <c r="Q489" i="1" s="1"/>
  <c r="P495" i="1"/>
  <c r="Q495" i="1" s="1" a="1"/>
  <c r="Q495" i="1" s="1"/>
  <c r="P1253" i="1"/>
  <c r="Q1253" i="1" s="1" a="1"/>
  <c r="Q1253" i="1" s="1"/>
  <c r="P1256" i="1"/>
  <c r="Q1256" i="1" s="1" a="1"/>
  <c r="Q1256" i="1" s="1"/>
  <c r="P506" i="1"/>
  <c r="Q506" i="1" s="1" a="1"/>
  <c r="Q506" i="1" s="1"/>
  <c r="P1188" i="1"/>
  <c r="P223" i="1"/>
  <c r="P232" i="1"/>
  <c r="P244" i="1"/>
  <c r="P254" i="1"/>
  <c r="P264" i="1"/>
  <c r="P269" i="1"/>
  <c r="P277" i="1"/>
  <c r="P287" i="1"/>
  <c r="P298" i="1"/>
  <c r="P307" i="1"/>
  <c r="P314" i="1"/>
  <c r="P917" i="1"/>
  <c r="P324" i="1"/>
  <c r="P934" i="1"/>
  <c r="P946" i="1"/>
  <c r="P954" i="1"/>
  <c r="P1195" i="1"/>
  <c r="P1205" i="1"/>
  <c r="P330" i="1"/>
  <c r="P340" i="1"/>
  <c r="P352" i="1"/>
  <c r="P960" i="1"/>
  <c r="P970" i="1"/>
  <c r="P982" i="1"/>
  <c r="P1218" i="1"/>
  <c r="P361" i="1"/>
  <c r="P371" i="1"/>
  <c r="P1225" i="1"/>
  <c r="P1291" i="1"/>
  <c r="P1001" i="1"/>
  <c r="Q1001" i="1" s="1" a="1"/>
  <c r="Q1001" i="1" s="1"/>
  <c r="P389" i="1"/>
  <c r="Q389" i="1" s="1" a="1"/>
  <c r="Q389" i="1" s="1"/>
  <c r="P1008" i="1"/>
  <c r="P401" i="1"/>
  <c r="Q401" i="1" s="1" a="1"/>
  <c r="Q401" i="1" s="1"/>
  <c r="P1021" i="1"/>
  <c r="P409" i="1"/>
  <c r="P420" i="1"/>
  <c r="P426" i="1"/>
  <c r="Q426" i="1" s="1" a="1"/>
  <c r="Q426" i="1" s="1"/>
  <c r="P1236" i="1"/>
  <c r="Q1236" i="1" s="1" a="1"/>
  <c r="Q1236" i="1" s="1"/>
  <c r="P1241" i="1"/>
  <c r="Q1241" i="1" s="1" a="1"/>
  <c r="Q1241" i="1" s="1"/>
  <c r="P1028" i="1"/>
  <c r="Q1028" i="1" s="1" a="1"/>
  <c r="Q1028" i="1" s="1"/>
  <c r="P440" i="1"/>
  <c r="P446" i="1"/>
  <c r="P451" i="1"/>
  <c r="P1251" i="1"/>
  <c r="Q1251" i="1" s="1" a="1"/>
  <c r="Q1251" i="1" s="1"/>
  <c r="P458" i="1"/>
  <c r="Q458" i="1" s="1" a="1"/>
  <c r="Q458" i="1" s="1"/>
  <c r="P462" i="1"/>
  <c r="Q462" i="1" s="1" a="1"/>
  <c r="Q462" i="1" s="1"/>
  <c r="P470" i="1"/>
  <c r="Q470" i="1" s="1" a="1"/>
  <c r="Q470" i="1" s="1"/>
  <c r="P1046" i="1"/>
  <c r="Q1046" i="1" s="1" a="1"/>
  <c r="Q1046" i="1" s="1"/>
  <c r="P1347" i="1"/>
  <c r="Q1347" i="1" s="1" a="1"/>
  <c r="Q1347" i="1" s="1"/>
  <c r="P1296" i="1"/>
  <c r="Q1296" i="1" s="1" a="1"/>
  <c r="Q1296" i="1" s="1"/>
  <c r="P1354" i="1"/>
  <c r="Q1354" i="1" s="1" a="1"/>
  <c r="Q1354" i="1" s="1"/>
  <c r="P1054" i="1"/>
  <c r="Q1054" i="1" s="1" a="1"/>
  <c r="Q1054" i="1" s="1"/>
  <c r="P479" i="1"/>
  <c r="P484" i="1"/>
  <c r="P490" i="1"/>
  <c r="P496" i="1"/>
  <c r="P501" i="1"/>
  <c r="Q501" i="1" s="1" a="1"/>
  <c r="Q501" i="1" s="1"/>
  <c r="P1067" i="1"/>
  <c r="Q1067" i="1" s="1" a="1"/>
  <c r="Q1067" i="1" s="1"/>
  <c r="P1259" i="1"/>
  <c r="Q1259" i="1" s="1" a="1"/>
  <c r="Q1259" i="1" s="1"/>
  <c r="P510" i="1"/>
  <c r="Q510" i="1" s="1" a="1"/>
  <c r="Q510" i="1" s="1"/>
  <c r="P1305" i="1"/>
  <c r="Q1305" i="1" s="1" a="1"/>
  <c r="Q1305" i="1" s="1"/>
  <c r="P1076" i="1"/>
  <c r="Q1076" i="1" s="1" a="1"/>
  <c r="Q1076" i="1" s="1"/>
  <c r="P520" i="1"/>
  <c r="P1079" i="1"/>
  <c r="Q1079" i="1" s="1" a="1"/>
  <c r="Q1079" i="1" s="1"/>
  <c r="P533" i="1"/>
  <c r="P541" i="1"/>
  <c r="P1084" i="1"/>
  <c r="P1092" i="1"/>
  <c r="P553" i="1"/>
  <c r="P561" i="1"/>
  <c r="P569" i="1"/>
  <c r="P572" i="1"/>
  <c r="P1308" i="1"/>
  <c r="Q1308" i="1" s="1" a="1"/>
  <c r="Q1308" i="1" s="1"/>
  <c r="P1107" i="1"/>
  <c r="P1316" i="1"/>
  <c r="Q1316" i="1" s="1" a="1"/>
  <c r="Q1316" i="1" s="1"/>
  <c r="P1323" i="1"/>
  <c r="Q1323" i="1" s="1" a="1"/>
  <c r="Q1323" i="1" s="1"/>
  <c r="P577" i="1"/>
  <c r="P1269" i="1"/>
  <c r="P1277" i="1"/>
  <c r="P584" i="1"/>
  <c r="P587" i="1"/>
  <c r="P1338" i="1"/>
  <c r="P896" i="1"/>
  <c r="P225" i="1"/>
  <c r="P236" i="1"/>
  <c r="P246" i="1"/>
  <c r="P256" i="1"/>
  <c r="P902" i="1"/>
  <c r="P910" i="1"/>
  <c r="P279" i="1"/>
  <c r="P290" i="1"/>
  <c r="P300" i="1"/>
  <c r="P309" i="1"/>
  <c r="P318" i="1"/>
  <c r="P919" i="1"/>
  <c r="P325" i="1"/>
  <c r="P938" i="1"/>
  <c r="P1288" i="1"/>
  <c r="P956" i="1"/>
  <c r="P1340" i="1"/>
  <c r="P1207" i="1"/>
  <c r="P332" i="1"/>
  <c r="P344" i="1"/>
  <c r="P354" i="1"/>
  <c r="P962" i="1"/>
  <c r="P974" i="1"/>
  <c r="P984" i="1"/>
  <c r="P1220" i="1"/>
  <c r="P363" i="1"/>
  <c r="P373" i="1"/>
  <c r="P1289" i="1"/>
  <c r="P377" i="1"/>
  <c r="P1002" i="1"/>
  <c r="Q1002" i="1" s="1" a="1"/>
  <c r="Q1002" i="1" s="1"/>
  <c r="P1005" i="1"/>
  <c r="Q1005" i="1" s="1" a="1"/>
  <c r="Q1005" i="1" s="1"/>
  <c r="P398" i="1"/>
  <c r="Q398" i="1" s="1" a="1"/>
  <c r="Q398" i="1" s="1"/>
  <c r="P1016" i="1"/>
  <c r="Q1016" i="1" s="1" a="1"/>
  <c r="Q1016" i="1" s="1"/>
  <c r="P405" i="1"/>
  <c r="Q405" i="1" s="1" a="1"/>
  <c r="Q405" i="1" s="1"/>
  <c r="P413" i="1"/>
  <c r="Q413" i="1" s="1" a="1"/>
  <c r="Q413" i="1" s="1"/>
  <c r="P422" i="1"/>
  <c r="Q422" i="1" s="1" a="1"/>
  <c r="Q422" i="1" s="1"/>
  <c r="P1232" i="1"/>
  <c r="Q1232" i="1" s="1" a="1"/>
  <c r="Q1232" i="1" s="1"/>
  <c r="P1237" i="1"/>
  <c r="Q1237" i="1" s="1" a="1"/>
  <c r="Q1237" i="1" s="1"/>
  <c r="P432" i="1"/>
  <c r="Q432" i="1" s="1" a="1"/>
  <c r="Q432" i="1" s="1"/>
  <c r="P436" i="1"/>
  <c r="P442" i="1"/>
  <c r="P448" i="1"/>
  <c r="P1249" i="1"/>
  <c r="Q1249" i="1" s="1" a="1"/>
  <c r="Q1249" i="1" s="1"/>
  <c r="P455" i="1"/>
  <c r="Q455" i="1" s="1" a="1"/>
  <c r="Q455" i="1" s="1"/>
  <c r="P1038" i="1"/>
  <c r="Q1038" i="1" s="1" a="1"/>
  <c r="Q1038" i="1" s="1"/>
  <c r="P464" i="1"/>
  <c r="Q464" i="1" s="1" a="1"/>
  <c r="Q464" i="1" s="1"/>
  <c r="P472" i="1"/>
  <c r="Q472" i="1" s="1" a="1"/>
  <c r="Q472" i="1" s="1"/>
  <c r="P1048" i="1"/>
  <c r="Q1048" i="1" s="1" a="1"/>
  <c r="Q1048" i="1" s="1"/>
  <c r="P1348" i="1"/>
  <c r="Q1348" i="1" s="1" a="1"/>
  <c r="Q1348" i="1" s="1"/>
  <c r="P1297" i="1"/>
  <c r="Q1297" i="1" s="1" a="1"/>
  <c r="Q1297" i="1" s="1"/>
  <c r="P1355" i="1"/>
  <c r="Q1355" i="1" s="1" a="1"/>
  <c r="Q1355" i="1" s="1"/>
  <c r="P474" i="1"/>
  <c r="Q474" i="1" s="1" a="1"/>
  <c r="Q474" i="1" s="1"/>
  <c r="P1056" i="1"/>
  <c r="Q1056" i="1" s="1" a="1"/>
  <c r="Q1056" i="1" s="1"/>
  <c r="P1060" i="1"/>
  <c r="Q1060" i="1" s="1" a="1"/>
  <c r="Q1060" i="1" s="1"/>
  <c r="P491" i="1"/>
  <c r="Q491" i="1" s="1" a="1"/>
  <c r="Q491" i="1" s="1"/>
  <c r="P497" i="1"/>
  <c r="Q497" i="1" s="1" a="1"/>
  <c r="Q497" i="1" s="1"/>
  <c r="P1065" i="1"/>
  <c r="Q1065" i="1" s="1" a="1"/>
  <c r="Q1065" i="1" s="1"/>
  <c r="P1257" i="1"/>
  <c r="Q1257" i="1" s="1" a="1"/>
  <c r="Q1257" i="1" s="1"/>
  <c r="P508" i="1"/>
  <c r="Q508" i="1" s="1" a="1"/>
  <c r="Q508" i="1" s="1"/>
  <c r="P1073" i="1"/>
  <c r="Q1073" i="1" s="1" a="1"/>
  <c r="Q1073" i="1" s="1"/>
  <c r="P1306" i="1"/>
  <c r="Q1306" i="1" s="1" a="1"/>
  <c r="Q1306" i="1" s="1"/>
  <c r="P516" i="1"/>
  <c r="P522" i="1"/>
  <c r="P1081" i="1"/>
  <c r="Q1081" i="1" s="1" a="1"/>
  <c r="Q1081" i="1" s="1"/>
  <c r="P535" i="1"/>
  <c r="P543" i="1"/>
  <c r="P1086" i="1"/>
  <c r="P547" i="1"/>
  <c r="P555" i="1"/>
  <c r="P563" i="1"/>
  <c r="P571" i="1"/>
  <c r="P574" i="1"/>
  <c r="P1101" i="1"/>
  <c r="P1310" i="1"/>
  <c r="P1318" i="1"/>
  <c r="Q1318" i="1" s="1" a="1"/>
  <c r="Q1318" i="1" s="1"/>
  <c r="P1325" i="1"/>
  <c r="P1265" i="1"/>
  <c r="P1271" i="1"/>
  <c r="P579" i="1"/>
  <c r="P1110" i="1"/>
  <c r="P589" i="1"/>
  <c r="P1182" i="1"/>
  <c r="P1189" i="1"/>
  <c r="P227" i="1"/>
  <c r="P237" i="1"/>
  <c r="P247" i="1"/>
  <c r="P258" i="1"/>
  <c r="P903" i="1"/>
  <c r="P270" i="1"/>
  <c r="P281" i="1"/>
  <c r="P291" i="1"/>
  <c r="P301" i="1"/>
  <c r="P310" i="1"/>
  <c r="P319" i="1"/>
  <c r="P920" i="1"/>
  <c r="P928" i="1"/>
  <c r="P939" i="1"/>
  <c r="P947" i="1"/>
  <c r="P1339" i="1"/>
  <c r="P1341" i="1"/>
  <c r="P1208" i="1"/>
  <c r="P334" i="1"/>
  <c r="P345" i="1"/>
  <c r="P355" i="1"/>
  <c r="P964" i="1"/>
  <c r="P975" i="1"/>
  <c r="P985" i="1"/>
  <c r="P1222" i="1"/>
  <c r="P364" i="1"/>
  <c r="P374" i="1"/>
  <c r="P1227" i="1"/>
  <c r="P378" i="1"/>
  <c r="Q378" i="1" s="1" a="1"/>
  <c r="Q378" i="1" s="1"/>
  <c r="P1003" i="1"/>
  <c r="Q1003" i="1" s="1" a="1"/>
  <c r="Q1003" i="1" s="1"/>
  <c r="P392" i="1"/>
  <c r="P1010" i="1"/>
  <c r="Q1010" i="1" s="1" a="1"/>
  <c r="Q1010" i="1" s="1"/>
  <c r="P402" i="1"/>
  <c r="Q402" i="1" s="1" a="1"/>
  <c r="Q402" i="1" s="1"/>
  <c r="P1024" i="1"/>
  <c r="P414" i="1"/>
  <c r="P423" i="1"/>
  <c r="P427" i="1"/>
  <c r="Q427" i="1" s="1" a="1"/>
  <c r="Q427" i="1" s="1"/>
  <c r="P1238" i="1"/>
  <c r="Q1238" i="1" s="1" a="1"/>
  <c r="Q1238" i="1" s="1"/>
  <c r="P1243" i="1"/>
  <c r="Q1243" i="1" s="1" a="1"/>
  <c r="Q1243" i="1" s="1"/>
  <c r="P1029" i="1"/>
  <c r="Q1029" i="1" s="1" a="1"/>
  <c r="Q1029" i="1" s="1"/>
  <c r="P443" i="1"/>
  <c r="Q443" i="1" s="1" a="1"/>
  <c r="Q443" i="1" s="1"/>
  <c r="P449" i="1"/>
  <c r="Q449" i="1" s="1" a="1"/>
  <c r="Q449" i="1" s="1"/>
  <c r="P1032" i="1"/>
  <c r="Q1032" i="1" s="1" a="1"/>
  <c r="Q1032" i="1" s="1"/>
  <c r="P1252" i="1"/>
  <c r="Q1252" i="1" s="1" a="1"/>
  <c r="Q1252" i="1" s="1"/>
  <c r="P459" i="1"/>
  <c r="Q459" i="1" s="1" a="1"/>
  <c r="Q459" i="1" s="1"/>
  <c r="P465" i="1"/>
  <c r="Q465" i="1" s="1" a="1"/>
  <c r="Q465" i="1" s="1"/>
  <c r="P1041" i="1"/>
  <c r="Q1041" i="1" s="1" a="1"/>
  <c r="Q1041" i="1" s="1"/>
  <c r="P1049" i="1"/>
  <c r="Q1049" i="1" s="1" a="1"/>
  <c r="Q1049" i="1" s="1"/>
  <c r="P1293" i="1"/>
  <c r="Q1293" i="1" s="1" a="1"/>
  <c r="Q1293" i="1" s="1"/>
  <c r="P1298" i="1"/>
  <c r="Q1298" i="1" s="1" a="1"/>
  <c r="Q1298" i="1" s="1"/>
  <c r="P1302" i="1"/>
  <c r="Q1302" i="1" s="1" a="1"/>
  <c r="Q1302" i="1" s="1"/>
  <c r="P475" i="1"/>
  <c r="P481" i="1"/>
  <c r="Q481" i="1" s="1" a="1"/>
  <c r="Q481" i="1" s="1"/>
  <c r="P485" i="1"/>
  <c r="P492" i="1"/>
  <c r="Q492" i="1" s="1" a="1"/>
  <c r="Q492" i="1" s="1"/>
  <c r="P498" i="1"/>
  <c r="P502" i="1"/>
  <c r="Q502" i="1" s="1" a="1"/>
  <c r="Q502" i="1" s="1"/>
  <c r="P1068" i="1"/>
  <c r="Q1068" i="1" s="1" a="1"/>
  <c r="Q1068" i="1" s="1"/>
  <c r="P1260" i="1"/>
  <c r="Q1260" i="1" s="1" a="1"/>
  <c r="Q1260" i="1" s="1"/>
  <c r="P1074" i="1"/>
  <c r="Q1074" i="1" s="1" a="1"/>
  <c r="Q1074" i="1" s="1"/>
  <c r="P1360" i="1"/>
  <c r="Q1360" i="1" s="1" a="1"/>
  <c r="Q1360" i="1" s="1"/>
  <c r="P1077" i="1"/>
  <c r="Q1077" i="1" s="1" a="1"/>
  <c r="Q1077" i="1" s="1"/>
  <c r="P523" i="1"/>
  <c r="P528" i="1"/>
  <c r="P536" i="1"/>
  <c r="P544" i="1"/>
  <c r="P1087" i="1"/>
  <c r="P548" i="1"/>
  <c r="P556" i="1"/>
  <c r="P564" i="1"/>
  <c r="P1094" i="1"/>
  <c r="P575" i="1"/>
  <c r="P1102" i="1"/>
  <c r="P1311" i="1"/>
  <c r="P1319" i="1"/>
  <c r="Q1319" i="1" s="1" a="1"/>
  <c r="Q1319" i="1" s="1"/>
  <c r="P1326" i="1"/>
  <c r="P1266" i="1"/>
  <c r="P1183" i="1"/>
  <c r="P897" i="1"/>
  <c r="P229" i="1"/>
  <c r="P238" i="1"/>
  <c r="P248" i="1"/>
  <c r="P260" i="1"/>
  <c r="P904" i="1"/>
  <c r="P271" i="1"/>
  <c r="P283" i="1"/>
  <c r="P292" i="1"/>
  <c r="P302" i="1"/>
  <c r="P311" i="1"/>
  <c r="P320" i="1"/>
  <c r="P921" i="1"/>
  <c r="P930" i="1"/>
  <c r="P940" i="1"/>
  <c r="P948" i="1"/>
  <c r="P327" i="1"/>
  <c r="P1199" i="1"/>
  <c r="P1209" i="1"/>
  <c r="P336" i="1"/>
  <c r="P346" i="1"/>
  <c r="P356" i="1"/>
  <c r="P966" i="1"/>
  <c r="P976" i="1"/>
  <c r="P986" i="1"/>
  <c r="P1224" i="1"/>
  <c r="P365" i="1"/>
  <c r="P989" i="1"/>
  <c r="P995" i="1"/>
  <c r="P379" i="1"/>
  <c r="P384" i="1"/>
  <c r="Q384" i="1" s="1" a="1"/>
  <c r="Q384" i="1" s="1"/>
  <c r="P393" i="1"/>
  <c r="Q393" i="1" s="1" a="1"/>
  <c r="Q393" i="1" s="1"/>
  <c r="P399" i="1"/>
  <c r="Q399" i="1" s="1" a="1"/>
  <c r="Q399" i="1" s="1"/>
  <c r="P1017" i="1"/>
  <c r="Q1017" i="1" s="1" a="1"/>
  <c r="Q1017" i="1" s="1"/>
  <c r="P1025" i="1"/>
  <c r="Q1025" i="1" s="1" a="1"/>
  <c r="Q1025" i="1" s="1"/>
  <c r="P415" i="1"/>
  <c r="P1229" i="1"/>
  <c r="Q1229" i="1" s="1" a="1"/>
  <c r="Q1229" i="1" s="1"/>
  <c r="P1233" i="1"/>
  <c r="Q1233" i="1" s="1" a="1"/>
  <c r="Q1233" i="1" s="1"/>
  <c r="P430" i="1"/>
  <c r="Q430" i="1" s="1" a="1"/>
  <c r="Q430" i="1" s="1"/>
  <c r="P1244" i="1"/>
  <c r="Q1244" i="1" s="1" a="1"/>
  <c r="Q1244" i="1" s="1"/>
  <c r="P1030" i="1"/>
  <c r="Q1030" i="1" s="1" a="1"/>
  <c r="Q1030" i="1" s="1"/>
  <c r="P1245" i="1"/>
  <c r="Q1245" i="1" s="1" a="1"/>
  <c r="Q1245" i="1" s="1"/>
  <c r="P1247" i="1"/>
  <c r="Q1247" i="1" s="1" a="1"/>
  <c r="Q1247" i="1" s="1"/>
  <c r="P453" i="1"/>
  <c r="Q453" i="1" s="1" a="1"/>
  <c r="Q453" i="1" s="1"/>
  <c r="P1035" i="1"/>
  <c r="Q1035" i="1" s="1" a="1"/>
  <c r="Q1035" i="1" s="1"/>
  <c r="P1039" i="1"/>
  <c r="Q1039" i="1" s="1" a="1"/>
  <c r="Q1039" i="1" s="1"/>
  <c r="P466" i="1"/>
  <c r="Q466" i="1" s="1" a="1"/>
  <c r="Q466" i="1" s="1"/>
  <c r="P1042" i="1"/>
  <c r="Q1042" i="1" s="1" a="1"/>
  <c r="Q1042" i="1" s="1"/>
  <c r="P1050" i="1"/>
  <c r="Q1050" i="1" s="1" a="1"/>
  <c r="Q1050" i="1" s="1"/>
  <c r="P1294" i="1"/>
  <c r="Q1294" i="1" s="1" a="1"/>
  <c r="Q1294" i="1" s="1"/>
  <c r="P1352" i="1"/>
  <c r="Q1352" i="1" s="1" a="1"/>
  <c r="Q1352" i="1" s="1"/>
  <c r="P1356" i="1"/>
  <c r="Q1356" i="1" s="1" a="1"/>
  <c r="Q1356" i="1" s="1"/>
  <c r="P476" i="1"/>
  <c r="P482" i="1"/>
  <c r="Q482" i="1" s="1" a="1"/>
  <c r="Q482" i="1" s="1"/>
  <c r="P486" i="1"/>
  <c r="Q486" i="1" s="1" a="1"/>
  <c r="Q486" i="1" s="1"/>
  <c r="P1062" i="1"/>
  <c r="Q1062" i="1" s="1" a="1"/>
  <c r="Q1062" i="1" s="1"/>
  <c r="P1064" i="1"/>
  <c r="Q1064" i="1" s="1" a="1"/>
  <c r="Q1064" i="1" s="1"/>
  <c r="P1255" i="1"/>
  <c r="Q1255" i="1" s="1" a="1"/>
  <c r="Q1255" i="1" s="1"/>
  <c r="P505" i="1"/>
  <c r="Q505" i="1" s="1" a="1"/>
  <c r="Q505" i="1" s="1"/>
  <c r="P1070" i="1"/>
  <c r="Q1070" i="1" s="1" a="1"/>
  <c r="Q1070" i="1" s="1"/>
  <c r="P512" i="1"/>
  <c r="Q512" i="1" s="1" a="1"/>
  <c r="Q512" i="1" s="1"/>
  <c r="P1361" i="1"/>
  <c r="Q1361" i="1" s="1" a="1"/>
  <c r="Q1361" i="1" s="1"/>
  <c r="P1078" i="1"/>
  <c r="Q1078" i="1" s="1" a="1"/>
  <c r="Q1078" i="1" s="1"/>
  <c r="P524" i="1"/>
  <c r="P529" i="1"/>
  <c r="P537" i="1"/>
  <c r="P545" i="1"/>
  <c r="P1088" i="1"/>
  <c r="P549" i="1"/>
  <c r="P557" i="1"/>
  <c r="P565" i="1"/>
  <c r="P1095" i="1"/>
  <c r="P576" i="1"/>
  <c r="P1103" i="1"/>
  <c r="P1312" i="1"/>
  <c r="P1320" i="1"/>
  <c r="Q1320" i="1" s="1" a="1"/>
  <c r="Q1320" i="1" s="1"/>
  <c r="P1327" i="1"/>
  <c r="P1267" i="1"/>
  <c r="P1273" i="1"/>
  <c r="P1109" i="1"/>
  <c r="P1112" i="1"/>
  <c r="P1185" i="1"/>
  <c r="P239" i="1"/>
  <c r="P266" i="1"/>
  <c r="P285" i="1"/>
  <c r="P913" i="1"/>
  <c r="P926" i="1"/>
  <c r="P952" i="1"/>
  <c r="P1342" i="1"/>
  <c r="P353" i="1"/>
  <c r="P978" i="1"/>
  <c r="P366" i="1"/>
  <c r="P1345" i="1"/>
  <c r="P395" i="1"/>
  <c r="Q395" i="1" s="1" a="1"/>
  <c r="Q395" i="1" s="1"/>
  <c r="P407" i="1"/>
  <c r="P1231" i="1"/>
  <c r="Q1231" i="1" s="1" a="1"/>
  <c r="Q1231" i="1" s="1"/>
  <c r="P434" i="1"/>
  <c r="Q434" i="1" s="1" a="1"/>
  <c r="Q434" i="1" s="1"/>
  <c r="P1031" i="1"/>
  <c r="Q1031" i="1" s="1" a="1"/>
  <c r="Q1031" i="1" s="1"/>
  <c r="P1037" i="1"/>
  <c r="Q1037" i="1" s="1" a="1"/>
  <c r="Q1037" i="1" s="1"/>
  <c r="P1044" i="1"/>
  <c r="Q1044" i="1" s="1" a="1"/>
  <c r="Q1044" i="1" s="1"/>
  <c r="P1353" i="1"/>
  <c r="Q1353" i="1" s="1" a="1"/>
  <c r="Q1353" i="1" s="1"/>
  <c r="P480" i="1"/>
  <c r="P494" i="1"/>
  <c r="Q494" i="1" s="1" a="1"/>
  <c r="Q494" i="1" s="1"/>
  <c r="P1258" i="1"/>
  <c r="Q1258" i="1" s="1" a="1"/>
  <c r="Q1258" i="1" s="1"/>
  <c r="P1304" i="1"/>
  <c r="Q1304" i="1" s="1" a="1"/>
  <c r="Q1304" i="1" s="1"/>
  <c r="P518" i="1"/>
  <c r="Q518" i="1" s="1" a="1"/>
  <c r="Q518" i="1" s="1"/>
  <c r="P531" i="1"/>
  <c r="P1082" i="1"/>
  <c r="P551" i="1"/>
  <c r="P567" i="1"/>
  <c r="P1099" i="1"/>
  <c r="P1314" i="1"/>
  <c r="P1329" i="1"/>
  <c r="P1274" i="1"/>
  <c r="P585" i="1"/>
  <c r="P895" i="1"/>
  <c r="P240" i="1"/>
  <c r="P905" i="1"/>
  <c r="P289" i="1"/>
  <c r="P312" i="1"/>
  <c r="P931" i="1"/>
  <c r="P955" i="1"/>
  <c r="P1212" i="1"/>
  <c r="P358" i="1"/>
  <c r="P983" i="1"/>
  <c r="P367" i="1"/>
  <c r="P999" i="1"/>
  <c r="Q999" i="1" s="1" a="1"/>
  <c r="Q999" i="1" s="1"/>
  <c r="P1009" i="1"/>
  <c r="Q1009" i="1" s="1" a="1"/>
  <c r="Q1009" i="1" s="1"/>
  <c r="P408" i="1"/>
  <c r="Q408" i="1" s="1" a="1"/>
  <c r="Q408" i="1" s="1"/>
  <c r="P1234" i="1"/>
  <c r="Q1234" i="1" s="1" a="1"/>
  <c r="Q1234" i="1" s="1"/>
  <c r="P435" i="1"/>
  <c r="Q435" i="1" s="1" a="1"/>
  <c r="Q435" i="1" s="1"/>
  <c r="P450" i="1"/>
  <c r="Q450" i="1" s="1" a="1"/>
  <c r="Q450" i="1" s="1"/>
  <c r="P1040" i="1"/>
  <c r="P1047" i="1"/>
  <c r="Q1047" i="1" s="1" a="1"/>
  <c r="Q1047" i="1" s="1"/>
  <c r="P1299" i="1"/>
  <c r="Q1299" i="1" s="1" a="1"/>
  <c r="Q1299" i="1" s="1"/>
  <c r="P1057" i="1"/>
  <c r="Q1057" i="1" s="1" a="1"/>
  <c r="Q1057" i="1" s="1"/>
  <c r="P1063" i="1"/>
  <c r="Q1063" i="1" s="1" a="1"/>
  <c r="Q1063" i="1" s="1"/>
  <c r="P1069" i="1"/>
  <c r="Q1069" i="1" s="1" a="1"/>
  <c r="Q1069" i="1" s="1"/>
  <c r="P1358" i="1"/>
  <c r="Q1358" i="1" s="1" a="1"/>
  <c r="Q1358" i="1" s="1"/>
  <c r="P519" i="1"/>
  <c r="P532" i="1"/>
  <c r="P1083" i="1"/>
  <c r="P552" i="1"/>
  <c r="P568" i="1"/>
  <c r="P1100" i="1"/>
  <c r="P1315" i="1"/>
  <c r="Q1315" i="1" s="1" a="1"/>
  <c r="Q1315" i="1" s="1"/>
  <c r="P1264" i="1"/>
  <c r="P1275" i="1"/>
  <c r="P1111" i="1"/>
  <c r="P899" i="1"/>
  <c r="P245" i="1"/>
  <c r="P906" i="1"/>
  <c r="P293" i="1"/>
  <c r="P316" i="1"/>
  <c r="P932" i="1"/>
  <c r="P328" i="1"/>
  <c r="P331" i="1"/>
  <c r="P958" i="1"/>
  <c r="P1214" i="1"/>
  <c r="P372" i="1"/>
  <c r="P380" i="1"/>
  <c r="Q380" i="1" s="1" a="1"/>
  <c r="Q380" i="1" s="1"/>
  <c r="P1011" i="1"/>
  <c r="Q1011" i="1" s="1" a="1"/>
  <c r="Q1011" i="1" s="1"/>
  <c r="P411" i="1"/>
  <c r="P428" i="1"/>
  <c r="Q428" i="1" s="1" a="1"/>
  <c r="Q428" i="1" s="1"/>
  <c r="P437" i="1"/>
  <c r="P452" i="1"/>
  <c r="Q452" i="1" s="1" a="1"/>
  <c r="Q452" i="1" s="1"/>
  <c r="P460" i="1"/>
  <c r="Q460" i="1" s="1" a="1"/>
  <c r="Q460" i="1" s="1"/>
  <c r="P1051" i="1"/>
  <c r="Q1051" i="1" s="1" a="1"/>
  <c r="Q1051" i="1" s="1"/>
  <c r="P1301" i="1"/>
  <c r="Q1301" i="1" s="1" a="1"/>
  <c r="Q1301" i="1" s="1"/>
  <c r="P1058" i="1"/>
  <c r="Q1058" i="1" s="1" a="1"/>
  <c r="Q1058" i="1" s="1"/>
  <c r="P499" i="1"/>
  <c r="Q499" i="1" s="1" a="1"/>
  <c r="Q499" i="1" s="1"/>
  <c r="P507" i="1"/>
  <c r="P1359" i="1"/>
  <c r="Q1359" i="1" s="1" a="1"/>
  <c r="Q1359" i="1" s="1"/>
  <c r="P521" i="1"/>
  <c r="Q521" i="1" s="1" a="1"/>
  <c r="Q521" i="1" s="1"/>
  <c r="P534" i="1"/>
  <c r="P1085" i="1"/>
  <c r="P554" i="1"/>
  <c r="P570" i="1"/>
  <c r="P1309" i="1"/>
  <c r="Q1309" i="1" s="1" a="1"/>
  <c r="Q1309" i="1" s="1"/>
  <c r="P1317" i="1"/>
  <c r="Q1317" i="1" s="1" a="1"/>
  <c r="Q1317" i="1" s="1"/>
  <c r="P578" i="1"/>
  <c r="P1276" i="1"/>
  <c r="P1113" i="1"/>
  <c r="P1190" i="1"/>
  <c r="P250" i="1"/>
  <c r="P909" i="1"/>
  <c r="P294" i="1"/>
  <c r="P321" i="1"/>
  <c r="P936" i="1"/>
  <c r="P1193" i="1"/>
  <c r="P337" i="1"/>
  <c r="P961" i="1"/>
  <c r="P1216" i="1"/>
  <c r="P991" i="1"/>
  <c r="P383" i="1"/>
  <c r="Q383" i="1" s="1" a="1"/>
  <c r="Q383" i="1" s="1"/>
  <c r="P1012" i="1"/>
  <c r="Q1012" i="1" s="1" a="1"/>
  <c r="Q1012" i="1" s="1"/>
  <c r="P416" i="1"/>
  <c r="Q416" i="1" s="1" a="1"/>
  <c r="Q416" i="1" s="1"/>
  <c r="P429" i="1"/>
  <c r="Q429" i="1" s="1" a="1"/>
  <c r="Q429" i="1" s="1"/>
  <c r="P438" i="1"/>
  <c r="Q438" i="1" s="1" a="1"/>
  <c r="Q438" i="1" s="1"/>
  <c r="P1250" i="1"/>
  <c r="Q1250" i="1" s="1" a="1"/>
  <c r="Q1250" i="1" s="1"/>
  <c r="P463" i="1"/>
  <c r="Q463" i="1" s="1" a="1"/>
  <c r="Q463" i="1" s="1"/>
  <c r="P1052" i="1"/>
  <c r="Q1052" i="1" s="1" a="1"/>
  <c r="Q1052" i="1" s="1"/>
  <c r="P1357" i="1"/>
  <c r="P1059" i="1"/>
  <c r="Q1059" i="1" s="1" a="1"/>
  <c r="Q1059" i="1" s="1"/>
  <c r="P500" i="1"/>
  <c r="Q500" i="1" s="1" a="1"/>
  <c r="Q500" i="1" s="1"/>
  <c r="P509" i="1"/>
  <c r="Q509" i="1" s="1" a="1"/>
  <c r="Q509" i="1" s="1"/>
  <c r="P1307" i="1"/>
  <c r="Q1307" i="1" s="1" a="1"/>
  <c r="Q1307" i="1" s="1"/>
  <c r="P525" i="1"/>
  <c r="P538" i="1"/>
  <c r="P1089" i="1"/>
  <c r="P558" i="1"/>
  <c r="P1261" i="1"/>
  <c r="P1104" i="1"/>
  <c r="P1321" i="1"/>
  <c r="P1362" i="1"/>
  <c r="P1108" i="1"/>
  <c r="P1114" i="1"/>
  <c r="P224" i="1"/>
  <c r="P252" i="1"/>
  <c r="P273" i="1"/>
  <c r="P299" i="1"/>
  <c r="P322" i="1"/>
  <c r="P941" i="1"/>
  <c r="P1197" i="1"/>
  <c r="P338" i="1"/>
  <c r="P967" i="1"/>
  <c r="P1219" i="1"/>
  <c r="P992" i="1"/>
  <c r="P386" i="1"/>
  <c r="P1015" i="1"/>
  <c r="Q1015" i="1" s="1" a="1"/>
  <c r="Q1015" i="1" s="1"/>
  <c r="P417" i="1"/>
  <c r="Q417" i="1" s="1" a="1"/>
  <c r="Q417" i="1" s="1"/>
  <c r="P1239" i="1"/>
  <c r="Q1239" i="1" s="1" a="1"/>
  <c r="Q1239" i="1" s="1"/>
  <c r="P441" i="1"/>
  <c r="Q441" i="1" s="1" a="1"/>
  <c r="Q441" i="1" s="1"/>
  <c r="P1033" i="1"/>
  <c r="Q1033" i="1" s="1" a="1"/>
  <c r="Q1033" i="1" s="1"/>
  <c r="P467" i="1"/>
  <c r="Q467" i="1" s="1" a="1"/>
  <c r="Q467" i="1" s="1"/>
  <c r="P1292" i="1"/>
  <c r="Q1292" i="1" s="1" a="1"/>
  <c r="Q1292" i="1" s="1"/>
  <c r="P1303" i="1"/>
  <c r="Q1303" i="1" s="1" a="1"/>
  <c r="Q1303" i="1" s="1"/>
  <c r="P487" i="1"/>
  <c r="P1254" i="1"/>
  <c r="Q1254" i="1" s="1" a="1"/>
  <c r="Q1254" i="1" s="1"/>
  <c r="P1071" i="1"/>
  <c r="Q1071" i="1" s="1" a="1"/>
  <c r="Q1071" i="1" s="1"/>
  <c r="P514" i="1"/>
  <c r="Q514" i="1" s="1" a="1"/>
  <c r="Q514" i="1" s="1"/>
  <c r="P526" i="1"/>
  <c r="P539" i="1"/>
  <c r="P1090" i="1"/>
  <c r="P559" i="1"/>
  <c r="P1096" i="1"/>
  <c r="P1105" i="1"/>
  <c r="P1263" i="1"/>
  <c r="P1268" i="1"/>
  <c r="P580" i="1"/>
  <c r="P586" i="1"/>
  <c r="P230" i="1"/>
  <c r="P255" i="1"/>
  <c r="P275" i="1"/>
  <c r="P304" i="1"/>
  <c r="P918" i="1"/>
  <c r="P942" i="1"/>
  <c r="P1200" i="1"/>
  <c r="P342" i="1"/>
  <c r="P968" i="1"/>
  <c r="P987" i="1"/>
  <c r="P1226" i="1"/>
  <c r="P1004" i="1"/>
  <c r="Q1004" i="1" s="1" a="1"/>
  <c r="Q1004" i="1" s="1"/>
  <c r="P403" i="1"/>
  <c r="Q403" i="1" s="1" a="1"/>
  <c r="Q403" i="1" s="1"/>
  <c r="P421" i="1"/>
  <c r="Q421" i="1" s="1" a="1"/>
  <c r="Q421" i="1" s="1"/>
  <c r="P1240" i="1"/>
  <c r="Q1240" i="1" s="1" a="1"/>
  <c r="Q1240" i="1" s="1"/>
  <c r="P444" i="1"/>
  <c r="P1034" i="1"/>
  <c r="Q1034" i="1" s="1" a="1"/>
  <c r="Q1034" i="1" s="1"/>
  <c r="P468" i="1"/>
  <c r="Q468" i="1" s="1" a="1"/>
  <c r="Q468" i="1" s="1"/>
  <c r="P1349" i="1"/>
  <c r="P473" i="1"/>
  <c r="Q473" i="1" s="1" a="1"/>
  <c r="Q473" i="1" s="1"/>
  <c r="P488" i="1"/>
  <c r="P1066" i="1"/>
  <c r="Q1066" i="1" s="1" a="1"/>
  <c r="Q1066" i="1" s="1"/>
  <c r="P1072" i="1"/>
  <c r="Q1072" i="1" s="1" a="1"/>
  <c r="Q1072" i="1" s="1"/>
  <c r="P1075" i="1"/>
  <c r="Q1075" i="1" s="1" a="1"/>
  <c r="Q1075" i="1" s="1"/>
  <c r="P527" i="1"/>
  <c r="P540" i="1"/>
  <c r="P1091" i="1"/>
  <c r="P560" i="1"/>
  <c r="P1097" i="1"/>
  <c r="P1106" i="1"/>
  <c r="P1322" i="1"/>
  <c r="Q1322" i="1" s="1" a="1"/>
  <c r="Q1322" i="1" s="1"/>
  <c r="P1363" i="1"/>
  <c r="P581" i="1"/>
  <c r="P588" i="1"/>
  <c r="P284" i="1"/>
  <c r="P1206" i="1"/>
  <c r="P996" i="1"/>
  <c r="P433" i="1"/>
  <c r="Q433" i="1" s="1" a="1"/>
  <c r="Q433" i="1" s="1"/>
  <c r="P1351" i="1"/>
  <c r="Q1351" i="1" s="1" a="1"/>
  <c r="Q1351" i="1" s="1"/>
  <c r="P513" i="1"/>
  <c r="Q513" i="1" s="1" a="1"/>
  <c r="Q513" i="1" s="1"/>
  <c r="P550" i="1"/>
  <c r="P1328" i="1"/>
  <c r="P1242" i="1"/>
  <c r="Q1242" i="1" s="1" a="1"/>
  <c r="Q1242" i="1" s="1"/>
  <c r="P1324" i="1"/>
  <c r="P1192" i="1"/>
  <c r="P347" i="1"/>
  <c r="P390" i="1"/>
  <c r="P445" i="1"/>
  <c r="Q445" i="1" s="1" a="1"/>
  <c r="Q445" i="1" s="1"/>
  <c r="P477" i="1"/>
  <c r="P515" i="1"/>
  <c r="Q515" i="1" s="1" a="1"/>
  <c r="Q515" i="1" s="1"/>
  <c r="P562" i="1"/>
  <c r="P1270" i="1"/>
  <c r="P511" i="1"/>
  <c r="Q511" i="1" s="1" a="1"/>
  <c r="Q511" i="1" s="1"/>
  <c r="P1184" i="1"/>
  <c r="P308" i="1"/>
  <c r="P348" i="1"/>
  <c r="P394" i="1"/>
  <c r="Q394" i="1" s="1" a="1"/>
  <c r="Q394" i="1" s="1"/>
  <c r="P447" i="1"/>
  <c r="Q447" i="1" s="1" a="1"/>
  <c r="Q447" i="1" s="1"/>
  <c r="P478" i="1"/>
  <c r="Q478" i="1" s="1" a="1"/>
  <c r="Q478" i="1" s="1"/>
  <c r="P517" i="1"/>
  <c r="P566" i="1"/>
  <c r="P1272" i="1"/>
  <c r="P278" i="1"/>
  <c r="P231" i="1"/>
  <c r="P923" i="1"/>
  <c r="P972" i="1"/>
  <c r="P1020" i="1"/>
  <c r="Q1020" i="1" s="1" a="1"/>
  <c r="Q1020" i="1" s="1"/>
  <c r="P456" i="1"/>
  <c r="Q456" i="1" s="1" a="1"/>
  <c r="Q456" i="1" s="1"/>
  <c r="P1061" i="1"/>
  <c r="Q1061" i="1" s="1" a="1"/>
  <c r="Q1061" i="1" s="1"/>
  <c r="P1080" i="1"/>
  <c r="Q1080" i="1" s="1" a="1"/>
  <c r="Q1080" i="1" s="1"/>
  <c r="P573" i="1"/>
  <c r="P582" i="1"/>
  <c r="P1228" i="1"/>
  <c r="P234" i="1"/>
  <c r="P925" i="1"/>
  <c r="P977" i="1"/>
  <c r="P1022" i="1"/>
  <c r="Q1022" i="1" s="1" a="1"/>
  <c r="Q1022" i="1" s="1"/>
  <c r="P457" i="1"/>
  <c r="Q457" i="1" s="1" a="1"/>
  <c r="Q457" i="1" s="1"/>
  <c r="P493" i="1"/>
  <c r="P530" i="1"/>
  <c r="P1098" i="1"/>
  <c r="P583" i="1"/>
  <c r="P1093" i="1"/>
  <c r="P261" i="1"/>
  <c r="P1287" i="1"/>
  <c r="P988" i="1"/>
  <c r="P424" i="1"/>
  <c r="Q424" i="1" s="1" a="1"/>
  <c r="Q424" i="1" s="1"/>
  <c r="P471" i="1"/>
  <c r="Q471" i="1" s="1" a="1"/>
  <c r="Q471" i="1" s="1"/>
  <c r="P503" i="1"/>
  <c r="Q503" i="1" s="1" a="1"/>
  <c r="Q503" i="1" s="1"/>
  <c r="P542" i="1"/>
  <c r="P1262" i="1"/>
  <c r="P1201" i="1"/>
  <c r="P262" i="1"/>
  <c r="P950" i="1"/>
  <c r="P1343" i="1"/>
  <c r="P425" i="1"/>
  <c r="Q425" i="1" s="1" a="1"/>
  <c r="Q425" i="1" s="1"/>
  <c r="P1043" i="1"/>
  <c r="P504" i="1"/>
  <c r="Q504" i="1" s="1" a="1"/>
  <c r="Q504" i="1" s="1"/>
  <c r="P546" i="1"/>
  <c r="P1313" i="1"/>
  <c r="P1350" i="1"/>
  <c r="Q1350" i="1" s="1" a="1"/>
  <c r="Q1350" i="1" s="1"/>
  <c r="Q1053" i="1" a="1"/>
  <c r="Q1053" i="1" s="1"/>
  <c r="Q1300" i="1" a="1"/>
  <c r="Q1300" i="1" s="1"/>
  <c r="Q1295" i="1" a="1"/>
  <c r="Q1295" i="1" s="1"/>
  <c r="Q1346" i="1" a="1"/>
  <c r="Q1346" i="1" s="1"/>
  <c r="Q1045" i="1" a="1"/>
  <c r="Q1045" i="1" s="1"/>
  <c r="Q469" i="1" a="1"/>
  <c r="Q469" i="1" s="1"/>
  <c r="Q461" i="1" a="1"/>
  <c r="Q461" i="1" s="1"/>
  <c r="Q1036" i="1" a="1"/>
  <c r="Q1036" i="1" s="1"/>
  <c r="Q454" i="1" a="1"/>
  <c r="Q454" i="1" s="1"/>
  <c r="Q1248" i="1" a="1"/>
  <c r="Q1248" i="1" s="1"/>
  <c r="Q1246" i="1" a="1"/>
  <c r="Q1246" i="1" s="1"/>
  <c r="Q1027" i="1" a="1"/>
  <c r="Q1027" i="1" s="1"/>
  <c r="Q431" i="1" a="1"/>
  <c r="Q431" i="1" s="1"/>
  <c r="Q1235" i="1" a="1"/>
  <c r="Q1235" i="1" s="1"/>
  <c r="Q1230" i="1" a="1"/>
  <c r="Q1230" i="1" s="1"/>
  <c r="Q419" i="1" a="1"/>
  <c r="Q419" i="1" s="1"/>
  <c r="Q1024" i="1" a="1"/>
  <c r="Q1024" i="1" s="1"/>
  <c r="Q1013" i="1" a="1"/>
  <c r="Q1013" i="1" s="1"/>
  <c r="Q1000" i="1" a="1"/>
  <c r="Q1000" i="1" s="1"/>
  <c r="B3" i="9"/>
  <c r="C4" i="9" a="1"/>
  <c r="C4" i="9" s="1"/>
  <c r="Q912" i="1" s="1" a="1"/>
  <c r="Q912" i="1" s="1"/>
  <c r="C5" i="9" a="1"/>
  <c r="C5" i="9" s="1"/>
  <c r="C6" i="9" a="1"/>
  <c r="C6" i="9" s="1"/>
  <c r="C8" i="9" a="1"/>
  <c r="C8" i="9" s="1"/>
  <c r="Q1270" i="1" l="1" a="1"/>
  <c r="Q1270" i="1" s="1"/>
  <c r="Q941" i="1" a="1"/>
  <c r="Q941" i="1" s="1"/>
  <c r="Q1113" i="1" a="1"/>
  <c r="Q1113" i="1" s="1"/>
  <c r="Q1214" i="1" a="1"/>
  <c r="Q1214" i="1" s="1"/>
  <c r="Q1273" i="1" a="1"/>
  <c r="Q1273" i="1" s="1"/>
  <c r="Q966" i="1" a="1"/>
  <c r="Q966" i="1" s="1"/>
  <c r="Q1266" i="1" a="1"/>
  <c r="Q1266" i="1" s="1"/>
  <c r="Q1110" i="1" a="1"/>
  <c r="Q1110" i="1" s="1"/>
  <c r="Q1084" i="1" a="1"/>
  <c r="Q1084" i="1" s="1"/>
  <c r="Q1198" i="1" a="1"/>
  <c r="Q1198" i="1" s="1"/>
  <c r="Q913" i="1" a="1"/>
  <c r="Q913" i="1" s="1"/>
  <c r="Q1267" i="1" a="1"/>
  <c r="Q1267" i="1" s="1"/>
  <c r="Q959" i="1" a="1"/>
  <c r="Q959" i="1" s="1"/>
  <c r="Q933" i="1" a="1"/>
  <c r="Q933" i="1" s="1"/>
  <c r="Q958" i="1" a="1"/>
  <c r="Q958" i="1" s="1"/>
  <c r="Q899" i="1" a="1"/>
  <c r="Q899" i="1" s="1"/>
  <c r="Q1083" i="1" a="1"/>
  <c r="Q1083" i="1" s="1"/>
  <c r="Q1087" i="1" a="1"/>
  <c r="Q1087" i="1" s="1"/>
  <c r="Q938" i="1" a="1"/>
  <c r="Q938" i="1" s="1"/>
  <c r="Q1218" i="1" a="1"/>
  <c r="Q1218" i="1" s="1"/>
  <c r="Q1111" i="1" a="1"/>
  <c r="Q1111" i="1" s="1"/>
  <c r="Q1088" i="1" a="1"/>
  <c r="Q1088" i="1" s="1"/>
  <c r="Q911" i="1" a="1"/>
  <c r="Q911" i="1" s="1"/>
  <c r="Q1093" i="1" a="1"/>
  <c r="Q1093" i="1" s="1"/>
  <c r="Q1091" i="1" a="1"/>
  <c r="Q1091" i="1" s="1"/>
  <c r="Q1096" i="1" a="1"/>
  <c r="Q1096" i="1" s="1"/>
  <c r="Q1102" i="1" a="1"/>
  <c r="Q1102" i="1" s="1"/>
  <c r="Q1222" i="1" a="1"/>
  <c r="Q1222" i="1" s="1"/>
  <c r="Q1199" i="1" a="1"/>
  <c r="Q1199" i="1" s="1"/>
  <c r="Q1086" i="1" a="1"/>
  <c r="Q1086" i="1" s="1"/>
  <c r="Q1269" i="1" a="1"/>
  <c r="Q1269" i="1" s="1"/>
  <c r="Q934" i="1" a="1"/>
  <c r="Q934" i="1" s="1"/>
  <c r="Q1223" i="1" a="1"/>
  <c r="Q1223" i="1" s="1"/>
  <c r="Q943" i="1" a="1"/>
  <c r="Q943" i="1" s="1"/>
  <c r="Q1217" i="1" a="1"/>
  <c r="Q1217" i="1" s="1"/>
  <c r="Q1215" i="1" a="1"/>
  <c r="Q1215" i="1" s="1"/>
  <c r="Q900" i="1" a="1"/>
  <c r="Q900" i="1" s="1"/>
  <c r="Q1090" i="1" a="1"/>
  <c r="Q1090" i="1" s="1"/>
  <c r="Q1082" i="1" a="1"/>
  <c r="Q1082" i="1" s="1"/>
  <c r="Q1219" i="1" a="1"/>
  <c r="Q1219" i="1" s="1"/>
  <c r="Q932" i="1" a="1"/>
  <c r="Q932" i="1" s="1"/>
  <c r="Q1200" i="1" a="1"/>
  <c r="Q1200" i="1" s="1"/>
  <c r="Q967" i="1" a="1"/>
  <c r="Q967" i="1" s="1"/>
  <c r="Q1089" i="1" a="1"/>
  <c r="Q1089" i="1" s="1"/>
  <c r="Q1272" i="1" a="1"/>
  <c r="Q1272" i="1" s="1"/>
  <c r="Q942" i="1" a="1"/>
  <c r="Q942" i="1" s="1"/>
  <c r="Q931" i="1" a="1"/>
  <c r="Q931" i="1" s="1"/>
  <c r="Q1112" i="1" a="1"/>
  <c r="Q1112" i="1" s="1"/>
  <c r="Q1097" i="1" a="1"/>
  <c r="Q1097" i="1" s="1"/>
  <c r="Q918" i="1" a="1"/>
  <c r="Q918" i="1" s="1"/>
  <c r="Q1197" i="1" a="1"/>
  <c r="Q1197" i="1" s="1"/>
  <c r="Q1085" i="1" a="1"/>
  <c r="Q1085" i="1" s="1"/>
  <c r="Q939" i="1" a="1"/>
  <c r="Q939" i="1" s="1"/>
  <c r="Q1101" i="1" a="1"/>
  <c r="Q1101" i="1" s="1"/>
  <c r="Q1220" i="1" a="1"/>
  <c r="Q1220" i="1" s="1"/>
  <c r="Q1092" i="1" a="1"/>
  <c r="Q1092" i="1" s="1"/>
  <c r="Q917" i="1" a="1"/>
  <c r="Q917" i="1" s="1"/>
  <c r="I1043" i="1" a="1"/>
  <c r="I1043" i="1" s="1"/>
  <c r="K1040" i="1" a="1"/>
  <c r="K1040" i="1" s="1"/>
  <c r="Q1040" i="1" s="1" a="1"/>
  <c r="Q1040" i="1" s="1"/>
  <c r="L1040" i="1" a="1"/>
  <c r="L1040" i="1" s="1"/>
  <c r="N1040" i="1" s="1"/>
  <c r="K444" i="1" a="1"/>
  <c r="K444" i="1" s="1"/>
  <c r="Q444" i="1" s="1" a="1"/>
  <c r="Q444" i="1" s="1"/>
  <c r="L444" i="1" a="1"/>
  <c r="L444" i="1" s="1"/>
  <c r="N444" i="1" s="1"/>
  <c r="K493" i="1" a="1"/>
  <c r="K493" i="1" s="1"/>
  <c r="Q493" i="1" s="1" a="1"/>
  <c r="Q493" i="1" s="1"/>
  <c r="L493" i="1" a="1"/>
  <c r="L493" i="1" s="1"/>
  <c r="N493" i="1" s="1"/>
  <c r="I1040" i="1" a="1"/>
  <c r="I1040" i="1" s="1"/>
  <c r="K290" i="1" a="1"/>
  <c r="K290" i="1" s="1"/>
  <c r="L290" i="1" a="1"/>
  <c r="L290" i="1" s="1"/>
  <c r="N290" i="1" s="1"/>
  <c r="K1357" i="1" a="1"/>
  <c r="K1357" i="1" s="1"/>
  <c r="Q1357" i="1" s="1" a="1"/>
  <c r="Q1357" i="1" s="1"/>
  <c r="L1357" i="1" a="1"/>
  <c r="L1357" i="1" s="1"/>
  <c r="N1357" i="1" s="1"/>
  <c r="I444" i="1" a="1"/>
  <c r="I444" i="1" s="1"/>
  <c r="M444" i="1"/>
  <c r="I493" i="1" a="1"/>
  <c r="I493" i="1" s="1"/>
  <c r="I290" i="1" a="1"/>
  <c r="I290" i="1" s="1"/>
  <c r="M290" i="1"/>
  <c r="L928" i="1" a="1"/>
  <c r="L928" i="1" s="1"/>
  <c r="N928" i="1" s="1"/>
  <c r="K928" i="1" a="1"/>
  <c r="K928" i="1" s="1"/>
  <c r="M928" i="1" s="1"/>
  <c r="I1357" i="1" a="1"/>
  <c r="I1357" i="1" s="1"/>
  <c r="K1349" i="1" a="1"/>
  <c r="K1349" i="1" s="1"/>
  <c r="Q1349" i="1" s="1" a="1"/>
  <c r="Q1349" i="1" s="1"/>
  <c r="L1349" i="1" a="1"/>
  <c r="L1349" i="1" s="1"/>
  <c r="N1349" i="1" s="1"/>
  <c r="K1021" i="1" a="1"/>
  <c r="K1021" i="1" s="1"/>
  <c r="M1021" i="1" s="1"/>
  <c r="L1021" i="1" a="1"/>
  <c r="L1021" i="1" s="1"/>
  <c r="N1021" i="1" s="1"/>
  <c r="I1349" i="1" a="1"/>
  <c r="I1349" i="1" s="1"/>
  <c r="M1349" i="1"/>
  <c r="K558" i="1" a="1"/>
  <c r="K558" i="1" s="1"/>
  <c r="M558" i="1" s="1"/>
  <c r="L558" i="1" a="1"/>
  <c r="L558" i="1" s="1"/>
  <c r="N558" i="1" s="1"/>
  <c r="I558" i="1" a="1"/>
  <c r="I558" i="1" s="1"/>
  <c r="L547" i="1" a="1"/>
  <c r="L547" i="1" s="1"/>
  <c r="N547" i="1" s="1"/>
  <c r="L1325" i="1" a="1"/>
  <c r="L1325" i="1" s="1"/>
  <c r="N1325" i="1" s="1"/>
  <c r="K1325" i="1" a="1"/>
  <c r="K1325" i="1" s="1"/>
  <c r="M1325" i="1" s="1"/>
  <c r="I1008" i="1" a="1"/>
  <c r="I1008" i="1" s="1"/>
  <c r="K1043" i="1" a="1"/>
  <c r="K1043" i="1" s="1"/>
  <c r="Q1043" i="1" s="1" a="1"/>
  <c r="Q1043" i="1" s="1"/>
  <c r="L1043" i="1" a="1"/>
  <c r="L1043" i="1" s="1"/>
  <c r="N1043" i="1" s="1"/>
  <c r="K1008" i="1" a="1"/>
  <c r="K1008" i="1" s="1"/>
  <c r="M1008" i="1" s="1"/>
  <c r="L1008" i="1" a="1"/>
  <c r="L1008" i="1" s="1"/>
  <c r="N1008" i="1" s="1"/>
  <c r="I902" i="1" a="1"/>
  <c r="I902" i="1" s="1"/>
  <c r="K902" i="1" a="1"/>
  <c r="K902" i="1" s="1"/>
  <c r="M902" i="1" s="1"/>
  <c r="L902" i="1" a="1"/>
  <c r="L902" i="1" s="1"/>
  <c r="N902" i="1" s="1"/>
  <c r="C3" i="9" a="1"/>
  <c r="C3" i="9" s="1"/>
  <c r="Q337" i="1" s="1" a="1"/>
  <c r="Q337" i="1" s="1"/>
  <c r="Q308" i="1" l="1" a="1"/>
  <c r="Q308" i="1" s="1"/>
  <c r="Q311" i="1" a="1"/>
  <c r="Q311" i="1" s="1"/>
  <c r="Q253" i="1" a="1"/>
  <c r="Q253" i="1" s="1"/>
  <c r="Q385" i="1" a="1"/>
  <c r="Q385" i="1" s="1"/>
  <c r="Q411" i="1" a="1"/>
  <c r="Q411" i="1" s="1"/>
  <c r="Q550" i="1" a="1"/>
  <c r="Q550" i="1" s="1"/>
  <c r="Q309" i="1" a="1"/>
  <c r="Q309" i="1" s="1"/>
  <c r="Q569" i="1" a="1"/>
  <c r="Q569" i="1" s="1"/>
  <c r="Q555" i="1" a="1"/>
  <c r="Q555" i="1" s="1"/>
  <c r="Q334" i="1" a="1"/>
  <c r="Q334" i="1" s="1"/>
  <c r="Q418" i="1" a="1"/>
  <c r="Q418" i="1" s="1"/>
  <c r="Q254" i="1" a="1"/>
  <c r="Q254" i="1" s="1"/>
  <c r="Q485" i="1" a="1"/>
  <c r="Q485" i="1" s="1"/>
  <c r="Q576" i="1" a="1"/>
  <c r="Q576" i="1" s="1"/>
  <c r="Q348" i="1" a="1"/>
  <c r="Q348" i="1" s="1"/>
  <c r="Q341" i="1" a="1"/>
  <c r="Q341" i="1" s="1"/>
  <c r="Q336" i="1" a="1"/>
  <c r="Q336" i="1" s="1"/>
  <c r="Q542" i="1" a="1"/>
  <c r="Q542" i="1" s="1"/>
  <c r="Q451" i="1" a="1"/>
  <c r="Q451" i="1" s="1"/>
  <c r="Q312" i="1" a="1"/>
  <c r="Q312" i="1" s="1"/>
  <c r="Q353" i="1" a="1"/>
  <c r="Q353" i="1" s="1"/>
  <c r="Q573" i="1" a="1"/>
  <c r="Q573" i="1" s="1"/>
  <c r="Q228" i="1" a="1"/>
  <c r="Q228" i="1" s="1"/>
  <c r="Q498" i="1" a="1"/>
  <c r="Q498" i="1" s="1"/>
  <c r="Q243" i="1" a="1"/>
  <c r="Q243" i="1" s="1"/>
  <c r="Q415" i="1" a="1"/>
  <c r="Q415" i="1" s="1"/>
  <c r="Q350" i="1" a="1"/>
  <c r="Q350" i="1" s="1"/>
  <c r="Q346" i="1" a="1"/>
  <c r="Q346" i="1" s="1"/>
  <c r="Q307" i="1" a="1"/>
  <c r="Q307" i="1" s="1"/>
  <c r="Q407" i="1" a="1"/>
  <c r="Q407" i="1" s="1"/>
  <c r="Q531" i="1" a="1"/>
  <c r="Q531" i="1" s="1"/>
  <c r="Q332" i="1" a="1"/>
  <c r="Q332" i="1" s="1"/>
  <c r="Q331" i="1" a="1"/>
  <c r="Q331" i="1" s="1"/>
  <c r="Q439" i="1" a="1"/>
  <c r="Q439" i="1" s="1"/>
  <c r="Q392" i="1" a="1"/>
  <c r="Q392" i="1" s="1"/>
  <c r="Q386" i="1" a="1"/>
  <c r="Q386" i="1" s="1"/>
  <c r="Q442" i="1" a="1"/>
  <c r="Q442" i="1" s="1"/>
  <c r="Q338" i="1" a="1"/>
  <c r="Q338" i="1" s="1"/>
  <c r="Q526" i="1" a="1"/>
  <c r="Q526" i="1" s="1"/>
  <c r="Q527" i="1" a="1"/>
  <c r="Q527" i="1" s="1"/>
  <c r="Q479" i="1" a="1"/>
  <c r="Q479" i="1" s="1"/>
  <c r="Q520" i="1" a="1"/>
  <c r="Q520" i="1" s="1"/>
  <c r="Q354" i="1" a="1"/>
  <c r="Q354" i="1" s="1"/>
  <c r="Q532" i="1" a="1"/>
  <c r="Q532" i="1" s="1"/>
  <c r="Q516" i="1" a="1"/>
  <c r="Q516" i="1" s="1"/>
  <c r="Q381" i="1" a="1"/>
  <c r="Q381" i="1" s="1"/>
  <c r="Q423" i="1" a="1"/>
  <c r="Q423" i="1" s="1"/>
  <c r="Q388" i="1" a="1"/>
  <c r="Q388" i="1" s="1"/>
  <c r="Q556" i="1" a="1"/>
  <c r="Q556" i="1" s="1"/>
  <c r="Q420" i="1" a="1"/>
  <c r="Q420" i="1" s="1"/>
  <c r="Q570" i="1" a="1"/>
  <c r="Q570" i="1" s="1"/>
  <c r="Q519" i="1" a="1"/>
  <c r="Q519" i="1" s="1"/>
  <c r="Q335" i="1" a="1"/>
  <c r="Q335" i="1" s="1"/>
  <c r="Q351" i="1" a="1"/>
  <c r="Q351" i="1" s="1"/>
  <c r="Q446" i="1" a="1"/>
  <c r="Q446" i="1" s="1"/>
  <c r="Q436" i="1" a="1"/>
  <c r="Q436" i="1" s="1"/>
  <c r="Q333" i="1" a="1"/>
  <c r="Q333" i="1" s="1"/>
  <c r="Q476" i="1" a="1"/>
  <c r="Q476" i="1" s="1"/>
  <c r="Q541" i="1" a="1"/>
  <c r="Q541" i="1" s="1"/>
  <c r="Q538" i="1" a="1"/>
  <c r="Q538" i="1" s="1"/>
  <c r="Q568" i="1" a="1"/>
  <c r="Q568" i="1" s="1"/>
  <c r="Q545" i="1" a="1"/>
  <c r="Q545" i="1" s="1"/>
  <c r="Q575" i="1" a="1"/>
  <c r="Q575" i="1" s="1"/>
  <c r="Q480" i="1" a="1"/>
  <c r="Q480" i="1" s="1"/>
  <c r="Q554" i="1" a="1"/>
  <c r="Q554" i="1" s="1"/>
  <c r="Q507" i="1" a="1"/>
  <c r="Q507" i="1" s="1"/>
  <c r="Q487" i="1" a="1"/>
  <c r="Q487" i="1" s="1"/>
  <c r="Q440" i="1" a="1"/>
  <c r="Q440" i="1" s="1"/>
  <c r="Q574" i="1" a="1"/>
  <c r="Q574" i="1" s="1"/>
  <c r="Q352" i="1" a="1"/>
  <c r="Q352" i="1" s="1"/>
  <c r="Q306" i="1" a="1"/>
  <c r="Q306" i="1" s="1"/>
  <c r="Q490" i="1" a="1"/>
  <c r="Q490" i="1" s="1"/>
  <c r="Q496" i="1" a="1"/>
  <c r="Q496" i="1" s="1"/>
  <c r="Q549" i="1" a="1"/>
  <c r="Q549" i="1" s="1"/>
  <c r="Q571" i="1" a="1"/>
  <c r="Q571" i="1" s="1"/>
  <c r="Q488" i="1" a="1"/>
  <c r="Q488" i="1" s="1"/>
  <c r="Q539" i="1" a="1"/>
  <c r="Q539" i="1" s="1"/>
  <c r="Q484" i="1" a="1"/>
  <c r="Q484" i="1" s="1"/>
  <c r="Q379" i="1" a="1"/>
  <c r="Q379" i="1" s="1"/>
  <c r="Q244" i="1" a="1"/>
  <c r="Q244" i="1" s="1"/>
  <c r="Q382" i="1" a="1"/>
  <c r="Q382" i="1" s="1"/>
  <c r="Q347" i="1" a="1"/>
  <c r="Q347" i="1" s="1"/>
  <c r="Q390" i="1" a="1"/>
  <c r="Q390" i="1" s="1"/>
  <c r="Q342" i="1" a="1"/>
  <c r="Q342" i="1" s="1"/>
  <c r="Q477" i="1" a="1"/>
  <c r="Q477" i="1" s="1"/>
  <c r="Q448" i="1" a="1"/>
  <c r="Q448" i="1" s="1"/>
  <c r="Q227" i="1" a="1"/>
  <c r="Q227" i="1" s="1"/>
  <c r="Q546" i="1" a="1"/>
  <c r="Q546" i="1" s="1"/>
  <c r="Q310" i="1" a="1"/>
  <c r="Q310" i="1" s="1"/>
  <c r="Q437" i="1" a="1"/>
  <c r="Q437" i="1" s="1"/>
  <c r="Q414" i="1" a="1"/>
  <c r="Q414" i="1" s="1"/>
  <c r="Q557" i="1" a="1"/>
  <c r="Q557" i="1" s="1"/>
  <c r="Q409" i="1" a="1"/>
  <c r="Q409" i="1" s="1"/>
  <c r="Q517" i="1" a="1"/>
  <c r="Q517" i="1" s="1"/>
  <c r="Q1008" i="1" a="1"/>
  <c r="Q1008" i="1" s="1"/>
  <c r="Q1021" i="1" a="1"/>
  <c r="Q1021" i="1" s="1"/>
  <c r="M493" i="1"/>
  <c r="M1040" i="1"/>
  <c r="M1043" i="1"/>
  <c r="M1357" i="1"/>
  <c r="A2" i="1"/>
  <c r="AA4" i="1" l="1" a="1"/>
  <c r="F129" i="1" a="1"/>
  <c r="F129" i="1" s="1"/>
  <c r="F63" i="1" a="1"/>
  <c r="F63" i="1" s="1"/>
  <c r="O63" i="1" s="1"/>
  <c r="F130" i="1" a="1"/>
  <c r="F130" i="1" s="1"/>
  <c r="F131" i="1" a="1"/>
  <c r="F131" i="1" s="1"/>
  <c r="F132" i="1" a="1"/>
  <c r="F132" i="1" s="1"/>
  <c r="F189" i="1" a="1"/>
  <c r="F189" i="1" s="1"/>
  <c r="F883" i="1" a="1"/>
  <c r="F883" i="1" s="1"/>
  <c r="F190" i="1" a="1"/>
  <c r="F190" i="1" s="1"/>
  <c r="F884" i="1" a="1"/>
  <c r="F884" i="1" s="1"/>
  <c r="O884" i="1" s="1"/>
  <c r="F885" i="1" a="1"/>
  <c r="F885" i="1" s="1"/>
  <c r="O885" i="1" s="1"/>
  <c r="F133" i="1" a="1"/>
  <c r="F133" i="1" s="1"/>
  <c r="O133" i="1" s="1"/>
  <c r="F134" i="1" a="1"/>
  <c r="F134" i="1" s="1"/>
  <c r="O134" i="1" s="1"/>
  <c r="F191" i="1" a="1"/>
  <c r="F191" i="1" s="1"/>
  <c r="O191" i="1" s="1"/>
  <c r="F4" i="1" a="1"/>
  <c r="F4" i="1" s="1"/>
  <c r="F659" i="1" a="1"/>
  <c r="F659" i="1" s="1"/>
  <c r="F213" i="1" a="1"/>
  <c r="F213" i="1" s="1"/>
  <c r="F689" i="1" a="1"/>
  <c r="F689" i="1" s="1"/>
  <c r="F1165" i="1" a="1"/>
  <c r="F1165" i="1" s="1"/>
  <c r="F135" i="1" a="1"/>
  <c r="F135" i="1" s="1"/>
  <c r="O135" i="1" s="1"/>
  <c r="F136" i="1" a="1"/>
  <c r="F136" i="1" s="1"/>
  <c r="O136" i="1" s="1"/>
  <c r="F1166" i="1" a="1"/>
  <c r="F1166" i="1" s="1"/>
  <c r="O1166" i="1" s="1"/>
  <c r="F1167" i="1" a="1"/>
  <c r="F1167" i="1" s="1"/>
  <c r="O1167" i="1" s="1"/>
  <c r="F105" i="1" a="1"/>
  <c r="F105" i="1" s="1"/>
  <c r="F214" i="1" a="1"/>
  <c r="F214" i="1" s="1"/>
  <c r="F697" i="1" a="1"/>
  <c r="F697" i="1" s="1"/>
  <c r="O697" i="1" s="1"/>
  <c r="F106" i="1" a="1"/>
  <c r="F106" i="1" s="1"/>
  <c r="F1127" i="1" a="1"/>
  <c r="F1127" i="1" s="1"/>
  <c r="F1168" i="1" a="1"/>
  <c r="F1168" i="1" s="1"/>
  <c r="O1168" i="1" s="1"/>
  <c r="F690" i="1" a="1"/>
  <c r="F690" i="1" s="1"/>
  <c r="F691" i="1" a="1"/>
  <c r="F691" i="1" s="1"/>
  <c r="O691" i="1" s="1"/>
  <c r="F1128" i="1" a="1"/>
  <c r="F1128" i="1" s="1"/>
  <c r="F733" i="1" a="1"/>
  <c r="F733" i="1" s="1"/>
  <c r="O733" i="1" s="1"/>
  <c r="F64" i="1" a="1"/>
  <c r="F64" i="1" s="1"/>
  <c r="F812" i="1" a="1"/>
  <c r="F812" i="1" s="1"/>
  <c r="F65" i="1" a="1"/>
  <c r="F65" i="1" s="1"/>
  <c r="O65" i="1" s="1"/>
  <c r="F660" i="1" a="1"/>
  <c r="F660" i="1" s="1"/>
  <c r="F692" i="1" a="1"/>
  <c r="F692" i="1" s="1"/>
  <c r="O692" i="1" s="1"/>
  <c r="F661" i="1" a="1"/>
  <c r="F661" i="1" s="1"/>
  <c r="F137" i="1" a="1"/>
  <c r="F137" i="1" s="1"/>
  <c r="O137" i="1" s="1"/>
  <c r="F47" i="1" a="1"/>
  <c r="F47" i="1" s="1"/>
  <c r="F662" i="1" a="1"/>
  <c r="F662" i="1" s="1"/>
  <c r="F663" i="1" a="1"/>
  <c r="F663" i="1" s="1"/>
  <c r="O663" i="1" s="1"/>
  <c r="F664" i="1" a="1"/>
  <c r="F664" i="1" s="1"/>
  <c r="O664" i="1" s="1"/>
  <c r="F192" i="1" a="1"/>
  <c r="F192" i="1" s="1"/>
  <c r="O192" i="1" s="1"/>
  <c r="F886" i="1" a="1"/>
  <c r="F886" i="1" s="1"/>
  <c r="O886" i="1" s="1"/>
  <c r="F646" i="1" a="1"/>
  <c r="F646" i="1" s="1"/>
  <c r="F647" i="1" a="1"/>
  <c r="F647" i="1" s="1"/>
  <c r="F887" i="1" a="1"/>
  <c r="F887" i="1" s="1"/>
  <c r="O887" i="1" s="1"/>
  <c r="F888" i="1" a="1"/>
  <c r="F888" i="1" s="1"/>
  <c r="F68" i="1" a="1"/>
  <c r="F68" i="1" s="1"/>
  <c r="F1155" i="1" a="1"/>
  <c r="F1155" i="1" s="1"/>
  <c r="F1129" i="1" a="1"/>
  <c r="F1129" i="1" s="1"/>
  <c r="F816" i="1" a="1"/>
  <c r="F816" i="1" s="1"/>
  <c r="F817" i="1" a="1"/>
  <c r="F817" i="1" s="1"/>
  <c r="F48" i="1" a="1"/>
  <c r="F48" i="1" s="1"/>
  <c r="F1130" i="1" a="1"/>
  <c r="F1130" i="1" s="1"/>
  <c r="F69" i="1" a="1"/>
  <c r="F69" i="1" s="1"/>
  <c r="F70" i="1" a="1"/>
  <c r="F70" i="1" s="1"/>
  <c r="F138" i="1" a="1"/>
  <c r="F138" i="1" s="1"/>
  <c r="O138" i="1" s="1"/>
  <c r="F21" i="1" a="1"/>
  <c r="F21" i="1" s="1"/>
  <c r="F813" i="1" a="1"/>
  <c r="F813" i="1" s="1"/>
  <c r="F818" i="1" a="1"/>
  <c r="F818" i="1" s="1"/>
  <c r="F139" i="1" a="1"/>
  <c r="F139" i="1" s="1"/>
  <c r="O139" i="1" s="1"/>
  <c r="F814" i="1" a="1"/>
  <c r="F814" i="1" s="1"/>
  <c r="F1156" i="1" a="1"/>
  <c r="F1156" i="1" s="1"/>
  <c r="F698" i="1" a="1"/>
  <c r="F698" i="1" s="1"/>
  <c r="O698" i="1" s="1"/>
  <c r="F1138" i="1" a="1"/>
  <c r="F1138" i="1" s="1"/>
  <c r="F693" i="1" a="1"/>
  <c r="F693" i="1" s="1"/>
  <c r="O693" i="1" s="1"/>
  <c r="F193" i="1" a="1"/>
  <c r="F193" i="1" s="1"/>
  <c r="O193" i="1" s="1"/>
  <c r="F194" i="1" a="1"/>
  <c r="F194" i="1" s="1"/>
  <c r="O194" i="1" s="1"/>
  <c r="F699" i="1" a="1"/>
  <c r="F699" i="1" s="1"/>
  <c r="O699" i="1" s="1"/>
  <c r="F1169" i="1" a="1"/>
  <c r="F1169" i="1" s="1"/>
  <c r="F1170" i="1" a="1"/>
  <c r="F1170" i="1" s="1"/>
  <c r="F806" i="1" a="1"/>
  <c r="F806" i="1" s="1"/>
  <c r="O806" i="1" s="1"/>
  <c r="F195" i="1" a="1"/>
  <c r="F195" i="1" s="1"/>
  <c r="F5" i="1" a="1"/>
  <c r="F5" i="1" s="1"/>
  <c r="F66" i="1" a="1"/>
  <c r="F66" i="1" s="1"/>
  <c r="O66" i="1" s="1"/>
  <c r="F889" i="1" a="1"/>
  <c r="F889" i="1" s="1"/>
  <c r="F700" i="1" a="1"/>
  <c r="F700" i="1" s="1"/>
  <c r="O700" i="1" s="1"/>
  <c r="F9" i="1" a="1"/>
  <c r="F9" i="1" s="1"/>
  <c r="O9" i="1" s="1"/>
  <c r="F10" i="1" a="1"/>
  <c r="F10" i="1" s="1"/>
  <c r="O10" i="1" s="1"/>
  <c r="F11" i="1" a="1"/>
  <c r="F11" i="1" s="1"/>
  <c r="O11" i="1" s="1"/>
  <c r="F49" i="1" a="1"/>
  <c r="F49" i="1" s="1"/>
  <c r="F50" i="1" a="1"/>
  <c r="F50" i="1" s="1"/>
  <c r="F51" i="1" a="1"/>
  <c r="F51" i="1" s="1"/>
  <c r="F593" i="1" a="1"/>
  <c r="F593" i="1" s="1"/>
  <c r="F594" i="1" a="1"/>
  <c r="F594" i="1" s="1"/>
  <c r="F1131" i="1" a="1"/>
  <c r="F1131" i="1" s="1"/>
  <c r="F595" i="1" a="1"/>
  <c r="F595" i="1" s="1"/>
  <c r="F596" i="1" a="1"/>
  <c r="F596" i="1" s="1"/>
  <c r="O596" i="1" s="1"/>
  <c r="F597" i="1" a="1"/>
  <c r="F597" i="1" s="1"/>
  <c r="O597" i="1" s="1"/>
  <c r="F598" i="1" a="1"/>
  <c r="F598" i="1" s="1"/>
  <c r="F890" i="1" a="1"/>
  <c r="F890" i="1" s="1"/>
  <c r="F891" i="1" a="1"/>
  <c r="F891" i="1" s="1"/>
  <c r="F599" i="1" a="1"/>
  <c r="F599" i="1" s="1"/>
  <c r="F1171" i="1" a="1"/>
  <c r="F1171" i="1" s="1"/>
  <c r="F140" i="1" a="1"/>
  <c r="F140" i="1" s="1"/>
  <c r="F600" i="1" a="1"/>
  <c r="F600" i="1" s="1"/>
  <c r="F141" i="1" a="1"/>
  <c r="F141" i="1" s="1"/>
  <c r="F142" i="1" a="1"/>
  <c r="F142" i="1" s="1"/>
  <c r="F143" i="1" a="1"/>
  <c r="F143" i="1" s="1"/>
  <c r="F1132" i="1" a="1"/>
  <c r="F1132" i="1" s="1"/>
  <c r="F26" i="1" a="1"/>
  <c r="F26" i="1" s="1"/>
  <c r="F196" i="1" a="1"/>
  <c r="F196" i="1" s="1"/>
  <c r="F1172" i="1" a="1"/>
  <c r="F1172" i="1" s="1"/>
  <c r="F144" i="1" a="1"/>
  <c r="F144" i="1" s="1"/>
  <c r="F145" i="1" a="1"/>
  <c r="F145" i="1" s="1"/>
  <c r="F107" i="1" a="1"/>
  <c r="F107" i="1" s="1"/>
  <c r="F108" i="1" a="1"/>
  <c r="F108" i="1" s="1"/>
  <c r="F146" i="1" a="1"/>
  <c r="F146" i="1" s="1"/>
  <c r="F701" i="1" a="1"/>
  <c r="F701" i="1" s="1"/>
  <c r="O701" i="1" s="1"/>
  <c r="F109" i="1" a="1"/>
  <c r="F109" i="1" s="1"/>
  <c r="F147" i="1" a="1"/>
  <c r="F147" i="1" s="1"/>
  <c r="F148" i="1" a="1"/>
  <c r="F148" i="1" s="1"/>
  <c r="F149" i="1" a="1"/>
  <c r="F149" i="1" s="1"/>
  <c r="F150" i="1" a="1"/>
  <c r="F150" i="1" s="1"/>
  <c r="F172" i="1" a="1"/>
  <c r="F172" i="1" s="1"/>
  <c r="F1140" i="1" a="1"/>
  <c r="F1140" i="1" s="1"/>
  <c r="F892" i="1" a="1"/>
  <c r="F892" i="1" s="1"/>
  <c r="F648" i="1" a="1"/>
  <c r="F648" i="1" s="1"/>
  <c r="O648" i="1" s="1"/>
  <c r="F1133" i="1" a="1"/>
  <c r="F1133" i="1" s="1"/>
  <c r="F893" i="1" a="1"/>
  <c r="F893" i="1" s="1"/>
  <c r="F151" i="1" a="1"/>
  <c r="F151" i="1" s="1"/>
  <c r="F694" i="1" a="1"/>
  <c r="F694" i="1" s="1"/>
  <c r="F197" i="1" a="1"/>
  <c r="F197" i="1" s="1"/>
  <c r="F649" i="1" a="1"/>
  <c r="F649" i="1" s="1"/>
  <c r="O649" i="1" s="1"/>
  <c r="F71" i="1" a="1"/>
  <c r="F71" i="1" s="1"/>
  <c r="F79" i="1" a="1"/>
  <c r="F79" i="1" s="1"/>
  <c r="F711" i="1" a="1"/>
  <c r="F711" i="1" s="1"/>
  <c r="O711" i="1" s="1"/>
  <c r="F1337" i="1" a="1"/>
  <c r="F1337" i="1" s="1"/>
  <c r="F33" i="1" a="1"/>
  <c r="F33" i="1" s="1"/>
  <c r="O33" i="1" s="1"/>
  <c r="F1179" i="1" a="1"/>
  <c r="F1179" i="1" s="1"/>
  <c r="F152" i="1" a="1"/>
  <c r="F152" i="1" s="1"/>
  <c r="F1173" i="1" a="1"/>
  <c r="F1173" i="1" s="1"/>
  <c r="F80" i="1" a="1"/>
  <c r="F80" i="1" s="1"/>
  <c r="F198" i="1" a="1"/>
  <c r="F198" i="1" s="1"/>
  <c r="F199" i="1" a="1"/>
  <c r="F199" i="1" s="1"/>
  <c r="F1180" i="1" a="1"/>
  <c r="F1180" i="1" s="1"/>
  <c r="F1115" i="1" a="1"/>
  <c r="F1115" i="1" s="1"/>
  <c r="F1116" i="1" a="1"/>
  <c r="F1116" i="1" s="1"/>
  <c r="F72" i="1" a="1"/>
  <c r="F72" i="1" s="1"/>
  <c r="F153" i="1" a="1"/>
  <c r="F153" i="1" s="1"/>
  <c r="F819" i="1" a="1"/>
  <c r="F819" i="1" s="1"/>
  <c r="F200" i="1" a="1"/>
  <c r="F200" i="1" s="1"/>
  <c r="F154" i="1" a="1"/>
  <c r="F154" i="1" s="1"/>
  <c r="F674" i="1" a="1"/>
  <c r="F674" i="1" s="1"/>
  <c r="F749" i="1" a="1"/>
  <c r="F749" i="1" s="1"/>
  <c r="F1174" i="1" a="1"/>
  <c r="F1174" i="1" s="1"/>
  <c r="F675" i="1" a="1"/>
  <c r="F675" i="1" s="1"/>
  <c r="F676" i="1" a="1"/>
  <c r="F676" i="1" s="1"/>
  <c r="F12" i="1" a="1"/>
  <c r="F12" i="1" s="1"/>
  <c r="O12" i="1" s="1"/>
  <c r="F110" i="1" a="1"/>
  <c r="F110" i="1" s="1"/>
  <c r="O110" i="1" s="1"/>
  <c r="F1175" i="1" a="1"/>
  <c r="F1175" i="1" s="1"/>
  <c r="F1141" i="1" a="1"/>
  <c r="F1141" i="1" s="1"/>
  <c r="F807" i="1" a="1"/>
  <c r="F807" i="1" s="1"/>
  <c r="O807" i="1" s="1"/>
  <c r="F677" i="1" a="1"/>
  <c r="F677" i="1" s="1"/>
  <c r="F808" i="1" a="1"/>
  <c r="F808" i="1" s="1"/>
  <c r="O808" i="1" s="1"/>
  <c r="F1279" i="1" a="1"/>
  <c r="F1279" i="1" s="1"/>
  <c r="F22" i="1" a="1"/>
  <c r="F22" i="1" s="1"/>
  <c r="O22" i="1" s="1"/>
  <c r="F155" i="1" a="1"/>
  <c r="F155" i="1" s="1"/>
  <c r="F156" i="1" a="1"/>
  <c r="F156" i="1" s="1"/>
  <c r="F1142" i="1" a="1"/>
  <c r="F1142" i="1" s="1"/>
  <c r="F1280" i="1" a="1"/>
  <c r="F1280" i="1" s="1"/>
  <c r="F1143" i="1" a="1"/>
  <c r="F1143" i="1" s="1"/>
  <c r="O1143" i="1" s="1"/>
  <c r="F90" i="1" a="1"/>
  <c r="F90" i="1" s="1"/>
  <c r="O90" i="1" s="1"/>
  <c r="F157" i="1" a="1"/>
  <c r="F157" i="1" s="1"/>
  <c r="F1126" i="1" a="1"/>
  <c r="F1126" i="1" s="1"/>
  <c r="F158" i="1" a="1"/>
  <c r="F158" i="1" s="1"/>
  <c r="O158" i="1" s="1"/>
  <c r="F608" i="1" a="1"/>
  <c r="F608" i="1" s="1"/>
  <c r="O608" i="1" s="1"/>
  <c r="F1281" i="1" a="1"/>
  <c r="F1281" i="1" s="1"/>
  <c r="F609" i="1" a="1"/>
  <c r="F609" i="1" s="1"/>
  <c r="F610" i="1" a="1"/>
  <c r="F610" i="1" s="1"/>
  <c r="F820" i="1" a="1"/>
  <c r="F820" i="1" s="1"/>
  <c r="F1117" i="1" a="1"/>
  <c r="F1117" i="1" s="1"/>
  <c r="F611" i="1" a="1"/>
  <c r="F611" i="1" s="1"/>
  <c r="F91" i="1" a="1"/>
  <c r="F91" i="1" s="1"/>
  <c r="O91" i="1" s="1"/>
  <c r="F92" i="1" a="1"/>
  <c r="F92" i="1" s="1"/>
  <c r="F612" i="1" a="1"/>
  <c r="F612" i="1" s="1"/>
  <c r="F81" i="1" a="1"/>
  <c r="F81" i="1" s="1"/>
  <c r="F82" i="1" a="1"/>
  <c r="F82" i="1" s="1"/>
  <c r="F613" i="1" a="1"/>
  <c r="F613" i="1" s="1"/>
  <c r="F1176" i="1" a="1"/>
  <c r="F1176" i="1" s="1"/>
  <c r="O1176" i="1" s="1"/>
  <c r="F614" i="1" a="1"/>
  <c r="F614" i="1" s="1"/>
  <c r="O614" i="1" s="1"/>
  <c r="F615" i="1" a="1"/>
  <c r="F615" i="1" s="1"/>
  <c r="O615" i="1" s="1"/>
  <c r="F665" i="1" a="1"/>
  <c r="F665" i="1" s="1"/>
  <c r="F821" i="1" a="1"/>
  <c r="F821" i="1" s="1"/>
  <c r="F1177" i="1" a="1"/>
  <c r="F1177" i="1" s="1"/>
  <c r="O1177" i="1" s="1"/>
  <c r="F111" i="1" a="1"/>
  <c r="F111" i="1" s="1"/>
  <c r="O111" i="1" s="1"/>
  <c r="F1336" i="1" a="1"/>
  <c r="F1336" i="1" s="1"/>
  <c r="F854" i="1" a="1"/>
  <c r="F854" i="1" s="1"/>
  <c r="F822" i="1" a="1"/>
  <c r="F822" i="1" s="1"/>
  <c r="F1157" i="1" a="1"/>
  <c r="F1157" i="1" s="1"/>
  <c r="F1158" i="1" a="1"/>
  <c r="F1158" i="1" s="1"/>
  <c r="F112" i="1" a="1"/>
  <c r="F112" i="1" s="1"/>
  <c r="F113" i="1" a="1"/>
  <c r="F113" i="1" s="1"/>
  <c r="F1178" i="1" a="1"/>
  <c r="F1178" i="1" s="1"/>
  <c r="F823" i="1" a="1"/>
  <c r="F823" i="1" s="1"/>
  <c r="F13" i="1" a="1"/>
  <c r="F13" i="1" s="1"/>
  <c r="O13" i="1" s="1"/>
  <c r="F14" i="1" a="1"/>
  <c r="F14" i="1" s="1"/>
  <c r="O14" i="1" s="1"/>
  <c r="F824" i="1" a="1"/>
  <c r="F824" i="1" s="1"/>
  <c r="F855" i="1" a="1"/>
  <c r="F855" i="1" s="1"/>
  <c r="F856" i="1" a="1"/>
  <c r="F856" i="1" s="1"/>
  <c r="F750" i="1" a="1"/>
  <c r="F750" i="1" s="1"/>
  <c r="O750" i="1" s="1"/>
  <c r="F678" i="1" a="1"/>
  <c r="F678" i="1" s="1"/>
  <c r="F679" i="1" a="1"/>
  <c r="F679" i="1" s="1"/>
  <c r="F680" i="1" a="1"/>
  <c r="F680" i="1" s="1"/>
  <c r="F825" i="1" a="1"/>
  <c r="F825" i="1" s="1"/>
  <c r="F734" i="1" a="1"/>
  <c r="F734" i="1" s="1"/>
  <c r="F217" i="1" a="1"/>
  <c r="F217" i="1" s="1"/>
  <c r="F218" i="1" a="1"/>
  <c r="F218" i="1" s="1"/>
  <c r="F666" i="1" a="1"/>
  <c r="F666" i="1" s="1"/>
  <c r="F667" i="1" a="1"/>
  <c r="F667" i="1" s="1"/>
  <c r="F668" i="1" a="1"/>
  <c r="F668" i="1" s="1"/>
  <c r="F1330" i="1" a="1"/>
  <c r="F1330" i="1" s="1"/>
  <c r="F52" i="1" a="1"/>
  <c r="F52" i="1" s="1"/>
  <c r="F53" i="1" a="1"/>
  <c r="F53" i="1" s="1"/>
  <c r="F815" i="1" a="1"/>
  <c r="F815" i="1" s="1"/>
  <c r="F732" i="1" a="1"/>
  <c r="F732" i="1" s="1"/>
  <c r="O732" i="1" s="1"/>
  <c r="F1144" i="1" a="1"/>
  <c r="F1144" i="1" s="1"/>
  <c r="O1144" i="1" s="1"/>
  <c r="F1145" i="1" a="1"/>
  <c r="F1145" i="1" s="1"/>
  <c r="O1145" i="1" s="1"/>
  <c r="F1118" i="1" a="1"/>
  <c r="F1118" i="1" s="1"/>
  <c r="F712" i="1" a="1"/>
  <c r="F712" i="1" s="1"/>
  <c r="O712" i="1" s="1"/>
  <c r="F207" i="1" a="1"/>
  <c r="F207" i="1" s="1"/>
  <c r="F751" i="1" a="1"/>
  <c r="F751" i="1" s="1"/>
  <c r="O751" i="1" s="1"/>
  <c r="F114" i="1" a="1"/>
  <c r="F114" i="1" s="1"/>
  <c r="O114" i="1" s="1"/>
  <c r="F115" i="1" a="1"/>
  <c r="F115" i="1" s="1"/>
  <c r="O115" i="1" s="1"/>
  <c r="F116" i="1" a="1"/>
  <c r="F116" i="1" s="1"/>
  <c r="O116" i="1" s="1"/>
  <c r="F601" i="1" a="1"/>
  <c r="F601" i="1" s="1"/>
  <c r="O601" i="1" s="1"/>
  <c r="F681" i="1" a="1"/>
  <c r="F681" i="1" s="1"/>
  <c r="F682" i="1" a="1"/>
  <c r="F682" i="1" s="1"/>
  <c r="F713" i="1" a="1"/>
  <c r="F713" i="1" s="1"/>
  <c r="O713" i="1" s="1"/>
  <c r="F93" i="1" a="1"/>
  <c r="F93" i="1" s="1"/>
  <c r="F616" i="1" a="1"/>
  <c r="F616" i="1" s="1"/>
  <c r="O616" i="1" s="1"/>
  <c r="F117" i="1" a="1"/>
  <c r="F117" i="1" s="1"/>
  <c r="O117" i="1" s="1"/>
  <c r="F826" i="1" a="1"/>
  <c r="F826" i="1" s="1"/>
  <c r="F672" i="1" a="1"/>
  <c r="F672" i="1" s="1"/>
  <c r="O672" i="1" s="1"/>
  <c r="F617" i="1" a="1"/>
  <c r="F617" i="1" s="1"/>
  <c r="O617" i="1" s="1"/>
  <c r="F618" i="1" a="1"/>
  <c r="F618" i="1" s="1"/>
  <c r="O618" i="1" s="1"/>
  <c r="F1146" i="1" a="1"/>
  <c r="F1146" i="1" s="1"/>
  <c r="F804" i="1" a="1"/>
  <c r="F804" i="1" s="1"/>
  <c r="F805" i="1" a="1"/>
  <c r="F805" i="1" s="1"/>
  <c r="F650" i="1" a="1"/>
  <c r="F650" i="1" s="1"/>
  <c r="O650" i="1" s="1"/>
  <c r="F173" i="1" a="1"/>
  <c r="F173" i="1" s="1"/>
  <c r="F651" i="1" a="1"/>
  <c r="F651" i="1" s="1"/>
  <c r="F652" i="1" a="1"/>
  <c r="F652" i="1" s="1"/>
  <c r="O652" i="1" s="1"/>
  <c r="F619" i="1" a="1"/>
  <c r="F619" i="1" s="1"/>
  <c r="O619" i="1" s="1"/>
  <c r="F827" i="1" a="1"/>
  <c r="F827" i="1" s="1"/>
  <c r="F620" i="1" a="1"/>
  <c r="F620" i="1" s="1"/>
  <c r="O620" i="1" s="1"/>
  <c r="F118" i="1" a="1"/>
  <c r="F118" i="1" s="1"/>
  <c r="O118" i="1" s="1"/>
  <c r="F828" i="1" a="1"/>
  <c r="F828" i="1" s="1"/>
  <c r="F683" i="1" a="1"/>
  <c r="F683" i="1" s="1"/>
  <c r="F829" i="1" a="1"/>
  <c r="F829" i="1" s="1"/>
  <c r="F621" i="1" a="1"/>
  <c r="F621" i="1" s="1"/>
  <c r="O621" i="1" s="1"/>
  <c r="F159" i="1" a="1"/>
  <c r="F159" i="1" s="1"/>
  <c r="O159" i="1" s="1"/>
  <c r="F160" i="1" a="1"/>
  <c r="F160" i="1" s="1"/>
  <c r="O160" i="1" s="1"/>
  <c r="F161" i="1" a="1"/>
  <c r="F161" i="1" s="1"/>
  <c r="O161" i="1" s="1"/>
  <c r="F162" i="1" a="1"/>
  <c r="F162" i="1" s="1"/>
  <c r="F174" i="1" a="1"/>
  <c r="F174" i="1" s="1"/>
  <c r="O174" i="1" s="1"/>
  <c r="F163" i="1" a="1"/>
  <c r="F163" i="1" s="1"/>
  <c r="F119" i="1" a="1"/>
  <c r="F119" i="1" s="1"/>
  <c r="O119" i="1" s="1"/>
  <c r="F164" i="1" a="1"/>
  <c r="F164" i="1" s="1"/>
  <c r="F120" i="1" a="1"/>
  <c r="F120" i="1" s="1"/>
  <c r="O120" i="1" s="1"/>
  <c r="F121" i="1" a="1"/>
  <c r="F121" i="1" s="1"/>
  <c r="O121" i="1" s="1"/>
  <c r="F830" i="1" a="1"/>
  <c r="F830" i="1" s="1"/>
  <c r="F1152" i="1" a="1"/>
  <c r="F1152" i="1" s="1"/>
  <c r="F165" i="1" a="1"/>
  <c r="F165" i="1" s="1"/>
  <c r="F622" i="1" a="1"/>
  <c r="F622" i="1" s="1"/>
  <c r="O622" i="1" s="1"/>
  <c r="F27" i="1" a="1"/>
  <c r="F27" i="1" s="1"/>
  <c r="F752" i="1" a="1"/>
  <c r="F752" i="1" s="1"/>
  <c r="F623" i="1" a="1"/>
  <c r="F623" i="1" s="1"/>
  <c r="F753" i="1" a="1"/>
  <c r="F753" i="1" s="1"/>
  <c r="O753" i="1" s="1"/>
  <c r="F1121" i="1" a="1"/>
  <c r="F1121" i="1" s="1"/>
  <c r="F624" i="1" a="1"/>
  <c r="F624" i="1" s="1"/>
  <c r="O624" i="1" s="1"/>
  <c r="F166" i="1" a="1"/>
  <c r="F166" i="1" s="1"/>
  <c r="F167" i="1" a="1"/>
  <c r="F167" i="1" s="1"/>
  <c r="F94" i="1" a="1"/>
  <c r="F94" i="1" s="1"/>
  <c r="F95" i="1" a="1"/>
  <c r="F95" i="1" s="1"/>
  <c r="F96" i="1" a="1"/>
  <c r="F96" i="1" s="1"/>
  <c r="F653" i="1" a="1"/>
  <c r="F653" i="1" s="1"/>
  <c r="O653" i="1" s="1"/>
  <c r="F654" i="1" a="1"/>
  <c r="F654" i="1" s="1"/>
  <c r="O654" i="1" s="1"/>
  <c r="F28" i="1" a="1"/>
  <c r="F28" i="1" s="1"/>
  <c r="F655" i="1" a="1"/>
  <c r="F655" i="1" s="1"/>
  <c r="O655" i="1" s="1"/>
  <c r="F1122" i="1" a="1"/>
  <c r="F1122" i="1" s="1"/>
  <c r="F1119" i="1" a="1"/>
  <c r="F1119" i="1" s="1"/>
  <c r="F1123" i="1" a="1"/>
  <c r="F1123" i="1" s="1"/>
  <c r="F1147" i="1" a="1"/>
  <c r="F1147" i="1" s="1"/>
  <c r="O1147" i="1" s="1"/>
  <c r="F1153" i="1" a="1"/>
  <c r="F1153" i="1" s="1"/>
  <c r="F1148" i="1" a="1"/>
  <c r="F1148" i="1" s="1"/>
  <c r="O1148" i="1" s="1"/>
  <c r="F1149" i="1" a="1"/>
  <c r="F1149" i="1" s="1"/>
  <c r="O1149" i="1" s="1"/>
  <c r="F1285" i="1" a="1"/>
  <c r="F1285" i="1" s="1"/>
  <c r="F1150" i="1" a="1"/>
  <c r="F1150" i="1" s="1"/>
  <c r="O1150" i="1" s="1"/>
  <c r="F754" i="1" a="1"/>
  <c r="F754" i="1" s="1"/>
  <c r="O754" i="1" s="1"/>
  <c r="F755" i="1" a="1"/>
  <c r="F755" i="1" s="1"/>
  <c r="O755" i="1" s="1"/>
  <c r="F831" i="1" a="1"/>
  <c r="F831" i="1" s="1"/>
  <c r="F756" i="1" a="1"/>
  <c r="F756" i="1" s="1"/>
  <c r="O756" i="1" s="1"/>
  <c r="F15" i="1" a="1"/>
  <c r="F15" i="1" s="1"/>
  <c r="O15" i="1" s="1"/>
  <c r="F684" i="1" a="1"/>
  <c r="F684" i="1" s="1"/>
  <c r="F757" i="1" a="1"/>
  <c r="F757" i="1" s="1"/>
  <c r="O757" i="1" s="1"/>
  <c r="F758" i="1" a="1"/>
  <c r="F758" i="1" s="1"/>
  <c r="F832" i="1" a="1"/>
  <c r="F832" i="1" s="1"/>
  <c r="F1124" i="1" a="1"/>
  <c r="F1124" i="1" s="1"/>
  <c r="F833" i="1" a="1"/>
  <c r="F833" i="1" s="1"/>
  <c r="F1154" i="1" a="1"/>
  <c r="F1154" i="1" s="1"/>
  <c r="F735" i="1" a="1"/>
  <c r="F735" i="1" s="1"/>
  <c r="F736" i="1" a="1"/>
  <c r="F736" i="1" s="1"/>
  <c r="F737" i="1" a="1"/>
  <c r="F737" i="1" s="1"/>
  <c r="F1333" i="1" a="1"/>
  <c r="F1333" i="1" s="1"/>
  <c r="F738" i="1" a="1"/>
  <c r="F738" i="1" s="1"/>
  <c r="F834" i="1" a="1"/>
  <c r="F834" i="1" s="1"/>
  <c r="F201" i="1" a="1"/>
  <c r="F201" i="1" s="1"/>
  <c r="F759" i="1" a="1"/>
  <c r="F759" i="1" s="1"/>
  <c r="F202" i="1" a="1"/>
  <c r="F202" i="1" s="1"/>
  <c r="F739" i="1" a="1"/>
  <c r="F739" i="1" s="1"/>
  <c r="F835" i="1" a="1"/>
  <c r="F835" i="1" s="1"/>
  <c r="F760" i="1" a="1"/>
  <c r="F760" i="1" s="1"/>
  <c r="F836" i="1" a="1"/>
  <c r="F836" i="1" s="1"/>
  <c r="F203" i="1" a="1"/>
  <c r="F203" i="1" s="1"/>
  <c r="F204" i="1" a="1"/>
  <c r="F204" i="1" s="1"/>
  <c r="F205" i="1" a="1"/>
  <c r="F205" i="1" s="1"/>
  <c r="F206" i="1" a="1"/>
  <c r="F206" i="1" s="1"/>
  <c r="F714" i="1" a="1"/>
  <c r="F714" i="1" s="1"/>
  <c r="O714" i="1" s="1"/>
  <c r="F1120" i="1" a="1"/>
  <c r="F1120" i="1" s="1"/>
  <c r="F34" i="1" a="1"/>
  <c r="F34" i="1" s="1"/>
  <c r="F35" i="1" a="1"/>
  <c r="F35" i="1" s="1"/>
  <c r="F36" i="1" a="1"/>
  <c r="F36" i="1" s="1"/>
  <c r="F37" i="1" a="1"/>
  <c r="F37" i="1" s="1"/>
  <c r="F38" i="1" a="1"/>
  <c r="F38" i="1" s="1"/>
  <c r="O38" i="1" s="1"/>
  <c r="F39" i="1" a="1"/>
  <c r="F39" i="1" s="1"/>
  <c r="O39" i="1" s="1"/>
  <c r="F715" i="1" a="1"/>
  <c r="F715" i="1" s="1"/>
  <c r="O715" i="1" s="1"/>
  <c r="F716" i="1" a="1"/>
  <c r="F716" i="1" s="1"/>
  <c r="O716" i="1" s="1"/>
  <c r="F761" i="1" a="1"/>
  <c r="F761" i="1" s="1"/>
  <c r="O761" i="1" s="1"/>
  <c r="F1125" i="1" a="1"/>
  <c r="F1125" i="1" s="1"/>
  <c r="F740" i="1" a="1"/>
  <c r="F740" i="1" s="1"/>
  <c r="O740" i="1" s="1"/>
  <c r="F73" i="1" a="1"/>
  <c r="F73" i="1" s="1"/>
  <c r="F74" i="1" a="1"/>
  <c r="F74" i="1" s="1"/>
  <c r="F75" i="1" a="1"/>
  <c r="F75" i="1" s="1"/>
  <c r="F602" i="1" a="1"/>
  <c r="F602" i="1" s="1"/>
  <c r="O602" i="1" s="1"/>
  <c r="F837" i="1" a="1"/>
  <c r="F837" i="1" s="1"/>
  <c r="F1159" i="1" a="1"/>
  <c r="F1159" i="1" s="1"/>
  <c r="F1160" i="1" a="1"/>
  <c r="F1160" i="1" s="1"/>
  <c r="F838" i="1" a="1"/>
  <c r="F838" i="1" s="1"/>
  <c r="F717" i="1" a="1"/>
  <c r="F717" i="1" s="1"/>
  <c r="F718" i="1" a="1"/>
  <c r="F718" i="1" s="1"/>
  <c r="F40" i="1" a="1"/>
  <c r="F40" i="1" s="1"/>
  <c r="O40" i="1" s="1"/>
  <c r="F719" i="1" a="1"/>
  <c r="F719" i="1" s="1"/>
  <c r="F720" i="1" a="1"/>
  <c r="F720" i="1" s="1"/>
  <c r="F721" i="1" a="1"/>
  <c r="F721" i="1" s="1"/>
  <c r="F722" i="1" a="1"/>
  <c r="F722" i="1" s="1"/>
  <c r="F723" i="1" a="1"/>
  <c r="F723" i="1" s="1"/>
  <c r="F839" i="1" a="1"/>
  <c r="F839" i="1" s="1"/>
  <c r="F724" i="1" a="1"/>
  <c r="F724" i="1" s="1"/>
  <c r="F97" i="1" a="1"/>
  <c r="F97" i="1" s="1"/>
  <c r="F98" i="1" a="1"/>
  <c r="F98" i="1" s="1"/>
  <c r="F702" i="1" a="1"/>
  <c r="F702" i="1" s="1"/>
  <c r="F168" i="1" a="1"/>
  <c r="F168" i="1" s="1"/>
  <c r="O168" i="1" s="1"/>
  <c r="F175" i="1" a="1"/>
  <c r="F175" i="1" s="1"/>
  <c r="O175" i="1" s="1"/>
  <c r="F725" i="1" a="1"/>
  <c r="F725" i="1" s="1"/>
  <c r="F1151" i="1" a="1"/>
  <c r="F1151" i="1" s="1"/>
  <c r="F809" i="1" a="1"/>
  <c r="F809" i="1" s="1"/>
  <c r="F54" i="1" a="1"/>
  <c r="F54" i="1" s="1"/>
  <c r="F55" i="1" a="1"/>
  <c r="F55" i="1" s="1"/>
  <c r="F669" i="1" a="1"/>
  <c r="F669" i="1" s="1"/>
  <c r="F670" i="1" a="1"/>
  <c r="F670" i="1" s="1"/>
  <c r="F671" i="1" a="1"/>
  <c r="F671" i="1" s="1"/>
  <c r="F176" i="1" a="1"/>
  <c r="F176" i="1" s="1"/>
  <c r="O176" i="1" s="1"/>
  <c r="F177" i="1" a="1"/>
  <c r="F177" i="1" s="1"/>
  <c r="O177" i="1" s="1"/>
  <c r="F178" i="1" a="1"/>
  <c r="F178" i="1" s="1"/>
  <c r="O178" i="1" s="1"/>
  <c r="F179" i="1" a="1"/>
  <c r="F179" i="1" s="1"/>
  <c r="O179" i="1" s="1"/>
  <c r="F704" i="1" a="1"/>
  <c r="F704" i="1" s="1"/>
  <c r="F705" i="1" a="1"/>
  <c r="F705" i="1" s="1"/>
  <c r="F180" i="1" a="1"/>
  <c r="F180" i="1" s="1"/>
  <c r="O180" i="1" s="1"/>
  <c r="F706" i="1" a="1"/>
  <c r="F706" i="1" s="1"/>
  <c r="F625" i="1" a="1"/>
  <c r="F625" i="1" s="1"/>
  <c r="O625" i="1" s="1"/>
  <c r="F626" i="1" a="1"/>
  <c r="F626" i="1" s="1"/>
  <c r="F627" i="1" a="1"/>
  <c r="F627" i="1" s="1"/>
  <c r="F628" i="1" a="1"/>
  <c r="F628" i="1" s="1"/>
  <c r="F786" i="1" a="1"/>
  <c r="F786" i="1" s="1"/>
  <c r="O786" i="1" s="1"/>
  <c r="F23" i="1" a="1"/>
  <c r="F23" i="1" s="1"/>
  <c r="O23" i="1" s="1"/>
  <c r="F840" i="1" a="1"/>
  <c r="F840" i="1" s="1"/>
  <c r="F1286" i="1" a="1"/>
  <c r="F1286" i="1" s="1"/>
  <c r="F169" i="1" a="1"/>
  <c r="F169" i="1" s="1"/>
  <c r="O169" i="1" s="1"/>
  <c r="F787" i="1" a="1"/>
  <c r="F787" i="1" s="1"/>
  <c r="O787" i="1" s="1"/>
  <c r="F170" i="1" a="1"/>
  <c r="F170" i="1" s="1"/>
  <c r="F171" i="1" a="1"/>
  <c r="F171" i="1" s="1"/>
  <c r="F762" i="1" a="1"/>
  <c r="F762" i="1" s="1"/>
  <c r="O762" i="1" s="1"/>
  <c r="F76" i="1" a="1"/>
  <c r="F76" i="1" s="1"/>
  <c r="F629" i="1" a="1"/>
  <c r="F629" i="1" s="1"/>
  <c r="F788" i="1" a="1"/>
  <c r="F788" i="1" s="1"/>
  <c r="F789" i="1" a="1"/>
  <c r="F789" i="1" s="1"/>
  <c r="F77" i="1" a="1"/>
  <c r="F77" i="1" s="1"/>
  <c r="F630" i="1" a="1"/>
  <c r="F630" i="1" s="1"/>
  <c r="F707" i="1" a="1"/>
  <c r="F707" i="1" s="1"/>
  <c r="O707" i="1" s="1"/>
  <c r="F56" i="1" a="1"/>
  <c r="F56" i="1" s="1"/>
  <c r="F57" i="1" a="1"/>
  <c r="F57" i="1" s="1"/>
  <c r="F58" i="1" a="1"/>
  <c r="F58" i="1" s="1"/>
  <c r="F78" i="1" a="1"/>
  <c r="F78" i="1" s="1"/>
  <c r="F841" i="1" a="1"/>
  <c r="F841" i="1" s="1"/>
  <c r="F181" i="1" a="1"/>
  <c r="F181" i="1" s="1"/>
  <c r="O181" i="1" s="1"/>
  <c r="F685" i="1" a="1"/>
  <c r="F685" i="1" s="1"/>
  <c r="F842" i="1" a="1"/>
  <c r="F842" i="1" s="1"/>
  <c r="F708" i="1" a="1"/>
  <c r="F708" i="1" s="1"/>
  <c r="O708" i="1" s="1"/>
  <c r="F709" i="1" a="1"/>
  <c r="F709" i="1" s="1"/>
  <c r="O709" i="1" s="1"/>
  <c r="F29" i="1" a="1"/>
  <c r="F29" i="1" s="1"/>
  <c r="F59" i="1" a="1"/>
  <c r="F59" i="1" s="1"/>
  <c r="F60" i="1" a="1"/>
  <c r="F60" i="1" s="1"/>
  <c r="O60" i="1" s="1"/>
  <c r="F673" i="1" a="1"/>
  <c r="F673" i="1" s="1"/>
  <c r="O673" i="1" s="1"/>
  <c r="F843" i="1" a="1"/>
  <c r="F843" i="1" s="1"/>
  <c r="F844" i="1" a="1"/>
  <c r="F844" i="1" s="1"/>
  <c r="F631" i="1" a="1"/>
  <c r="F631" i="1" s="1"/>
  <c r="F845" i="1" a="1"/>
  <c r="F845" i="1" s="1"/>
  <c r="F632" i="1" a="1"/>
  <c r="F632" i="1" s="1"/>
  <c r="F846" i="1" a="1"/>
  <c r="F846" i="1" s="1"/>
  <c r="F633" i="1" a="1"/>
  <c r="F633" i="1" s="1"/>
  <c r="F634" i="1" a="1"/>
  <c r="F634" i="1" s="1"/>
  <c r="O634" i="1" s="1"/>
  <c r="F635" i="1" a="1"/>
  <c r="F635" i="1" s="1"/>
  <c r="O635" i="1" s="1"/>
  <c r="F24" i="1" a="1"/>
  <c r="F24" i="1" s="1"/>
  <c r="F99" i="1" a="1"/>
  <c r="F99" i="1" s="1"/>
  <c r="F703" i="1" a="1"/>
  <c r="F703" i="1" s="1"/>
  <c r="F636" i="1" a="1"/>
  <c r="F636" i="1" s="1"/>
  <c r="O636" i="1" s="1"/>
  <c r="F637" i="1" a="1"/>
  <c r="F637" i="1" s="1"/>
  <c r="O637" i="1" s="1"/>
  <c r="F638" i="1" a="1"/>
  <c r="F638" i="1" s="1"/>
  <c r="O638" i="1" s="1"/>
  <c r="F639" i="1" a="1"/>
  <c r="F639" i="1" s="1"/>
  <c r="O639" i="1" s="1"/>
  <c r="F847" i="1" a="1"/>
  <c r="F847" i="1" s="1"/>
  <c r="F640" i="1" a="1"/>
  <c r="F640" i="1" s="1"/>
  <c r="F641" i="1" a="1"/>
  <c r="F641" i="1" s="1"/>
  <c r="F30" i="1" a="1"/>
  <c r="F30" i="1" s="1"/>
  <c r="O30" i="1" s="1"/>
  <c r="F31" i="1" a="1"/>
  <c r="F31" i="1" s="1"/>
  <c r="O31" i="1" s="1"/>
  <c r="F642" i="1" a="1"/>
  <c r="F642" i="1" s="1"/>
  <c r="F25" i="1" a="1"/>
  <c r="F25" i="1" s="1"/>
  <c r="F790" i="1" a="1"/>
  <c r="F790" i="1" s="1"/>
  <c r="F791" i="1" a="1"/>
  <c r="F791" i="1" s="1"/>
  <c r="F1139" i="1" a="1"/>
  <c r="F1139" i="1" s="1"/>
  <c r="F792" i="1" a="1"/>
  <c r="F792" i="1" s="1"/>
  <c r="F763" i="1" a="1"/>
  <c r="F763" i="1" s="1"/>
  <c r="O763" i="1" s="1"/>
  <c r="F848" i="1" a="1"/>
  <c r="F848" i="1" s="1"/>
  <c r="F793" i="1" a="1"/>
  <c r="F793" i="1" s="1"/>
  <c r="F794" i="1" a="1"/>
  <c r="F794" i="1" s="1"/>
  <c r="F208" i="1" a="1"/>
  <c r="F208" i="1" s="1"/>
  <c r="F764" i="1" a="1"/>
  <c r="F764" i="1" s="1"/>
  <c r="O764" i="1" s="1"/>
  <c r="F209" i="1" a="1"/>
  <c r="F209" i="1" s="1"/>
  <c r="F849" i="1" a="1"/>
  <c r="F849" i="1" s="1"/>
  <c r="F765" i="1" a="1"/>
  <c r="F765" i="1" s="1"/>
  <c r="F766" i="1" a="1"/>
  <c r="F766" i="1" s="1"/>
  <c r="F767" i="1" a="1"/>
  <c r="F767" i="1" s="1"/>
  <c r="F850" i="1" a="1"/>
  <c r="F850" i="1" s="1"/>
  <c r="O850" i="1" s="1"/>
  <c r="F768" i="1" a="1"/>
  <c r="F768" i="1" s="1"/>
  <c r="F44" i="1" a="1"/>
  <c r="F44" i="1" s="1"/>
  <c r="F45" i="1" a="1"/>
  <c r="F45" i="1" s="1"/>
  <c r="F769" i="1" a="1"/>
  <c r="F769" i="1" s="1"/>
  <c r="O769" i="1" s="1"/>
  <c r="F656" i="1" a="1"/>
  <c r="F656" i="1" s="1"/>
  <c r="F6" i="1" a="1"/>
  <c r="F6" i="1" s="1"/>
  <c r="F41" i="1" a="1"/>
  <c r="F41" i="1" s="1"/>
  <c r="O41" i="1" s="1"/>
  <c r="F7" i="1" a="1"/>
  <c r="F7" i="1" s="1"/>
  <c r="O7" i="1" s="1"/>
  <c r="F795" i="1" a="1"/>
  <c r="F795" i="1" s="1"/>
  <c r="F219" i="1" a="1"/>
  <c r="F219" i="1" s="1"/>
  <c r="F220" i="1" a="1"/>
  <c r="F220" i="1" s="1"/>
  <c r="F770" i="1" a="1"/>
  <c r="F770" i="1" s="1"/>
  <c r="O770" i="1" s="1"/>
  <c r="F8" i="1" a="1"/>
  <c r="F8" i="1" s="1"/>
  <c r="O8" i="1" s="1"/>
  <c r="F221" i="1" a="1"/>
  <c r="F221" i="1" s="1"/>
  <c r="F84" i="1" a="1"/>
  <c r="F84" i="1" s="1"/>
  <c r="F85" i="1" a="1"/>
  <c r="F85" i="1" s="1"/>
  <c r="F857" i="1" a="1"/>
  <c r="F857" i="1" s="1"/>
  <c r="F771" i="1" a="1"/>
  <c r="F771" i="1" s="1"/>
  <c r="O771" i="1" s="1"/>
  <c r="F657" i="1" a="1"/>
  <c r="F657" i="1" s="1"/>
  <c r="F772" i="1" a="1"/>
  <c r="F772" i="1" s="1"/>
  <c r="O772" i="1" s="1"/>
  <c r="F86" i="1" a="1"/>
  <c r="F86" i="1" s="1"/>
  <c r="F773" i="1" a="1"/>
  <c r="F773" i="1" s="1"/>
  <c r="O773" i="1" s="1"/>
  <c r="F851" i="1" a="1"/>
  <c r="F851" i="1" s="1"/>
  <c r="O851" i="1" s="1"/>
  <c r="F210" i="1" a="1"/>
  <c r="F210" i="1" s="1"/>
  <c r="F590" i="1" a="1"/>
  <c r="F590" i="1" s="1"/>
  <c r="O590" i="1" s="1"/>
  <c r="F774" i="1" a="1"/>
  <c r="F774" i="1" s="1"/>
  <c r="O774" i="1" s="1"/>
  <c r="F775" i="1" a="1"/>
  <c r="F775" i="1" s="1"/>
  <c r="F1278" i="1" a="1"/>
  <c r="F1278" i="1" s="1"/>
  <c r="F182" i="1" a="1"/>
  <c r="F182" i="1" s="1"/>
  <c r="O182" i="1" s="1"/>
  <c r="F183" i="1" a="1"/>
  <c r="F183" i="1" s="1"/>
  <c r="O183" i="1" s="1"/>
  <c r="F776" i="1" a="1"/>
  <c r="F776" i="1" s="1"/>
  <c r="F591" i="1" a="1"/>
  <c r="F591" i="1" s="1"/>
  <c r="O591" i="1" s="1"/>
  <c r="F777" i="1" a="1"/>
  <c r="F777" i="1" s="1"/>
  <c r="F778" i="1" a="1"/>
  <c r="F778" i="1" s="1"/>
  <c r="F779" i="1" a="1"/>
  <c r="F779" i="1" s="1"/>
  <c r="F16" i="1" a="1"/>
  <c r="F16" i="1" s="1"/>
  <c r="O16" i="1" s="1"/>
  <c r="F592" i="1" a="1"/>
  <c r="F592" i="1" s="1"/>
  <c r="F852" i="1" a="1"/>
  <c r="F852" i="1" s="1"/>
  <c r="O852" i="1" s="1"/>
  <c r="F853" i="1" a="1"/>
  <c r="F853" i="1" s="1"/>
  <c r="O853" i="1" s="1"/>
  <c r="F780" i="1" a="1"/>
  <c r="F780" i="1" s="1"/>
  <c r="F781" i="1" a="1"/>
  <c r="F781" i="1" s="1"/>
  <c r="F1134" i="1" a="1"/>
  <c r="F1134" i="1" s="1"/>
  <c r="F782" i="1" a="1"/>
  <c r="F782" i="1" s="1"/>
  <c r="F1135" i="1" a="1"/>
  <c r="F1135" i="1" s="1"/>
  <c r="F783" i="1" a="1"/>
  <c r="F783" i="1" s="1"/>
  <c r="F784" i="1" a="1"/>
  <c r="F784" i="1" s="1"/>
  <c r="F1136" i="1" a="1"/>
  <c r="F1136" i="1" s="1"/>
  <c r="F122" i="1" a="1"/>
  <c r="F122" i="1" s="1"/>
  <c r="F32" i="1" a="1"/>
  <c r="F32" i="1" s="1"/>
  <c r="O32" i="1" s="1"/>
  <c r="F658" i="1" a="1"/>
  <c r="F658" i="1" s="1"/>
  <c r="F123" i="1" a="1"/>
  <c r="F123" i="1" s="1"/>
  <c r="F46" i="1" a="1"/>
  <c r="F46" i="1" s="1"/>
  <c r="F17" i="1" a="1"/>
  <c r="F17" i="1" s="1"/>
  <c r="O17" i="1" s="1"/>
  <c r="F67" i="1" a="1"/>
  <c r="F67" i="1" s="1"/>
  <c r="F87" i="1" a="1"/>
  <c r="F87" i="1" s="1"/>
  <c r="F18" i="1" a="1"/>
  <c r="F18" i="1" s="1"/>
  <c r="F710" i="1" a="1"/>
  <c r="F710" i="1" s="1"/>
  <c r="O710" i="1" s="1"/>
  <c r="F184" i="1" a="1"/>
  <c r="F184" i="1" s="1"/>
  <c r="O184" i="1" s="1"/>
  <c r="F858" i="1" a="1"/>
  <c r="F858" i="1" s="1"/>
  <c r="F859" i="1" a="1"/>
  <c r="F859" i="1" s="1"/>
  <c r="O859" i="1" s="1"/>
  <c r="F785" i="1" a="1"/>
  <c r="F785" i="1" s="1"/>
  <c r="F603" i="1" a="1"/>
  <c r="F603" i="1" s="1"/>
  <c r="O603" i="1" s="1"/>
  <c r="F686" i="1" a="1"/>
  <c r="F686" i="1" s="1"/>
  <c r="F1334" i="1" a="1"/>
  <c r="F1334" i="1" s="1"/>
  <c r="F215" i="1" a="1"/>
  <c r="F215" i="1" s="1"/>
  <c r="F88" i="1" a="1"/>
  <c r="F88" i="1" s="1"/>
  <c r="F860" i="1" a="1"/>
  <c r="F860" i="1" s="1"/>
  <c r="O860" i="1" s="1"/>
  <c r="F216" i="1" a="1"/>
  <c r="F216" i="1" s="1"/>
  <c r="F83" i="1" a="1"/>
  <c r="F83" i="1" s="1"/>
  <c r="F185" i="1" a="1"/>
  <c r="F185" i="1" s="1"/>
  <c r="O185" i="1" s="1"/>
  <c r="F861" i="1" a="1"/>
  <c r="F861" i="1" s="1"/>
  <c r="F862" i="1" a="1"/>
  <c r="F862" i="1" s="1"/>
  <c r="F863" i="1" a="1"/>
  <c r="F863" i="1" s="1"/>
  <c r="F741" i="1" a="1"/>
  <c r="F741" i="1" s="1"/>
  <c r="O741" i="1" s="1"/>
  <c r="F864" i="1" a="1"/>
  <c r="F864" i="1" s="1"/>
  <c r="F186" i="1" a="1"/>
  <c r="F186" i="1" s="1"/>
  <c r="F796" i="1" a="1"/>
  <c r="F796" i="1" s="1"/>
  <c r="F187" i="1" a="1"/>
  <c r="F187" i="1" s="1"/>
  <c r="F797" i="1" a="1"/>
  <c r="F797" i="1" s="1"/>
  <c r="F604" i="1" a="1"/>
  <c r="F604" i="1" s="1"/>
  <c r="O604" i="1" s="1"/>
  <c r="F19" i="1" a="1"/>
  <c r="F19" i="1" s="1"/>
  <c r="F798" i="1" a="1"/>
  <c r="F798" i="1" s="1"/>
  <c r="F605" i="1" a="1"/>
  <c r="F605" i="1" s="1"/>
  <c r="F124" i="1" a="1"/>
  <c r="F124" i="1" s="1"/>
  <c r="F799" i="1" a="1"/>
  <c r="F799" i="1" s="1"/>
  <c r="F865" i="1" a="1"/>
  <c r="F865" i="1" s="1"/>
  <c r="O865" i="1" s="1"/>
  <c r="F1137" i="1" a="1"/>
  <c r="F1137" i="1" s="1"/>
  <c r="F687" i="1" a="1"/>
  <c r="F687" i="1" s="1"/>
  <c r="F1161" i="1" a="1"/>
  <c r="F1161" i="1" s="1"/>
  <c r="O1161" i="1" s="1"/>
  <c r="F1162" i="1" a="1"/>
  <c r="F1162" i="1" s="1"/>
  <c r="O1162" i="1" s="1"/>
  <c r="F866" i="1" a="1"/>
  <c r="F866" i="1" s="1"/>
  <c r="O866" i="1" s="1"/>
  <c r="F1282" i="1" a="1"/>
  <c r="F1282" i="1" s="1"/>
  <c r="F1283" i="1" a="1"/>
  <c r="F1283" i="1" s="1"/>
  <c r="F742" i="1" a="1"/>
  <c r="F742" i="1" s="1"/>
  <c r="F743" i="1" a="1"/>
  <c r="F743" i="1" s="1"/>
  <c r="F744" i="1" a="1"/>
  <c r="F744" i="1" s="1"/>
  <c r="F745" i="1" a="1"/>
  <c r="F745" i="1" s="1"/>
  <c r="F746" i="1" a="1"/>
  <c r="F746" i="1" s="1"/>
  <c r="F89" i="1" a="1"/>
  <c r="F89" i="1" s="1"/>
  <c r="F100" i="1" a="1"/>
  <c r="F100" i="1" s="1"/>
  <c r="O100" i="1" s="1"/>
  <c r="F101" i="1" a="1"/>
  <c r="F101" i="1" s="1"/>
  <c r="O101" i="1" s="1"/>
  <c r="F867" i="1" a="1"/>
  <c r="F867" i="1" s="1"/>
  <c r="F868" i="1" a="1"/>
  <c r="F868" i="1" s="1"/>
  <c r="F869" i="1" a="1"/>
  <c r="F869" i="1" s="1"/>
  <c r="F61" i="1" a="1"/>
  <c r="F61" i="1" s="1"/>
  <c r="O61" i="1" s="1"/>
  <c r="F1163" i="1" a="1"/>
  <c r="F1163" i="1" s="1"/>
  <c r="O1163" i="1" s="1"/>
  <c r="F1164" i="1" a="1"/>
  <c r="F1164" i="1" s="1"/>
  <c r="O1164" i="1" s="1"/>
  <c r="F688" i="1" a="1"/>
  <c r="F688" i="1" s="1"/>
  <c r="F1335" i="1" a="1"/>
  <c r="F1335" i="1" s="1"/>
  <c r="F643" i="1" a="1"/>
  <c r="F643" i="1" s="1"/>
  <c r="F726" i="1" a="1"/>
  <c r="F726" i="1" s="1"/>
  <c r="F20" i="1" a="1"/>
  <c r="F20" i="1" s="1"/>
  <c r="F125" i="1" a="1"/>
  <c r="F125" i="1" s="1"/>
  <c r="F126" i="1" a="1"/>
  <c r="F126" i="1" s="1"/>
  <c r="F644" i="1" a="1"/>
  <c r="F644" i="1" s="1"/>
  <c r="F1284" i="1" a="1"/>
  <c r="F1284" i="1" s="1"/>
  <c r="F800" i="1" a="1"/>
  <c r="F800" i="1" s="1"/>
  <c r="F870" i="1" a="1"/>
  <c r="F870" i="1" s="1"/>
  <c r="F727" i="1" a="1"/>
  <c r="F727" i="1" s="1"/>
  <c r="O727" i="1" s="1"/>
  <c r="F871" i="1" a="1"/>
  <c r="F871" i="1" s="1"/>
  <c r="F695" i="1" a="1"/>
  <c r="F695" i="1" s="1"/>
  <c r="O695" i="1" s="1"/>
  <c r="F872" i="1" a="1"/>
  <c r="F872" i="1" s="1"/>
  <c r="F801" i="1" a="1"/>
  <c r="F801" i="1" s="1"/>
  <c r="F802" i="1" a="1"/>
  <c r="F802" i="1" s="1"/>
  <c r="F873" i="1" a="1"/>
  <c r="F873" i="1" s="1"/>
  <c r="F874" i="1" a="1"/>
  <c r="F874" i="1" s="1"/>
  <c r="F875" i="1" a="1"/>
  <c r="F875" i="1" s="1"/>
  <c r="F876" i="1" a="1"/>
  <c r="F876" i="1" s="1"/>
  <c r="F877" i="1" a="1"/>
  <c r="F877" i="1" s="1"/>
  <c r="O877" i="1" s="1"/>
  <c r="F878" i="1" a="1"/>
  <c r="F878" i="1" s="1"/>
  <c r="O878" i="1" s="1"/>
  <c r="F728" i="1" a="1"/>
  <c r="F728" i="1" s="1"/>
  <c r="O728" i="1" s="1"/>
  <c r="F729" i="1" a="1"/>
  <c r="F729" i="1" s="1"/>
  <c r="O729" i="1" s="1"/>
  <c r="F42" i="1" a="1"/>
  <c r="F42" i="1" s="1"/>
  <c r="F188" i="1" a="1"/>
  <c r="F188" i="1" s="1"/>
  <c r="F62" i="1" a="1"/>
  <c r="F62" i="1" s="1"/>
  <c r="O62" i="1" s="1"/>
  <c r="F879" i="1" a="1"/>
  <c r="F879" i="1" s="1"/>
  <c r="F730" i="1" a="1"/>
  <c r="F730" i="1" s="1"/>
  <c r="O730" i="1" s="1"/>
  <c r="F43" i="1" a="1"/>
  <c r="F43" i="1" s="1"/>
  <c r="F606" i="1" a="1"/>
  <c r="F606" i="1" s="1"/>
  <c r="F102" i="1" a="1"/>
  <c r="F102" i="1" s="1"/>
  <c r="O102" i="1" s="1"/>
  <c r="F103" i="1" a="1"/>
  <c r="F103" i="1" s="1"/>
  <c r="O103" i="1" s="1"/>
  <c r="F104" i="1" a="1"/>
  <c r="F104" i="1" s="1"/>
  <c r="O104" i="1" s="1"/>
  <c r="F747" i="1" a="1"/>
  <c r="F747" i="1" s="1"/>
  <c r="F748" i="1" a="1"/>
  <c r="F748" i="1" s="1"/>
  <c r="F607" i="1" a="1"/>
  <c r="F607" i="1" s="1"/>
  <c r="O607" i="1" s="1"/>
  <c r="F731" i="1" a="1"/>
  <c r="F731" i="1" s="1"/>
  <c r="O731" i="1" s="1"/>
  <c r="F810" i="1" a="1"/>
  <c r="F810" i="1" s="1"/>
  <c r="F811" i="1" a="1"/>
  <c r="F811" i="1" s="1"/>
  <c r="F1331" i="1" a="1"/>
  <c r="F1331" i="1" s="1"/>
  <c r="F211" i="1" a="1"/>
  <c r="F211" i="1" s="1"/>
  <c r="F212" i="1" a="1"/>
  <c r="F212" i="1" s="1"/>
  <c r="F127" i="1" a="1"/>
  <c r="F127" i="1" s="1"/>
  <c r="F880" i="1" a="1"/>
  <c r="F880" i="1" s="1"/>
  <c r="F803" i="1" a="1"/>
  <c r="F803" i="1" s="1"/>
  <c r="F1332" i="1" a="1"/>
  <c r="F1332" i="1" s="1"/>
  <c r="F696" i="1" a="1"/>
  <c r="F696" i="1" s="1"/>
  <c r="O696" i="1" s="1"/>
  <c r="F645" i="1" a="1"/>
  <c r="F645" i="1" s="1"/>
  <c r="F881" i="1" a="1"/>
  <c r="F881" i="1" s="1"/>
  <c r="F882" i="1" a="1"/>
  <c r="F882" i="1" s="1"/>
  <c r="F128" i="1" a="1"/>
  <c r="F128" i="1" s="1"/>
  <c r="H129" i="1" a="1"/>
  <c r="H129" i="1" s="1"/>
  <c r="I129" i="1" s="1" a="1"/>
  <c r="I129" i="1" s="1"/>
  <c r="H63" i="1" a="1"/>
  <c r="H63" i="1" s="1"/>
  <c r="I63" i="1" s="1" a="1"/>
  <c r="I63" i="1" s="1"/>
  <c r="H130" i="1" a="1"/>
  <c r="H130" i="1" s="1"/>
  <c r="I130" i="1" s="1" a="1"/>
  <c r="I130" i="1" s="1"/>
  <c r="H131" i="1" a="1"/>
  <c r="H131" i="1" s="1"/>
  <c r="I131" i="1" s="1" a="1"/>
  <c r="I131" i="1" s="1"/>
  <c r="H132" i="1" a="1"/>
  <c r="H132" i="1" s="1"/>
  <c r="I132" i="1" s="1" a="1"/>
  <c r="I132" i="1" s="1"/>
  <c r="H189" i="1" a="1"/>
  <c r="H189" i="1" s="1"/>
  <c r="I189" i="1" s="1" a="1"/>
  <c r="I189" i="1" s="1"/>
  <c r="H883" i="1" a="1"/>
  <c r="H883" i="1" s="1"/>
  <c r="I883" i="1" s="1" a="1"/>
  <c r="I883" i="1" s="1"/>
  <c r="H190" i="1" a="1"/>
  <c r="H190" i="1" s="1"/>
  <c r="I190" i="1" s="1" a="1"/>
  <c r="I190" i="1" s="1"/>
  <c r="H884" i="1" a="1"/>
  <c r="H884" i="1" s="1"/>
  <c r="I884" i="1" s="1" a="1"/>
  <c r="I884" i="1" s="1"/>
  <c r="H885" i="1" a="1"/>
  <c r="H885" i="1" s="1"/>
  <c r="I885" i="1" s="1" a="1"/>
  <c r="I885" i="1" s="1"/>
  <c r="H133" i="1" a="1"/>
  <c r="H133" i="1" s="1"/>
  <c r="I133" i="1" s="1" a="1"/>
  <c r="I133" i="1" s="1"/>
  <c r="H134" i="1" a="1"/>
  <c r="H134" i="1" s="1"/>
  <c r="I134" i="1" s="1" a="1"/>
  <c r="I134" i="1" s="1"/>
  <c r="H191" i="1" a="1"/>
  <c r="H191" i="1" s="1"/>
  <c r="I191" i="1" s="1" a="1"/>
  <c r="I191" i="1" s="1"/>
  <c r="G4" i="1" a="1"/>
  <c r="G4" i="1" s="1"/>
  <c r="H659" i="1" a="1"/>
  <c r="H659" i="1" s="1"/>
  <c r="I659" i="1" s="1" a="1"/>
  <c r="I659" i="1" s="1"/>
  <c r="H213" i="1" a="1"/>
  <c r="H213" i="1" s="1"/>
  <c r="I213" i="1" s="1" a="1"/>
  <c r="I213" i="1" s="1"/>
  <c r="H689" i="1" a="1"/>
  <c r="H689" i="1" s="1"/>
  <c r="I689" i="1" s="1" a="1"/>
  <c r="I689" i="1" s="1"/>
  <c r="H1165" i="1" a="1"/>
  <c r="H1165" i="1" s="1"/>
  <c r="I1165" i="1" s="1" a="1"/>
  <c r="I1165" i="1" s="1"/>
  <c r="H135" i="1" a="1"/>
  <c r="H135" i="1" s="1"/>
  <c r="I135" i="1" s="1" a="1"/>
  <c r="I135" i="1" s="1"/>
  <c r="H136" i="1" a="1"/>
  <c r="H136" i="1" s="1"/>
  <c r="I136" i="1" s="1" a="1"/>
  <c r="I136" i="1" s="1"/>
  <c r="H1166" i="1" a="1"/>
  <c r="H1166" i="1" s="1"/>
  <c r="I1166" i="1" s="1" a="1"/>
  <c r="I1166" i="1" s="1"/>
  <c r="H1167" i="1" a="1"/>
  <c r="H1167" i="1" s="1"/>
  <c r="I1167" i="1" s="1" a="1"/>
  <c r="I1167" i="1" s="1"/>
  <c r="H105" i="1" a="1"/>
  <c r="H105" i="1" s="1"/>
  <c r="I105" i="1" s="1" a="1"/>
  <c r="I105" i="1" s="1"/>
  <c r="H214" i="1" a="1"/>
  <c r="H214" i="1" s="1"/>
  <c r="I214" i="1" s="1" a="1"/>
  <c r="I214" i="1" s="1"/>
  <c r="H697" i="1" a="1"/>
  <c r="H697" i="1" s="1"/>
  <c r="I697" i="1" s="1" a="1"/>
  <c r="I697" i="1" s="1"/>
  <c r="H106" i="1" a="1"/>
  <c r="H106" i="1" s="1"/>
  <c r="I106" i="1" s="1" a="1"/>
  <c r="I106" i="1" s="1"/>
  <c r="H1127" i="1" a="1"/>
  <c r="H1127" i="1" s="1"/>
  <c r="I1127" i="1" s="1" a="1"/>
  <c r="I1127" i="1" s="1"/>
  <c r="H1168" i="1" a="1"/>
  <c r="H1168" i="1" s="1"/>
  <c r="I1168" i="1" s="1" a="1"/>
  <c r="I1168" i="1" s="1"/>
  <c r="H690" i="1" a="1"/>
  <c r="H690" i="1" s="1"/>
  <c r="I690" i="1" s="1" a="1"/>
  <c r="I690" i="1" s="1"/>
  <c r="H691" i="1" a="1"/>
  <c r="H691" i="1" s="1"/>
  <c r="I691" i="1" s="1" a="1"/>
  <c r="I691" i="1" s="1"/>
  <c r="H1128" i="1" a="1"/>
  <c r="H1128" i="1" s="1"/>
  <c r="I1128" i="1" s="1" a="1"/>
  <c r="I1128" i="1" s="1"/>
  <c r="H64" i="1" a="1"/>
  <c r="H64" i="1" s="1"/>
  <c r="I64" i="1" s="1" a="1"/>
  <c r="I64" i="1" s="1"/>
  <c r="H812" i="1" a="1"/>
  <c r="H812" i="1" s="1"/>
  <c r="I812" i="1" s="1" a="1"/>
  <c r="I812" i="1" s="1"/>
  <c r="H65" i="1" a="1"/>
  <c r="H65" i="1" s="1"/>
  <c r="I65" i="1" s="1" a="1"/>
  <c r="I65" i="1" s="1"/>
  <c r="H660" i="1" a="1"/>
  <c r="H660" i="1" s="1"/>
  <c r="I660" i="1" s="1" a="1"/>
  <c r="I660" i="1" s="1"/>
  <c r="H692" i="1" a="1"/>
  <c r="H692" i="1" s="1"/>
  <c r="I692" i="1" s="1" a="1"/>
  <c r="I692" i="1" s="1"/>
  <c r="H661" i="1" a="1"/>
  <c r="H661" i="1" s="1"/>
  <c r="I661" i="1" s="1" a="1"/>
  <c r="I661" i="1" s="1"/>
  <c r="H137" i="1" a="1"/>
  <c r="H137" i="1" s="1"/>
  <c r="I137" i="1" s="1" a="1"/>
  <c r="I137" i="1" s="1"/>
  <c r="H47" i="1" a="1"/>
  <c r="H47" i="1" s="1"/>
  <c r="I47" i="1" s="1" a="1"/>
  <c r="I47" i="1" s="1"/>
  <c r="H662" i="1" a="1"/>
  <c r="H662" i="1" s="1"/>
  <c r="I662" i="1" s="1" a="1"/>
  <c r="I662" i="1" s="1"/>
  <c r="H663" i="1" a="1"/>
  <c r="H663" i="1" s="1"/>
  <c r="I663" i="1" s="1" a="1"/>
  <c r="I663" i="1" s="1"/>
  <c r="H664" i="1" a="1"/>
  <c r="H664" i="1" s="1"/>
  <c r="I664" i="1" s="1" a="1"/>
  <c r="I664" i="1" s="1"/>
  <c r="H192" i="1" a="1"/>
  <c r="H192" i="1" s="1"/>
  <c r="I192" i="1" s="1" a="1"/>
  <c r="I192" i="1" s="1"/>
  <c r="H886" i="1" a="1"/>
  <c r="H886" i="1" s="1"/>
  <c r="I886" i="1" s="1" a="1"/>
  <c r="I886" i="1" s="1"/>
  <c r="H646" i="1" a="1"/>
  <c r="H646" i="1" s="1"/>
  <c r="I646" i="1" s="1" a="1"/>
  <c r="I646" i="1" s="1"/>
  <c r="H647" i="1" a="1"/>
  <c r="H647" i="1" s="1"/>
  <c r="I647" i="1" s="1" a="1"/>
  <c r="I647" i="1" s="1"/>
  <c r="H887" i="1" a="1"/>
  <c r="H887" i="1" s="1"/>
  <c r="I887" i="1" s="1" a="1"/>
  <c r="I887" i="1" s="1"/>
  <c r="H888" i="1" a="1"/>
  <c r="H888" i="1" s="1"/>
  <c r="I888" i="1" s="1" a="1"/>
  <c r="I888" i="1" s="1"/>
  <c r="H68" i="1" a="1"/>
  <c r="H68" i="1" s="1"/>
  <c r="I68" i="1" s="1" a="1"/>
  <c r="I68" i="1" s="1"/>
  <c r="H1155" i="1" a="1"/>
  <c r="H1155" i="1" s="1"/>
  <c r="I1155" i="1" s="1" a="1"/>
  <c r="I1155" i="1" s="1"/>
  <c r="H1129" i="1" a="1"/>
  <c r="H1129" i="1" s="1"/>
  <c r="I1129" i="1" s="1" a="1"/>
  <c r="I1129" i="1" s="1"/>
  <c r="H816" i="1" a="1"/>
  <c r="H816" i="1" s="1"/>
  <c r="I816" i="1" s="1" a="1"/>
  <c r="I816" i="1" s="1"/>
  <c r="H817" i="1" a="1"/>
  <c r="H817" i="1" s="1"/>
  <c r="I817" i="1" s="1" a="1"/>
  <c r="I817" i="1" s="1"/>
  <c r="H48" i="1" a="1"/>
  <c r="H48" i="1" s="1"/>
  <c r="I48" i="1" s="1" a="1"/>
  <c r="I48" i="1" s="1"/>
  <c r="H1130" i="1" a="1"/>
  <c r="H1130" i="1" s="1"/>
  <c r="I1130" i="1" s="1" a="1"/>
  <c r="I1130" i="1" s="1"/>
  <c r="H69" i="1" a="1"/>
  <c r="H69" i="1" s="1"/>
  <c r="I69" i="1" s="1" a="1"/>
  <c r="I69" i="1" s="1"/>
  <c r="H70" i="1" a="1"/>
  <c r="H70" i="1" s="1"/>
  <c r="I70" i="1" s="1" a="1"/>
  <c r="I70" i="1" s="1"/>
  <c r="H138" i="1" a="1"/>
  <c r="H138" i="1" s="1"/>
  <c r="I138" i="1" s="1" a="1"/>
  <c r="I138" i="1" s="1"/>
  <c r="H21" i="1" a="1"/>
  <c r="H21" i="1" s="1"/>
  <c r="I21" i="1" s="1" a="1"/>
  <c r="I21" i="1" s="1"/>
  <c r="H813" i="1" a="1"/>
  <c r="H813" i="1" s="1"/>
  <c r="I813" i="1" s="1" a="1"/>
  <c r="I813" i="1" s="1"/>
  <c r="H818" i="1" a="1"/>
  <c r="H818" i="1" s="1"/>
  <c r="I818" i="1" s="1" a="1"/>
  <c r="I818" i="1" s="1"/>
  <c r="H139" i="1" a="1"/>
  <c r="H139" i="1" s="1"/>
  <c r="I139" i="1" s="1" a="1"/>
  <c r="I139" i="1" s="1"/>
  <c r="H814" i="1" a="1"/>
  <c r="H814" i="1" s="1"/>
  <c r="I814" i="1" s="1" a="1"/>
  <c r="I814" i="1" s="1"/>
  <c r="H1156" i="1" a="1"/>
  <c r="H1156" i="1" s="1"/>
  <c r="I1156" i="1" s="1" a="1"/>
  <c r="I1156" i="1" s="1"/>
  <c r="H698" i="1" a="1"/>
  <c r="H698" i="1" s="1"/>
  <c r="I698" i="1" s="1" a="1"/>
  <c r="I698" i="1" s="1"/>
  <c r="H1138" i="1" a="1"/>
  <c r="H1138" i="1" s="1"/>
  <c r="I1138" i="1" s="1" a="1"/>
  <c r="I1138" i="1" s="1"/>
  <c r="H693" i="1" a="1"/>
  <c r="H693" i="1" s="1"/>
  <c r="I693" i="1" s="1" a="1"/>
  <c r="I693" i="1" s="1"/>
  <c r="H193" i="1" a="1"/>
  <c r="H193" i="1" s="1"/>
  <c r="I193" i="1" s="1" a="1"/>
  <c r="I193" i="1" s="1"/>
  <c r="H194" i="1" a="1"/>
  <c r="H194" i="1" s="1"/>
  <c r="I194" i="1" s="1" a="1"/>
  <c r="I194" i="1" s="1"/>
  <c r="H699" i="1" a="1"/>
  <c r="H699" i="1" s="1"/>
  <c r="I699" i="1" s="1" a="1"/>
  <c r="I699" i="1" s="1"/>
  <c r="H1169" i="1" a="1"/>
  <c r="H1169" i="1" s="1"/>
  <c r="I1169" i="1" s="1" a="1"/>
  <c r="I1169" i="1" s="1"/>
  <c r="H1170" i="1" a="1"/>
  <c r="H1170" i="1" s="1"/>
  <c r="I1170" i="1" s="1" a="1"/>
  <c r="I1170" i="1" s="1"/>
  <c r="H806" i="1" a="1"/>
  <c r="H806" i="1" s="1"/>
  <c r="I806" i="1" s="1" a="1"/>
  <c r="I806" i="1" s="1"/>
  <c r="H195" i="1" a="1"/>
  <c r="H195" i="1" s="1"/>
  <c r="I195" i="1" s="1" a="1"/>
  <c r="I195" i="1" s="1"/>
  <c r="H5" i="1" a="1"/>
  <c r="H5" i="1" s="1"/>
  <c r="I5" i="1" s="1" a="1"/>
  <c r="I5" i="1" s="1"/>
  <c r="H66" i="1" a="1"/>
  <c r="H66" i="1" s="1"/>
  <c r="I66" i="1" s="1" a="1"/>
  <c r="I66" i="1" s="1"/>
  <c r="H889" i="1" a="1"/>
  <c r="H889" i="1" s="1"/>
  <c r="I889" i="1" s="1" a="1"/>
  <c r="I889" i="1" s="1"/>
  <c r="H700" i="1" a="1"/>
  <c r="H700" i="1" s="1"/>
  <c r="I700" i="1" s="1" a="1"/>
  <c r="I700" i="1" s="1"/>
  <c r="H9" i="1" a="1"/>
  <c r="H9" i="1" s="1"/>
  <c r="I9" i="1" s="1" a="1"/>
  <c r="I9" i="1" s="1"/>
  <c r="H10" i="1" a="1"/>
  <c r="H10" i="1" s="1"/>
  <c r="I10" i="1" s="1" a="1"/>
  <c r="I10" i="1" s="1"/>
  <c r="H11" i="1" a="1"/>
  <c r="H11" i="1" s="1"/>
  <c r="I11" i="1" s="1" a="1"/>
  <c r="I11" i="1" s="1"/>
  <c r="H49" i="1" a="1"/>
  <c r="H49" i="1" s="1"/>
  <c r="I49" i="1" s="1" a="1"/>
  <c r="I49" i="1" s="1"/>
  <c r="H50" i="1" a="1"/>
  <c r="H50" i="1" s="1"/>
  <c r="I50" i="1" s="1" a="1"/>
  <c r="I50" i="1" s="1"/>
  <c r="H51" i="1" a="1"/>
  <c r="H51" i="1" s="1"/>
  <c r="I51" i="1" s="1" a="1"/>
  <c r="I51" i="1" s="1"/>
  <c r="H593" i="1" a="1"/>
  <c r="H593" i="1" s="1"/>
  <c r="I593" i="1" s="1" a="1"/>
  <c r="I593" i="1" s="1"/>
  <c r="H594" i="1" a="1"/>
  <c r="H594" i="1" s="1"/>
  <c r="I594" i="1" s="1" a="1"/>
  <c r="I594" i="1" s="1"/>
  <c r="H1131" i="1" a="1"/>
  <c r="H1131" i="1" s="1"/>
  <c r="I1131" i="1" s="1" a="1"/>
  <c r="I1131" i="1" s="1"/>
  <c r="H595" i="1" a="1"/>
  <c r="H595" i="1" s="1"/>
  <c r="I595" i="1" s="1" a="1"/>
  <c r="I595" i="1" s="1"/>
  <c r="H890" i="1" a="1"/>
  <c r="H890" i="1" s="1"/>
  <c r="I890" i="1" s="1" a="1"/>
  <c r="I890" i="1" s="1"/>
  <c r="H891" i="1" a="1"/>
  <c r="H891" i="1" s="1"/>
  <c r="I891" i="1" s="1" a="1"/>
  <c r="I891" i="1" s="1"/>
  <c r="H599" i="1" a="1"/>
  <c r="H599" i="1" s="1"/>
  <c r="I599" i="1" s="1" a="1"/>
  <c r="I599" i="1" s="1"/>
  <c r="H1171" i="1" a="1"/>
  <c r="H1171" i="1" s="1"/>
  <c r="I1171" i="1" s="1" a="1"/>
  <c r="I1171" i="1" s="1"/>
  <c r="H140" i="1" a="1"/>
  <c r="H140" i="1" s="1"/>
  <c r="I140" i="1" s="1" a="1"/>
  <c r="I140" i="1" s="1"/>
  <c r="H600" i="1" a="1"/>
  <c r="H600" i="1" s="1"/>
  <c r="I600" i="1" s="1" a="1"/>
  <c r="I600" i="1" s="1"/>
  <c r="H141" i="1" a="1"/>
  <c r="H141" i="1" s="1"/>
  <c r="I141" i="1" s="1" a="1"/>
  <c r="I141" i="1" s="1"/>
  <c r="H142" i="1" a="1"/>
  <c r="H142" i="1" s="1"/>
  <c r="I142" i="1" s="1" a="1"/>
  <c r="I142" i="1" s="1"/>
  <c r="H143" i="1" a="1"/>
  <c r="H143" i="1" s="1"/>
  <c r="I143" i="1" s="1" a="1"/>
  <c r="I143" i="1" s="1"/>
  <c r="H1132" i="1" a="1"/>
  <c r="H1132" i="1" s="1"/>
  <c r="I1132" i="1" s="1" a="1"/>
  <c r="I1132" i="1" s="1"/>
  <c r="H196" i="1" a="1"/>
  <c r="H196" i="1" s="1"/>
  <c r="I196" i="1" s="1" a="1"/>
  <c r="I196" i="1" s="1"/>
  <c r="H1172" i="1" a="1"/>
  <c r="H1172" i="1" s="1"/>
  <c r="I1172" i="1" s="1" a="1"/>
  <c r="I1172" i="1" s="1"/>
  <c r="H144" i="1" a="1"/>
  <c r="H144" i="1" s="1"/>
  <c r="I144" i="1" s="1" a="1"/>
  <c r="I144" i="1" s="1"/>
  <c r="H145" i="1" a="1"/>
  <c r="H145" i="1" s="1"/>
  <c r="I145" i="1" s="1" a="1"/>
  <c r="I145" i="1" s="1"/>
  <c r="J107" i="1"/>
  <c r="H108" i="1" a="1"/>
  <c r="H108" i="1" s="1"/>
  <c r="I108" i="1" s="1" a="1"/>
  <c r="I108" i="1" s="1"/>
  <c r="H146" i="1" a="1"/>
  <c r="H146" i="1" s="1"/>
  <c r="I146" i="1" s="1" a="1"/>
  <c r="I146" i="1" s="1"/>
  <c r="H701" i="1" a="1"/>
  <c r="H701" i="1" s="1"/>
  <c r="I701" i="1" s="1" a="1"/>
  <c r="I701" i="1" s="1"/>
  <c r="H109" i="1" a="1"/>
  <c r="H109" i="1" s="1"/>
  <c r="I109" i="1" s="1" a="1"/>
  <c r="I109" i="1" s="1"/>
  <c r="H147" i="1" a="1"/>
  <c r="H147" i="1" s="1"/>
  <c r="I147" i="1" s="1" a="1"/>
  <c r="I147" i="1" s="1"/>
  <c r="H148" i="1" a="1"/>
  <c r="H148" i="1" s="1"/>
  <c r="I148" i="1" s="1" a="1"/>
  <c r="I148" i="1" s="1"/>
  <c r="H149" i="1" a="1"/>
  <c r="H149" i="1" s="1"/>
  <c r="I149" i="1" s="1" a="1"/>
  <c r="I149" i="1" s="1"/>
  <c r="H150" i="1" a="1"/>
  <c r="H150" i="1" s="1"/>
  <c r="I150" i="1" s="1" a="1"/>
  <c r="I150" i="1" s="1"/>
  <c r="H172" i="1" a="1"/>
  <c r="H172" i="1" s="1"/>
  <c r="I172" i="1" s="1" a="1"/>
  <c r="I172" i="1" s="1"/>
  <c r="H1140" i="1" a="1"/>
  <c r="H1140" i="1" s="1"/>
  <c r="I1140" i="1" s="1" a="1"/>
  <c r="I1140" i="1" s="1"/>
  <c r="H892" i="1" a="1"/>
  <c r="H892" i="1" s="1"/>
  <c r="I892" i="1" s="1" a="1"/>
  <c r="I892" i="1" s="1"/>
  <c r="H648" i="1" a="1"/>
  <c r="H648" i="1" s="1"/>
  <c r="I648" i="1" s="1" a="1"/>
  <c r="I648" i="1" s="1"/>
  <c r="H1133" i="1" a="1"/>
  <c r="H1133" i="1" s="1"/>
  <c r="I1133" i="1" s="1" a="1"/>
  <c r="I1133" i="1" s="1"/>
  <c r="H893" i="1" a="1"/>
  <c r="H893" i="1" s="1"/>
  <c r="I893" i="1" s="1" a="1"/>
  <c r="I893" i="1" s="1"/>
  <c r="H151" i="1" a="1"/>
  <c r="H151" i="1" s="1"/>
  <c r="I151" i="1" s="1" a="1"/>
  <c r="I151" i="1" s="1"/>
  <c r="H694" i="1" a="1"/>
  <c r="H694" i="1" s="1"/>
  <c r="I694" i="1" s="1" a="1"/>
  <c r="I694" i="1" s="1"/>
  <c r="H197" i="1" a="1"/>
  <c r="H197" i="1" s="1"/>
  <c r="I197" i="1" s="1" a="1"/>
  <c r="I197" i="1" s="1"/>
  <c r="H649" i="1" a="1"/>
  <c r="H649" i="1" s="1"/>
  <c r="I649" i="1" s="1" a="1"/>
  <c r="I649" i="1" s="1"/>
  <c r="J71" i="1"/>
  <c r="H79" i="1" a="1"/>
  <c r="H79" i="1" s="1"/>
  <c r="I79" i="1" s="1" a="1"/>
  <c r="I79" i="1" s="1"/>
  <c r="H711" i="1" a="1"/>
  <c r="H711" i="1" s="1"/>
  <c r="I711" i="1" s="1" a="1"/>
  <c r="I711" i="1" s="1"/>
  <c r="H1337" i="1" a="1"/>
  <c r="H1337" i="1" s="1"/>
  <c r="I1337" i="1" s="1" a="1"/>
  <c r="I1337" i="1" s="1"/>
  <c r="H33" i="1" a="1"/>
  <c r="H33" i="1" s="1"/>
  <c r="I33" i="1" s="1" a="1"/>
  <c r="I33" i="1" s="1"/>
  <c r="H1179" i="1" a="1"/>
  <c r="H1179" i="1" s="1"/>
  <c r="I1179" i="1" s="1" a="1"/>
  <c r="I1179" i="1" s="1"/>
  <c r="H152" i="1" a="1"/>
  <c r="H152" i="1" s="1"/>
  <c r="I152" i="1" s="1" a="1"/>
  <c r="I152" i="1" s="1"/>
  <c r="H1173" i="1" a="1"/>
  <c r="H1173" i="1" s="1"/>
  <c r="I1173" i="1" s="1" a="1"/>
  <c r="I1173" i="1" s="1"/>
  <c r="H80" i="1" a="1"/>
  <c r="H80" i="1" s="1"/>
  <c r="I80" i="1" s="1" a="1"/>
  <c r="I80" i="1" s="1"/>
  <c r="H198" i="1" a="1"/>
  <c r="H198" i="1" s="1"/>
  <c r="I198" i="1" s="1" a="1"/>
  <c r="I198" i="1" s="1"/>
  <c r="H199" i="1" a="1"/>
  <c r="H199" i="1" s="1"/>
  <c r="I199" i="1" s="1" a="1"/>
  <c r="I199" i="1" s="1"/>
  <c r="H1180" i="1" a="1"/>
  <c r="H1180" i="1" s="1"/>
  <c r="I1180" i="1" s="1" a="1"/>
  <c r="I1180" i="1" s="1"/>
  <c r="H1115" i="1" a="1"/>
  <c r="H1115" i="1" s="1"/>
  <c r="I1115" i="1" s="1" a="1"/>
  <c r="I1115" i="1" s="1"/>
  <c r="H1116" i="1" a="1"/>
  <c r="H1116" i="1" s="1"/>
  <c r="I1116" i="1" s="1" a="1"/>
  <c r="I1116" i="1" s="1"/>
  <c r="H72" i="1" a="1"/>
  <c r="H72" i="1" s="1"/>
  <c r="I72" i="1" s="1" a="1"/>
  <c r="I72" i="1" s="1"/>
  <c r="H153" i="1" a="1"/>
  <c r="H153" i="1" s="1"/>
  <c r="I153" i="1" s="1" a="1"/>
  <c r="I153" i="1" s="1"/>
  <c r="H819" i="1" a="1"/>
  <c r="H819" i="1" s="1"/>
  <c r="I819" i="1" s="1" a="1"/>
  <c r="I819" i="1" s="1"/>
  <c r="H200" i="1" a="1"/>
  <c r="H200" i="1" s="1"/>
  <c r="I200" i="1" s="1" a="1"/>
  <c r="I200" i="1" s="1"/>
  <c r="H154" i="1" a="1"/>
  <c r="H154" i="1" s="1"/>
  <c r="I154" i="1" s="1" a="1"/>
  <c r="I154" i="1" s="1"/>
  <c r="H674" i="1" a="1"/>
  <c r="H674" i="1" s="1"/>
  <c r="I674" i="1" s="1" a="1"/>
  <c r="I674" i="1" s="1"/>
  <c r="H749" i="1" a="1"/>
  <c r="H749" i="1" s="1"/>
  <c r="I749" i="1" s="1" a="1"/>
  <c r="I749" i="1" s="1"/>
  <c r="H1174" i="1" a="1"/>
  <c r="H1174" i="1" s="1"/>
  <c r="I1174" i="1" s="1" a="1"/>
  <c r="I1174" i="1" s="1"/>
  <c r="H675" i="1" a="1"/>
  <c r="H675" i="1" s="1"/>
  <c r="I675" i="1" s="1" a="1"/>
  <c r="I675" i="1" s="1"/>
  <c r="H676" i="1" a="1"/>
  <c r="H676" i="1" s="1"/>
  <c r="I676" i="1" s="1" a="1"/>
  <c r="I676" i="1" s="1"/>
  <c r="H12" i="1" a="1"/>
  <c r="H12" i="1" s="1"/>
  <c r="I12" i="1" s="1" a="1"/>
  <c r="I12" i="1" s="1"/>
  <c r="H110" i="1" a="1"/>
  <c r="H110" i="1" s="1"/>
  <c r="I110" i="1" s="1" a="1"/>
  <c r="I110" i="1" s="1"/>
  <c r="H1175" i="1" a="1"/>
  <c r="H1175" i="1" s="1"/>
  <c r="I1175" i="1" s="1" a="1"/>
  <c r="I1175" i="1" s="1"/>
  <c r="H1141" i="1" a="1"/>
  <c r="H1141" i="1" s="1"/>
  <c r="I1141" i="1" s="1" a="1"/>
  <c r="I1141" i="1" s="1"/>
  <c r="H807" i="1" a="1"/>
  <c r="H807" i="1" s="1"/>
  <c r="I807" i="1" s="1" a="1"/>
  <c r="I807" i="1" s="1"/>
  <c r="H677" i="1" a="1"/>
  <c r="H677" i="1" s="1"/>
  <c r="I677" i="1" s="1" a="1"/>
  <c r="I677" i="1" s="1"/>
  <c r="H808" i="1" a="1"/>
  <c r="H808" i="1" s="1"/>
  <c r="I808" i="1" s="1" a="1"/>
  <c r="I808" i="1" s="1"/>
  <c r="H1279" i="1" a="1"/>
  <c r="H1279" i="1" s="1"/>
  <c r="I1279" i="1" s="1" a="1"/>
  <c r="I1279" i="1" s="1"/>
  <c r="H22" i="1" a="1"/>
  <c r="H22" i="1" s="1"/>
  <c r="I22" i="1" s="1" a="1"/>
  <c r="I22" i="1" s="1"/>
  <c r="H155" i="1" a="1"/>
  <c r="H155" i="1" s="1"/>
  <c r="I155" i="1" s="1" a="1"/>
  <c r="I155" i="1" s="1"/>
  <c r="H156" i="1" a="1"/>
  <c r="H156" i="1" s="1"/>
  <c r="I156" i="1" s="1" a="1"/>
  <c r="I156" i="1" s="1"/>
  <c r="H1142" i="1" a="1"/>
  <c r="H1142" i="1" s="1"/>
  <c r="I1142" i="1" s="1" a="1"/>
  <c r="I1142" i="1" s="1"/>
  <c r="H1280" i="1" a="1"/>
  <c r="H1280" i="1" s="1"/>
  <c r="I1280" i="1" s="1" a="1"/>
  <c r="I1280" i="1" s="1"/>
  <c r="H1143" i="1" a="1"/>
  <c r="H1143" i="1" s="1"/>
  <c r="I1143" i="1" s="1" a="1"/>
  <c r="I1143" i="1" s="1"/>
  <c r="H90" i="1" a="1"/>
  <c r="H90" i="1" s="1"/>
  <c r="I90" i="1" s="1" a="1"/>
  <c r="I90" i="1" s="1"/>
  <c r="H157" i="1" a="1"/>
  <c r="H157" i="1" s="1"/>
  <c r="I157" i="1" s="1" a="1"/>
  <c r="I157" i="1" s="1"/>
  <c r="H1126" i="1" a="1"/>
  <c r="H1126" i="1" s="1"/>
  <c r="I1126" i="1" s="1" a="1"/>
  <c r="I1126" i="1" s="1"/>
  <c r="H158" i="1" a="1"/>
  <c r="H158" i="1" s="1"/>
  <c r="I158" i="1" s="1" a="1"/>
  <c r="I158" i="1" s="1"/>
  <c r="H608" i="1" a="1"/>
  <c r="H608" i="1" s="1"/>
  <c r="I608" i="1" s="1" a="1"/>
  <c r="I608" i="1" s="1"/>
  <c r="H1281" i="1" a="1"/>
  <c r="H1281" i="1" s="1"/>
  <c r="I1281" i="1" s="1" a="1"/>
  <c r="I1281" i="1" s="1"/>
  <c r="J609" i="1"/>
  <c r="H610" i="1" a="1"/>
  <c r="H610" i="1" s="1"/>
  <c r="I610" i="1" s="1" a="1"/>
  <c r="I610" i="1" s="1"/>
  <c r="H820" i="1" a="1"/>
  <c r="H820" i="1" s="1"/>
  <c r="I820" i="1" s="1" a="1"/>
  <c r="I820" i="1" s="1"/>
  <c r="H1117" i="1" a="1"/>
  <c r="H1117" i="1" s="1"/>
  <c r="I1117" i="1" s="1" a="1"/>
  <c r="I1117" i="1" s="1"/>
  <c r="H611" i="1" a="1"/>
  <c r="H611" i="1" s="1"/>
  <c r="I611" i="1" s="1" a="1"/>
  <c r="I611" i="1" s="1"/>
  <c r="H91" i="1" a="1"/>
  <c r="H91" i="1" s="1"/>
  <c r="I91" i="1" s="1" a="1"/>
  <c r="I91" i="1" s="1"/>
  <c r="H92" i="1" a="1"/>
  <c r="H92" i="1" s="1"/>
  <c r="I92" i="1" s="1" a="1"/>
  <c r="I92" i="1" s="1"/>
  <c r="H612" i="1" a="1"/>
  <c r="H612" i="1" s="1"/>
  <c r="I612" i="1" s="1" a="1"/>
  <c r="I612" i="1" s="1"/>
  <c r="H81" i="1" a="1"/>
  <c r="H81" i="1" s="1"/>
  <c r="I81" i="1" s="1" a="1"/>
  <c r="I81" i="1" s="1"/>
  <c r="H82" i="1" a="1"/>
  <c r="H82" i="1" s="1"/>
  <c r="I82" i="1" s="1" a="1"/>
  <c r="I82" i="1" s="1"/>
  <c r="H613" i="1" a="1"/>
  <c r="H613" i="1" s="1"/>
  <c r="I613" i="1" s="1" a="1"/>
  <c r="I613" i="1" s="1"/>
  <c r="H1176" i="1" a="1"/>
  <c r="H1176" i="1" s="1"/>
  <c r="I1176" i="1" s="1" a="1"/>
  <c r="I1176" i="1" s="1"/>
  <c r="H614" i="1" a="1"/>
  <c r="H614" i="1" s="1"/>
  <c r="I614" i="1" s="1" a="1"/>
  <c r="I614" i="1" s="1"/>
  <c r="J615" i="1"/>
  <c r="H665" i="1" a="1"/>
  <c r="H665" i="1" s="1"/>
  <c r="I665" i="1" s="1" a="1"/>
  <c r="I665" i="1" s="1"/>
  <c r="H821" i="1" a="1"/>
  <c r="H821" i="1" s="1"/>
  <c r="I821" i="1" s="1" a="1"/>
  <c r="I821" i="1" s="1"/>
  <c r="H1177" i="1" a="1"/>
  <c r="H1177" i="1" s="1"/>
  <c r="I1177" i="1" s="1" a="1"/>
  <c r="I1177" i="1" s="1"/>
  <c r="H111" i="1" a="1"/>
  <c r="H111" i="1" s="1"/>
  <c r="I111" i="1" s="1" a="1"/>
  <c r="I111" i="1" s="1"/>
  <c r="H1336" i="1" a="1"/>
  <c r="H1336" i="1" s="1"/>
  <c r="I1336" i="1" s="1" a="1"/>
  <c r="I1336" i="1" s="1"/>
  <c r="H854" i="1" a="1"/>
  <c r="H854" i="1" s="1"/>
  <c r="I854" i="1" s="1" a="1"/>
  <c r="I854" i="1" s="1"/>
  <c r="H822" i="1" a="1"/>
  <c r="H822" i="1" s="1"/>
  <c r="I822" i="1" s="1" a="1"/>
  <c r="I822" i="1" s="1"/>
  <c r="H1157" i="1" a="1"/>
  <c r="H1157" i="1" s="1"/>
  <c r="I1157" i="1" s="1" a="1"/>
  <c r="I1157" i="1" s="1"/>
  <c r="H1158" i="1" a="1"/>
  <c r="H1158" i="1" s="1"/>
  <c r="I1158" i="1" s="1" a="1"/>
  <c r="I1158" i="1" s="1"/>
  <c r="H112" i="1" a="1"/>
  <c r="H112" i="1" s="1"/>
  <c r="I112" i="1" s="1" a="1"/>
  <c r="I112" i="1" s="1"/>
  <c r="H113" i="1" a="1"/>
  <c r="H113" i="1" s="1"/>
  <c r="I113" i="1" s="1" a="1"/>
  <c r="I113" i="1" s="1"/>
  <c r="H1178" i="1" a="1"/>
  <c r="H1178" i="1" s="1"/>
  <c r="I1178" i="1" s="1" a="1"/>
  <c r="I1178" i="1" s="1"/>
  <c r="H823" i="1" a="1"/>
  <c r="H823" i="1" s="1"/>
  <c r="I823" i="1" s="1" a="1"/>
  <c r="I823" i="1" s="1"/>
  <c r="H13" i="1" a="1"/>
  <c r="H13" i="1" s="1"/>
  <c r="I13" i="1" s="1" a="1"/>
  <c r="I13" i="1" s="1"/>
  <c r="H14" i="1" a="1"/>
  <c r="H14" i="1" s="1"/>
  <c r="I14" i="1" s="1" a="1"/>
  <c r="I14" i="1" s="1"/>
  <c r="H824" i="1" a="1"/>
  <c r="H824" i="1" s="1"/>
  <c r="I824" i="1" s="1" a="1"/>
  <c r="I824" i="1" s="1"/>
  <c r="H855" i="1" a="1"/>
  <c r="H855" i="1" s="1"/>
  <c r="I855" i="1" s="1" a="1"/>
  <c r="I855" i="1" s="1"/>
  <c r="H856" i="1" a="1"/>
  <c r="H856" i="1" s="1"/>
  <c r="I856" i="1" s="1" a="1"/>
  <c r="I856" i="1" s="1"/>
  <c r="H750" i="1" a="1"/>
  <c r="H750" i="1" s="1"/>
  <c r="I750" i="1" s="1" a="1"/>
  <c r="I750" i="1" s="1"/>
  <c r="H678" i="1" a="1"/>
  <c r="H678" i="1" s="1"/>
  <c r="I678" i="1" s="1" a="1"/>
  <c r="I678" i="1" s="1"/>
  <c r="H679" i="1" a="1"/>
  <c r="H679" i="1" s="1"/>
  <c r="I679" i="1" s="1" a="1"/>
  <c r="I679" i="1" s="1"/>
  <c r="H680" i="1" a="1"/>
  <c r="H680" i="1" s="1"/>
  <c r="I680" i="1" s="1" a="1"/>
  <c r="I680" i="1" s="1"/>
  <c r="H825" i="1" a="1"/>
  <c r="H825" i="1" s="1"/>
  <c r="I825" i="1" s="1" a="1"/>
  <c r="I825" i="1" s="1"/>
  <c r="H734" i="1" a="1"/>
  <c r="H734" i="1" s="1"/>
  <c r="I734" i="1" s="1" a="1"/>
  <c r="I734" i="1" s="1"/>
  <c r="H217" i="1" a="1"/>
  <c r="H217" i="1" s="1"/>
  <c r="I217" i="1" s="1" a="1"/>
  <c r="I217" i="1" s="1"/>
  <c r="H218" i="1" a="1"/>
  <c r="H218" i="1" s="1"/>
  <c r="I218" i="1" s="1" a="1"/>
  <c r="I218" i="1" s="1"/>
  <c r="H666" i="1" a="1"/>
  <c r="H666" i="1" s="1"/>
  <c r="I666" i="1" s="1" a="1"/>
  <c r="I666" i="1" s="1"/>
  <c r="H667" i="1" a="1"/>
  <c r="H667" i="1" s="1"/>
  <c r="I667" i="1" s="1" a="1"/>
  <c r="I667" i="1" s="1"/>
  <c r="H668" i="1" a="1"/>
  <c r="H668" i="1" s="1"/>
  <c r="I668" i="1" s="1" a="1"/>
  <c r="I668" i="1" s="1"/>
  <c r="H1330" i="1" a="1"/>
  <c r="H1330" i="1" s="1"/>
  <c r="I1330" i="1" s="1" a="1"/>
  <c r="I1330" i="1" s="1"/>
  <c r="H52" i="1" a="1"/>
  <c r="H52" i="1" s="1"/>
  <c r="I52" i="1" s="1" a="1"/>
  <c r="I52" i="1" s="1"/>
  <c r="H53" i="1" a="1"/>
  <c r="H53" i="1" s="1"/>
  <c r="I53" i="1" s="1" a="1"/>
  <c r="I53" i="1" s="1"/>
  <c r="H815" i="1" a="1"/>
  <c r="H815" i="1" s="1"/>
  <c r="I815" i="1" s="1" a="1"/>
  <c r="I815" i="1" s="1"/>
  <c r="H732" i="1" a="1"/>
  <c r="H732" i="1" s="1"/>
  <c r="I732" i="1" s="1" a="1"/>
  <c r="I732" i="1" s="1"/>
  <c r="H1144" i="1" a="1"/>
  <c r="H1144" i="1" s="1"/>
  <c r="I1144" i="1" s="1" a="1"/>
  <c r="I1144" i="1" s="1"/>
  <c r="H1145" i="1" a="1"/>
  <c r="H1145" i="1" s="1"/>
  <c r="I1145" i="1" s="1" a="1"/>
  <c r="I1145" i="1" s="1"/>
  <c r="H1118" i="1" a="1"/>
  <c r="H1118" i="1" s="1"/>
  <c r="I1118" i="1" s="1" a="1"/>
  <c r="I1118" i="1" s="1"/>
  <c r="J712" i="1"/>
  <c r="H751" i="1" a="1"/>
  <c r="H751" i="1" s="1"/>
  <c r="I751" i="1" s="1" a="1"/>
  <c r="I751" i="1" s="1"/>
  <c r="H114" i="1" a="1"/>
  <c r="H114" i="1" s="1"/>
  <c r="I114" i="1" s="1" a="1"/>
  <c r="I114" i="1" s="1"/>
  <c r="H115" i="1" a="1"/>
  <c r="H115" i="1" s="1"/>
  <c r="I115" i="1" s="1" a="1"/>
  <c r="I115" i="1" s="1"/>
  <c r="H116" i="1" a="1"/>
  <c r="H116" i="1" s="1"/>
  <c r="I116" i="1" s="1" a="1"/>
  <c r="I116" i="1" s="1"/>
  <c r="H681" i="1" a="1"/>
  <c r="H681" i="1" s="1"/>
  <c r="I681" i="1" s="1" a="1"/>
  <c r="I681" i="1" s="1"/>
  <c r="H682" i="1" a="1"/>
  <c r="H682" i="1" s="1"/>
  <c r="I682" i="1" s="1" a="1"/>
  <c r="I682" i="1" s="1"/>
  <c r="H713" i="1" a="1"/>
  <c r="H713" i="1" s="1"/>
  <c r="I713" i="1" s="1" a="1"/>
  <c r="I713" i="1" s="1"/>
  <c r="H93" i="1" a="1"/>
  <c r="H93" i="1" s="1"/>
  <c r="I93" i="1" s="1" a="1"/>
  <c r="I93" i="1" s="1"/>
  <c r="H616" i="1" a="1"/>
  <c r="H616" i="1" s="1"/>
  <c r="I616" i="1" s="1" a="1"/>
  <c r="I616" i="1" s="1"/>
  <c r="H117" i="1" a="1"/>
  <c r="H117" i="1" s="1"/>
  <c r="I117" i="1" s="1" a="1"/>
  <c r="I117" i="1" s="1"/>
  <c r="H826" i="1" a="1"/>
  <c r="H826" i="1" s="1"/>
  <c r="I826" i="1" s="1" a="1"/>
  <c r="I826" i="1" s="1"/>
  <c r="H672" i="1" a="1"/>
  <c r="H672" i="1" s="1"/>
  <c r="I672" i="1" s="1" a="1"/>
  <c r="I672" i="1" s="1"/>
  <c r="H617" i="1" a="1"/>
  <c r="H617" i="1" s="1"/>
  <c r="I617" i="1" s="1" a="1"/>
  <c r="I617" i="1" s="1"/>
  <c r="H618" i="1" a="1"/>
  <c r="H618" i="1" s="1"/>
  <c r="I618" i="1" s="1" a="1"/>
  <c r="I618" i="1" s="1"/>
  <c r="H1146" i="1" a="1"/>
  <c r="H1146" i="1" s="1"/>
  <c r="I1146" i="1" s="1" a="1"/>
  <c r="I1146" i="1" s="1"/>
  <c r="H804" i="1" a="1"/>
  <c r="H804" i="1" s="1"/>
  <c r="I804" i="1" s="1" a="1"/>
  <c r="I804" i="1" s="1"/>
  <c r="H805" i="1" a="1"/>
  <c r="H805" i="1" s="1"/>
  <c r="I805" i="1" s="1" a="1"/>
  <c r="I805" i="1" s="1"/>
  <c r="H650" i="1" a="1"/>
  <c r="H650" i="1" s="1"/>
  <c r="I650" i="1" s="1" a="1"/>
  <c r="I650" i="1" s="1"/>
  <c r="H651" i="1" a="1"/>
  <c r="H651" i="1" s="1"/>
  <c r="I651" i="1" s="1" a="1"/>
  <c r="I651" i="1" s="1"/>
  <c r="H652" i="1" a="1"/>
  <c r="H652" i="1" s="1"/>
  <c r="I652" i="1" s="1" a="1"/>
  <c r="I652" i="1" s="1"/>
  <c r="H827" i="1" a="1"/>
  <c r="H827" i="1" s="1"/>
  <c r="I827" i="1" s="1" a="1"/>
  <c r="I827" i="1" s="1"/>
  <c r="H620" i="1" a="1"/>
  <c r="H620" i="1" s="1"/>
  <c r="I620" i="1" s="1" a="1"/>
  <c r="I620" i="1" s="1"/>
  <c r="H118" i="1" a="1"/>
  <c r="H118" i="1" s="1"/>
  <c r="I118" i="1" s="1" a="1"/>
  <c r="I118" i="1" s="1"/>
  <c r="H828" i="1" a="1"/>
  <c r="H828" i="1" s="1"/>
  <c r="I828" i="1" s="1" a="1"/>
  <c r="I828" i="1" s="1"/>
  <c r="H683" i="1" a="1"/>
  <c r="H683" i="1" s="1"/>
  <c r="I683" i="1" s="1" a="1"/>
  <c r="I683" i="1" s="1"/>
  <c r="H829" i="1" a="1"/>
  <c r="H829" i="1" s="1"/>
  <c r="I829" i="1" s="1" a="1"/>
  <c r="I829" i="1" s="1"/>
  <c r="H621" i="1" a="1"/>
  <c r="H621" i="1" s="1"/>
  <c r="I621" i="1" s="1" a="1"/>
  <c r="I621" i="1" s="1"/>
  <c r="H159" i="1" a="1"/>
  <c r="H159" i="1" s="1"/>
  <c r="I159" i="1" s="1" a="1"/>
  <c r="I159" i="1" s="1"/>
  <c r="H160" i="1" a="1"/>
  <c r="H160" i="1" s="1"/>
  <c r="I160" i="1" s="1" a="1"/>
  <c r="I160" i="1" s="1"/>
  <c r="H161" i="1" a="1"/>
  <c r="H161" i="1" s="1"/>
  <c r="I161" i="1" s="1" a="1"/>
  <c r="I161" i="1" s="1"/>
  <c r="H174" i="1" a="1"/>
  <c r="H174" i="1" s="1"/>
  <c r="I174" i="1" s="1" a="1"/>
  <c r="I174" i="1" s="1"/>
  <c r="H119" i="1" a="1"/>
  <c r="H119" i="1" s="1"/>
  <c r="I119" i="1" s="1" a="1"/>
  <c r="I119" i="1" s="1"/>
  <c r="H164" i="1" a="1"/>
  <c r="H164" i="1" s="1"/>
  <c r="I164" i="1" s="1" a="1"/>
  <c r="I164" i="1" s="1"/>
  <c r="H120" i="1" a="1"/>
  <c r="H120" i="1" s="1"/>
  <c r="I120" i="1" s="1" a="1"/>
  <c r="I120" i="1" s="1"/>
  <c r="H121" i="1" a="1"/>
  <c r="H121" i="1" s="1"/>
  <c r="I121" i="1" s="1" a="1"/>
  <c r="I121" i="1" s="1"/>
  <c r="H830" i="1" a="1"/>
  <c r="H830" i="1" s="1"/>
  <c r="I830" i="1" s="1" a="1"/>
  <c r="I830" i="1" s="1"/>
  <c r="H1152" i="1" a="1"/>
  <c r="H1152" i="1" s="1"/>
  <c r="I1152" i="1" s="1" a="1"/>
  <c r="I1152" i="1" s="1"/>
  <c r="H165" i="1" a="1"/>
  <c r="H165" i="1" s="1"/>
  <c r="I165" i="1" s="1" a="1"/>
  <c r="I165" i="1" s="1"/>
  <c r="H622" i="1" a="1"/>
  <c r="H622" i="1" s="1"/>
  <c r="I622" i="1" s="1" a="1"/>
  <c r="I622" i="1" s="1"/>
  <c r="H27" i="1" a="1"/>
  <c r="H27" i="1" s="1"/>
  <c r="I27" i="1" s="1" a="1"/>
  <c r="I27" i="1" s="1"/>
  <c r="H752" i="1" a="1"/>
  <c r="H752" i="1" s="1"/>
  <c r="I752" i="1" s="1" a="1"/>
  <c r="I752" i="1" s="1"/>
  <c r="H623" i="1" a="1"/>
  <c r="H623" i="1" s="1"/>
  <c r="I623" i="1" s="1" a="1"/>
  <c r="I623" i="1" s="1"/>
  <c r="H753" i="1" a="1"/>
  <c r="H753" i="1" s="1"/>
  <c r="I753" i="1" s="1" a="1"/>
  <c r="I753" i="1" s="1"/>
  <c r="H1121" i="1" a="1"/>
  <c r="H1121" i="1" s="1"/>
  <c r="I1121" i="1" s="1" a="1"/>
  <c r="I1121" i="1" s="1"/>
  <c r="H624" i="1" a="1"/>
  <c r="H624" i="1" s="1"/>
  <c r="I624" i="1" s="1" a="1"/>
  <c r="I624" i="1" s="1"/>
  <c r="H166" i="1" a="1"/>
  <c r="H166" i="1" s="1"/>
  <c r="I166" i="1" s="1" a="1"/>
  <c r="I166" i="1" s="1"/>
  <c r="H167" i="1" a="1"/>
  <c r="H167" i="1" s="1"/>
  <c r="I167" i="1" s="1" a="1"/>
  <c r="I167" i="1" s="1"/>
  <c r="H94" i="1" a="1"/>
  <c r="H94" i="1" s="1"/>
  <c r="I94" i="1" s="1" a="1"/>
  <c r="I94" i="1" s="1"/>
  <c r="H95" i="1" a="1"/>
  <c r="H95" i="1" s="1"/>
  <c r="I95" i="1" s="1" a="1"/>
  <c r="I95" i="1" s="1"/>
  <c r="H96" i="1" a="1"/>
  <c r="H96" i="1" s="1"/>
  <c r="I96" i="1" s="1" a="1"/>
  <c r="I96" i="1" s="1"/>
  <c r="H653" i="1" a="1"/>
  <c r="H653" i="1" s="1"/>
  <c r="I653" i="1" s="1" a="1"/>
  <c r="I653" i="1" s="1"/>
  <c r="H654" i="1" a="1"/>
  <c r="H654" i="1" s="1"/>
  <c r="I654" i="1" s="1" a="1"/>
  <c r="I654" i="1" s="1"/>
  <c r="H28" i="1" a="1"/>
  <c r="H28" i="1" s="1"/>
  <c r="I28" i="1" s="1" a="1"/>
  <c r="I28" i="1" s="1"/>
  <c r="H655" i="1" a="1"/>
  <c r="H655" i="1" s="1"/>
  <c r="I655" i="1" s="1" a="1"/>
  <c r="I655" i="1" s="1"/>
  <c r="H1122" i="1" a="1"/>
  <c r="H1122" i="1" s="1"/>
  <c r="I1122" i="1" s="1" a="1"/>
  <c r="I1122" i="1" s="1"/>
  <c r="H1119" i="1" a="1"/>
  <c r="H1119" i="1" s="1"/>
  <c r="I1119" i="1" s="1" a="1"/>
  <c r="I1119" i="1" s="1"/>
  <c r="H1123" i="1" a="1"/>
  <c r="H1123" i="1" s="1"/>
  <c r="I1123" i="1" s="1" a="1"/>
  <c r="I1123" i="1" s="1"/>
  <c r="H1147" i="1" a="1"/>
  <c r="H1147" i="1" s="1"/>
  <c r="I1147" i="1" s="1" a="1"/>
  <c r="I1147" i="1" s="1"/>
  <c r="H1153" i="1" a="1"/>
  <c r="H1153" i="1" s="1"/>
  <c r="I1153" i="1" s="1" a="1"/>
  <c r="I1153" i="1" s="1"/>
  <c r="H1148" i="1" a="1"/>
  <c r="H1148" i="1" s="1"/>
  <c r="I1148" i="1" s="1" a="1"/>
  <c r="I1148" i="1" s="1"/>
  <c r="H1149" i="1" a="1"/>
  <c r="H1149" i="1" s="1"/>
  <c r="I1149" i="1" s="1" a="1"/>
  <c r="I1149" i="1" s="1"/>
  <c r="H1285" i="1" a="1"/>
  <c r="H1285" i="1" s="1"/>
  <c r="I1285" i="1" s="1" a="1"/>
  <c r="I1285" i="1" s="1"/>
  <c r="H1150" i="1" a="1"/>
  <c r="H1150" i="1" s="1"/>
  <c r="I1150" i="1" s="1" a="1"/>
  <c r="I1150" i="1" s="1"/>
  <c r="H754" i="1" a="1"/>
  <c r="H754" i="1" s="1"/>
  <c r="I754" i="1" s="1" a="1"/>
  <c r="I754" i="1" s="1"/>
  <c r="H755" i="1" a="1"/>
  <c r="H755" i="1" s="1"/>
  <c r="I755" i="1" s="1" a="1"/>
  <c r="I755" i="1" s="1"/>
  <c r="H831" i="1" a="1"/>
  <c r="H831" i="1" s="1"/>
  <c r="I831" i="1" s="1" a="1"/>
  <c r="I831" i="1" s="1"/>
  <c r="H756" i="1" a="1"/>
  <c r="H756" i="1" s="1"/>
  <c r="I756" i="1" s="1" a="1"/>
  <c r="I756" i="1" s="1"/>
  <c r="H15" i="1" a="1"/>
  <c r="H15" i="1" s="1"/>
  <c r="I15" i="1" s="1" a="1"/>
  <c r="I15" i="1" s="1"/>
  <c r="H684" i="1" a="1"/>
  <c r="H684" i="1" s="1"/>
  <c r="I684" i="1" s="1" a="1"/>
  <c r="I684" i="1" s="1"/>
  <c r="H757" i="1" a="1"/>
  <c r="H757" i="1" s="1"/>
  <c r="I757" i="1" s="1" a="1"/>
  <c r="I757" i="1" s="1"/>
  <c r="H832" i="1" a="1"/>
  <c r="H832" i="1" s="1"/>
  <c r="I832" i="1" s="1" a="1"/>
  <c r="I832" i="1" s="1"/>
  <c r="H1124" i="1" a="1"/>
  <c r="H1124" i="1" s="1"/>
  <c r="I1124" i="1" s="1" a="1"/>
  <c r="I1124" i="1" s="1"/>
  <c r="H833" i="1" a="1"/>
  <c r="H833" i="1" s="1"/>
  <c r="I833" i="1" s="1" a="1"/>
  <c r="I833" i="1" s="1"/>
  <c r="H1154" i="1" a="1"/>
  <c r="H1154" i="1" s="1"/>
  <c r="I1154" i="1" s="1" a="1"/>
  <c r="I1154" i="1" s="1"/>
  <c r="H735" i="1" a="1"/>
  <c r="H735" i="1" s="1"/>
  <c r="I735" i="1" s="1" a="1"/>
  <c r="I735" i="1" s="1"/>
  <c r="H736" i="1" a="1"/>
  <c r="H736" i="1" s="1"/>
  <c r="I736" i="1" s="1" a="1"/>
  <c r="I736" i="1" s="1"/>
  <c r="H1333" i="1" a="1"/>
  <c r="H1333" i="1" s="1"/>
  <c r="I1333" i="1" s="1" a="1"/>
  <c r="I1333" i="1" s="1"/>
  <c r="H738" i="1" a="1"/>
  <c r="H738" i="1" s="1"/>
  <c r="I738" i="1" s="1" a="1"/>
  <c r="I738" i="1" s="1"/>
  <c r="H834" i="1" a="1"/>
  <c r="H834" i="1" s="1"/>
  <c r="I834" i="1" s="1" a="1"/>
  <c r="I834" i="1" s="1"/>
  <c r="H201" i="1" a="1"/>
  <c r="H201" i="1" s="1"/>
  <c r="I201" i="1" s="1" a="1"/>
  <c r="I201" i="1" s="1"/>
  <c r="H759" i="1" a="1"/>
  <c r="H759" i="1" s="1"/>
  <c r="I759" i="1" s="1" a="1"/>
  <c r="I759" i="1" s="1"/>
  <c r="H202" i="1" a="1"/>
  <c r="H202" i="1" s="1"/>
  <c r="I202" i="1" s="1" a="1"/>
  <c r="I202" i="1" s="1"/>
  <c r="H739" i="1" a="1"/>
  <c r="H739" i="1" s="1"/>
  <c r="I739" i="1" s="1" a="1"/>
  <c r="I739" i="1" s="1"/>
  <c r="H835" i="1" a="1"/>
  <c r="H835" i="1" s="1"/>
  <c r="I835" i="1" s="1" a="1"/>
  <c r="I835" i="1" s="1"/>
  <c r="H760" i="1" a="1"/>
  <c r="H760" i="1" s="1"/>
  <c r="I760" i="1" s="1" a="1"/>
  <c r="I760" i="1" s="1"/>
  <c r="H836" i="1" a="1"/>
  <c r="H836" i="1" s="1"/>
  <c r="I836" i="1" s="1" a="1"/>
  <c r="I836" i="1" s="1"/>
  <c r="H203" i="1" a="1"/>
  <c r="H203" i="1" s="1"/>
  <c r="I203" i="1" s="1" a="1"/>
  <c r="I203" i="1" s="1"/>
  <c r="H204" i="1" a="1"/>
  <c r="H204" i="1" s="1"/>
  <c r="I204" i="1" s="1" a="1"/>
  <c r="I204" i="1" s="1"/>
  <c r="H205" i="1" a="1"/>
  <c r="H205" i="1" s="1"/>
  <c r="I205" i="1" s="1" a="1"/>
  <c r="I205" i="1" s="1"/>
  <c r="H206" i="1" a="1"/>
  <c r="H206" i="1" s="1"/>
  <c r="I206" i="1" s="1" a="1"/>
  <c r="I206" i="1" s="1"/>
  <c r="H714" i="1" a="1"/>
  <c r="H714" i="1" s="1"/>
  <c r="I714" i="1" s="1" a="1"/>
  <c r="I714" i="1" s="1"/>
  <c r="J1120" i="1"/>
  <c r="J34" i="1"/>
  <c r="H35" i="1" a="1"/>
  <c r="H35" i="1" s="1"/>
  <c r="I35" i="1" s="1" a="1"/>
  <c r="I35" i="1" s="1"/>
  <c r="H36" i="1" a="1"/>
  <c r="H36" i="1" s="1"/>
  <c r="I36" i="1" s="1" a="1"/>
  <c r="I36" i="1" s="1"/>
  <c r="H37" i="1" a="1"/>
  <c r="H37" i="1" s="1"/>
  <c r="I37" i="1" s="1" a="1"/>
  <c r="I37" i="1" s="1"/>
  <c r="H38" i="1" a="1"/>
  <c r="H38" i="1" s="1"/>
  <c r="I38" i="1" s="1" a="1"/>
  <c r="I38" i="1" s="1"/>
  <c r="H39" i="1" a="1"/>
  <c r="H39" i="1" s="1"/>
  <c r="I39" i="1" s="1" a="1"/>
  <c r="I39" i="1" s="1"/>
  <c r="H715" i="1" a="1"/>
  <c r="H715" i="1" s="1"/>
  <c r="I715" i="1" s="1" a="1"/>
  <c r="I715" i="1" s="1"/>
  <c r="H716" i="1" a="1"/>
  <c r="H716" i="1" s="1"/>
  <c r="I716" i="1" s="1" a="1"/>
  <c r="I716" i="1" s="1"/>
  <c r="H761" i="1" a="1"/>
  <c r="H761" i="1" s="1"/>
  <c r="I761" i="1" s="1" a="1"/>
  <c r="I761" i="1" s="1"/>
  <c r="H1125" i="1" a="1"/>
  <c r="H1125" i="1" s="1"/>
  <c r="I1125" i="1" s="1" a="1"/>
  <c r="I1125" i="1" s="1"/>
  <c r="H740" i="1" a="1"/>
  <c r="H740" i="1" s="1"/>
  <c r="I740" i="1" s="1" a="1"/>
  <c r="I740" i="1" s="1"/>
  <c r="H73" i="1" a="1"/>
  <c r="H73" i="1" s="1"/>
  <c r="I73" i="1" s="1" a="1"/>
  <c r="I73" i="1" s="1"/>
  <c r="H74" i="1" a="1"/>
  <c r="H74" i="1" s="1"/>
  <c r="I74" i="1" s="1" a="1"/>
  <c r="I74" i="1" s="1"/>
  <c r="H75" i="1" a="1"/>
  <c r="H75" i="1" s="1"/>
  <c r="I75" i="1" s="1" a="1"/>
  <c r="I75" i="1" s="1"/>
  <c r="H602" i="1" a="1"/>
  <c r="H602" i="1" s="1"/>
  <c r="I602" i="1" s="1" a="1"/>
  <c r="I602" i="1" s="1"/>
  <c r="H837" i="1" a="1"/>
  <c r="H837" i="1" s="1"/>
  <c r="I837" i="1" s="1" a="1"/>
  <c r="I837" i="1" s="1"/>
  <c r="H1159" i="1" a="1"/>
  <c r="H1159" i="1" s="1"/>
  <c r="I1159" i="1" s="1" a="1"/>
  <c r="I1159" i="1" s="1"/>
  <c r="H1160" i="1" a="1"/>
  <c r="H1160" i="1" s="1"/>
  <c r="I1160" i="1" s="1" a="1"/>
  <c r="I1160" i="1" s="1"/>
  <c r="H838" i="1" a="1"/>
  <c r="H838" i="1" s="1"/>
  <c r="I838" i="1" s="1" a="1"/>
  <c r="I838" i="1" s="1"/>
  <c r="H717" i="1" a="1"/>
  <c r="H717" i="1" s="1"/>
  <c r="I717" i="1" s="1" a="1"/>
  <c r="I717" i="1" s="1"/>
  <c r="H718" i="1" a="1"/>
  <c r="H718" i="1" s="1"/>
  <c r="I718" i="1" s="1" a="1"/>
  <c r="I718" i="1" s="1"/>
  <c r="H40" i="1" a="1"/>
  <c r="H40" i="1" s="1"/>
  <c r="I40" i="1" s="1" a="1"/>
  <c r="I40" i="1" s="1"/>
  <c r="H719" i="1" a="1"/>
  <c r="H719" i="1" s="1"/>
  <c r="I719" i="1" s="1" a="1"/>
  <c r="I719" i="1" s="1"/>
  <c r="H720" i="1" a="1"/>
  <c r="H720" i="1" s="1"/>
  <c r="I720" i="1" s="1" a="1"/>
  <c r="I720" i="1" s="1"/>
  <c r="H721" i="1" a="1"/>
  <c r="H721" i="1" s="1"/>
  <c r="I721" i="1" s="1" a="1"/>
  <c r="I721" i="1" s="1"/>
  <c r="H722" i="1" a="1"/>
  <c r="H722" i="1" s="1"/>
  <c r="I722" i="1" s="1" a="1"/>
  <c r="I722" i="1" s="1"/>
  <c r="H723" i="1" a="1"/>
  <c r="H723" i="1" s="1"/>
  <c r="I723" i="1" s="1" a="1"/>
  <c r="I723" i="1" s="1"/>
  <c r="H839" i="1" a="1"/>
  <c r="H839" i="1" s="1"/>
  <c r="I839" i="1" s="1" a="1"/>
  <c r="I839" i="1" s="1"/>
  <c r="H724" i="1" a="1"/>
  <c r="H724" i="1" s="1"/>
  <c r="I724" i="1" s="1" a="1"/>
  <c r="I724" i="1" s="1"/>
  <c r="H97" i="1" a="1"/>
  <c r="H97" i="1" s="1"/>
  <c r="I97" i="1" s="1" a="1"/>
  <c r="I97" i="1" s="1"/>
  <c r="H98" i="1" a="1"/>
  <c r="H98" i="1" s="1"/>
  <c r="I98" i="1" s="1" a="1"/>
  <c r="I98" i="1" s="1"/>
  <c r="H702" i="1" a="1"/>
  <c r="H702" i="1" s="1"/>
  <c r="I702" i="1" s="1" a="1"/>
  <c r="I702" i="1" s="1"/>
  <c r="H168" i="1" a="1"/>
  <c r="H168" i="1" s="1"/>
  <c r="I168" i="1" s="1" a="1"/>
  <c r="I168" i="1" s="1"/>
  <c r="H175" i="1" a="1"/>
  <c r="H175" i="1" s="1"/>
  <c r="I175" i="1" s="1" a="1"/>
  <c r="I175" i="1" s="1"/>
  <c r="H725" i="1" a="1"/>
  <c r="H725" i="1" s="1"/>
  <c r="I725" i="1" s="1" a="1"/>
  <c r="I725" i="1" s="1"/>
  <c r="H1151" i="1" a="1"/>
  <c r="H1151" i="1" s="1"/>
  <c r="I1151" i="1" s="1" a="1"/>
  <c r="I1151" i="1" s="1"/>
  <c r="H809" i="1" a="1"/>
  <c r="H809" i="1" s="1"/>
  <c r="I809" i="1" s="1" a="1"/>
  <c r="I809" i="1" s="1"/>
  <c r="J54" i="1"/>
  <c r="H55" i="1" a="1"/>
  <c r="H55" i="1" s="1"/>
  <c r="I55" i="1" s="1" a="1"/>
  <c r="I55" i="1" s="1"/>
  <c r="H669" i="1" a="1"/>
  <c r="H669" i="1" s="1"/>
  <c r="I669" i="1" s="1" a="1"/>
  <c r="I669" i="1" s="1"/>
  <c r="H670" i="1" a="1"/>
  <c r="H670" i="1" s="1"/>
  <c r="I670" i="1" s="1" a="1"/>
  <c r="I670" i="1" s="1"/>
  <c r="H671" i="1" a="1"/>
  <c r="H671" i="1" s="1"/>
  <c r="I671" i="1" s="1" a="1"/>
  <c r="I671" i="1" s="1"/>
  <c r="H176" i="1" a="1"/>
  <c r="H176" i="1" s="1"/>
  <c r="I176" i="1" s="1" a="1"/>
  <c r="I176" i="1" s="1"/>
  <c r="H177" i="1" a="1"/>
  <c r="H177" i="1" s="1"/>
  <c r="I177" i="1" s="1" a="1"/>
  <c r="I177" i="1" s="1"/>
  <c r="J178" i="1"/>
  <c r="H704" i="1" a="1"/>
  <c r="H704" i="1" s="1"/>
  <c r="I704" i="1" s="1" a="1"/>
  <c r="I704" i="1" s="1"/>
  <c r="H705" i="1" a="1"/>
  <c r="H705" i="1" s="1"/>
  <c r="I705" i="1" s="1" a="1"/>
  <c r="I705" i="1" s="1"/>
  <c r="H180" i="1" a="1"/>
  <c r="H180" i="1" s="1"/>
  <c r="I180" i="1" s="1" a="1"/>
  <c r="I180" i="1" s="1"/>
  <c r="H706" i="1" a="1"/>
  <c r="H706" i="1" s="1"/>
  <c r="I706" i="1" s="1" a="1"/>
  <c r="I706" i="1" s="1"/>
  <c r="H625" i="1" a="1"/>
  <c r="H625" i="1" s="1"/>
  <c r="I625" i="1" s="1" a="1"/>
  <c r="I625" i="1" s="1"/>
  <c r="H626" i="1" a="1"/>
  <c r="H626" i="1" s="1"/>
  <c r="I626" i="1" s="1" a="1"/>
  <c r="I626" i="1" s="1"/>
  <c r="H627" i="1" a="1"/>
  <c r="H627" i="1" s="1"/>
  <c r="I627" i="1" s="1" a="1"/>
  <c r="I627" i="1" s="1"/>
  <c r="H628" i="1" a="1"/>
  <c r="H628" i="1" s="1"/>
  <c r="I628" i="1" s="1" a="1"/>
  <c r="I628" i="1" s="1"/>
  <c r="H786" i="1" a="1"/>
  <c r="H786" i="1" s="1"/>
  <c r="I786" i="1" s="1" a="1"/>
  <c r="I786" i="1" s="1"/>
  <c r="H23" i="1" a="1"/>
  <c r="H23" i="1" s="1"/>
  <c r="I23" i="1" s="1" a="1"/>
  <c r="I23" i="1" s="1"/>
  <c r="H840" i="1" a="1"/>
  <c r="H840" i="1" s="1"/>
  <c r="I840" i="1" s="1" a="1"/>
  <c r="I840" i="1" s="1"/>
  <c r="H1286" i="1" a="1"/>
  <c r="H1286" i="1" s="1"/>
  <c r="I1286" i="1" s="1" a="1"/>
  <c r="I1286" i="1" s="1"/>
  <c r="H169" i="1" a="1"/>
  <c r="H169" i="1" s="1"/>
  <c r="I169" i="1" s="1" a="1"/>
  <c r="I169" i="1" s="1"/>
  <c r="H787" i="1" a="1"/>
  <c r="H787" i="1" s="1"/>
  <c r="I787" i="1" s="1" a="1"/>
  <c r="I787" i="1" s="1"/>
  <c r="H170" i="1" a="1"/>
  <c r="H170" i="1" s="1"/>
  <c r="I170" i="1" s="1" a="1"/>
  <c r="I170" i="1" s="1"/>
  <c r="H171" i="1" a="1"/>
  <c r="H171" i="1" s="1"/>
  <c r="I171" i="1" s="1" a="1"/>
  <c r="I171" i="1" s="1"/>
  <c r="H762" i="1" a="1"/>
  <c r="H762" i="1" s="1"/>
  <c r="I762" i="1" s="1" a="1"/>
  <c r="I762" i="1" s="1"/>
  <c r="H76" i="1" a="1"/>
  <c r="H76" i="1" s="1"/>
  <c r="I76" i="1" s="1" a="1"/>
  <c r="I76" i="1" s="1"/>
  <c r="H629" i="1" a="1"/>
  <c r="H629" i="1" s="1"/>
  <c r="I629" i="1" s="1" a="1"/>
  <c r="I629" i="1" s="1"/>
  <c r="H788" i="1" a="1"/>
  <c r="H788" i="1" s="1"/>
  <c r="I788" i="1" s="1" a="1"/>
  <c r="I788" i="1" s="1"/>
  <c r="H789" i="1" a="1"/>
  <c r="H789" i="1" s="1"/>
  <c r="I789" i="1" s="1" a="1"/>
  <c r="I789" i="1" s="1"/>
  <c r="J77" i="1"/>
  <c r="H630" i="1" a="1"/>
  <c r="H630" i="1" s="1"/>
  <c r="I630" i="1" s="1" a="1"/>
  <c r="I630" i="1" s="1"/>
  <c r="H707" i="1" a="1"/>
  <c r="H707" i="1" s="1"/>
  <c r="I707" i="1" s="1" a="1"/>
  <c r="I707" i="1" s="1"/>
  <c r="H56" i="1" a="1"/>
  <c r="H56" i="1" s="1"/>
  <c r="I56" i="1" s="1" a="1"/>
  <c r="I56" i="1" s="1"/>
  <c r="H57" i="1" a="1"/>
  <c r="H57" i="1" s="1"/>
  <c r="I57" i="1" s="1" a="1"/>
  <c r="I57" i="1" s="1"/>
  <c r="H58" i="1" a="1"/>
  <c r="H58" i="1" s="1"/>
  <c r="I58" i="1" s="1" a="1"/>
  <c r="I58" i="1" s="1"/>
  <c r="H78" i="1" a="1"/>
  <c r="H78" i="1" s="1"/>
  <c r="I78" i="1" s="1" a="1"/>
  <c r="I78" i="1" s="1"/>
  <c r="H841" i="1" a="1"/>
  <c r="H841" i="1" s="1"/>
  <c r="I841" i="1" s="1" a="1"/>
  <c r="I841" i="1" s="1"/>
  <c r="H181" i="1" a="1"/>
  <c r="H181" i="1" s="1"/>
  <c r="I181" i="1" s="1" a="1"/>
  <c r="I181" i="1" s="1"/>
  <c r="H685" i="1" a="1"/>
  <c r="H685" i="1" s="1"/>
  <c r="I685" i="1" s="1" a="1"/>
  <c r="I685" i="1" s="1"/>
  <c r="H842" i="1" a="1"/>
  <c r="H842" i="1" s="1"/>
  <c r="I842" i="1" s="1" a="1"/>
  <c r="I842" i="1" s="1"/>
  <c r="H708" i="1" a="1"/>
  <c r="H708" i="1" s="1"/>
  <c r="I708" i="1" s="1" a="1"/>
  <c r="I708" i="1" s="1"/>
  <c r="H709" i="1" a="1"/>
  <c r="H709" i="1" s="1"/>
  <c r="I709" i="1" s="1" a="1"/>
  <c r="I709" i="1" s="1"/>
  <c r="H29" i="1" a="1"/>
  <c r="H29" i="1" s="1"/>
  <c r="I29" i="1" s="1" a="1"/>
  <c r="I29" i="1" s="1"/>
  <c r="H59" i="1" a="1"/>
  <c r="H59" i="1" s="1"/>
  <c r="I59" i="1" s="1" a="1"/>
  <c r="I59" i="1" s="1"/>
  <c r="H60" i="1" a="1"/>
  <c r="H60" i="1" s="1"/>
  <c r="I60" i="1" s="1" a="1"/>
  <c r="I60" i="1" s="1"/>
  <c r="H673" i="1" a="1"/>
  <c r="H673" i="1" s="1"/>
  <c r="I673" i="1" s="1" a="1"/>
  <c r="I673" i="1" s="1"/>
  <c r="H843" i="1" a="1"/>
  <c r="H843" i="1" s="1"/>
  <c r="I843" i="1" s="1" a="1"/>
  <c r="I843" i="1" s="1"/>
  <c r="H844" i="1" a="1"/>
  <c r="H844" i="1" s="1"/>
  <c r="I844" i="1" s="1" a="1"/>
  <c r="I844" i="1" s="1"/>
  <c r="H631" i="1" a="1"/>
  <c r="H631" i="1" s="1"/>
  <c r="I631" i="1" s="1" a="1"/>
  <c r="I631" i="1" s="1"/>
  <c r="H845" i="1" a="1"/>
  <c r="H845" i="1" s="1"/>
  <c r="I845" i="1" s="1" a="1"/>
  <c r="I845" i="1" s="1"/>
  <c r="H632" i="1" a="1"/>
  <c r="H632" i="1" s="1"/>
  <c r="I632" i="1" s="1" a="1"/>
  <c r="I632" i="1" s="1"/>
  <c r="H846" i="1" a="1"/>
  <c r="H846" i="1" s="1"/>
  <c r="I846" i="1" s="1" a="1"/>
  <c r="I846" i="1" s="1"/>
  <c r="H633" i="1" a="1"/>
  <c r="H633" i="1" s="1"/>
  <c r="I633" i="1" s="1" a="1"/>
  <c r="I633" i="1" s="1"/>
  <c r="H634" i="1" a="1"/>
  <c r="H634" i="1" s="1"/>
  <c r="I634" i="1" s="1" a="1"/>
  <c r="I634" i="1" s="1"/>
  <c r="H24" i="1" a="1"/>
  <c r="H24" i="1" s="1"/>
  <c r="I24" i="1" s="1" a="1"/>
  <c r="I24" i="1" s="1"/>
  <c r="H99" i="1" a="1"/>
  <c r="H99" i="1" s="1"/>
  <c r="I99" i="1" s="1" a="1"/>
  <c r="I99" i="1" s="1"/>
  <c r="J703" i="1"/>
  <c r="H638" i="1" a="1"/>
  <c r="H638" i="1" s="1"/>
  <c r="I638" i="1" s="1" a="1"/>
  <c r="I638" i="1" s="1"/>
  <c r="H639" i="1" a="1"/>
  <c r="H639" i="1" s="1"/>
  <c r="I639" i="1" s="1" a="1"/>
  <c r="I639" i="1" s="1"/>
  <c r="H847" i="1" a="1"/>
  <c r="H847" i="1" s="1"/>
  <c r="I847" i="1" s="1" a="1"/>
  <c r="I847" i="1" s="1"/>
  <c r="H640" i="1" a="1"/>
  <c r="H640" i="1" s="1"/>
  <c r="I640" i="1" s="1" a="1"/>
  <c r="I640" i="1" s="1"/>
  <c r="H641" i="1" a="1"/>
  <c r="H641" i="1" s="1"/>
  <c r="I641" i="1" s="1" a="1"/>
  <c r="I641" i="1" s="1"/>
  <c r="H30" i="1" a="1"/>
  <c r="H30" i="1" s="1"/>
  <c r="I30" i="1" s="1" a="1"/>
  <c r="I30" i="1" s="1"/>
  <c r="H31" i="1" a="1"/>
  <c r="H31" i="1" s="1"/>
  <c r="I31" i="1" s="1" a="1"/>
  <c r="I31" i="1" s="1"/>
  <c r="H642" i="1" a="1"/>
  <c r="H642" i="1" s="1"/>
  <c r="I642" i="1" s="1" a="1"/>
  <c r="I642" i="1" s="1"/>
  <c r="H25" i="1" a="1"/>
  <c r="H25" i="1" s="1"/>
  <c r="I25" i="1" s="1" a="1"/>
  <c r="I25" i="1" s="1"/>
  <c r="H790" i="1" a="1"/>
  <c r="H790" i="1" s="1"/>
  <c r="I790" i="1" s="1" a="1"/>
  <c r="I790" i="1" s="1"/>
  <c r="H791" i="1" a="1"/>
  <c r="H791" i="1" s="1"/>
  <c r="I791" i="1" s="1" a="1"/>
  <c r="I791" i="1" s="1"/>
  <c r="H792" i="1" a="1"/>
  <c r="H792" i="1" s="1"/>
  <c r="I792" i="1" s="1" a="1"/>
  <c r="I792" i="1" s="1"/>
  <c r="H763" i="1" a="1"/>
  <c r="H763" i="1" s="1"/>
  <c r="I763" i="1" s="1" a="1"/>
  <c r="I763" i="1" s="1"/>
  <c r="H848" i="1" a="1"/>
  <c r="H848" i="1" s="1"/>
  <c r="I848" i="1" s="1" a="1"/>
  <c r="I848" i="1" s="1"/>
  <c r="H793" i="1" a="1"/>
  <c r="H793" i="1" s="1"/>
  <c r="I793" i="1" s="1" a="1"/>
  <c r="I793" i="1" s="1"/>
  <c r="H794" i="1" a="1"/>
  <c r="H794" i="1" s="1"/>
  <c r="I794" i="1" s="1" a="1"/>
  <c r="I794" i="1" s="1"/>
  <c r="H208" i="1" a="1"/>
  <c r="H208" i="1" s="1"/>
  <c r="I208" i="1" s="1" a="1"/>
  <c r="I208" i="1" s="1"/>
  <c r="H764" i="1" a="1"/>
  <c r="H764" i="1" s="1"/>
  <c r="I764" i="1" s="1" a="1"/>
  <c r="I764" i="1" s="1"/>
  <c r="H209" i="1" a="1"/>
  <c r="H209" i="1" s="1"/>
  <c r="I209" i="1" s="1" a="1"/>
  <c r="I209" i="1" s="1"/>
  <c r="H849" i="1" a="1"/>
  <c r="H849" i="1" s="1"/>
  <c r="I849" i="1" s="1" a="1"/>
  <c r="I849" i="1" s="1"/>
  <c r="H766" i="1" a="1"/>
  <c r="H766" i="1" s="1"/>
  <c r="I766" i="1" s="1" a="1"/>
  <c r="I766" i="1" s="1"/>
  <c r="H767" i="1" a="1"/>
  <c r="H767" i="1" s="1"/>
  <c r="I767" i="1" s="1" a="1"/>
  <c r="I767" i="1" s="1"/>
  <c r="H850" i="1" a="1"/>
  <c r="H850" i="1" s="1"/>
  <c r="I850" i="1" s="1" a="1"/>
  <c r="I850" i="1" s="1"/>
  <c r="H768" i="1" a="1"/>
  <c r="H768" i="1" s="1"/>
  <c r="I768" i="1" s="1" a="1"/>
  <c r="I768" i="1" s="1"/>
  <c r="H44" i="1" a="1"/>
  <c r="H44" i="1" s="1"/>
  <c r="I44" i="1" s="1" a="1"/>
  <c r="I44" i="1" s="1"/>
  <c r="H45" i="1" a="1"/>
  <c r="H45" i="1" s="1"/>
  <c r="I45" i="1" s="1" a="1"/>
  <c r="I45" i="1" s="1"/>
  <c r="H769" i="1" a="1"/>
  <c r="H769" i="1" s="1"/>
  <c r="I769" i="1" s="1" a="1"/>
  <c r="I769" i="1" s="1"/>
  <c r="H656" i="1" a="1"/>
  <c r="H656" i="1" s="1"/>
  <c r="I656" i="1" s="1" a="1"/>
  <c r="I656" i="1" s="1"/>
  <c r="H6" i="1" a="1"/>
  <c r="H6" i="1" s="1"/>
  <c r="I6" i="1" s="1" a="1"/>
  <c r="I6" i="1" s="1"/>
  <c r="H41" i="1" a="1"/>
  <c r="H41" i="1" s="1"/>
  <c r="I41" i="1" s="1" a="1"/>
  <c r="I41" i="1" s="1"/>
  <c r="H7" i="1" a="1"/>
  <c r="H7" i="1" s="1"/>
  <c r="I7" i="1" s="1" a="1"/>
  <c r="I7" i="1" s="1"/>
  <c r="H795" i="1" a="1"/>
  <c r="H795" i="1" s="1"/>
  <c r="I795" i="1" s="1" a="1"/>
  <c r="I795" i="1" s="1"/>
  <c r="H219" i="1" a="1"/>
  <c r="H219" i="1" s="1"/>
  <c r="I219" i="1" s="1" a="1"/>
  <c r="I219" i="1" s="1"/>
  <c r="H220" i="1" a="1"/>
  <c r="H220" i="1" s="1"/>
  <c r="I220" i="1" s="1" a="1"/>
  <c r="I220" i="1" s="1"/>
  <c r="H770" i="1" a="1"/>
  <c r="H770" i="1" s="1"/>
  <c r="I770" i="1" s="1" a="1"/>
  <c r="I770" i="1" s="1"/>
  <c r="J8" i="1"/>
  <c r="J221" i="1"/>
  <c r="H84" i="1" a="1"/>
  <c r="H84" i="1" s="1"/>
  <c r="I84" i="1" s="1" a="1"/>
  <c r="I84" i="1" s="1"/>
  <c r="H85" i="1" a="1"/>
  <c r="H85" i="1" s="1"/>
  <c r="I85" i="1" s="1" a="1"/>
  <c r="I85" i="1" s="1"/>
  <c r="H857" i="1" a="1"/>
  <c r="H857" i="1" s="1"/>
  <c r="I857" i="1" s="1" a="1"/>
  <c r="I857" i="1" s="1"/>
  <c r="H771" i="1" a="1"/>
  <c r="H771" i="1" s="1"/>
  <c r="I771" i="1" s="1" a="1"/>
  <c r="I771" i="1" s="1"/>
  <c r="H657" i="1" a="1"/>
  <c r="H657" i="1" s="1"/>
  <c r="I657" i="1" s="1" a="1"/>
  <c r="I657" i="1" s="1"/>
  <c r="H772" i="1" a="1"/>
  <c r="H772" i="1" s="1"/>
  <c r="I772" i="1" s="1" a="1"/>
  <c r="I772" i="1" s="1"/>
  <c r="H86" i="1" a="1"/>
  <c r="H86" i="1" s="1"/>
  <c r="I86" i="1" s="1" a="1"/>
  <c r="I86" i="1" s="1"/>
  <c r="H773" i="1" a="1"/>
  <c r="H773" i="1" s="1"/>
  <c r="I773" i="1" s="1" a="1"/>
  <c r="I773" i="1" s="1"/>
  <c r="H851" i="1" a="1"/>
  <c r="H851" i="1" s="1"/>
  <c r="I851" i="1" s="1" a="1"/>
  <c r="I851" i="1" s="1"/>
  <c r="H210" i="1" a="1"/>
  <c r="H210" i="1" s="1"/>
  <c r="I210" i="1" s="1" a="1"/>
  <c r="I210" i="1" s="1"/>
  <c r="H590" i="1" a="1"/>
  <c r="H590" i="1" s="1"/>
  <c r="I590" i="1" s="1" a="1"/>
  <c r="I590" i="1" s="1"/>
  <c r="H774" i="1" a="1"/>
  <c r="H774" i="1" s="1"/>
  <c r="I774" i="1" s="1" a="1"/>
  <c r="I774" i="1" s="1"/>
  <c r="H775" i="1" a="1"/>
  <c r="H775" i="1" s="1"/>
  <c r="I775" i="1" s="1" a="1"/>
  <c r="I775" i="1" s="1"/>
  <c r="H1278" i="1" a="1"/>
  <c r="H1278" i="1" s="1"/>
  <c r="I1278" i="1" s="1" a="1"/>
  <c r="I1278" i="1" s="1"/>
  <c r="H182" i="1" a="1"/>
  <c r="H182" i="1" s="1"/>
  <c r="I182" i="1" s="1" a="1"/>
  <c r="I182" i="1" s="1"/>
  <c r="H183" i="1" a="1"/>
  <c r="H183" i="1" s="1"/>
  <c r="I183" i="1" s="1" a="1"/>
  <c r="I183" i="1" s="1"/>
  <c r="H776" i="1" a="1"/>
  <c r="H776" i="1" s="1"/>
  <c r="I776" i="1" s="1" a="1"/>
  <c r="I776" i="1" s="1"/>
  <c r="H777" i="1" a="1"/>
  <c r="H777" i="1" s="1"/>
  <c r="I777" i="1" s="1" a="1"/>
  <c r="I777" i="1" s="1"/>
  <c r="H778" i="1" a="1"/>
  <c r="H778" i="1" s="1"/>
  <c r="I778" i="1" s="1" a="1"/>
  <c r="I778" i="1" s="1"/>
  <c r="H779" i="1" a="1"/>
  <c r="H779" i="1" s="1"/>
  <c r="I779" i="1" s="1" a="1"/>
  <c r="I779" i="1" s="1"/>
  <c r="H16" i="1" a="1"/>
  <c r="H16" i="1" s="1"/>
  <c r="I16" i="1" s="1" a="1"/>
  <c r="I16" i="1" s="1"/>
  <c r="H592" i="1" a="1"/>
  <c r="H592" i="1" s="1"/>
  <c r="I592" i="1" s="1" a="1"/>
  <c r="I592" i="1" s="1"/>
  <c r="H852" i="1" a="1"/>
  <c r="H852" i="1" s="1"/>
  <c r="I852" i="1" s="1" a="1"/>
  <c r="I852" i="1" s="1"/>
  <c r="H853" i="1" a="1"/>
  <c r="H853" i="1" s="1"/>
  <c r="I853" i="1" s="1" a="1"/>
  <c r="I853" i="1" s="1"/>
  <c r="H781" i="1" a="1"/>
  <c r="H781" i="1" s="1"/>
  <c r="I781" i="1" s="1" a="1"/>
  <c r="I781" i="1" s="1"/>
  <c r="H1134" i="1" a="1"/>
  <c r="H1134" i="1" s="1"/>
  <c r="I1134" i="1" s="1" a="1"/>
  <c r="I1134" i="1" s="1"/>
  <c r="H782" i="1" a="1"/>
  <c r="H782" i="1" s="1"/>
  <c r="I782" i="1" s="1" a="1"/>
  <c r="I782" i="1" s="1"/>
  <c r="H1135" i="1" a="1"/>
  <c r="H1135" i="1" s="1"/>
  <c r="I1135" i="1" s="1" a="1"/>
  <c r="I1135" i="1" s="1"/>
  <c r="H783" i="1" a="1"/>
  <c r="H783" i="1" s="1"/>
  <c r="I783" i="1" s="1" a="1"/>
  <c r="I783" i="1" s="1"/>
  <c r="H784" i="1" a="1"/>
  <c r="H784" i="1" s="1"/>
  <c r="I784" i="1" s="1" a="1"/>
  <c r="I784" i="1" s="1"/>
  <c r="H1136" i="1" a="1"/>
  <c r="H1136" i="1" s="1"/>
  <c r="I1136" i="1" s="1" a="1"/>
  <c r="I1136" i="1" s="1"/>
  <c r="H122" i="1" a="1"/>
  <c r="H122" i="1" s="1"/>
  <c r="I122" i="1" s="1" a="1"/>
  <c r="I122" i="1" s="1"/>
  <c r="H658" i="1" a="1"/>
  <c r="H658" i="1" s="1"/>
  <c r="I658" i="1" s="1" a="1"/>
  <c r="I658" i="1" s="1"/>
  <c r="J123" i="1"/>
  <c r="H46" i="1" a="1"/>
  <c r="H46" i="1" s="1"/>
  <c r="I46" i="1" s="1" a="1"/>
  <c r="I46" i="1" s="1"/>
  <c r="H17" i="1" a="1"/>
  <c r="H17" i="1" s="1"/>
  <c r="I17" i="1" s="1" a="1"/>
  <c r="I17" i="1" s="1"/>
  <c r="H67" i="1" a="1"/>
  <c r="H67" i="1" s="1"/>
  <c r="I67" i="1" s="1" a="1"/>
  <c r="I67" i="1" s="1"/>
  <c r="H87" i="1" a="1"/>
  <c r="H87" i="1" s="1"/>
  <c r="I87" i="1" s="1" a="1"/>
  <c r="I87" i="1" s="1"/>
  <c r="H18" i="1" a="1"/>
  <c r="H18" i="1" s="1"/>
  <c r="I18" i="1" s="1" a="1"/>
  <c r="I18" i="1" s="1"/>
  <c r="H710" i="1" a="1"/>
  <c r="H710" i="1" s="1"/>
  <c r="I710" i="1" s="1" a="1"/>
  <c r="I710" i="1" s="1"/>
  <c r="H184" i="1" a="1"/>
  <c r="H184" i="1" s="1"/>
  <c r="I184" i="1" s="1" a="1"/>
  <c r="I184" i="1" s="1"/>
  <c r="H858" i="1" a="1"/>
  <c r="H858" i="1" s="1"/>
  <c r="I858" i="1" s="1" a="1"/>
  <c r="I858" i="1" s="1"/>
  <c r="H859" i="1" a="1"/>
  <c r="H859" i="1" s="1"/>
  <c r="I859" i="1" s="1" a="1"/>
  <c r="I859" i="1" s="1"/>
  <c r="H785" i="1" a="1"/>
  <c r="H785" i="1" s="1"/>
  <c r="I785" i="1" s="1" a="1"/>
  <c r="I785" i="1" s="1"/>
  <c r="H603" i="1" a="1"/>
  <c r="H603" i="1" s="1"/>
  <c r="I603" i="1" s="1" a="1"/>
  <c r="I603" i="1" s="1"/>
  <c r="J686" i="1"/>
  <c r="H1334" i="1" a="1"/>
  <c r="H1334" i="1" s="1"/>
  <c r="I1334" i="1" s="1" a="1"/>
  <c r="I1334" i="1" s="1"/>
  <c r="H215" i="1" a="1"/>
  <c r="H215" i="1" s="1"/>
  <c r="I215" i="1" s="1" a="1"/>
  <c r="I215" i="1" s="1"/>
  <c r="H88" i="1" a="1"/>
  <c r="H88" i="1" s="1"/>
  <c r="I88" i="1" s="1" a="1"/>
  <c r="I88" i="1" s="1"/>
  <c r="H860" i="1" a="1"/>
  <c r="H860" i="1" s="1"/>
  <c r="I860" i="1" s="1" a="1"/>
  <c r="I860" i="1" s="1"/>
  <c r="J216" i="1"/>
  <c r="H83" i="1" a="1"/>
  <c r="H83" i="1" s="1"/>
  <c r="I83" i="1" s="1" a="1"/>
  <c r="I83" i="1" s="1"/>
  <c r="H861" i="1" a="1"/>
  <c r="H861" i="1" s="1"/>
  <c r="I861" i="1" s="1" a="1"/>
  <c r="I861" i="1" s="1"/>
  <c r="H862" i="1" a="1"/>
  <c r="H862" i="1" s="1"/>
  <c r="I862" i="1" s="1" a="1"/>
  <c r="I862" i="1" s="1"/>
  <c r="H863" i="1" a="1"/>
  <c r="H863" i="1" s="1"/>
  <c r="I863" i="1" s="1" a="1"/>
  <c r="I863" i="1" s="1"/>
  <c r="H741" i="1" a="1"/>
  <c r="H741" i="1" s="1"/>
  <c r="I741" i="1" s="1" a="1"/>
  <c r="I741" i="1" s="1"/>
  <c r="H186" i="1" a="1"/>
  <c r="H186" i="1" s="1"/>
  <c r="I186" i="1" s="1" a="1"/>
  <c r="I186" i="1" s="1"/>
  <c r="H796" i="1" a="1"/>
  <c r="H796" i="1" s="1"/>
  <c r="I796" i="1" s="1" a="1"/>
  <c r="I796" i="1" s="1"/>
  <c r="H187" i="1" a="1"/>
  <c r="H187" i="1" s="1"/>
  <c r="I187" i="1" s="1" a="1"/>
  <c r="I187" i="1" s="1"/>
  <c r="H797" i="1" a="1"/>
  <c r="H797" i="1" s="1"/>
  <c r="I797" i="1" s="1" a="1"/>
  <c r="I797" i="1" s="1"/>
  <c r="H604" i="1" a="1"/>
  <c r="H604" i="1" s="1"/>
  <c r="I604" i="1" s="1" a="1"/>
  <c r="I604" i="1" s="1"/>
  <c r="H19" i="1" a="1"/>
  <c r="H19" i="1" s="1"/>
  <c r="I19" i="1" s="1" a="1"/>
  <c r="I19" i="1" s="1"/>
  <c r="H798" i="1" a="1"/>
  <c r="H798" i="1" s="1"/>
  <c r="I798" i="1" s="1" a="1"/>
  <c r="I798" i="1" s="1"/>
  <c r="H605" i="1" a="1"/>
  <c r="H605" i="1" s="1"/>
  <c r="I605" i="1" s="1" a="1"/>
  <c r="I605" i="1" s="1"/>
  <c r="H124" i="1" a="1"/>
  <c r="H124" i="1" s="1"/>
  <c r="I124" i="1" s="1" a="1"/>
  <c r="I124" i="1" s="1"/>
  <c r="H799" i="1" a="1"/>
  <c r="H799" i="1" s="1"/>
  <c r="I799" i="1" s="1" a="1"/>
  <c r="I799" i="1" s="1"/>
  <c r="H865" i="1" a="1"/>
  <c r="H865" i="1" s="1"/>
  <c r="I865" i="1" s="1" a="1"/>
  <c r="I865" i="1" s="1"/>
  <c r="H1137" i="1" a="1"/>
  <c r="H1137" i="1" s="1"/>
  <c r="I1137" i="1" s="1" a="1"/>
  <c r="I1137" i="1" s="1"/>
  <c r="H687" i="1" a="1"/>
  <c r="H687" i="1" s="1"/>
  <c r="I687" i="1" s="1" a="1"/>
  <c r="I687" i="1" s="1"/>
  <c r="H1161" i="1" a="1"/>
  <c r="H1161" i="1" s="1"/>
  <c r="I1161" i="1" s="1" a="1"/>
  <c r="I1161" i="1" s="1"/>
  <c r="H1162" i="1" a="1"/>
  <c r="H1162" i="1" s="1"/>
  <c r="I1162" i="1" s="1" a="1"/>
  <c r="I1162" i="1" s="1"/>
  <c r="H866" i="1" a="1"/>
  <c r="H866" i="1" s="1"/>
  <c r="I866" i="1" s="1" a="1"/>
  <c r="I866" i="1" s="1"/>
  <c r="H1282" i="1" a="1"/>
  <c r="H1282" i="1" s="1"/>
  <c r="I1282" i="1" s="1" a="1"/>
  <c r="I1282" i="1" s="1"/>
  <c r="H1283" i="1" a="1"/>
  <c r="H1283" i="1" s="1"/>
  <c r="I1283" i="1" s="1" a="1"/>
  <c r="I1283" i="1" s="1"/>
  <c r="H742" i="1" a="1"/>
  <c r="H742" i="1" s="1"/>
  <c r="I742" i="1" s="1" a="1"/>
  <c r="I742" i="1" s="1"/>
  <c r="H743" i="1" a="1"/>
  <c r="H743" i="1" s="1"/>
  <c r="I743" i="1" s="1" a="1"/>
  <c r="I743" i="1" s="1"/>
  <c r="H744" i="1" a="1"/>
  <c r="H744" i="1" s="1"/>
  <c r="I744" i="1" s="1" a="1"/>
  <c r="I744" i="1" s="1"/>
  <c r="H745" i="1" a="1"/>
  <c r="H745" i="1" s="1"/>
  <c r="I745" i="1" s="1" a="1"/>
  <c r="I745" i="1" s="1"/>
  <c r="J746" i="1"/>
  <c r="H100" i="1" a="1"/>
  <c r="H100" i="1" s="1"/>
  <c r="I100" i="1" s="1" a="1"/>
  <c r="I100" i="1" s="1"/>
  <c r="H101" i="1" a="1"/>
  <c r="H101" i="1" s="1"/>
  <c r="I101" i="1" s="1" a="1"/>
  <c r="I101" i="1" s="1"/>
  <c r="H867" i="1" a="1"/>
  <c r="H867" i="1" s="1"/>
  <c r="I867" i="1" s="1" a="1"/>
  <c r="I867" i="1" s="1"/>
  <c r="H868" i="1" a="1"/>
  <c r="H868" i="1" s="1"/>
  <c r="I868" i="1" s="1" a="1"/>
  <c r="I868" i="1" s="1"/>
  <c r="H869" i="1" a="1"/>
  <c r="H869" i="1" s="1"/>
  <c r="I869" i="1" s="1" a="1"/>
  <c r="I869" i="1" s="1"/>
  <c r="H61" i="1" a="1"/>
  <c r="H61" i="1" s="1"/>
  <c r="I61" i="1" s="1" a="1"/>
  <c r="I61" i="1" s="1"/>
  <c r="H1163" i="1" a="1"/>
  <c r="H1163" i="1" s="1"/>
  <c r="I1163" i="1" s="1" a="1"/>
  <c r="I1163" i="1" s="1"/>
  <c r="H1164" i="1" a="1"/>
  <c r="H1164" i="1" s="1"/>
  <c r="I1164" i="1" s="1" a="1"/>
  <c r="I1164" i="1" s="1"/>
  <c r="H688" i="1" a="1"/>
  <c r="H688" i="1" s="1"/>
  <c r="I688" i="1" s="1" a="1"/>
  <c r="I688" i="1" s="1"/>
  <c r="H1335" i="1" a="1"/>
  <c r="H1335" i="1" s="1"/>
  <c r="I1335" i="1" s="1" a="1"/>
  <c r="I1335" i="1" s="1"/>
  <c r="H643" i="1" a="1"/>
  <c r="H643" i="1" s="1"/>
  <c r="I643" i="1" s="1" a="1"/>
  <c r="I643" i="1" s="1"/>
  <c r="H726" i="1" a="1"/>
  <c r="H726" i="1" s="1"/>
  <c r="I726" i="1" s="1" a="1"/>
  <c r="I726" i="1" s="1"/>
  <c r="H20" i="1" a="1"/>
  <c r="H20" i="1" s="1"/>
  <c r="I20" i="1" s="1" a="1"/>
  <c r="I20" i="1" s="1"/>
  <c r="H125" i="1" a="1"/>
  <c r="H125" i="1" s="1"/>
  <c r="I125" i="1" s="1" a="1"/>
  <c r="I125" i="1" s="1"/>
  <c r="H126" i="1" a="1"/>
  <c r="H126" i="1" s="1"/>
  <c r="I126" i="1" s="1" a="1"/>
  <c r="I126" i="1" s="1"/>
  <c r="H644" i="1" a="1"/>
  <c r="H644" i="1" s="1"/>
  <c r="I644" i="1" s="1" a="1"/>
  <c r="I644" i="1" s="1"/>
  <c r="H1284" i="1" a="1"/>
  <c r="H1284" i="1" s="1"/>
  <c r="I1284" i="1" s="1" a="1"/>
  <c r="I1284" i="1" s="1"/>
  <c r="H800" i="1" a="1"/>
  <c r="H800" i="1" s="1"/>
  <c r="I800" i="1" s="1" a="1"/>
  <c r="I800" i="1" s="1"/>
  <c r="H870" i="1" a="1"/>
  <c r="H870" i="1" s="1"/>
  <c r="I870" i="1" s="1" a="1"/>
  <c r="I870" i="1" s="1"/>
  <c r="H727" i="1" a="1"/>
  <c r="H727" i="1" s="1"/>
  <c r="I727" i="1" s="1" a="1"/>
  <c r="I727" i="1" s="1"/>
  <c r="H695" i="1" a="1"/>
  <c r="H695" i="1" s="1"/>
  <c r="I695" i="1" s="1" a="1"/>
  <c r="I695" i="1" s="1"/>
  <c r="H872" i="1" a="1"/>
  <c r="H872" i="1" s="1"/>
  <c r="I872" i="1" s="1" a="1"/>
  <c r="I872" i="1" s="1"/>
  <c r="H801" i="1" a="1"/>
  <c r="H801" i="1" s="1"/>
  <c r="I801" i="1" s="1" a="1"/>
  <c r="I801" i="1" s="1"/>
  <c r="H802" i="1" a="1"/>
  <c r="H802" i="1" s="1"/>
  <c r="I802" i="1" s="1" a="1"/>
  <c r="I802" i="1" s="1"/>
  <c r="H873" i="1" a="1"/>
  <c r="H873" i="1" s="1"/>
  <c r="I873" i="1" s="1" a="1"/>
  <c r="I873" i="1" s="1"/>
  <c r="H874" i="1" a="1"/>
  <c r="H874" i="1" s="1"/>
  <c r="I874" i="1" s="1" a="1"/>
  <c r="I874" i="1" s="1"/>
  <c r="H875" i="1" a="1"/>
  <c r="H875" i="1" s="1"/>
  <c r="I875" i="1" s="1" a="1"/>
  <c r="I875" i="1" s="1"/>
  <c r="H876" i="1" a="1"/>
  <c r="H876" i="1" s="1"/>
  <c r="I876" i="1" s="1" a="1"/>
  <c r="I876" i="1" s="1"/>
  <c r="H877" i="1" a="1"/>
  <c r="H877" i="1" s="1"/>
  <c r="I877" i="1" s="1" a="1"/>
  <c r="I877" i="1" s="1"/>
  <c r="H878" i="1" a="1"/>
  <c r="H878" i="1" s="1"/>
  <c r="I878" i="1" s="1" a="1"/>
  <c r="I878" i="1" s="1"/>
  <c r="J728" i="1"/>
  <c r="H729" i="1" a="1"/>
  <c r="H729" i="1" s="1"/>
  <c r="I729" i="1" s="1" a="1"/>
  <c r="I729" i="1" s="1"/>
  <c r="H42" i="1" a="1"/>
  <c r="H42" i="1" s="1"/>
  <c r="I42" i="1" s="1" a="1"/>
  <c r="I42" i="1" s="1"/>
  <c r="H188" i="1" a="1"/>
  <c r="H188" i="1" s="1"/>
  <c r="I188" i="1" s="1" a="1"/>
  <c r="I188" i="1" s="1"/>
  <c r="H62" i="1" a="1"/>
  <c r="H62" i="1" s="1"/>
  <c r="I62" i="1" s="1" a="1"/>
  <c r="I62" i="1" s="1"/>
  <c r="H879" i="1" a="1"/>
  <c r="H879" i="1" s="1"/>
  <c r="I879" i="1" s="1" a="1"/>
  <c r="I879" i="1" s="1"/>
  <c r="H730" i="1" a="1"/>
  <c r="H730" i="1" s="1"/>
  <c r="I730" i="1" s="1" a="1"/>
  <c r="I730" i="1" s="1"/>
  <c r="H43" i="1" a="1"/>
  <c r="H43" i="1" s="1"/>
  <c r="I43" i="1" s="1" a="1"/>
  <c r="I43" i="1" s="1"/>
  <c r="H606" i="1" a="1"/>
  <c r="H606" i="1" s="1"/>
  <c r="I606" i="1" s="1" a="1"/>
  <c r="I606" i="1" s="1"/>
  <c r="J102" i="1"/>
  <c r="H103" i="1" a="1"/>
  <c r="H103" i="1" s="1"/>
  <c r="I103" i="1" s="1" a="1"/>
  <c r="I103" i="1" s="1"/>
  <c r="H104" i="1" a="1"/>
  <c r="H104" i="1" s="1"/>
  <c r="I104" i="1" s="1" a="1"/>
  <c r="I104" i="1" s="1"/>
  <c r="H747" i="1" a="1"/>
  <c r="H747" i="1" s="1"/>
  <c r="I747" i="1" s="1" a="1"/>
  <c r="I747" i="1" s="1"/>
  <c r="H748" i="1" a="1"/>
  <c r="H748" i="1" s="1"/>
  <c r="I748" i="1" s="1" a="1"/>
  <c r="I748" i="1" s="1"/>
  <c r="H607" i="1" a="1"/>
  <c r="H607" i="1" s="1"/>
  <c r="I607" i="1" s="1" a="1"/>
  <c r="I607" i="1" s="1"/>
  <c r="H731" i="1" a="1"/>
  <c r="H731" i="1" s="1"/>
  <c r="I731" i="1" s="1" a="1"/>
  <c r="I731" i="1" s="1"/>
  <c r="H810" i="1" a="1"/>
  <c r="H810" i="1" s="1"/>
  <c r="I810" i="1" s="1" a="1"/>
  <c r="I810" i="1" s="1"/>
  <c r="H811" i="1" a="1"/>
  <c r="H811" i="1" s="1"/>
  <c r="I811" i="1" s="1" a="1"/>
  <c r="I811" i="1" s="1"/>
  <c r="H1331" i="1" a="1"/>
  <c r="H1331" i="1" s="1"/>
  <c r="I1331" i="1" s="1" a="1"/>
  <c r="I1331" i="1" s="1"/>
  <c r="H211" i="1" a="1"/>
  <c r="H211" i="1" s="1"/>
  <c r="I211" i="1" s="1" a="1"/>
  <c r="I211" i="1" s="1"/>
  <c r="H212" i="1" a="1"/>
  <c r="H212" i="1" s="1"/>
  <c r="I212" i="1" s="1" a="1"/>
  <c r="I212" i="1" s="1"/>
  <c r="H127" i="1" a="1"/>
  <c r="H127" i="1" s="1"/>
  <c r="I127" i="1" s="1" a="1"/>
  <c r="I127" i="1" s="1"/>
  <c r="H880" i="1" a="1"/>
  <c r="H880" i="1" s="1"/>
  <c r="I880" i="1" s="1" a="1"/>
  <c r="I880" i="1" s="1"/>
  <c r="H803" i="1" a="1"/>
  <c r="H803" i="1" s="1"/>
  <c r="I803" i="1" s="1" a="1"/>
  <c r="I803" i="1" s="1"/>
  <c r="H1332" i="1" a="1"/>
  <c r="H1332" i="1" s="1"/>
  <c r="I1332" i="1" s="1" a="1"/>
  <c r="I1332" i="1" s="1"/>
  <c r="H696" i="1" a="1"/>
  <c r="H696" i="1" s="1"/>
  <c r="I696" i="1" s="1" a="1"/>
  <c r="I696" i="1" s="1"/>
  <c r="H645" i="1" a="1"/>
  <c r="H645" i="1" s="1"/>
  <c r="I645" i="1" s="1" a="1"/>
  <c r="I645" i="1" s="1"/>
  <c r="H881" i="1" a="1"/>
  <c r="H881" i="1" s="1"/>
  <c r="I881" i="1" s="1" a="1"/>
  <c r="I881" i="1" s="1"/>
  <c r="H882" i="1" a="1"/>
  <c r="H882" i="1" s="1"/>
  <c r="I882" i="1" s="1" a="1"/>
  <c r="I882" i="1" s="1"/>
  <c r="H128" i="1" a="1"/>
  <c r="H128" i="1" s="1"/>
  <c r="I128" i="1" s="1" a="1"/>
  <c r="I128" i="1" s="1"/>
  <c r="AB461" i="1" l="1"/>
  <c r="AA4" i="1"/>
  <c r="AB765" i="1"/>
  <c r="AB720" i="1"/>
  <c r="AB795" i="1"/>
  <c r="AB767" i="1"/>
  <c r="AB493" i="1"/>
  <c r="AB764" i="1"/>
  <c r="AB859" i="1"/>
  <c r="AB775" i="1"/>
  <c r="AB500" i="1"/>
  <c r="AB669" i="1"/>
  <c r="H4" i="1" a="1"/>
  <c r="H4" i="1" s="1"/>
  <c r="I4" i="1" s="1" a="1"/>
  <c r="I4" i="1" s="1"/>
  <c r="P63" i="1"/>
  <c r="P4" i="1"/>
  <c r="P66" i="1"/>
  <c r="P738" i="1"/>
  <c r="P209" i="1"/>
  <c r="P84" i="1"/>
  <c r="P1282" i="1"/>
  <c r="P746" i="1"/>
  <c r="P747" i="1"/>
  <c r="P105" i="1"/>
  <c r="P70" i="1"/>
  <c r="P49" i="1"/>
  <c r="P597" i="1"/>
  <c r="P1133" i="1"/>
  <c r="P676" i="1"/>
  <c r="P113" i="1"/>
  <c r="P678" i="1"/>
  <c r="P751" i="1"/>
  <c r="P681" i="1"/>
  <c r="P829" i="1"/>
  <c r="P831" i="1"/>
  <c r="P758" i="1"/>
  <c r="P760" i="1"/>
  <c r="P1125" i="1"/>
  <c r="P844" i="1"/>
  <c r="P769" i="1"/>
  <c r="P774" i="1"/>
  <c r="P16" i="1"/>
  <c r="P783" i="1"/>
  <c r="P785" i="1"/>
  <c r="P604" i="1"/>
  <c r="P1335" i="1"/>
  <c r="P129" i="1"/>
  <c r="P1165" i="1"/>
  <c r="P691" i="1"/>
  <c r="P693" i="1"/>
  <c r="P1172" i="1"/>
  <c r="P150" i="1"/>
  <c r="P153" i="1"/>
  <c r="P1126" i="1"/>
  <c r="P612" i="1"/>
  <c r="P1177" i="1"/>
  <c r="P160" i="1"/>
  <c r="P1121" i="1"/>
  <c r="P97" i="1"/>
  <c r="P628" i="1"/>
  <c r="P171" i="1"/>
  <c r="P632" i="1"/>
  <c r="P637" i="1"/>
  <c r="P791" i="1"/>
  <c r="P219" i="1"/>
  <c r="P861" i="1"/>
  <c r="P733" i="1"/>
  <c r="P734" i="1"/>
  <c r="P1152" i="1"/>
  <c r="P739" i="1"/>
  <c r="P44" i="1"/>
  <c r="P85" i="1"/>
  <c r="P67" i="1"/>
  <c r="P89" i="1"/>
  <c r="P748" i="1"/>
  <c r="P47" i="1"/>
  <c r="P818" i="1"/>
  <c r="P700" i="1"/>
  <c r="P50" i="1"/>
  <c r="P598" i="1"/>
  <c r="P72" i="1"/>
  <c r="P12" i="1"/>
  <c r="P679" i="1"/>
  <c r="P114" i="1"/>
  <c r="P682" i="1"/>
  <c r="P827" i="1"/>
  <c r="P752" i="1"/>
  <c r="P756" i="1"/>
  <c r="P832" i="1"/>
  <c r="P840" i="1"/>
  <c r="P77" i="1"/>
  <c r="P845" i="1"/>
  <c r="P764" i="1"/>
  <c r="P770" i="1"/>
  <c r="P852" i="1"/>
  <c r="P784" i="1"/>
  <c r="P603" i="1"/>
  <c r="P19" i="1"/>
  <c r="P20" i="1"/>
  <c r="P130" i="1"/>
  <c r="P135" i="1"/>
  <c r="P692" i="1"/>
  <c r="P1169" i="1"/>
  <c r="P144" i="1"/>
  <c r="P151" i="1"/>
  <c r="P154" i="1"/>
  <c r="P1175" i="1"/>
  <c r="P158" i="1"/>
  <c r="P81" i="1"/>
  <c r="P1336" i="1"/>
  <c r="P617" i="1"/>
  <c r="P161" i="1"/>
  <c r="P624" i="1"/>
  <c r="P98" i="1"/>
  <c r="P786" i="1"/>
  <c r="P629" i="1"/>
  <c r="P633" i="1"/>
  <c r="P638" i="1"/>
  <c r="P1139" i="1"/>
  <c r="P220" i="1"/>
  <c r="P862" i="1"/>
  <c r="P64" i="1"/>
  <c r="P815" i="1"/>
  <c r="P1153" i="1"/>
  <c r="P740" i="1"/>
  <c r="P45" i="1"/>
  <c r="P86" i="1"/>
  <c r="P87" i="1"/>
  <c r="P100" i="1"/>
  <c r="P1331" i="1"/>
  <c r="P214" i="1"/>
  <c r="P1129" i="1"/>
  <c r="P9" i="1"/>
  <c r="P51" i="1"/>
  <c r="P599" i="1"/>
  <c r="P110" i="1"/>
  <c r="P680" i="1"/>
  <c r="P115" i="1"/>
  <c r="P119" i="1"/>
  <c r="P753" i="1"/>
  <c r="P834" i="1"/>
  <c r="P836" i="1"/>
  <c r="P602" i="1"/>
  <c r="P1286" i="1"/>
  <c r="P78" i="1"/>
  <c r="P846" i="1"/>
  <c r="P849" i="1"/>
  <c r="P771" i="1"/>
  <c r="P853" i="1"/>
  <c r="P1136" i="1"/>
  <c r="P686" i="1"/>
  <c r="P605" i="1"/>
  <c r="P125" i="1"/>
  <c r="P131" i="1"/>
  <c r="P136" i="1"/>
  <c r="P137" i="1"/>
  <c r="P1170" i="1"/>
  <c r="P145" i="1"/>
  <c r="P694" i="1"/>
  <c r="P1174" i="1"/>
  <c r="P608" i="1"/>
  <c r="P82" i="1"/>
  <c r="P854" i="1"/>
  <c r="P162" i="1"/>
  <c r="P702" i="1"/>
  <c r="P788" i="1"/>
  <c r="P634" i="1"/>
  <c r="P639" i="1"/>
  <c r="P792" i="1"/>
  <c r="P221" i="1"/>
  <c r="P858" i="1"/>
  <c r="P863" i="1"/>
  <c r="P812" i="1"/>
  <c r="P813" i="1"/>
  <c r="P207" i="1"/>
  <c r="P1154" i="1"/>
  <c r="P6" i="1"/>
  <c r="P88" i="1"/>
  <c r="P1283" i="1"/>
  <c r="P101" i="1"/>
  <c r="P211" i="1"/>
  <c r="P697" i="1"/>
  <c r="P816" i="1"/>
  <c r="P1156" i="1"/>
  <c r="P10" i="1"/>
  <c r="P593" i="1"/>
  <c r="P600" i="1"/>
  <c r="P819" i="1"/>
  <c r="P677" i="1"/>
  <c r="P823" i="1"/>
  <c r="P825" i="1"/>
  <c r="P116" i="1"/>
  <c r="P120" i="1"/>
  <c r="P759" i="1"/>
  <c r="P73" i="1"/>
  <c r="P837" i="1"/>
  <c r="P841" i="1"/>
  <c r="P765" i="1"/>
  <c r="P772" i="1"/>
  <c r="P775" i="1"/>
  <c r="P780" i="1"/>
  <c r="P122" i="1"/>
  <c r="P1334" i="1"/>
  <c r="P124" i="1"/>
  <c r="P1163" i="1"/>
  <c r="P126" i="1"/>
  <c r="P132" i="1"/>
  <c r="P1166" i="1"/>
  <c r="P138" i="1"/>
  <c r="P1171" i="1"/>
  <c r="P146" i="1"/>
  <c r="P79" i="1"/>
  <c r="P22" i="1"/>
  <c r="P609" i="1"/>
  <c r="P1178" i="1"/>
  <c r="P618" i="1"/>
  <c r="P163" i="1"/>
  <c r="P166" i="1"/>
  <c r="P168" i="1"/>
  <c r="P23" i="1"/>
  <c r="P789" i="1"/>
  <c r="P635" i="1"/>
  <c r="P640" i="1"/>
  <c r="P793" i="1"/>
  <c r="P857" i="1"/>
  <c r="P859" i="1"/>
  <c r="P864" i="1"/>
  <c r="P736" i="1"/>
  <c r="P743" i="1"/>
  <c r="P102" i="1"/>
  <c r="P696" i="1"/>
  <c r="P1127" i="1"/>
  <c r="P1155" i="1"/>
  <c r="P48" i="1"/>
  <c r="P698" i="1"/>
  <c r="P1131" i="1"/>
  <c r="P107" i="1"/>
  <c r="P71" i="1"/>
  <c r="P749" i="1"/>
  <c r="P820" i="1"/>
  <c r="P1157" i="1"/>
  <c r="P14" i="1"/>
  <c r="P117" i="1"/>
  <c r="P118" i="1"/>
  <c r="P1285" i="1"/>
  <c r="P684" i="1"/>
  <c r="P835" i="1"/>
  <c r="P75" i="1"/>
  <c r="P1160" i="1"/>
  <c r="P762" i="1"/>
  <c r="P685" i="1"/>
  <c r="P767" i="1"/>
  <c r="P851" i="1"/>
  <c r="P777" i="1"/>
  <c r="P1134" i="1"/>
  <c r="P216" i="1"/>
  <c r="P687" i="1"/>
  <c r="P607" i="1"/>
  <c r="P134" i="1"/>
  <c r="P141" i="1"/>
  <c r="P147" i="1"/>
  <c r="P152" i="1"/>
  <c r="P156" i="1"/>
  <c r="P611" i="1"/>
  <c r="P1176" i="1"/>
  <c r="P856" i="1"/>
  <c r="P93" i="1"/>
  <c r="P620" i="1"/>
  <c r="P165" i="1"/>
  <c r="P94" i="1"/>
  <c r="P626" i="1"/>
  <c r="P169" i="1"/>
  <c r="P99" i="1"/>
  <c r="P642" i="1"/>
  <c r="P795" i="1"/>
  <c r="P797" i="1"/>
  <c r="P737" i="1"/>
  <c r="P673" i="1"/>
  <c r="P744" i="1"/>
  <c r="P103" i="1"/>
  <c r="P1128" i="1"/>
  <c r="P1130" i="1"/>
  <c r="P699" i="1"/>
  <c r="P595" i="1"/>
  <c r="P108" i="1"/>
  <c r="P675" i="1"/>
  <c r="P821" i="1"/>
  <c r="P1158" i="1"/>
  <c r="P824" i="1"/>
  <c r="P826" i="1"/>
  <c r="P828" i="1"/>
  <c r="P830" i="1"/>
  <c r="P754" i="1"/>
  <c r="P757" i="1"/>
  <c r="P833" i="1"/>
  <c r="P838" i="1"/>
  <c r="P842" i="1"/>
  <c r="P763" i="1"/>
  <c r="P850" i="1"/>
  <c r="P778" i="1"/>
  <c r="P782" i="1"/>
  <c r="P17" i="1"/>
  <c r="P65" i="1"/>
  <c r="P735" i="1"/>
  <c r="P741" i="1"/>
  <c r="P212" i="1"/>
  <c r="P13" i="1"/>
  <c r="P773" i="1"/>
  <c r="P215" i="1"/>
  <c r="P689" i="1"/>
  <c r="P157" i="1"/>
  <c r="P217" i="1"/>
  <c r="P619" i="1"/>
  <c r="P96" i="1"/>
  <c r="P24" i="1"/>
  <c r="P867" i="1"/>
  <c r="P871" i="1"/>
  <c r="P877" i="1"/>
  <c r="P1145" i="1"/>
  <c r="P651" i="1"/>
  <c r="P28" i="1"/>
  <c r="P705" i="1"/>
  <c r="P708" i="1"/>
  <c r="P31" i="1"/>
  <c r="P710" i="1"/>
  <c r="P659" i="1"/>
  <c r="P660" i="1"/>
  <c r="P195" i="1"/>
  <c r="P198" i="1"/>
  <c r="P52" i="1"/>
  <c r="P201" i="1"/>
  <c r="P206" i="1"/>
  <c r="P38" i="1"/>
  <c r="P720" i="1"/>
  <c r="P57" i="1"/>
  <c r="P1333" i="1"/>
  <c r="P213" i="1"/>
  <c r="P750" i="1"/>
  <c r="P755" i="1"/>
  <c r="P761" i="1"/>
  <c r="P843" i="1"/>
  <c r="P1164" i="1"/>
  <c r="P1167" i="1"/>
  <c r="P1173" i="1"/>
  <c r="P610" i="1"/>
  <c r="P218" i="1"/>
  <c r="P621" i="1"/>
  <c r="P625" i="1"/>
  <c r="P703" i="1"/>
  <c r="P860" i="1"/>
  <c r="P868" i="1"/>
  <c r="P872" i="1"/>
  <c r="P878" i="1"/>
  <c r="P880" i="1"/>
  <c r="P886" i="1"/>
  <c r="P26" i="1"/>
  <c r="P893" i="1"/>
  <c r="P1143" i="1"/>
  <c r="P652" i="1"/>
  <c r="P655" i="1"/>
  <c r="P180" i="1"/>
  <c r="P709" i="1"/>
  <c r="P1278" i="1"/>
  <c r="P661" i="1"/>
  <c r="P199" i="1"/>
  <c r="P200" i="1"/>
  <c r="P1117" i="1"/>
  <c r="P53" i="1"/>
  <c r="P202" i="1"/>
  <c r="P39" i="1"/>
  <c r="P721" i="1"/>
  <c r="P729" i="1"/>
  <c r="P814" i="1"/>
  <c r="P106" i="1"/>
  <c r="P11" i="1"/>
  <c r="P674" i="1"/>
  <c r="P15" i="1"/>
  <c r="P74" i="1"/>
  <c r="P847" i="1"/>
  <c r="P776" i="1"/>
  <c r="P688" i="1"/>
  <c r="P1168" i="1"/>
  <c r="P140" i="1"/>
  <c r="P80" i="1"/>
  <c r="P91" i="1"/>
  <c r="P159" i="1"/>
  <c r="P627" i="1"/>
  <c r="P636" i="1"/>
  <c r="P83" i="1"/>
  <c r="P869" i="1"/>
  <c r="P801" i="1"/>
  <c r="P879" i="1"/>
  <c r="P646" i="1"/>
  <c r="P172" i="1"/>
  <c r="P649" i="1"/>
  <c r="P1146" i="1"/>
  <c r="P174" i="1"/>
  <c r="P175" i="1"/>
  <c r="P29" i="1"/>
  <c r="P182" i="1"/>
  <c r="P187" i="1"/>
  <c r="P188" i="1"/>
  <c r="P662" i="1"/>
  <c r="P196" i="1"/>
  <c r="P1118" i="1"/>
  <c r="P714" i="1"/>
  <c r="P715" i="1"/>
  <c r="P722" i="1"/>
  <c r="P725" i="1"/>
  <c r="P5" i="1"/>
  <c r="P208" i="1"/>
  <c r="P683" i="1"/>
  <c r="P779" i="1"/>
  <c r="P606" i="1"/>
  <c r="P690" i="1"/>
  <c r="P142" i="1"/>
  <c r="P92" i="1"/>
  <c r="P164" i="1"/>
  <c r="P641" i="1"/>
  <c r="P796" i="1"/>
  <c r="P643" i="1"/>
  <c r="P802" i="1"/>
  <c r="P803" i="1"/>
  <c r="P882" i="1"/>
  <c r="P647" i="1"/>
  <c r="P1337" i="1"/>
  <c r="P804" i="1"/>
  <c r="P176" i="1"/>
  <c r="P657" i="1"/>
  <c r="P183" i="1"/>
  <c r="P184" i="1"/>
  <c r="P189" i="1"/>
  <c r="P663" i="1"/>
  <c r="P197" i="1"/>
  <c r="P807" i="1"/>
  <c r="P712" i="1"/>
  <c r="P1147" i="1"/>
  <c r="P1120" i="1"/>
  <c r="P716" i="1"/>
  <c r="P723" i="1"/>
  <c r="P1151" i="1"/>
  <c r="P55" i="1"/>
  <c r="P61" i="1"/>
  <c r="P7" i="1"/>
  <c r="P742" i="1"/>
  <c r="P68" i="1"/>
  <c r="P594" i="1"/>
  <c r="P1124" i="1"/>
  <c r="P1159" i="1"/>
  <c r="P781" i="1"/>
  <c r="P127" i="1"/>
  <c r="P21" i="1"/>
  <c r="P143" i="1"/>
  <c r="P613" i="1"/>
  <c r="P622" i="1"/>
  <c r="P25" i="1"/>
  <c r="P798" i="1"/>
  <c r="P644" i="1"/>
  <c r="P873" i="1"/>
  <c r="P1332" i="1"/>
  <c r="P887" i="1"/>
  <c r="P889" i="1"/>
  <c r="P1179" i="1"/>
  <c r="P177" i="1"/>
  <c r="P656" i="1"/>
  <c r="P590" i="1"/>
  <c r="P591" i="1"/>
  <c r="P32" i="1"/>
  <c r="P185" i="1"/>
  <c r="P190" i="1"/>
  <c r="P664" i="1"/>
  <c r="P193" i="1"/>
  <c r="P1115" i="1"/>
  <c r="P808" i="1"/>
  <c r="P665" i="1"/>
  <c r="P666" i="1"/>
  <c r="P713" i="1"/>
  <c r="P1122" i="1"/>
  <c r="P1148" i="1"/>
  <c r="P34" i="1"/>
  <c r="P717" i="1"/>
  <c r="P724" i="1"/>
  <c r="P809" i="1"/>
  <c r="P669" i="1"/>
  <c r="P58" i="1"/>
  <c r="P8" i="1"/>
  <c r="P745" i="1"/>
  <c r="P596" i="1"/>
  <c r="P111" i="1"/>
  <c r="P839" i="1"/>
  <c r="P848" i="1"/>
  <c r="P1135" i="1"/>
  <c r="P1137" i="1"/>
  <c r="P128" i="1"/>
  <c r="P139" i="1"/>
  <c r="P701" i="1"/>
  <c r="P614" i="1"/>
  <c r="P623" i="1"/>
  <c r="P787" i="1"/>
  <c r="P790" i="1"/>
  <c r="P799" i="1"/>
  <c r="P1284" i="1"/>
  <c r="P874" i="1"/>
  <c r="P883" i="1"/>
  <c r="P888" i="1"/>
  <c r="P1140" i="1"/>
  <c r="P805" i="1"/>
  <c r="P27" i="1"/>
  <c r="P178" i="1"/>
  <c r="P592" i="1"/>
  <c r="P191" i="1"/>
  <c r="P192" i="1"/>
  <c r="P194" i="1"/>
  <c r="P1116" i="1"/>
  <c r="P1279" i="1"/>
  <c r="P667" i="1"/>
  <c r="P1119" i="1"/>
  <c r="P1149" i="1"/>
  <c r="P203" i="1"/>
  <c r="P35" i="1"/>
  <c r="P718" i="1"/>
  <c r="P670" i="1"/>
  <c r="P59" i="1"/>
  <c r="P672" i="1"/>
  <c r="P210" i="1"/>
  <c r="P695" i="1"/>
  <c r="P817" i="1"/>
  <c r="P1132" i="1"/>
  <c r="P822" i="1"/>
  <c r="P121" i="1"/>
  <c r="P766" i="1"/>
  <c r="P123" i="1"/>
  <c r="P1161" i="1"/>
  <c r="P133" i="1"/>
  <c r="P1138" i="1"/>
  <c r="P148" i="1"/>
  <c r="P155" i="1"/>
  <c r="P615" i="1"/>
  <c r="P616" i="1"/>
  <c r="P167" i="1"/>
  <c r="P170" i="1"/>
  <c r="P794" i="1"/>
  <c r="P865" i="1"/>
  <c r="P800" i="1"/>
  <c r="P875" i="1"/>
  <c r="P645" i="1"/>
  <c r="P884" i="1"/>
  <c r="P890" i="1"/>
  <c r="P892" i="1"/>
  <c r="P1180" i="1"/>
  <c r="P1141" i="1"/>
  <c r="P650" i="1"/>
  <c r="P653" i="1"/>
  <c r="P179" i="1"/>
  <c r="P706" i="1"/>
  <c r="P806" i="1"/>
  <c r="P711" i="1"/>
  <c r="P1280" i="1"/>
  <c r="P668" i="1"/>
  <c r="P1123" i="1"/>
  <c r="P1150" i="1"/>
  <c r="P204" i="1"/>
  <c r="P36" i="1"/>
  <c r="P40" i="1"/>
  <c r="P90" i="1"/>
  <c r="P173" i="1"/>
  <c r="P1281" i="1"/>
  <c r="P719" i="1"/>
  <c r="P726" i="1"/>
  <c r="P732" i="1"/>
  <c r="P727" i="1"/>
  <c r="P730" i="1"/>
  <c r="P658" i="1"/>
  <c r="P46" i="1"/>
  <c r="P76" i="1"/>
  <c r="P855" i="1"/>
  <c r="P866" i="1"/>
  <c r="P654" i="1"/>
  <c r="P43" i="1"/>
  <c r="P104" i="1"/>
  <c r="P768" i="1"/>
  <c r="P870" i="1"/>
  <c r="P891" i="1"/>
  <c r="P704" i="1"/>
  <c r="P1330" i="1"/>
  <c r="P69" i="1"/>
  <c r="P18" i="1"/>
  <c r="P95" i="1"/>
  <c r="P876" i="1"/>
  <c r="P648" i="1"/>
  <c r="P186" i="1"/>
  <c r="P60" i="1"/>
  <c r="P42" i="1"/>
  <c r="P731" i="1"/>
  <c r="P810" i="1"/>
  <c r="P109" i="1"/>
  <c r="P1162" i="1"/>
  <c r="P630" i="1"/>
  <c r="P707" i="1"/>
  <c r="P54" i="1"/>
  <c r="P112" i="1"/>
  <c r="P631" i="1"/>
  <c r="P1142" i="1"/>
  <c r="P181" i="1"/>
  <c r="P33" i="1"/>
  <c r="P671" i="1"/>
  <c r="P62" i="1"/>
  <c r="P811" i="1"/>
  <c r="P30" i="1"/>
  <c r="P56" i="1"/>
  <c r="P41" i="1"/>
  <c r="P601" i="1"/>
  <c r="P881" i="1"/>
  <c r="P205" i="1"/>
  <c r="P149" i="1"/>
  <c r="P885" i="1"/>
  <c r="P1144" i="1"/>
  <c r="P37" i="1"/>
  <c r="P728" i="1"/>
  <c r="A2" i="3" a="1"/>
  <c r="B8" i="3" s="1"/>
  <c r="H178" i="1" a="1"/>
  <c r="H178" i="1" s="1"/>
  <c r="I178" i="1" s="1" a="1"/>
  <c r="I178" i="1" s="1"/>
  <c r="H615" i="1" a="1"/>
  <c r="H615" i="1" s="1"/>
  <c r="I615" i="1" s="1" a="1"/>
  <c r="I615" i="1" s="1"/>
  <c r="H34" i="1" a="1"/>
  <c r="H34" i="1" s="1"/>
  <c r="I34" i="1" s="1" a="1"/>
  <c r="I34" i="1" s="1"/>
  <c r="H71" i="1" a="1"/>
  <c r="H71" i="1" s="1"/>
  <c r="I71" i="1" s="1" a="1"/>
  <c r="I71" i="1" s="1"/>
  <c r="H123" i="1" a="1"/>
  <c r="H123" i="1" s="1"/>
  <c r="I123" i="1" s="1" a="1"/>
  <c r="I123" i="1" s="1"/>
  <c r="H1120" i="1" a="1"/>
  <c r="H1120" i="1" s="1"/>
  <c r="I1120" i="1" s="1" a="1"/>
  <c r="I1120" i="1" s="1"/>
  <c r="H746" i="1" a="1"/>
  <c r="H746" i="1" s="1"/>
  <c r="I746" i="1" s="1" a="1"/>
  <c r="I746" i="1" s="1"/>
  <c r="J619" i="1"/>
  <c r="H619" i="1" a="1"/>
  <c r="H619" i="1" s="1"/>
  <c r="I619" i="1" s="1" a="1"/>
  <c r="I619" i="1" s="1"/>
  <c r="J162" i="1"/>
  <c r="H162" i="1" a="1"/>
  <c r="H162" i="1" s="1"/>
  <c r="I162" i="1" s="1" a="1"/>
  <c r="I162" i="1" s="1"/>
  <c r="J185" i="1"/>
  <c r="H185" i="1" a="1"/>
  <c r="H185" i="1" s="1"/>
  <c r="I185" i="1" s="1" a="1"/>
  <c r="I185" i="1" s="1"/>
  <c r="H102" i="1" a="1"/>
  <c r="H102" i="1" s="1"/>
  <c r="I102" i="1" s="1" a="1"/>
  <c r="I102" i="1" s="1"/>
  <c r="J32" i="1"/>
  <c r="H32" i="1" a="1"/>
  <c r="H32" i="1" s="1"/>
  <c r="I32" i="1" s="1" a="1"/>
  <c r="I32" i="1" s="1"/>
  <c r="J601" i="1"/>
  <c r="H601" i="1" a="1"/>
  <c r="H601" i="1" s="1"/>
  <c r="I601" i="1" s="1" a="1"/>
  <c r="I601" i="1" s="1"/>
  <c r="J733" i="1"/>
  <c r="H733" i="1" a="1"/>
  <c r="H733" i="1" s="1"/>
  <c r="I733" i="1" s="1" a="1"/>
  <c r="I733" i="1" s="1"/>
  <c r="J591" i="1"/>
  <c r="H591" i="1" a="1"/>
  <c r="H591" i="1" s="1"/>
  <c r="H728" i="1" a="1"/>
  <c r="H728" i="1" s="1"/>
  <c r="I728" i="1" s="1" a="1"/>
  <c r="I728" i="1" s="1"/>
  <c r="J635" i="1"/>
  <c r="H635" i="1" a="1"/>
  <c r="H635" i="1" s="1"/>
  <c r="I635" i="1" s="1" a="1"/>
  <c r="I635" i="1" s="1"/>
  <c r="J179" i="1"/>
  <c r="H179" i="1" a="1"/>
  <c r="H179" i="1" s="1"/>
  <c r="J737" i="1"/>
  <c r="H737" i="1" a="1"/>
  <c r="H737" i="1" s="1"/>
  <c r="I737" i="1" s="1" a="1"/>
  <c r="I737" i="1" s="1"/>
  <c r="J173" i="1"/>
  <c r="H173" i="1" a="1"/>
  <c r="H173" i="1" s="1"/>
  <c r="J26" i="1"/>
  <c r="H26" i="1" a="1"/>
  <c r="H26" i="1" s="1"/>
  <c r="I26" i="1" s="1" a="1"/>
  <c r="I26" i="1" s="1"/>
  <c r="J598" i="1"/>
  <c r="H598" i="1" a="1"/>
  <c r="H598" i="1" s="1"/>
  <c r="I598" i="1" s="1" a="1"/>
  <c r="I598" i="1" s="1"/>
  <c r="H686" i="1" a="1"/>
  <c r="H686" i="1" s="1"/>
  <c r="I686" i="1" s="1" a="1"/>
  <c r="I686" i="1" s="1"/>
  <c r="H609" i="1" a="1"/>
  <c r="H609" i="1" s="1"/>
  <c r="I609" i="1" s="1" a="1"/>
  <c r="I609" i="1" s="1"/>
  <c r="J163" i="1"/>
  <c r="H163" i="1" a="1"/>
  <c r="H163" i="1" s="1"/>
  <c r="I163" i="1" s="1" a="1"/>
  <c r="I163" i="1" s="1"/>
  <c r="J871" i="1"/>
  <c r="H871" i="1" a="1"/>
  <c r="H871" i="1" s="1"/>
  <c r="I871" i="1" s="1" a="1"/>
  <c r="I871" i="1" s="1"/>
  <c r="J597" i="1"/>
  <c r="H597" i="1" a="1"/>
  <c r="H597" i="1" s="1"/>
  <c r="I597" i="1" s="1" a="1"/>
  <c r="I597" i="1" s="1"/>
  <c r="H703" i="1" a="1"/>
  <c r="H703" i="1" s="1"/>
  <c r="L703" i="1" s="1" a="1"/>
  <c r="L703" i="1" s="1"/>
  <c r="J864" i="1"/>
  <c r="H864" i="1" a="1"/>
  <c r="H864" i="1" s="1"/>
  <c r="I864" i="1" s="1" a="1"/>
  <c r="I864" i="1" s="1"/>
  <c r="J89" i="1"/>
  <c r="H89" i="1" a="1"/>
  <c r="H89" i="1" s="1"/>
  <c r="I89" i="1" s="1" a="1"/>
  <c r="I89" i="1" s="1"/>
  <c r="J637" i="1"/>
  <c r="H637" i="1" a="1"/>
  <c r="H637" i="1" s="1"/>
  <c r="I637" i="1" s="1" a="1"/>
  <c r="I637" i="1" s="1"/>
  <c r="H221" i="1" a="1"/>
  <c r="H221" i="1" s="1"/>
  <c r="L221" i="1" s="1" a="1"/>
  <c r="L221" i="1" s="1"/>
  <c r="H54" i="1" a="1"/>
  <c r="H54" i="1" s="1"/>
  <c r="L54" i="1" s="1" a="1"/>
  <c r="L54" i="1" s="1"/>
  <c r="J207" i="1"/>
  <c r="H207" i="1" a="1"/>
  <c r="H207" i="1" s="1"/>
  <c r="I207" i="1" s="1" a="1"/>
  <c r="I207" i="1" s="1"/>
  <c r="J780" i="1"/>
  <c r="H780" i="1" a="1"/>
  <c r="H780" i="1" s="1"/>
  <c r="I780" i="1" s="1" a="1"/>
  <c r="I780" i="1" s="1"/>
  <c r="J765" i="1"/>
  <c r="H765" i="1" a="1"/>
  <c r="H765" i="1" s="1"/>
  <c r="I765" i="1" s="1" a="1"/>
  <c r="I765" i="1" s="1"/>
  <c r="J636" i="1"/>
  <c r="H636" i="1" a="1"/>
  <c r="H636" i="1" s="1"/>
  <c r="I636" i="1" s="1" a="1"/>
  <c r="I636" i="1" s="1"/>
  <c r="H216" i="1" a="1"/>
  <c r="H216" i="1" s="1"/>
  <c r="I216" i="1" s="1" a="1"/>
  <c r="I216" i="1" s="1"/>
  <c r="H8" i="1" a="1"/>
  <c r="H8" i="1" s="1"/>
  <c r="I8" i="1" s="1" a="1"/>
  <c r="I8" i="1" s="1"/>
  <c r="H77" i="1" a="1"/>
  <c r="H77" i="1" s="1"/>
  <c r="L77" i="1" s="1" a="1"/>
  <c r="L77" i="1" s="1"/>
  <c r="H107" i="1" a="1"/>
  <c r="H107" i="1" s="1"/>
  <c r="I107" i="1" s="1" a="1"/>
  <c r="I107" i="1" s="1"/>
  <c r="J1139" i="1"/>
  <c r="H1139" i="1" a="1"/>
  <c r="H1139" i="1" s="1"/>
  <c r="I1139" i="1" s="1" a="1"/>
  <c r="I1139" i="1" s="1"/>
  <c r="J596" i="1"/>
  <c r="H596" i="1" a="1"/>
  <c r="H596" i="1" s="1"/>
  <c r="I596" i="1" s="1" a="1"/>
  <c r="I596" i="1" s="1"/>
  <c r="H712" i="1" a="1"/>
  <c r="H712" i="1" s="1"/>
  <c r="L712" i="1" s="1" a="1"/>
  <c r="L712" i="1" s="1"/>
  <c r="J758" i="1"/>
  <c r="H758" i="1" a="1"/>
  <c r="H758" i="1" s="1"/>
  <c r="I758" i="1" s="1" a="1"/>
  <c r="I758" i="1" s="1"/>
  <c r="J132" i="1"/>
  <c r="L132" i="1" s="1" a="1"/>
  <c r="L132" i="1" s="1"/>
  <c r="J81" i="1"/>
  <c r="L81" i="1" s="1" a="1"/>
  <c r="L81" i="1" s="1"/>
  <c r="J848" i="1"/>
  <c r="L848" i="1" s="1" a="1"/>
  <c r="L848" i="1" s="1"/>
  <c r="J10" i="1"/>
  <c r="L10" i="1" s="1" a="1"/>
  <c r="L10" i="1" s="1"/>
  <c r="J618" i="1"/>
  <c r="L618" i="1" s="1" a="1"/>
  <c r="L618" i="1" s="1"/>
  <c r="J30" i="1"/>
  <c r="L30" i="1" s="1" a="1"/>
  <c r="L30" i="1" s="1"/>
  <c r="J129" i="1"/>
  <c r="L129" i="1" s="1" a="1"/>
  <c r="L129" i="1" s="1"/>
  <c r="J839" i="1"/>
  <c r="L839" i="1" s="1" a="1"/>
  <c r="L839" i="1" s="1"/>
  <c r="J757" i="1"/>
  <c r="L757" i="1" s="1" a="1"/>
  <c r="L757" i="1" s="1"/>
  <c r="J630" i="1"/>
  <c r="L630" i="1" s="1" a="1"/>
  <c r="L630" i="1" s="1"/>
  <c r="J181" i="1"/>
  <c r="L181" i="1" s="1" a="1"/>
  <c r="L181" i="1" s="1"/>
  <c r="J1149" i="1"/>
  <c r="L1149" i="1" s="1" a="1"/>
  <c r="L1149" i="1" s="1"/>
  <c r="J611" i="1"/>
  <c r="L611" i="1" s="1" a="1"/>
  <c r="L611" i="1" s="1"/>
  <c r="J174" i="1"/>
  <c r="L174" i="1" s="1" a="1"/>
  <c r="L174" i="1" s="1"/>
  <c r="J1116" i="1"/>
  <c r="L1116" i="1" s="1" a="1"/>
  <c r="L1116" i="1" s="1"/>
  <c r="J772" i="1"/>
  <c r="L772" i="1" s="1" a="1"/>
  <c r="L772" i="1" s="1"/>
  <c r="J671" i="1"/>
  <c r="L671" i="1" s="1" a="1"/>
  <c r="L671" i="1" s="1"/>
  <c r="J1133" i="1"/>
  <c r="L1133" i="1" s="1" a="1"/>
  <c r="L1133" i="1" s="1"/>
  <c r="J193" i="1"/>
  <c r="L193" i="1" s="1" a="1"/>
  <c r="L193" i="1" s="1"/>
  <c r="J670" i="1"/>
  <c r="L670" i="1" s="1" a="1"/>
  <c r="L670" i="1" s="1"/>
  <c r="J172" i="1"/>
  <c r="L172" i="1" s="1" a="1"/>
  <c r="L172" i="1" s="1"/>
  <c r="J1334" i="1"/>
  <c r="L1334" i="1" s="1" a="1"/>
  <c r="L1334" i="1" s="1"/>
  <c r="J41" i="1"/>
  <c r="L41" i="1" s="1" a="1"/>
  <c r="L41" i="1" s="1"/>
  <c r="J766" i="1"/>
  <c r="L766" i="1" s="1" a="1"/>
  <c r="L766" i="1" s="1"/>
  <c r="J669" i="1"/>
  <c r="L669" i="1" s="1" a="1"/>
  <c r="L669" i="1" s="1"/>
  <c r="J126" i="1"/>
  <c r="L126" i="1" s="1" a="1"/>
  <c r="L126" i="1" s="1"/>
  <c r="J770" i="1"/>
  <c r="L770" i="1" s="1" a="1"/>
  <c r="L770" i="1" s="1"/>
  <c r="J1166" i="1"/>
  <c r="L1166" i="1" s="1" a="1"/>
  <c r="L1166" i="1" s="1"/>
  <c r="J825" i="1"/>
  <c r="L825" i="1" s="1" a="1"/>
  <c r="L825" i="1" s="1"/>
  <c r="J736" i="1"/>
  <c r="L736" i="1" s="1" a="1"/>
  <c r="L736" i="1" s="1"/>
  <c r="J764" i="1"/>
  <c r="L764" i="1" s="1" a="1"/>
  <c r="L764" i="1" s="1"/>
  <c r="J23" i="1"/>
  <c r="L23" i="1" s="1" a="1"/>
  <c r="L23" i="1" s="1"/>
  <c r="J715" i="1"/>
  <c r="L715" i="1" s="1" a="1"/>
  <c r="L715" i="1" s="1"/>
  <c r="J27" i="1"/>
  <c r="L27" i="1" s="1" a="1"/>
  <c r="L27" i="1" s="1"/>
  <c r="J651" i="1"/>
  <c r="L651" i="1" s="1" a="1"/>
  <c r="L651" i="1" s="1"/>
  <c r="J605" i="1"/>
  <c r="L605" i="1" s="1" a="1"/>
  <c r="L605" i="1" s="1"/>
  <c r="J875" i="1"/>
  <c r="L875" i="1" s="1" a="1"/>
  <c r="L875" i="1" s="1"/>
  <c r="J192" i="1"/>
  <c r="L192" i="1" s="1" a="1"/>
  <c r="L192" i="1" s="1"/>
  <c r="J644" i="1"/>
  <c r="L644" i="1" s="1" a="1"/>
  <c r="L644" i="1" s="1"/>
  <c r="J798" i="1"/>
  <c r="L798" i="1" s="1" a="1"/>
  <c r="L798" i="1" s="1"/>
  <c r="J1136" i="1"/>
  <c r="L1136" i="1" s="1" a="1"/>
  <c r="L1136" i="1" s="1"/>
  <c r="J131" i="1"/>
  <c r="L131" i="1" s="1" a="1"/>
  <c r="L131" i="1" s="1"/>
  <c r="J719" i="1"/>
  <c r="L719" i="1" s="1" a="1"/>
  <c r="L719" i="1" s="1"/>
  <c r="J13" i="1"/>
  <c r="L13" i="1" s="1" a="1"/>
  <c r="L13" i="1" s="1"/>
  <c r="J31" i="1"/>
  <c r="L31" i="1" s="1" a="1"/>
  <c r="L31" i="1" s="1"/>
  <c r="J707" i="1"/>
  <c r="L707" i="1" s="1" a="1"/>
  <c r="L707" i="1" s="1"/>
  <c r="J720" i="1"/>
  <c r="L720" i="1" s="1" a="1"/>
  <c r="L720" i="1" s="1"/>
  <c r="J653" i="1"/>
  <c r="L653" i="1" s="1" a="1"/>
  <c r="L653" i="1" s="1"/>
  <c r="J61" i="1"/>
  <c r="L61" i="1" s="1" a="1"/>
  <c r="L61" i="1" s="1"/>
  <c r="J741" i="1"/>
  <c r="L741" i="1" s="1" a="1"/>
  <c r="L741" i="1" s="1"/>
  <c r="J161" i="1"/>
  <c r="L161" i="1" s="1" a="1"/>
  <c r="L161" i="1" s="1"/>
  <c r="J823" i="1"/>
  <c r="L823" i="1" s="1" a="1"/>
  <c r="L823" i="1" s="1"/>
  <c r="J220" i="1"/>
  <c r="L220" i="1" s="1" a="1"/>
  <c r="L220" i="1" s="1"/>
  <c r="J37" i="1"/>
  <c r="L37" i="1" s="1" a="1"/>
  <c r="L37" i="1" s="1"/>
  <c r="J624" i="1"/>
  <c r="L624" i="1" s="1" a="1"/>
  <c r="L624" i="1" s="1"/>
  <c r="J1115" i="1"/>
  <c r="L1115" i="1" s="1" a="1"/>
  <c r="L1115" i="1" s="1"/>
  <c r="J606" i="1"/>
  <c r="L606" i="1" s="1" a="1"/>
  <c r="L606" i="1" s="1"/>
  <c r="J846" i="1"/>
  <c r="L846" i="1" s="1" a="1"/>
  <c r="L846" i="1" s="1"/>
  <c r="J36" i="1"/>
  <c r="L36" i="1" s="1" a="1"/>
  <c r="L36" i="1" s="1"/>
  <c r="J752" i="1"/>
  <c r="L752" i="1" s="1" a="1"/>
  <c r="L752" i="1" s="1"/>
  <c r="J691" i="1"/>
  <c r="L691" i="1" s="1" a="1"/>
  <c r="L691" i="1" s="1"/>
  <c r="J785" i="1"/>
  <c r="L785" i="1" s="1" a="1"/>
  <c r="L785" i="1" s="1"/>
  <c r="J795" i="1"/>
  <c r="L795" i="1" s="1" a="1"/>
  <c r="L795" i="1" s="1"/>
  <c r="J632" i="1"/>
  <c r="L632" i="1" s="1" a="1"/>
  <c r="L632" i="1" s="1"/>
  <c r="J840" i="1"/>
  <c r="L840" i="1" s="1" a="1"/>
  <c r="L840" i="1" s="1"/>
  <c r="J1330" i="1"/>
  <c r="L1330" i="1" s="1" a="1"/>
  <c r="L1330" i="1" s="1"/>
  <c r="J690" i="1"/>
  <c r="L690" i="1" s="1" a="1"/>
  <c r="L690" i="1" s="1"/>
  <c r="J51" i="1"/>
  <c r="L51" i="1" s="1" a="1"/>
  <c r="L51" i="1" s="1"/>
  <c r="J742" i="1"/>
  <c r="L742" i="1" s="1" a="1"/>
  <c r="L742" i="1" s="1"/>
  <c r="J18" i="1"/>
  <c r="L18" i="1" s="1" a="1"/>
  <c r="L18" i="1" s="1"/>
  <c r="J182" i="1"/>
  <c r="L182" i="1" s="1" a="1"/>
  <c r="L182" i="1" s="1"/>
  <c r="J668" i="1"/>
  <c r="L668" i="1" s="1" a="1"/>
  <c r="L668" i="1" s="1"/>
  <c r="J154" i="1"/>
  <c r="L154" i="1" s="1" a="1"/>
  <c r="L154" i="1" s="1"/>
  <c r="J106" i="1"/>
  <c r="L106" i="1" s="1" a="1"/>
  <c r="L106" i="1" s="1"/>
  <c r="J874" i="1"/>
  <c r="L874" i="1" s="1" a="1"/>
  <c r="L874" i="1" s="1"/>
  <c r="J847" i="1"/>
  <c r="L847" i="1" s="1" a="1"/>
  <c r="L847" i="1" s="1"/>
  <c r="J727" i="1"/>
  <c r="L727" i="1" s="1" a="1"/>
  <c r="L727" i="1" s="1"/>
  <c r="J769" i="1"/>
  <c r="L769" i="1" s="1" a="1"/>
  <c r="L769" i="1" s="1"/>
  <c r="J1138" i="1"/>
  <c r="L1138" i="1" s="1" a="1"/>
  <c r="L1138" i="1" s="1"/>
  <c r="J1168" i="1"/>
  <c r="L1168" i="1" s="1" a="1"/>
  <c r="L1168" i="1" s="1"/>
  <c r="J1161" i="1"/>
  <c r="L1161" i="1" s="1" a="1"/>
  <c r="L1161" i="1" s="1"/>
  <c r="J793" i="1"/>
  <c r="L793" i="1" s="1" a="1"/>
  <c r="L793" i="1" s="1"/>
  <c r="J828" i="1"/>
  <c r="L828" i="1" s="1" a="1"/>
  <c r="L828" i="1" s="1"/>
  <c r="J822" i="1"/>
  <c r="L822" i="1" s="1" a="1"/>
  <c r="L822" i="1" s="1"/>
  <c r="J200" i="1"/>
  <c r="L200" i="1" s="1" a="1"/>
  <c r="L200" i="1" s="1"/>
  <c r="J592" i="1"/>
  <c r="L592" i="1" s="1" a="1"/>
  <c r="L592" i="1" s="1"/>
  <c r="J657" i="1"/>
  <c r="L657" i="1" s="1" a="1"/>
  <c r="L657" i="1" s="1"/>
  <c r="J759" i="1"/>
  <c r="L759" i="1" s="1" a="1"/>
  <c r="L759" i="1" s="1"/>
  <c r="J672" i="1"/>
  <c r="L672" i="1" s="1" a="1"/>
  <c r="L672" i="1" s="1"/>
  <c r="J1280" i="1"/>
  <c r="L1280" i="1" s="1" a="1"/>
  <c r="L1280" i="1" s="1"/>
  <c r="J813" i="1"/>
  <c r="L813" i="1" s="1" a="1"/>
  <c r="L813" i="1" s="1"/>
  <c r="J50" i="1"/>
  <c r="L50" i="1" s="1" a="1"/>
  <c r="L50" i="1" s="1"/>
  <c r="J877" i="1"/>
  <c r="L877" i="1" s="1" a="1"/>
  <c r="L877" i="1" s="1"/>
  <c r="J744" i="1"/>
  <c r="L744" i="1" s="1" a="1"/>
  <c r="L744" i="1" s="1"/>
  <c r="J862" i="1"/>
  <c r="L862" i="1" s="1" a="1"/>
  <c r="L862" i="1" s="1"/>
  <c r="J1278" i="1"/>
  <c r="L1278" i="1" s="1" a="1"/>
  <c r="L1278" i="1" s="1"/>
  <c r="J1134" i="1"/>
  <c r="L1134" i="1" s="1" a="1"/>
  <c r="L1134" i="1" s="1"/>
  <c r="J1123" i="1"/>
  <c r="L1123" i="1" s="1" a="1"/>
  <c r="L1123" i="1" s="1"/>
  <c r="J694" i="1"/>
  <c r="L694" i="1" s="1" a="1"/>
  <c r="L694" i="1" s="1"/>
  <c r="J5" i="1"/>
  <c r="L5" i="1" s="1" a="1"/>
  <c r="L5" i="1" s="1"/>
  <c r="J69" i="1"/>
  <c r="L69" i="1" s="1" a="1"/>
  <c r="L69" i="1" s="1"/>
  <c r="J62" i="1"/>
  <c r="L62" i="1" s="1" a="1"/>
  <c r="L62" i="1" s="1"/>
  <c r="J125" i="1"/>
  <c r="L125" i="1" s="1" a="1"/>
  <c r="L125" i="1" s="1"/>
  <c r="J796" i="1"/>
  <c r="L796" i="1" s="1" a="1"/>
  <c r="L796" i="1" s="1"/>
  <c r="J784" i="1"/>
  <c r="L784" i="1" s="1" a="1"/>
  <c r="L784" i="1" s="1"/>
  <c r="J754" i="1"/>
  <c r="L754" i="1" s="1" a="1"/>
  <c r="L754" i="1" s="1"/>
  <c r="J667" i="1"/>
  <c r="L667" i="1" s="1" a="1"/>
  <c r="L667" i="1" s="1"/>
  <c r="J91" i="1"/>
  <c r="L91" i="1" s="1" a="1"/>
  <c r="L91" i="1" s="1"/>
  <c r="J607" i="1"/>
  <c r="L607" i="1" s="1" a="1"/>
  <c r="L607" i="1" s="1"/>
  <c r="J873" i="1"/>
  <c r="L873" i="1" s="1" a="1"/>
  <c r="L873" i="1" s="1"/>
  <c r="J1282" i="1"/>
  <c r="L1282" i="1" s="1" a="1"/>
  <c r="L1282" i="1" s="1"/>
  <c r="J19" i="1"/>
  <c r="L19" i="1" s="1" a="1"/>
  <c r="L19" i="1" s="1"/>
  <c r="J590" i="1"/>
  <c r="L590" i="1" s="1" a="1"/>
  <c r="L590" i="1" s="1"/>
  <c r="J40" i="1"/>
  <c r="L40" i="1" s="1" a="1"/>
  <c r="L40" i="1" s="1"/>
  <c r="J738" i="1"/>
  <c r="L738" i="1" s="1" a="1"/>
  <c r="L738" i="1" s="1"/>
  <c r="J14" i="1"/>
  <c r="L14" i="1" s="1" a="1"/>
  <c r="L14" i="1" s="1"/>
  <c r="J143" i="1"/>
  <c r="L143" i="1" s="1" a="1"/>
  <c r="L143" i="1" s="1"/>
  <c r="J666" i="1"/>
  <c r="L666" i="1" s="1" a="1"/>
  <c r="L666" i="1" s="1"/>
  <c r="J802" i="1"/>
  <c r="L802" i="1" s="1" a="1"/>
  <c r="L802" i="1" s="1"/>
  <c r="J866" i="1"/>
  <c r="L866" i="1" s="1" a="1"/>
  <c r="L866" i="1" s="1"/>
  <c r="J603" i="1"/>
  <c r="L603" i="1" s="1" a="1"/>
  <c r="L603" i="1" s="1"/>
  <c r="J46" i="1"/>
  <c r="L46" i="1" s="1" a="1"/>
  <c r="L46" i="1" s="1"/>
  <c r="J638" i="1"/>
  <c r="L638" i="1" s="1" a="1"/>
  <c r="L638" i="1" s="1"/>
  <c r="J168" i="1"/>
  <c r="L168" i="1" s="1" a="1"/>
  <c r="L168" i="1" s="1"/>
  <c r="J201" i="1"/>
  <c r="L201" i="1" s="1" a="1"/>
  <c r="L201" i="1" s="1"/>
  <c r="J95" i="1"/>
  <c r="L95" i="1" s="1" a="1"/>
  <c r="L95" i="1" s="1"/>
  <c r="J93" i="1"/>
  <c r="L93" i="1" s="1" a="1"/>
  <c r="L93" i="1" s="1"/>
  <c r="J750" i="1"/>
  <c r="L750" i="1" s="1" a="1"/>
  <c r="L750" i="1" s="1"/>
  <c r="J144" i="1"/>
  <c r="L144" i="1" s="1" a="1"/>
  <c r="L144" i="1" s="1"/>
  <c r="J1331" i="1"/>
  <c r="L1331" i="1" s="1" a="1"/>
  <c r="L1331" i="1" s="1"/>
  <c r="J43" i="1"/>
  <c r="L43" i="1" s="1" a="1"/>
  <c r="L43" i="1" s="1"/>
  <c r="J1154" i="1"/>
  <c r="L1154" i="1" s="1" a="1"/>
  <c r="L1154" i="1" s="1"/>
  <c r="J819" i="1"/>
  <c r="L819" i="1" s="1" a="1"/>
  <c r="L819" i="1" s="1"/>
  <c r="J878" i="1"/>
  <c r="L878" i="1" s="1" a="1"/>
  <c r="L878" i="1" s="1"/>
  <c r="J83" i="1"/>
  <c r="L83" i="1" s="1" a="1"/>
  <c r="L83" i="1" s="1"/>
  <c r="J775" i="1"/>
  <c r="L775" i="1" s="1" a="1"/>
  <c r="L775" i="1" s="1"/>
  <c r="J725" i="1"/>
  <c r="L725" i="1" s="1" a="1"/>
  <c r="L725" i="1" s="1"/>
  <c r="J655" i="1"/>
  <c r="L655" i="1" s="1" a="1"/>
  <c r="L655" i="1" s="1"/>
  <c r="J826" i="1"/>
  <c r="L826" i="1" s="1" a="1"/>
  <c r="L826" i="1" s="1"/>
  <c r="J148" i="1"/>
  <c r="L148" i="1" s="1" a="1"/>
  <c r="L148" i="1" s="1"/>
  <c r="J1135" i="1"/>
  <c r="L1135" i="1" s="1" a="1"/>
  <c r="L1135" i="1" s="1"/>
  <c r="J136" i="1"/>
  <c r="L136" i="1" s="1" a="1"/>
  <c r="L136" i="1" s="1"/>
  <c r="J183" i="1"/>
  <c r="L183" i="1" s="1" a="1"/>
  <c r="L183" i="1" s="1"/>
  <c r="J118" i="1"/>
  <c r="L118" i="1" s="1" a="1"/>
  <c r="L118" i="1" s="1"/>
  <c r="J1144" i="1"/>
  <c r="L1144" i="1" s="1" a="1"/>
  <c r="L1144" i="1" s="1"/>
  <c r="J1147" i="1"/>
  <c r="L1147" i="1" s="1" a="1"/>
  <c r="L1147" i="1" s="1"/>
  <c r="J121" i="1"/>
  <c r="L121" i="1" s="1" a="1"/>
  <c r="L121" i="1" s="1"/>
  <c r="J78" i="1"/>
  <c r="L78" i="1" s="1" a="1"/>
  <c r="L78" i="1" s="1"/>
  <c r="J629" i="1"/>
  <c r="L629" i="1" s="1" a="1"/>
  <c r="L629" i="1" s="1"/>
  <c r="J1286" i="1"/>
  <c r="L1286" i="1" s="1" a="1"/>
  <c r="L1286" i="1" s="1"/>
  <c r="J180" i="1"/>
  <c r="L180" i="1" s="1" a="1"/>
  <c r="L180" i="1" s="1"/>
  <c r="J721" i="1"/>
  <c r="L721" i="1" s="1" a="1"/>
  <c r="L721" i="1" s="1"/>
  <c r="J139" i="1"/>
  <c r="L139" i="1" s="1" a="1"/>
  <c r="L139" i="1" s="1"/>
  <c r="J816" i="1"/>
  <c r="L816" i="1" s="1" a="1"/>
  <c r="L816" i="1" s="1"/>
  <c r="J65" i="1"/>
  <c r="L65" i="1" s="1" a="1"/>
  <c r="L65" i="1" s="1"/>
  <c r="J730" i="1"/>
  <c r="L730" i="1" s="1" a="1"/>
  <c r="L730" i="1" s="1"/>
  <c r="J852" i="1"/>
  <c r="L852" i="1" s="1" a="1"/>
  <c r="L852" i="1" s="1"/>
  <c r="J76" i="1"/>
  <c r="L76" i="1" s="1" a="1"/>
  <c r="L76" i="1" s="1"/>
  <c r="J1160" i="1"/>
  <c r="L1160" i="1" s="1" a="1"/>
  <c r="L1160" i="1" s="1"/>
  <c r="J716" i="1"/>
  <c r="L716" i="1" s="1" a="1"/>
  <c r="L716" i="1" s="1"/>
  <c r="J679" i="1"/>
  <c r="L679" i="1" s="1" a="1"/>
  <c r="L679" i="1" s="1"/>
  <c r="J612" i="1"/>
  <c r="L612" i="1" s="1" a="1"/>
  <c r="L612" i="1" s="1"/>
  <c r="J157" i="1"/>
  <c r="L157" i="1" s="1" a="1"/>
  <c r="L157" i="1" s="1"/>
  <c r="J156" i="1"/>
  <c r="L156" i="1" s="1" a="1"/>
  <c r="L156" i="1" s="1"/>
  <c r="J807" i="1"/>
  <c r="L807" i="1" s="1" a="1"/>
  <c r="L807" i="1" s="1"/>
  <c r="J865" i="1"/>
  <c r="L865" i="1" s="1" a="1"/>
  <c r="L865" i="1" s="1"/>
  <c r="J786" i="1"/>
  <c r="L786" i="1" s="1" a="1"/>
  <c r="L786" i="1" s="1"/>
  <c r="J55" i="1"/>
  <c r="L55" i="1" s="1" a="1"/>
  <c r="L55" i="1" s="1"/>
  <c r="J1175" i="1"/>
  <c r="L1175" i="1" s="1" a="1"/>
  <c r="L1175" i="1" s="1"/>
  <c r="J890" i="1"/>
  <c r="L890" i="1" s="1" a="1"/>
  <c r="L890" i="1" s="1"/>
  <c r="J884" i="1"/>
  <c r="L884" i="1" s="1" a="1"/>
  <c r="L884" i="1" s="1"/>
  <c r="J628" i="1"/>
  <c r="L628" i="1" s="1" a="1"/>
  <c r="L628" i="1" s="1"/>
  <c r="J159" i="1"/>
  <c r="L159" i="1" s="1" a="1"/>
  <c r="L159" i="1" s="1"/>
  <c r="J117" i="1"/>
  <c r="L117" i="1" s="1" a="1"/>
  <c r="L117" i="1" s="1"/>
  <c r="J190" i="1"/>
  <c r="L190" i="1" s="1" a="1"/>
  <c r="L190" i="1" s="1"/>
  <c r="J171" i="1"/>
  <c r="L171" i="1" s="1" a="1"/>
  <c r="L171" i="1" s="1"/>
  <c r="J1152" i="1"/>
  <c r="L1152" i="1" s="1" a="1"/>
  <c r="L1152" i="1" s="1"/>
  <c r="J732" i="1"/>
  <c r="L732" i="1" s="1" a="1"/>
  <c r="L732" i="1" s="1"/>
  <c r="J680" i="1"/>
  <c r="L680" i="1" s="1" a="1"/>
  <c r="L680" i="1" s="1"/>
  <c r="J1157" i="1"/>
  <c r="L1157" i="1" s="1" a="1"/>
  <c r="L1157" i="1" s="1"/>
  <c r="J614" i="1"/>
  <c r="L614" i="1" s="1" a="1"/>
  <c r="L614" i="1" s="1"/>
  <c r="J1142" i="1"/>
  <c r="L1142" i="1" s="1" a="1"/>
  <c r="L1142" i="1" s="1"/>
  <c r="J674" i="1"/>
  <c r="L674" i="1" s="1" a="1"/>
  <c r="L674" i="1" s="1"/>
  <c r="J698" i="1"/>
  <c r="L698" i="1" s="1" a="1"/>
  <c r="L698" i="1" s="1"/>
  <c r="J883" i="1"/>
  <c r="L883" i="1" s="1" a="1"/>
  <c r="L883" i="1" s="1"/>
  <c r="J867" i="1"/>
  <c r="L867" i="1" s="1" a="1"/>
  <c r="L867" i="1" s="1"/>
  <c r="J7" i="1"/>
  <c r="L7" i="1" s="1" a="1"/>
  <c r="L7" i="1" s="1"/>
  <c r="J652" i="1"/>
  <c r="L652" i="1" s="1" a="1"/>
  <c r="L652" i="1" s="1"/>
  <c r="J1176" i="1"/>
  <c r="L1176" i="1" s="1" a="1"/>
  <c r="L1176" i="1" s="1"/>
  <c r="J110" i="1"/>
  <c r="L110" i="1" s="1" a="1"/>
  <c r="L110" i="1" s="1"/>
  <c r="J49" i="1"/>
  <c r="L49" i="1" s="1" a="1"/>
  <c r="L49" i="1" s="1"/>
  <c r="J9" i="1"/>
  <c r="L9" i="1" s="1" a="1"/>
  <c r="L9" i="1" s="1"/>
  <c r="J138" i="1"/>
  <c r="L138" i="1" s="1" a="1"/>
  <c r="L138" i="1" s="1"/>
  <c r="J812" i="1"/>
  <c r="L812" i="1" s="1" a="1"/>
  <c r="L812" i="1" s="1"/>
  <c r="J731" i="1"/>
  <c r="L731" i="1" s="1" a="1"/>
  <c r="L731" i="1" s="1"/>
  <c r="J869" i="1"/>
  <c r="L869" i="1" s="1" a="1"/>
  <c r="L869" i="1" s="1"/>
  <c r="J858" i="1"/>
  <c r="L858" i="1" s="1" a="1"/>
  <c r="L858" i="1" s="1"/>
  <c r="J45" i="1"/>
  <c r="L45" i="1" s="1" a="1"/>
  <c r="L45" i="1" s="1"/>
  <c r="J838" i="1"/>
  <c r="L838" i="1" s="1" a="1"/>
  <c r="L838" i="1" s="1"/>
  <c r="J1285" i="1"/>
  <c r="L1285" i="1" s="1" a="1"/>
  <c r="L1285" i="1" s="1"/>
  <c r="J79" i="1"/>
  <c r="L79" i="1" s="1" a="1"/>
  <c r="L79" i="1" s="1"/>
  <c r="J128" i="1"/>
  <c r="L128" i="1" s="1" a="1"/>
  <c r="L128" i="1" s="1"/>
  <c r="J747" i="1"/>
  <c r="L747" i="1" s="1" a="1"/>
  <c r="L747" i="1" s="1"/>
  <c r="J687" i="1"/>
  <c r="L687" i="1" s="1" a="1"/>
  <c r="L687" i="1" s="1"/>
  <c r="J771" i="1"/>
  <c r="L771" i="1" s="1" a="1"/>
  <c r="L771" i="1" s="1"/>
  <c r="J219" i="1"/>
  <c r="L219" i="1" s="1" a="1"/>
  <c r="L219" i="1" s="1"/>
  <c r="J768" i="1"/>
  <c r="L768" i="1" s="1" a="1"/>
  <c r="L768" i="1" s="1"/>
  <c r="J849" i="1"/>
  <c r="L849" i="1" s="1" a="1"/>
  <c r="L849" i="1" s="1"/>
  <c r="J57" i="1"/>
  <c r="L57" i="1" s="1" a="1"/>
  <c r="L57" i="1" s="1"/>
  <c r="J787" i="1"/>
  <c r="L787" i="1" s="1" a="1"/>
  <c r="L787" i="1" s="1"/>
  <c r="J1151" i="1"/>
  <c r="L1151" i="1" s="1" a="1"/>
  <c r="L1151" i="1" s="1"/>
  <c r="J724" i="1"/>
  <c r="L724" i="1" s="1" a="1"/>
  <c r="L724" i="1" s="1"/>
  <c r="J96" i="1"/>
  <c r="L96" i="1" s="1" a="1"/>
  <c r="L96" i="1" s="1"/>
  <c r="J119" i="1"/>
  <c r="L119" i="1" s="1" a="1"/>
  <c r="L119" i="1" s="1"/>
  <c r="J683" i="1"/>
  <c r="L683" i="1" s="1" a="1"/>
  <c r="L683" i="1" s="1"/>
  <c r="J678" i="1"/>
  <c r="L678" i="1" s="1" a="1"/>
  <c r="L678" i="1" s="1"/>
  <c r="J1178" i="1"/>
  <c r="L1178" i="1" s="1" a="1"/>
  <c r="L1178" i="1" s="1"/>
  <c r="J92" i="1"/>
  <c r="L92" i="1" s="1" a="1"/>
  <c r="L92" i="1" s="1"/>
  <c r="J90" i="1"/>
  <c r="L90" i="1" s="1" a="1"/>
  <c r="L90" i="1" s="1"/>
  <c r="J145" i="1"/>
  <c r="L145" i="1" s="1" a="1"/>
  <c r="L145" i="1" s="1"/>
  <c r="J595" i="1"/>
  <c r="L595" i="1" s="1" a="1"/>
  <c r="L595" i="1" s="1"/>
  <c r="J66" i="1"/>
  <c r="L66" i="1" s="1" a="1"/>
  <c r="L66" i="1" s="1"/>
  <c r="J70" i="1"/>
  <c r="L70" i="1" s="1" a="1"/>
  <c r="L70" i="1" s="1"/>
  <c r="J1155" i="1"/>
  <c r="L1155" i="1" s="1" a="1"/>
  <c r="L1155" i="1" s="1"/>
  <c r="J887" i="1"/>
  <c r="L887" i="1" s="1" a="1"/>
  <c r="L887" i="1" s="1"/>
  <c r="J1127" i="1"/>
  <c r="L1127" i="1" s="1" a="1"/>
  <c r="L1127" i="1" s="1"/>
  <c r="J105" i="1"/>
  <c r="L105" i="1" s="1" a="1"/>
  <c r="L105" i="1" s="1"/>
  <c r="J696" i="1"/>
  <c r="L696" i="1" s="1" a="1"/>
  <c r="L696" i="1" s="1"/>
  <c r="J803" i="1"/>
  <c r="L803" i="1" s="1" a="1"/>
  <c r="L803" i="1" s="1"/>
  <c r="J44" i="1"/>
  <c r="L44" i="1" s="1" a="1"/>
  <c r="L44" i="1" s="1"/>
  <c r="J626" i="1"/>
  <c r="L626" i="1" s="1" a="1"/>
  <c r="L626" i="1" s="1"/>
  <c r="J622" i="1"/>
  <c r="L622" i="1" s="1" a="1"/>
  <c r="L622" i="1" s="1"/>
  <c r="J804" i="1"/>
  <c r="L804" i="1" s="1" a="1"/>
  <c r="L804" i="1" s="1"/>
  <c r="J21" i="1"/>
  <c r="L21" i="1" s="1" a="1"/>
  <c r="L21" i="1" s="1"/>
  <c r="J843" i="1"/>
  <c r="L843" i="1" s="1" a="1"/>
  <c r="L843" i="1" s="1"/>
  <c r="J827" i="1"/>
  <c r="L827" i="1" s="1" a="1"/>
  <c r="L827" i="1" s="1"/>
  <c r="J805" i="1"/>
  <c r="L805" i="1" s="1" a="1"/>
  <c r="L805" i="1" s="1"/>
  <c r="J617" i="1"/>
  <c r="L617" i="1" s="1" a="1"/>
  <c r="L617" i="1" s="1"/>
  <c r="J681" i="1"/>
  <c r="L681" i="1" s="1" a="1"/>
  <c r="L681" i="1" s="1"/>
  <c r="J115" i="1"/>
  <c r="L115" i="1" s="1" a="1"/>
  <c r="L115" i="1" s="1"/>
  <c r="J135" i="1"/>
  <c r="L135" i="1" s="1" a="1"/>
  <c r="L135" i="1" s="1"/>
  <c r="J4" i="1"/>
  <c r="L4" i="1" s="1" a="1"/>
  <c r="L4" i="1" s="1"/>
  <c r="J130" i="1"/>
  <c r="L130" i="1" s="1" a="1"/>
  <c r="L130" i="1" s="1"/>
  <c r="J1163" i="1"/>
  <c r="L1163" i="1" s="1" a="1"/>
  <c r="L1163" i="1" s="1"/>
  <c r="J868" i="1"/>
  <c r="L868" i="1" s="1" a="1"/>
  <c r="L868" i="1" s="1"/>
  <c r="J743" i="1"/>
  <c r="L743" i="1" s="1" a="1"/>
  <c r="L743" i="1" s="1"/>
  <c r="J210" i="1"/>
  <c r="L210" i="1" s="1" a="1"/>
  <c r="L210" i="1" s="1"/>
  <c r="J86" i="1"/>
  <c r="L86" i="1" s="1" a="1"/>
  <c r="L86" i="1" s="1"/>
  <c r="J602" i="1"/>
  <c r="L602" i="1" s="1" a="1"/>
  <c r="L602" i="1" s="1"/>
  <c r="J853" i="1"/>
  <c r="L853" i="1" s="1" a="1"/>
  <c r="L853" i="1" s="1"/>
  <c r="J203" i="1"/>
  <c r="L203" i="1" s="1" a="1"/>
  <c r="L203" i="1" s="1"/>
  <c r="J881" i="1"/>
  <c r="L881" i="1" s="1" a="1"/>
  <c r="L881" i="1" s="1"/>
  <c r="J880" i="1"/>
  <c r="L880" i="1" s="1" a="1"/>
  <c r="L880" i="1" s="1"/>
  <c r="J124" i="1"/>
  <c r="L124" i="1" s="1" a="1"/>
  <c r="L124" i="1" s="1"/>
  <c r="J187" i="1"/>
  <c r="L187" i="1" s="1" a="1"/>
  <c r="L187" i="1" s="1"/>
  <c r="J794" i="1"/>
  <c r="L794" i="1" s="1" a="1"/>
  <c r="L794" i="1" s="1"/>
  <c r="J714" i="1"/>
  <c r="L714" i="1" s="1" a="1"/>
  <c r="L714" i="1" s="1"/>
  <c r="J760" i="1"/>
  <c r="L760" i="1" s="1" a="1"/>
  <c r="L760" i="1" s="1"/>
  <c r="J202" i="1"/>
  <c r="L202" i="1" s="1" a="1"/>
  <c r="L202" i="1" s="1"/>
  <c r="J621" i="1"/>
  <c r="L621" i="1" s="1" a="1"/>
  <c r="L621" i="1" s="1"/>
  <c r="J713" i="1"/>
  <c r="L713" i="1" s="1" a="1"/>
  <c r="L713" i="1" s="1"/>
  <c r="J1128" i="1"/>
  <c r="L1128" i="1" s="1" a="1"/>
  <c r="L1128" i="1" s="1"/>
  <c r="J213" i="1"/>
  <c r="L213" i="1" s="1" a="1"/>
  <c r="L213" i="1" s="1"/>
  <c r="J191" i="1"/>
  <c r="L191" i="1" s="1" a="1"/>
  <c r="L191" i="1" s="1"/>
  <c r="J189" i="1"/>
  <c r="L189" i="1" s="1" a="1"/>
  <c r="L189" i="1" s="1"/>
  <c r="J645" i="1"/>
  <c r="L645" i="1" s="1" a="1"/>
  <c r="L645" i="1" s="1"/>
  <c r="J870" i="1"/>
  <c r="L870" i="1" s="1" a="1"/>
  <c r="L870" i="1" s="1"/>
  <c r="J20" i="1"/>
  <c r="L20" i="1" s="1" a="1"/>
  <c r="L20" i="1" s="1"/>
  <c r="J688" i="1"/>
  <c r="L688" i="1" s="1" a="1"/>
  <c r="L688" i="1" s="1"/>
  <c r="J863" i="1"/>
  <c r="L863" i="1" s="1" a="1"/>
  <c r="L863" i="1" s="1"/>
  <c r="J88" i="1"/>
  <c r="L88" i="1" s="1" a="1"/>
  <c r="L88" i="1" s="1"/>
  <c r="J87" i="1"/>
  <c r="L87" i="1" s="1" a="1"/>
  <c r="L87" i="1" s="1"/>
  <c r="J779" i="1"/>
  <c r="L779" i="1" s="1" a="1"/>
  <c r="L779" i="1" s="1"/>
  <c r="J844" i="1"/>
  <c r="L844" i="1" s="1" a="1"/>
  <c r="L844" i="1" s="1"/>
  <c r="J1332" i="1"/>
  <c r="L1332" i="1" s="1" a="1"/>
  <c r="L1332" i="1" s="1"/>
  <c r="J1164" i="1"/>
  <c r="L1164" i="1" s="1" a="1"/>
  <c r="L1164" i="1" s="1"/>
  <c r="J1137" i="1"/>
  <c r="L1137" i="1" s="1" a="1"/>
  <c r="L1137" i="1" s="1"/>
  <c r="J776" i="1"/>
  <c r="L776" i="1" s="1" a="1"/>
  <c r="L776" i="1" s="1"/>
  <c r="J850" i="1"/>
  <c r="L850" i="1" s="1" a="1"/>
  <c r="L850" i="1" s="1"/>
  <c r="J641" i="1"/>
  <c r="L641" i="1" s="1" a="1"/>
  <c r="L641" i="1" s="1"/>
  <c r="J99" i="1"/>
  <c r="L99" i="1" s="1" a="1"/>
  <c r="L99" i="1" s="1"/>
  <c r="J704" i="1"/>
  <c r="L704" i="1" s="1" a="1"/>
  <c r="L704" i="1" s="1"/>
  <c r="J1159" i="1"/>
  <c r="L1159" i="1" s="1" a="1"/>
  <c r="L1159" i="1" s="1"/>
  <c r="J73" i="1"/>
  <c r="L73" i="1" s="1" a="1"/>
  <c r="L73" i="1" s="1"/>
  <c r="J35" i="1"/>
  <c r="L35" i="1" s="1" a="1"/>
  <c r="L35" i="1" s="1"/>
  <c r="J1148" i="1"/>
  <c r="L1148" i="1" s="1" a="1"/>
  <c r="L1148" i="1" s="1"/>
  <c r="J1336" i="1"/>
  <c r="L1336" i="1" s="1" a="1"/>
  <c r="L1336" i="1" s="1"/>
  <c r="J613" i="1"/>
  <c r="L613" i="1" s="1" a="1"/>
  <c r="L613" i="1" s="1"/>
  <c r="J610" i="1"/>
  <c r="L610" i="1" s="1" a="1"/>
  <c r="L610" i="1" s="1"/>
  <c r="J155" i="1"/>
  <c r="L155" i="1" s="1" a="1"/>
  <c r="L155" i="1" s="1"/>
  <c r="J80" i="1"/>
  <c r="L80" i="1" s="1" a="1"/>
  <c r="L80" i="1" s="1"/>
  <c r="J649" i="1"/>
  <c r="L649" i="1" s="1" a="1"/>
  <c r="L649" i="1" s="1"/>
  <c r="J1140" i="1"/>
  <c r="L1140" i="1" s="1" a="1"/>
  <c r="L1140" i="1" s="1"/>
  <c r="J146" i="1"/>
  <c r="L146" i="1" s="1" a="1"/>
  <c r="L146" i="1" s="1"/>
  <c r="J1131" i="1"/>
  <c r="L1131" i="1" s="1" a="1"/>
  <c r="L1131" i="1" s="1"/>
  <c r="J700" i="1"/>
  <c r="L700" i="1" s="1" a="1"/>
  <c r="L700" i="1" s="1"/>
  <c r="J1170" i="1"/>
  <c r="L1170" i="1" s="1" a="1"/>
  <c r="L1170" i="1" s="1"/>
  <c r="J693" i="1"/>
  <c r="L693" i="1" s="1" a="1"/>
  <c r="L693" i="1" s="1"/>
  <c r="J818" i="1"/>
  <c r="L818" i="1" s="1" a="1"/>
  <c r="L818" i="1" s="1"/>
  <c r="J1129" i="1"/>
  <c r="L1129" i="1" s="1" a="1"/>
  <c r="L1129" i="1" s="1"/>
  <c r="J68" i="1"/>
  <c r="L68" i="1" s="1" a="1"/>
  <c r="L68" i="1" s="1"/>
  <c r="J647" i="1"/>
  <c r="L647" i="1" s="1" a="1"/>
  <c r="L647" i="1" s="1"/>
  <c r="J212" i="1"/>
  <c r="L212" i="1" s="1" a="1"/>
  <c r="L212" i="1" s="1"/>
  <c r="J801" i="1"/>
  <c r="L801" i="1" s="1" a="1"/>
  <c r="L801" i="1" s="1"/>
  <c r="J726" i="1"/>
  <c r="L726" i="1" s="1" a="1"/>
  <c r="L726" i="1" s="1"/>
  <c r="J861" i="1"/>
  <c r="L861" i="1" s="1" a="1"/>
  <c r="L861" i="1" s="1"/>
  <c r="J209" i="1"/>
  <c r="L209" i="1" s="1" a="1"/>
  <c r="L209" i="1" s="1"/>
  <c r="J60" i="1"/>
  <c r="L60" i="1" s="1" a="1"/>
  <c r="L60" i="1" s="1"/>
  <c r="J625" i="1"/>
  <c r="L625" i="1" s="1" a="1"/>
  <c r="L625" i="1" s="1"/>
  <c r="J75" i="1"/>
  <c r="L75" i="1" s="1" a="1"/>
  <c r="L75" i="1" s="1"/>
  <c r="J1122" i="1"/>
  <c r="L1122" i="1" s="1" a="1"/>
  <c r="L1122" i="1" s="1"/>
  <c r="J120" i="1"/>
  <c r="L120" i="1" s="1" a="1"/>
  <c r="L120" i="1" s="1"/>
  <c r="J1146" i="1"/>
  <c r="L1146" i="1" s="1" a="1"/>
  <c r="L1146" i="1" s="1"/>
  <c r="J114" i="1"/>
  <c r="L114" i="1" s="1" a="1"/>
  <c r="L114" i="1" s="1"/>
  <c r="J1126" i="1"/>
  <c r="L1126" i="1" s="1" a="1"/>
  <c r="L1126" i="1" s="1"/>
  <c r="J1132" i="1"/>
  <c r="L1132" i="1" s="1" a="1"/>
  <c r="L1132" i="1" s="1"/>
  <c r="J42" i="1"/>
  <c r="L42" i="1" s="1" a="1"/>
  <c r="L42" i="1" s="1"/>
  <c r="J25" i="1"/>
  <c r="L25" i="1" s="1" a="1"/>
  <c r="L25" i="1" s="1"/>
  <c r="J177" i="1"/>
  <c r="L177" i="1" s="1" a="1"/>
  <c r="L177" i="1" s="1"/>
  <c r="J98" i="1"/>
  <c r="L98" i="1" s="1" a="1"/>
  <c r="L98" i="1" s="1"/>
  <c r="J1153" i="1"/>
  <c r="L1153" i="1" s="1" a="1"/>
  <c r="L1153" i="1" s="1"/>
  <c r="J1284" i="1"/>
  <c r="L1284" i="1" s="1" a="1"/>
  <c r="L1284" i="1" s="1"/>
  <c r="J808" i="1"/>
  <c r="L808" i="1" s="1" a="1"/>
  <c r="L808" i="1" s="1"/>
  <c r="J876" i="1"/>
  <c r="L876" i="1" s="1" a="1"/>
  <c r="L876" i="1" s="1"/>
  <c r="J100" i="1"/>
  <c r="L100" i="1" s="1" a="1"/>
  <c r="L100" i="1" s="1"/>
  <c r="J834" i="1"/>
  <c r="L834" i="1" s="1" a="1"/>
  <c r="L834" i="1" s="1"/>
  <c r="J199" i="1"/>
  <c r="L199" i="1" s="1" a="1"/>
  <c r="L199" i="1" s="1"/>
  <c r="J817" i="1"/>
  <c r="L817" i="1" s="1" a="1"/>
  <c r="L817" i="1" s="1"/>
  <c r="J888" i="1"/>
  <c r="L888" i="1" s="1" a="1"/>
  <c r="L888" i="1" s="1"/>
  <c r="J1165" i="1"/>
  <c r="L1165" i="1" s="1" a="1"/>
  <c r="L1165" i="1" s="1"/>
  <c r="J710" i="1"/>
  <c r="L710" i="1" s="1" a="1"/>
  <c r="L710" i="1" s="1"/>
  <c r="J17" i="1"/>
  <c r="L17" i="1" s="1" a="1"/>
  <c r="L17" i="1" s="1"/>
  <c r="J708" i="1"/>
  <c r="L708" i="1" s="1" a="1"/>
  <c r="L708" i="1" s="1"/>
  <c r="J47" i="1"/>
  <c r="L47" i="1" s="1" a="1"/>
  <c r="L47" i="1" s="1"/>
  <c r="J689" i="1"/>
  <c r="L689" i="1" s="1" a="1"/>
  <c r="L689" i="1" s="1"/>
  <c r="J1150" i="1"/>
  <c r="L1150" i="1" s="1" a="1"/>
  <c r="L1150" i="1" s="1"/>
  <c r="J701" i="1"/>
  <c r="L701" i="1" s="1" a="1"/>
  <c r="L701" i="1" s="1"/>
  <c r="J662" i="1"/>
  <c r="L662" i="1" s="1" a="1"/>
  <c r="L662" i="1" s="1"/>
  <c r="J658" i="1"/>
  <c r="L658" i="1" s="1" a="1"/>
  <c r="L658" i="1" s="1"/>
  <c r="J778" i="1"/>
  <c r="L778" i="1" s="1" a="1"/>
  <c r="L778" i="1" s="1"/>
  <c r="J29" i="1"/>
  <c r="L29" i="1" s="1" a="1"/>
  <c r="L29" i="1" s="1"/>
  <c r="J842" i="1"/>
  <c r="L842" i="1" s="1" a="1"/>
  <c r="L842" i="1" s="1"/>
  <c r="J684" i="1"/>
  <c r="L684" i="1" s="1" a="1"/>
  <c r="L684" i="1" s="1"/>
  <c r="J755" i="1"/>
  <c r="L755" i="1" s="1" a="1"/>
  <c r="L755" i="1" s="1"/>
  <c r="J1121" i="1"/>
  <c r="L1121" i="1" s="1" a="1"/>
  <c r="L1121" i="1" s="1"/>
  <c r="J830" i="1"/>
  <c r="L830" i="1" s="1" a="1"/>
  <c r="L830" i="1" s="1"/>
  <c r="J53" i="1"/>
  <c r="L53" i="1" s="1" a="1"/>
  <c r="L53" i="1" s="1"/>
  <c r="J734" i="1"/>
  <c r="L734" i="1" s="1" a="1"/>
  <c r="L734" i="1" s="1"/>
  <c r="J113" i="1"/>
  <c r="L113" i="1" s="1" a="1"/>
  <c r="L113" i="1" s="1"/>
  <c r="J1173" i="1"/>
  <c r="L1173" i="1" s="1" a="1"/>
  <c r="L1173" i="1" s="1"/>
  <c r="J197" i="1"/>
  <c r="L197" i="1" s="1" a="1"/>
  <c r="L197" i="1" s="1"/>
  <c r="J594" i="1"/>
  <c r="L594" i="1" s="1" a="1"/>
  <c r="L594" i="1" s="1"/>
  <c r="J806" i="1"/>
  <c r="L806" i="1" s="1" a="1"/>
  <c r="L806" i="1" s="1"/>
  <c r="J1169" i="1"/>
  <c r="L1169" i="1" s="1" a="1"/>
  <c r="L1169" i="1" s="1"/>
  <c r="J1156" i="1"/>
  <c r="L1156" i="1" s="1" a="1"/>
  <c r="L1156" i="1" s="1"/>
  <c r="J211" i="1"/>
  <c r="L211" i="1" s="1" a="1"/>
  <c r="L211" i="1" s="1"/>
  <c r="J748" i="1"/>
  <c r="L748" i="1" s="1" a="1"/>
  <c r="L748" i="1" s="1"/>
  <c r="J872" i="1"/>
  <c r="L872" i="1" s="1" a="1"/>
  <c r="L872" i="1" s="1"/>
  <c r="J1162" i="1"/>
  <c r="L1162" i="1" s="1" a="1"/>
  <c r="L1162" i="1" s="1"/>
  <c r="J122" i="1"/>
  <c r="L122" i="1" s="1" a="1"/>
  <c r="L122" i="1" s="1"/>
  <c r="J85" i="1"/>
  <c r="L85" i="1" s="1" a="1"/>
  <c r="L85" i="1" s="1"/>
  <c r="J59" i="1"/>
  <c r="L59" i="1" s="1" a="1"/>
  <c r="L59" i="1" s="1"/>
  <c r="J788" i="1"/>
  <c r="L788" i="1" s="1" a="1"/>
  <c r="L788" i="1" s="1"/>
  <c r="J706" i="1"/>
  <c r="L706" i="1" s="1" a="1"/>
  <c r="L706" i="1" s="1"/>
  <c r="J74" i="1"/>
  <c r="L74" i="1" s="1" a="1"/>
  <c r="L74" i="1" s="1"/>
  <c r="J164" i="1"/>
  <c r="L164" i="1" s="1" a="1"/>
  <c r="L164" i="1" s="1"/>
  <c r="J829" i="1"/>
  <c r="L829" i="1" s="1" a="1"/>
  <c r="L829" i="1" s="1"/>
  <c r="J751" i="1"/>
  <c r="L751" i="1" s="1" a="1"/>
  <c r="L751" i="1" s="1"/>
  <c r="J111" i="1"/>
  <c r="L111" i="1" s="1" a="1"/>
  <c r="L111" i="1" s="1"/>
  <c r="J773" i="1"/>
  <c r="L773" i="1" s="1" a="1"/>
  <c r="L773" i="1" s="1"/>
  <c r="J52" i="1"/>
  <c r="L52" i="1" s="1" a="1"/>
  <c r="L52" i="1" s="1"/>
  <c r="J1174" i="1"/>
  <c r="L1174" i="1" s="1" a="1"/>
  <c r="L1174" i="1" s="1"/>
  <c r="J109" i="1"/>
  <c r="L109" i="1" s="1" a="1"/>
  <c r="L109" i="1" s="1"/>
  <c r="J1171" i="1"/>
  <c r="L1171" i="1" s="1" a="1"/>
  <c r="L1171" i="1" s="1"/>
  <c r="J661" i="1"/>
  <c r="L661" i="1" s="1" a="1"/>
  <c r="L661" i="1" s="1"/>
  <c r="J799" i="1"/>
  <c r="L799" i="1" s="1" a="1"/>
  <c r="L799" i="1" s="1"/>
  <c r="J16" i="1"/>
  <c r="L16" i="1" s="1" a="1"/>
  <c r="L16" i="1" s="1"/>
  <c r="J845" i="1"/>
  <c r="L845" i="1" s="1" a="1"/>
  <c r="L845" i="1" s="1"/>
  <c r="J204" i="1"/>
  <c r="L204" i="1" s="1" a="1"/>
  <c r="L204" i="1" s="1"/>
  <c r="J739" i="1"/>
  <c r="L739" i="1" s="1" a="1"/>
  <c r="L739" i="1" s="1"/>
  <c r="J1333" i="1"/>
  <c r="L1333" i="1" s="1" a="1"/>
  <c r="L1333" i="1" s="1"/>
  <c r="J833" i="1"/>
  <c r="L833" i="1" s="1" a="1"/>
  <c r="L833" i="1" s="1"/>
  <c r="J832" i="1"/>
  <c r="L832" i="1" s="1" a="1"/>
  <c r="L832" i="1" s="1"/>
  <c r="J1117" i="1"/>
  <c r="L1117" i="1" s="1" a="1"/>
  <c r="L1117" i="1" s="1"/>
  <c r="J158" i="1"/>
  <c r="L158" i="1" s="1" a="1"/>
  <c r="L158" i="1" s="1"/>
  <c r="J12" i="1"/>
  <c r="L12" i="1" s="1" a="1"/>
  <c r="L12" i="1" s="1"/>
  <c r="J749" i="1"/>
  <c r="L749" i="1" s="1" a="1"/>
  <c r="L749" i="1" s="1"/>
  <c r="J151" i="1"/>
  <c r="L151" i="1" s="1" a="1"/>
  <c r="L151" i="1" s="1"/>
  <c r="J886" i="1"/>
  <c r="L886" i="1" s="1" a="1"/>
  <c r="L886" i="1" s="1"/>
  <c r="J214" i="1"/>
  <c r="L214" i="1" s="1" a="1"/>
  <c r="L214" i="1" s="1"/>
  <c r="J811" i="1"/>
  <c r="L811" i="1" s="1" a="1"/>
  <c r="L811" i="1" s="1"/>
  <c r="J620" i="1"/>
  <c r="L620" i="1" s="1" a="1"/>
  <c r="L620" i="1" s="1"/>
  <c r="J663" i="1"/>
  <c r="L663" i="1" s="1" a="1"/>
  <c r="L663" i="1" s="1"/>
  <c r="J729" i="1"/>
  <c r="L729" i="1" s="1" a="1"/>
  <c r="L729" i="1" s="1"/>
  <c r="J1335" i="1"/>
  <c r="L1335" i="1" s="1" a="1"/>
  <c r="L1335" i="1" s="1"/>
  <c r="J208" i="1"/>
  <c r="L208" i="1" s="1" a="1"/>
  <c r="L208" i="1" s="1"/>
  <c r="J642" i="1"/>
  <c r="L642" i="1" s="1" a="1"/>
  <c r="L642" i="1" s="1"/>
  <c r="J821" i="1"/>
  <c r="L821" i="1" s="1" a="1"/>
  <c r="L821" i="1" s="1"/>
  <c r="J820" i="1"/>
  <c r="L820" i="1" s="1" a="1"/>
  <c r="L820" i="1" s="1"/>
  <c r="J677" i="1"/>
  <c r="L677" i="1" s="1" a="1"/>
  <c r="L677" i="1" s="1"/>
  <c r="J859" i="1"/>
  <c r="L859" i="1" s="1" a="1"/>
  <c r="L859" i="1" s="1"/>
  <c r="J717" i="1"/>
  <c r="L717" i="1" s="1" a="1"/>
  <c r="L717" i="1" s="1"/>
  <c r="J184" i="1"/>
  <c r="L184" i="1" s="1" a="1"/>
  <c r="L184" i="1" s="1"/>
  <c r="J782" i="1"/>
  <c r="L782" i="1" s="1" a="1"/>
  <c r="L782" i="1" s="1"/>
  <c r="J774" i="1"/>
  <c r="L774" i="1" s="1" a="1"/>
  <c r="L774" i="1" s="1"/>
  <c r="J656" i="1"/>
  <c r="L656" i="1" s="1" a="1"/>
  <c r="L656" i="1" s="1"/>
  <c r="J104" i="1"/>
  <c r="L104" i="1" s="1" a="1"/>
  <c r="L104" i="1" s="1"/>
  <c r="J800" i="1"/>
  <c r="L800" i="1" s="1" a="1"/>
  <c r="L800" i="1" s="1"/>
  <c r="J745" i="1"/>
  <c r="L745" i="1" s="1" a="1"/>
  <c r="L745" i="1" s="1"/>
  <c r="J797" i="1"/>
  <c r="L797" i="1" s="1" a="1"/>
  <c r="L797" i="1" s="1"/>
  <c r="J851" i="1"/>
  <c r="L851" i="1" s="1" a="1"/>
  <c r="L851" i="1" s="1"/>
  <c r="J857" i="1"/>
  <c r="L857" i="1" s="1" a="1"/>
  <c r="L857" i="1" s="1"/>
  <c r="J640" i="1"/>
  <c r="L640" i="1" s="1" a="1"/>
  <c r="L640" i="1" s="1"/>
  <c r="J639" i="1"/>
  <c r="L639" i="1" s="1" a="1"/>
  <c r="L639" i="1" s="1"/>
  <c r="J24" i="1"/>
  <c r="L24" i="1" s="1" a="1"/>
  <c r="L24" i="1" s="1"/>
  <c r="J810" i="1"/>
  <c r="L810" i="1" s="1" a="1"/>
  <c r="L810" i="1" s="1"/>
  <c r="J103" i="1"/>
  <c r="L103" i="1" s="1" a="1"/>
  <c r="L103" i="1" s="1"/>
  <c r="J101" i="1"/>
  <c r="L101" i="1" s="1" a="1"/>
  <c r="L101" i="1" s="1"/>
  <c r="J186" i="1"/>
  <c r="L186" i="1" s="1" a="1"/>
  <c r="L186" i="1" s="1"/>
  <c r="J783" i="1"/>
  <c r="L783" i="1" s="1" a="1"/>
  <c r="L783" i="1" s="1"/>
  <c r="J790" i="1"/>
  <c r="L790" i="1" s="1" a="1"/>
  <c r="L790" i="1" s="1"/>
  <c r="J723" i="1"/>
  <c r="L723" i="1" s="1" a="1"/>
  <c r="L723" i="1" s="1"/>
  <c r="J835" i="1"/>
  <c r="L835" i="1" s="1" a="1"/>
  <c r="L835" i="1" s="1"/>
  <c r="J15" i="1"/>
  <c r="L15" i="1" s="1" a="1"/>
  <c r="L15" i="1" s="1"/>
  <c r="J28" i="1"/>
  <c r="L28" i="1" s="1" a="1"/>
  <c r="L28" i="1" s="1"/>
  <c r="J94" i="1"/>
  <c r="L94" i="1" s="1" a="1"/>
  <c r="L94" i="1" s="1"/>
  <c r="J165" i="1"/>
  <c r="L165" i="1" s="1" a="1"/>
  <c r="L165" i="1" s="1"/>
  <c r="J682" i="1"/>
  <c r="L682" i="1" s="1" a="1"/>
  <c r="L682" i="1" s="1"/>
  <c r="J116" i="1"/>
  <c r="L116" i="1" s="1" a="1"/>
  <c r="L116" i="1" s="1"/>
  <c r="J1145" i="1"/>
  <c r="L1145" i="1" s="1" a="1"/>
  <c r="L1145" i="1" s="1"/>
  <c r="J675" i="1"/>
  <c r="L675" i="1" s="1" a="1"/>
  <c r="L675" i="1" s="1"/>
  <c r="J1180" i="1"/>
  <c r="L1180" i="1" s="1" a="1"/>
  <c r="L1180" i="1" s="1"/>
  <c r="J152" i="1"/>
  <c r="L152" i="1" s="1" a="1"/>
  <c r="L152" i="1" s="1"/>
  <c r="J711" i="1"/>
  <c r="L711" i="1" s="1" a="1"/>
  <c r="L711" i="1" s="1"/>
  <c r="J892" i="1"/>
  <c r="L892" i="1" s="1" a="1"/>
  <c r="L892" i="1" s="1"/>
  <c r="J147" i="1"/>
  <c r="L147" i="1" s="1" a="1"/>
  <c r="L147" i="1" s="1"/>
  <c r="J1172" i="1"/>
  <c r="L1172" i="1" s="1" a="1"/>
  <c r="L1172" i="1" s="1"/>
  <c r="J142" i="1"/>
  <c r="L142" i="1" s="1" a="1"/>
  <c r="L142" i="1" s="1"/>
  <c r="J891" i="1"/>
  <c r="L891" i="1" s="1" a="1"/>
  <c r="L891" i="1" s="1"/>
  <c r="J593" i="1"/>
  <c r="L593" i="1" s="1" a="1"/>
  <c r="L593" i="1" s="1"/>
  <c r="J699" i="1"/>
  <c r="L699" i="1" s="1" a="1"/>
  <c r="L699" i="1" s="1"/>
  <c r="J882" i="1"/>
  <c r="L882" i="1" s="1" a="1"/>
  <c r="L882" i="1" s="1"/>
  <c r="J879" i="1"/>
  <c r="L879" i="1" s="1" a="1"/>
  <c r="L879" i="1" s="1"/>
  <c r="J695" i="1"/>
  <c r="L695" i="1" s="1" a="1"/>
  <c r="L695" i="1" s="1"/>
  <c r="J643" i="1"/>
  <c r="L643" i="1" s="1" a="1"/>
  <c r="L643" i="1" s="1"/>
  <c r="J860" i="1"/>
  <c r="L860" i="1" s="1" a="1"/>
  <c r="L860" i="1" s="1"/>
  <c r="J781" i="1"/>
  <c r="L781" i="1" s="1" a="1"/>
  <c r="L781" i="1" s="1"/>
  <c r="J84" i="1"/>
  <c r="L84" i="1" s="1" a="1"/>
  <c r="L84" i="1" s="1"/>
  <c r="J56" i="1"/>
  <c r="L56" i="1" s="1" a="1"/>
  <c r="L56" i="1" s="1"/>
  <c r="J170" i="1"/>
  <c r="L170" i="1" s="1" a="1"/>
  <c r="L170" i="1" s="1"/>
  <c r="J702" i="1"/>
  <c r="L702" i="1" s="1" a="1"/>
  <c r="L702" i="1" s="1"/>
  <c r="J740" i="1"/>
  <c r="L740" i="1" s="1" a="1"/>
  <c r="L740" i="1" s="1"/>
  <c r="J836" i="1"/>
  <c r="L836" i="1" s="1" a="1"/>
  <c r="L836" i="1" s="1"/>
  <c r="J824" i="1"/>
  <c r="L824" i="1" s="1" a="1"/>
  <c r="L824" i="1" s="1"/>
  <c r="J72" i="1"/>
  <c r="L72" i="1" s="1" a="1"/>
  <c r="L72" i="1" s="1"/>
  <c r="J648" i="1"/>
  <c r="L648" i="1" s="1" a="1"/>
  <c r="L648" i="1" s="1"/>
  <c r="J140" i="1"/>
  <c r="L140" i="1" s="1" a="1"/>
  <c r="L140" i="1" s="1"/>
  <c r="J673" i="1"/>
  <c r="L673" i="1" s="1" a="1"/>
  <c r="L673" i="1" s="1"/>
  <c r="J627" i="1"/>
  <c r="L627" i="1" s="1" a="1"/>
  <c r="L627" i="1" s="1"/>
  <c r="J705" i="1"/>
  <c r="L705" i="1" s="1" a="1"/>
  <c r="L705" i="1" s="1"/>
  <c r="J176" i="1"/>
  <c r="L176" i="1" s="1" a="1"/>
  <c r="L176" i="1" s="1"/>
  <c r="J722" i="1"/>
  <c r="L722" i="1" s="1" a="1"/>
  <c r="L722" i="1" s="1"/>
  <c r="J718" i="1"/>
  <c r="L718" i="1" s="1" a="1"/>
  <c r="L718" i="1" s="1"/>
  <c r="J39" i="1"/>
  <c r="L39" i="1" s="1" a="1"/>
  <c r="L39" i="1" s="1"/>
  <c r="J206" i="1"/>
  <c r="L206" i="1" s="1" a="1"/>
  <c r="L206" i="1" s="1"/>
  <c r="J756" i="1"/>
  <c r="L756" i="1" s="1" a="1"/>
  <c r="L756" i="1" s="1"/>
  <c r="J1119" i="1"/>
  <c r="L1119" i="1" s="1" a="1"/>
  <c r="L1119" i="1" s="1"/>
  <c r="J160" i="1"/>
  <c r="L160" i="1" s="1" a="1"/>
  <c r="L160" i="1" s="1"/>
  <c r="J218" i="1"/>
  <c r="L218" i="1" s="1" a="1"/>
  <c r="L218" i="1" s="1"/>
  <c r="J856" i="1"/>
  <c r="L856" i="1" s="1" a="1"/>
  <c r="L856" i="1" s="1"/>
  <c r="J112" i="1"/>
  <c r="L112" i="1" s="1" a="1"/>
  <c r="L112" i="1" s="1"/>
  <c r="J854" i="1"/>
  <c r="L854" i="1" s="1" a="1"/>
  <c r="L854" i="1" s="1"/>
  <c r="J82" i="1"/>
  <c r="L82" i="1" s="1" a="1"/>
  <c r="L82" i="1" s="1"/>
  <c r="J22" i="1"/>
  <c r="L22" i="1" s="1" a="1"/>
  <c r="L22" i="1" s="1"/>
  <c r="J108" i="1"/>
  <c r="L108" i="1" s="1" a="1"/>
  <c r="L108" i="1" s="1"/>
  <c r="J196" i="1"/>
  <c r="L196" i="1" s="1" a="1"/>
  <c r="L196" i="1" s="1"/>
  <c r="J141" i="1"/>
  <c r="L141" i="1" s="1" a="1"/>
  <c r="L141" i="1" s="1"/>
  <c r="J599" i="1"/>
  <c r="L599" i="1" s="1" a="1"/>
  <c r="L599" i="1" s="1"/>
  <c r="J11" i="1"/>
  <c r="L11" i="1" s="1" a="1"/>
  <c r="L11" i="1" s="1"/>
  <c r="J889" i="1"/>
  <c r="L889" i="1" s="1" a="1"/>
  <c r="L889" i="1" s="1"/>
  <c r="J195" i="1"/>
  <c r="L195" i="1" s="1" a="1"/>
  <c r="L195" i="1" s="1"/>
  <c r="J194" i="1"/>
  <c r="L194" i="1" s="1" a="1"/>
  <c r="L194" i="1" s="1"/>
  <c r="J1130" i="1"/>
  <c r="L1130" i="1" s="1" a="1"/>
  <c r="L1130" i="1" s="1"/>
  <c r="J1167" i="1"/>
  <c r="L1167" i="1" s="1" a="1"/>
  <c r="L1167" i="1" s="1"/>
  <c r="J63" i="1"/>
  <c r="L63" i="1" s="1" a="1"/>
  <c r="L63" i="1" s="1"/>
  <c r="J763" i="1"/>
  <c r="L763" i="1" s="1" a="1"/>
  <c r="L763" i="1" s="1"/>
  <c r="J631" i="1"/>
  <c r="L631" i="1" s="1" a="1"/>
  <c r="L631" i="1" s="1"/>
  <c r="J97" i="1"/>
  <c r="L97" i="1" s="1" a="1"/>
  <c r="L97" i="1" s="1"/>
  <c r="J1125" i="1"/>
  <c r="L1125" i="1" s="1" a="1"/>
  <c r="L1125" i="1" s="1"/>
  <c r="J167" i="1"/>
  <c r="L167" i="1" s="1" a="1"/>
  <c r="L167" i="1" s="1"/>
  <c r="J1141" i="1"/>
  <c r="L1141" i="1" s="1" a="1"/>
  <c r="L1141" i="1" s="1"/>
  <c r="J792" i="1"/>
  <c r="L792" i="1" s="1" a="1"/>
  <c r="L792" i="1" s="1"/>
  <c r="J188" i="1"/>
  <c r="L188" i="1" s="1" a="1"/>
  <c r="L188" i="1" s="1"/>
  <c r="J604" i="1"/>
  <c r="L604" i="1" s="1" a="1"/>
  <c r="L604" i="1" s="1"/>
  <c r="J67" i="1"/>
  <c r="L67" i="1" s="1" a="1"/>
  <c r="L67" i="1" s="1"/>
  <c r="J767" i="1"/>
  <c r="L767" i="1" s="1" a="1"/>
  <c r="L767" i="1" s="1"/>
  <c r="J634" i="1"/>
  <c r="L634" i="1" s="1" a="1"/>
  <c r="L634" i="1" s="1"/>
  <c r="J709" i="1"/>
  <c r="L709" i="1" s="1" a="1"/>
  <c r="L709" i="1" s="1"/>
  <c r="J841" i="1"/>
  <c r="L841" i="1" s="1" a="1"/>
  <c r="L841" i="1" s="1"/>
  <c r="J789" i="1"/>
  <c r="L789" i="1" s="1" a="1"/>
  <c r="L789" i="1" s="1"/>
  <c r="J762" i="1"/>
  <c r="L762" i="1" s="1" a="1"/>
  <c r="L762" i="1" s="1"/>
  <c r="J169" i="1"/>
  <c r="L169" i="1" s="1" a="1"/>
  <c r="L169" i="1" s="1"/>
  <c r="J837" i="1"/>
  <c r="L837" i="1" s="1" a="1"/>
  <c r="L837" i="1" s="1"/>
  <c r="J38" i="1"/>
  <c r="L38" i="1" s="1" a="1"/>
  <c r="L38" i="1" s="1"/>
  <c r="J205" i="1"/>
  <c r="L205" i="1" s="1" a="1"/>
  <c r="L205" i="1" s="1"/>
  <c r="J735" i="1"/>
  <c r="L735" i="1" s="1" a="1"/>
  <c r="L735" i="1" s="1"/>
  <c r="J1124" i="1"/>
  <c r="L1124" i="1" s="1" a="1"/>
  <c r="L1124" i="1" s="1"/>
  <c r="J831" i="1"/>
  <c r="L831" i="1" s="1" a="1"/>
  <c r="L831" i="1" s="1"/>
  <c r="J654" i="1"/>
  <c r="L654" i="1" s="1" a="1"/>
  <c r="L654" i="1" s="1"/>
  <c r="J753" i="1"/>
  <c r="L753" i="1" s="1" a="1"/>
  <c r="L753" i="1" s="1"/>
  <c r="J616" i="1"/>
  <c r="L616" i="1" s="1" a="1"/>
  <c r="L616" i="1" s="1"/>
  <c r="J1118" i="1"/>
  <c r="L1118" i="1" s="1" a="1"/>
  <c r="L1118" i="1" s="1"/>
  <c r="J217" i="1"/>
  <c r="L217" i="1" s="1" a="1"/>
  <c r="L217" i="1" s="1"/>
  <c r="J1158" i="1"/>
  <c r="L1158" i="1" s="1" a="1"/>
  <c r="L1158" i="1" s="1"/>
  <c r="J1177" i="1"/>
  <c r="L1177" i="1" s="1" a="1"/>
  <c r="L1177" i="1" s="1"/>
  <c r="J665" i="1"/>
  <c r="L665" i="1" s="1" a="1"/>
  <c r="L665" i="1" s="1"/>
  <c r="J1281" i="1"/>
  <c r="L1281" i="1" s="1" a="1"/>
  <c r="L1281" i="1" s="1"/>
  <c r="J1143" i="1"/>
  <c r="L1143" i="1" s="1" a="1"/>
  <c r="L1143" i="1" s="1"/>
  <c r="J1279" i="1"/>
  <c r="L1279" i="1" s="1" a="1"/>
  <c r="L1279" i="1" s="1"/>
  <c r="J676" i="1"/>
  <c r="L676" i="1" s="1" a="1"/>
  <c r="L676" i="1" s="1"/>
  <c r="J153" i="1"/>
  <c r="L153" i="1" s="1" a="1"/>
  <c r="L153" i="1" s="1"/>
  <c r="J198" i="1"/>
  <c r="L198" i="1" s="1" a="1"/>
  <c r="L198" i="1" s="1"/>
  <c r="J33" i="1"/>
  <c r="L33" i="1" s="1" a="1"/>
  <c r="L33" i="1" s="1"/>
  <c r="J893" i="1"/>
  <c r="L893" i="1" s="1" a="1"/>
  <c r="L893" i="1" s="1"/>
  <c r="J150" i="1"/>
  <c r="L150" i="1" s="1" a="1"/>
  <c r="L150" i="1" s="1"/>
  <c r="J600" i="1"/>
  <c r="L600" i="1" s="1" a="1"/>
  <c r="L600" i="1" s="1"/>
  <c r="J48" i="1"/>
  <c r="L48" i="1" s="1" a="1"/>
  <c r="L48" i="1" s="1"/>
  <c r="J646" i="1"/>
  <c r="L646" i="1" s="1" a="1"/>
  <c r="L646" i="1" s="1"/>
  <c r="J664" i="1"/>
  <c r="L664" i="1" s="1" a="1"/>
  <c r="L664" i="1" s="1"/>
  <c r="J137" i="1"/>
  <c r="L137" i="1" s="1" a="1"/>
  <c r="L137" i="1" s="1"/>
  <c r="J692" i="1"/>
  <c r="L692" i="1" s="1" a="1"/>
  <c r="L692" i="1" s="1"/>
  <c r="J659" i="1"/>
  <c r="L659" i="1" s="1" a="1"/>
  <c r="L659" i="1" s="1"/>
  <c r="J134" i="1"/>
  <c r="L134" i="1" s="1" a="1"/>
  <c r="L134" i="1" s="1"/>
  <c r="J6" i="1"/>
  <c r="L6" i="1" s="1" a="1"/>
  <c r="L6" i="1" s="1"/>
  <c r="J791" i="1"/>
  <c r="L791" i="1" s="1" a="1"/>
  <c r="L791" i="1" s="1"/>
  <c r="J809" i="1"/>
  <c r="L809" i="1" s="1" a="1"/>
  <c r="L809" i="1" s="1"/>
  <c r="J761" i="1"/>
  <c r="L761" i="1" s="1" a="1"/>
  <c r="L761" i="1" s="1"/>
  <c r="J166" i="1"/>
  <c r="L166" i="1" s="1" a="1"/>
  <c r="L166" i="1" s="1"/>
  <c r="J608" i="1"/>
  <c r="L608" i="1" s="1" a="1"/>
  <c r="L608" i="1" s="1"/>
  <c r="J58" i="1"/>
  <c r="L58" i="1" s="1" a="1"/>
  <c r="L58" i="1" s="1"/>
  <c r="J1283" i="1"/>
  <c r="L1283" i="1" s="1" a="1"/>
  <c r="L1283" i="1" s="1"/>
  <c r="J633" i="1"/>
  <c r="L633" i="1" s="1" a="1"/>
  <c r="L633" i="1" s="1"/>
  <c r="J175" i="1"/>
  <c r="L175" i="1" s="1" a="1"/>
  <c r="L175" i="1" s="1"/>
  <c r="J623" i="1"/>
  <c r="L623" i="1" s="1" a="1"/>
  <c r="L623" i="1" s="1"/>
  <c r="J650" i="1"/>
  <c r="L650" i="1" s="1" a="1"/>
  <c r="L650" i="1" s="1"/>
  <c r="J815" i="1"/>
  <c r="L815" i="1" s="1" a="1"/>
  <c r="L815" i="1" s="1"/>
  <c r="J855" i="1"/>
  <c r="L855" i="1" s="1" a="1"/>
  <c r="L855" i="1" s="1"/>
  <c r="J1337" i="1"/>
  <c r="L1337" i="1" s="1" a="1"/>
  <c r="L1337" i="1" s="1"/>
  <c r="J149" i="1"/>
  <c r="L149" i="1" s="1" a="1"/>
  <c r="L149" i="1" s="1"/>
  <c r="J814" i="1"/>
  <c r="L814" i="1" s="1" a="1"/>
  <c r="L814" i="1" s="1"/>
  <c r="J660" i="1"/>
  <c r="L660" i="1" s="1" a="1"/>
  <c r="L660" i="1" s="1"/>
  <c r="J64" i="1"/>
  <c r="L64" i="1" s="1" a="1"/>
  <c r="L64" i="1" s="1"/>
  <c r="J697" i="1"/>
  <c r="L697" i="1" s="1" a="1"/>
  <c r="L697" i="1" s="1"/>
  <c r="J133" i="1"/>
  <c r="L133" i="1" s="1" a="1"/>
  <c r="L133" i="1" s="1"/>
  <c r="J127" i="1"/>
  <c r="L127" i="1" s="1" a="1"/>
  <c r="L127" i="1" s="1"/>
  <c r="J215" i="1"/>
  <c r="L215" i="1" s="1" a="1"/>
  <c r="L215" i="1" s="1"/>
  <c r="J777" i="1"/>
  <c r="L777" i="1" s="1" a="1"/>
  <c r="L777" i="1" s="1"/>
  <c r="J685" i="1"/>
  <c r="L685" i="1" s="1" a="1"/>
  <c r="L685" i="1" s="1"/>
  <c r="J1179" i="1"/>
  <c r="L1179" i="1" s="1" a="1"/>
  <c r="L1179" i="1" s="1"/>
  <c r="J885" i="1"/>
  <c r="L885" i="1" s="1" a="1"/>
  <c r="L885" i="1" s="1"/>
  <c r="B21" i="3" l="1"/>
  <c r="K1120" i="1" a="1"/>
  <c r="K1120" i="1" s="1"/>
  <c r="B19" i="3"/>
  <c r="B9" i="3"/>
  <c r="A2" i="3"/>
  <c r="E27" i="3"/>
  <c r="E28" i="3"/>
  <c r="B31" i="3"/>
  <c r="B13" i="3"/>
  <c r="B11" i="3"/>
  <c r="E9" i="3"/>
  <c r="B4" i="3"/>
  <c r="B6" i="3"/>
  <c r="B25" i="3"/>
  <c r="E15" i="3"/>
  <c r="E14" i="3"/>
  <c r="E3" i="3"/>
  <c r="B17" i="3"/>
  <c r="E22" i="3"/>
  <c r="E11" i="3"/>
  <c r="B12" i="3"/>
  <c r="B14" i="3"/>
  <c r="B10" i="3"/>
  <c r="E8" i="3"/>
  <c r="E20" i="3"/>
  <c r="E6" i="3"/>
  <c r="E29" i="3"/>
  <c r="E17" i="3"/>
  <c r="E23" i="3"/>
  <c r="B20" i="3"/>
  <c r="B22" i="3"/>
  <c r="B7" i="3"/>
  <c r="B18" i="3"/>
  <c r="E7" i="3"/>
  <c r="E4" i="3"/>
  <c r="E21" i="3"/>
  <c r="E26" i="3"/>
  <c r="E24" i="3"/>
  <c r="E12" i="3"/>
  <c r="B27" i="3"/>
  <c r="B28" i="3"/>
  <c r="B30" i="3"/>
  <c r="B15" i="3"/>
  <c r="B26" i="3"/>
  <c r="B24" i="3"/>
  <c r="E13" i="3"/>
  <c r="E18" i="3"/>
  <c r="E25" i="3"/>
  <c r="E30" i="3"/>
  <c r="E19" i="3"/>
  <c r="B29" i="3"/>
  <c r="B3" i="3"/>
  <c r="B5" i="3"/>
  <c r="B16" i="3"/>
  <c r="B23" i="3"/>
  <c r="E16" i="3"/>
  <c r="E5" i="3"/>
  <c r="E10" i="3"/>
  <c r="E31" i="3"/>
  <c r="L758" i="1" a="1"/>
  <c r="L758" i="1" s="1"/>
  <c r="N758" i="1" s="1"/>
  <c r="K71" i="1" a="1"/>
  <c r="K71" i="1" s="1"/>
  <c r="K34" i="1" a="1"/>
  <c r="K34" i="1" s="1"/>
  <c r="L34" i="1" a="1"/>
  <c r="L34" i="1" s="1"/>
  <c r="N34" i="1" s="1"/>
  <c r="L1120" i="1" a="1"/>
  <c r="L1120" i="1" s="1"/>
  <c r="N1120" i="1" s="1"/>
  <c r="L107" i="1" a="1"/>
  <c r="L107" i="1" s="1"/>
  <c r="N107" i="1" s="1"/>
  <c r="K107" i="1" a="1"/>
  <c r="K107" i="1" s="1"/>
  <c r="L71" i="1" a="1"/>
  <c r="L71" i="1" s="1"/>
  <c r="N71" i="1" s="1"/>
  <c r="L871" i="1" a="1"/>
  <c r="L871" i="1" s="1"/>
  <c r="N871" i="1" s="1"/>
  <c r="L637" i="1" a="1"/>
  <c r="L637" i="1" s="1"/>
  <c r="N637" i="1" s="1"/>
  <c r="L163" i="1" a="1"/>
  <c r="L163" i="1" s="1"/>
  <c r="N163" i="1" s="1"/>
  <c r="L636" i="1" a="1"/>
  <c r="L636" i="1" s="1"/>
  <c r="N636" i="1" s="1"/>
  <c r="L765" i="1" a="1"/>
  <c r="L765" i="1" s="1"/>
  <c r="N765" i="1" s="1"/>
  <c r="L207" i="1" a="1"/>
  <c r="L207" i="1" s="1"/>
  <c r="N207" i="1" s="1"/>
  <c r="L89" i="1" a="1"/>
  <c r="L89" i="1" s="1"/>
  <c r="N89" i="1" s="1"/>
  <c r="L864" i="1" a="1"/>
  <c r="L864" i="1" s="1"/>
  <c r="N864" i="1" s="1"/>
  <c r="L780" i="1" a="1"/>
  <c r="L780" i="1" s="1"/>
  <c r="N780" i="1" s="1"/>
  <c r="L26" i="1" a="1"/>
  <c r="L26" i="1" s="1"/>
  <c r="N26" i="1" s="1"/>
  <c r="L598" i="1" a="1"/>
  <c r="L598" i="1" s="1"/>
  <c r="N598" i="1" s="1"/>
  <c r="L737" i="1" a="1"/>
  <c r="L737" i="1" s="1"/>
  <c r="N737" i="1" s="1"/>
  <c r="L635" i="1" a="1"/>
  <c r="L635" i="1" s="1"/>
  <c r="N635" i="1" s="1"/>
  <c r="L601" i="1" a="1"/>
  <c r="L601" i="1" s="1"/>
  <c r="N601" i="1" s="1"/>
  <c r="L619" i="1" a="1"/>
  <c r="L619" i="1" s="1"/>
  <c r="N619" i="1" s="1"/>
  <c r="L123" i="1" a="1"/>
  <c r="L123" i="1" s="1"/>
  <c r="N123" i="1" s="1"/>
  <c r="L102" i="1" a="1"/>
  <c r="L102" i="1" s="1"/>
  <c r="N102" i="1" s="1"/>
  <c r="L1139" i="1" a="1"/>
  <c r="L1139" i="1" s="1"/>
  <c r="N1139" i="1" s="1"/>
  <c r="L597" i="1" a="1"/>
  <c r="L597" i="1" s="1"/>
  <c r="N597" i="1" s="1"/>
  <c r="L216" i="1" a="1"/>
  <c r="L216" i="1" s="1"/>
  <c r="N216" i="1" s="1"/>
  <c r="L596" i="1" a="1"/>
  <c r="L596" i="1" s="1"/>
  <c r="N596" i="1" s="1"/>
  <c r="L591" i="1" a="1"/>
  <c r="L591" i="1" s="1"/>
  <c r="N591" i="1" s="1"/>
  <c r="K185" i="1" a="1"/>
  <c r="K185" i="1" s="1"/>
  <c r="L185" i="1" a="1"/>
  <c r="L185" i="1" s="1"/>
  <c r="N185" i="1" s="1"/>
  <c r="L746" i="1" a="1"/>
  <c r="L746" i="1" s="1"/>
  <c r="N746" i="1" s="1"/>
  <c r="L728" i="1" a="1"/>
  <c r="L728" i="1" s="1"/>
  <c r="N728" i="1" s="1"/>
  <c r="L8" i="1" a="1"/>
  <c r="L8" i="1" s="1"/>
  <c r="N8" i="1" s="1"/>
  <c r="L686" i="1" a="1"/>
  <c r="L686" i="1" s="1"/>
  <c r="N686" i="1" s="1"/>
  <c r="L178" i="1" a="1"/>
  <c r="L178" i="1" s="1"/>
  <c r="N178" i="1" s="1"/>
  <c r="L173" i="1" a="1"/>
  <c r="L173" i="1" s="1"/>
  <c r="N173" i="1" s="1"/>
  <c r="L179" i="1" a="1"/>
  <c r="L179" i="1" s="1"/>
  <c r="N179" i="1" s="1"/>
  <c r="L733" i="1" a="1"/>
  <c r="L733" i="1" s="1"/>
  <c r="N733" i="1" s="1"/>
  <c r="L32" i="1" a="1"/>
  <c r="L32" i="1" s="1"/>
  <c r="N32" i="1" s="1"/>
  <c r="L162" i="1" a="1"/>
  <c r="L162" i="1" s="1"/>
  <c r="N162" i="1" s="1"/>
  <c r="L615" i="1" a="1"/>
  <c r="L615" i="1" s="1"/>
  <c r="N615" i="1" s="1"/>
  <c r="L609" i="1" a="1"/>
  <c r="L609" i="1" s="1"/>
  <c r="N609" i="1" s="1"/>
  <c r="K162" i="1" a="1"/>
  <c r="K162" i="1" s="1"/>
  <c r="K609" i="1" a="1"/>
  <c r="K609" i="1" s="1"/>
  <c r="K746" i="1" a="1"/>
  <c r="K746" i="1" s="1"/>
  <c r="K636" i="1" a="1"/>
  <c r="K636" i="1" s="1"/>
  <c r="M636" i="1" s="1"/>
  <c r="K637" i="1" a="1"/>
  <c r="K637" i="1" s="1"/>
  <c r="K163" i="1" a="1"/>
  <c r="K163" i="1" s="1"/>
  <c r="K1139" i="1" a="1"/>
  <c r="K1139" i="1" s="1"/>
  <c r="K597" i="1" a="1"/>
  <c r="K597" i="1" s="1"/>
  <c r="K221" i="1" a="1"/>
  <c r="K221" i="1" s="1"/>
  <c r="I221" i="1" a="1"/>
  <c r="I221" i="1" s="1"/>
  <c r="K591" i="1" a="1"/>
  <c r="K591" i="1" s="1"/>
  <c r="I591" i="1" a="1"/>
  <c r="I591" i="1" s="1"/>
  <c r="K173" i="1" a="1"/>
  <c r="K173" i="1" s="1"/>
  <c r="I173" i="1" a="1"/>
  <c r="I173" i="1" s="1"/>
  <c r="K179" i="1" a="1"/>
  <c r="K179" i="1" s="1"/>
  <c r="I179" i="1" a="1"/>
  <c r="I179" i="1" s="1"/>
  <c r="I712" i="1" a="1"/>
  <c r="I712" i="1" s="1"/>
  <c r="I77" i="1" a="1"/>
  <c r="I77" i="1" s="1"/>
  <c r="K54" i="1" a="1"/>
  <c r="K54" i="1" s="1"/>
  <c r="I54" i="1" a="1"/>
  <c r="I54" i="1" s="1"/>
  <c r="K703" i="1" a="1"/>
  <c r="K703" i="1" s="1"/>
  <c r="I703" i="1" a="1"/>
  <c r="I703" i="1" s="1"/>
  <c r="E2" i="3"/>
  <c r="B2" i="3"/>
  <c r="K758" i="1" a="1"/>
  <c r="K758" i="1" s="1"/>
  <c r="K765" i="1" a="1"/>
  <c r="K765" i="1" s="1"/>
  <c r="K864" i="1" a="1"/>
  <c r="K864" i="1" s="1"/>
  <c r="K733" i="1" a="1"/>
  <c r="K733" i="1" s="1"/>
  <c r="K728" i="1" a="1"/>
  <c r="K728" i="1" s="1"/>
  <c r="N54" i="1"/>
  <c r="N221" i="1"/>
  <c r="K77" i="1" a="1"/>
  <c r="K77" i="1" s="1"/>
  <c r="N888" i="1"/>
  <c r="K888" i="1" a="1"/>
  <c r="K888" i="1" s="1"/>
  <c r="N1153" i="1"/>
  <c r="K1153" i="1" a="1"/>
  <c r="K1153" i="1" s="1"/>
  <c r="K885" i="1" a="1"/>
  <c r="K885" i="1" s="1"/>
  <c r="N1179" i="1"/>
  <c r="K1179" i="1" a="1"/>
  <c r="K1179" i="1" s="1"/>
  <c r="K215" i="1" a="1"/>
  <c r="K215" i="1" s="1"/>
  <c r="N215" i="1"/>
  <c r="N1177" i="1"/>
  <c r="K1177" i="1" a="1"/>
  <c r="K1177" i="1" s="1"/>
  <c r="N195" i="1"/>
  <c r="K195" i="1" a="1"/>
  <c r="K195" i="1" s="1"/>
  <c r="M195" i="1" s="1"/>
  <c r="N82" i="1"/>
  <c r="K82" i="1" a="1"/>
  <c r="K82" i="1" s="1"/>
  <c r="K1119" i="1" a="1"/>
  <c r="K1119" i="1" s="1"/>
  <c r="N1119" i="1"/>
  <c r="N101" i="1"/>
  <c r="K101" i="1" a="1"/>
  <c r="K101" i="1" s="1"/>
  <c r="N166" i="1"/>
  <c r="K166" i="1" a="1"/>
  <c r="K166" i="1" s="1"/>
  <c r="N48" i="1"/>
  <c r="K48" i="1" a="1"/>
  <c r="K48" i="1" s="1"/>
  <c r="K198" i="1" a="1"/>
  <c r="K198" i="1" s="1"/>
  <c r="N198" i="1"/>
  <c r="K615" i="1" a="1"/>
  <c r="K615" i="1" s="1"/>
  <c r="K831" i="1" a="1"/>
  <c r="K831" i="1" s="1"/>
  <c r="N677" i="1"/>
  <c r="K677" i="1" a="1"/>
  <c r="K677" i="1" s="1"/>
  <c r="K686" i="1" a="1"/>
  <c r="K686" i="1" s="1"/>
  <c r="N625" i="1"/>
  <c r="K625" i="1" a="1"/>
  <c r="K625" i="1" s="1"/>
  <c r="Q625" i="1" s="1" a="1"/>
  <c r="Q625" i="1" s="1"/>
  <c r="K216" i="1" a="1"/>
  <c r="K216" i="1" s="1"/>
  <c r="N789" i="1"/>
  <c r="K789" i="1" a="1"/>
  <c r="K789" i="1" s="1"/>
  <c r="N25" i="1"/>
  <c r="K25" i="1" a="1"/>
  <c r="K25" i="1" s="1"/>
  <c r="N1283" i="1"/>
  <c r="K1283" i="1" a="1"/>
  <c r="K1283" i="1" s="1"/>
  <c r="N664" i="1"/>
  <c r="K664" i="1" a="1"/>
  <c r="K664" i="1" s="1"/>
  <c r="K763" i="1" a="1"/>
  <c r="K763" i="1" s="1"/>
  <c r="N763" i="1"/>
  <c r="N113" i="1"/>
  <c r="K113" i="1" a="1"/>
  <c r="K113" i="1" s="1"/>
  <c r="N842" i="1"/>
  <c r="K842" i="1" a="1"/>
  <c r="K842" i="1" s="1"/>
  <c r="K596" i="1" a="1"/>
  <c r="K596" i="1" s="1"/>
  <c r="K141" i="1" a="1"/>
  <c r="K141" i="1" s="1"/>
  <c r="N141" i="1"/>
  <c r="N856" i="1"/>
  <c r="K856" i="1" a="1"/>
  <c r="K856" i="1" s="1"/>
  <c r="N206" i="1"/>
  <c r="K206" i="1" a="1"/>
  <c r="K206" i="1" s="1"/>
  <c r="K176" i="1" a="1"/>
  <c r="K176" i="1" s="1"/>
  <c r="N176" i="1"/>
  <c r="N836" i="1"/>
  <c r="K836" i="1" a="1"/>
  <c r="K836" i="1" s="1"/>
  <c r="N879" i="1"/>
  <c r="K879" i="1" a="1"/>
  <c r="K879" i="1" s="1"/>
  <c r="N811" i="1"/>
  <c r="K811" i="1" a="1"/>
  <c r="K811" i="1" s="1"/>
  <c r="K74" i="1" a="1"/>
  <c r="K74" i="1" s="1"/>
  <c r="N74" i="1"/>
  <c r="K871" i="1" a="1"/>
  <c r="K871" i="1" s="1"/>
  <c r="K601" i="1" a="1"/>
  <c r="K601" i="1" s="1"/>
  <c r="N127" i="1"/>
  <c r="K127" i="1" a="1"/>
  <c r="K127" i="1" s="1"/>
  <c r="N39" i="1"/>
  <c r="K39" i="1" a="1"/>
  <c r="K39" i="1" s="1"/>
  <c r="N705" i="1"/>
  <c r="K705" i="1" a="1"/>
  <c r="K705" i="1" s="1"/>
  <c r="N1281" i="1"/>
  <c r="K1281" i="1" a="1"/>
  <c r="K1281" i="1" s="1"/>
  <c r="K1158" i="1" a="1"/>
  <c r="K1158" i="1" s="1"/>
  <c r="N1158" i="1"/>
  <c r="K1118" i="1" a="1"/>
  <c r="K1118" i="1" s="1"/>
  <c r="N1118" i="1"/>
  <c r="N1125" i="1"/>
  <c r="K1125" i="1" a="1"/>
  <c r="K1125" i="1" s="1"/>
  <c r="N11" i="1"/>
  <c r="K11" i="1" a="1"/>
  <c r="K11" i="1" s="1"/>
  <c r="K854" i="1" a="1"/>
  <c r="K854" i="1" s="1"/>
  <c r="K218" i="1" a="1"/>
  <c r="K218" i="1" s="1"/>
  <c r="N160" i="1"/>
  <c r="K160" i="1" a="1"/>
  <c r="K160" i="1" s="1"/>
  <c r="K756" i="1" a="1"/>
  <c r="K756" i="1" s="1"/>
  <c r="N756" i="1"/>
  <c r="N142" i="1"/>
  <c r="K142" i="1" a="1"/>
  <c r="K142" i="1" s="1"/>
  <c r="K675" i="1" a="1"/>
  <c r="K675" i="1" s="1"/>
  <c r="N675" i="1"/>
  <c r="N116" i="1"/>
  <c r="K116" i="1" a="1"/>
  <c r="K116" i="1" s="1"/>
  <c r="Q116" i="1" s="1" a="1"/>
  <c r="Q116" i="1" s="1"/>
  <c r="N149" i="1"/>
  <c r="K149" i="1" a="1"/>
  <c r="K149" i="1" s="1"/>
  <c r="N855" i="1"/>
  <c r="K855" i="1" a="1"/>
  <c r="K855" i="1" s="1"/>
  <c r="N58" i="1"/>
  <c r="K58" i="1" a="1"/>
  <c r="K58" i="1" s="1"/>
  <c r="K791" i="1" a="1"/>
  <c r="K791" i="1" s="1"/>
  <c r="N791" i="1"/>
  <c r="N692" i="1"/>
  <c r="K692" i="1" a="1"/>
  <c r="K692" i="1" s="1"/>
  <c r="Q692" i="1" s="1" a="1"/>
  <c r="Q692" i="1" s="1"/>
  <c r="K600" i="1" a="1"/>
  <c r="K600" i="1" s="1"/>
  <c r="N600" i="1"/>
  <c r="N753" i="1"/>
  <c r="K753" i="1" a="1"/>
  <c r="K753" i="1" s="1"/>
  <c r="Q753" i="1" s="1" a="1"/>
  <c r="Q753" i="1" s="1"/>
  <c r="N735" i="1"/>
  <c r="K735" i="1" a="1"/>
  <c r="K735" i="1" s="1"/>
  <c r="N38" i="1"/>
  <c r="K38" i="1" a="1"/>
  <c r="K38" i="1" s="1"/>
  <c r="N169" i="1"/>
  <c r="K169" i="1" a="1"/>
  <c r="K169" i="1" s="1"/>
  <c r="N97" i="1"/>
  <c r="K97" i="1" a="1"/>
  <c r="K97" i="1" s="1"/>
  <c r="N108" i="1"/>
  <c r="K108" i="1" a="1"/>
  <c r="K108" i="1" s="1"/>
  <c r="N718" i="1"/>
  <c r="K718" i="1" a="1"/>
  <c r="K718" i="1" s="1"/>
  <c r="K627" i="1" a="1"/>
  <c r="K627" i="1" s="1"/>
  <c r="N56" i="1"/>
  <c r="K56" i="1" a="1"/>
  <c r="K56" i="1" s="1"/>
  <c r="K186" i="1" a="1"/>
  <c r="K186" i="1" s="1"/>
  <c r="N642" i="1"/>
  <c r="K642" i="1" a="1"/>
  <c r="K642" i="1" s="1"/>
  <c r="N663" i="1"/>
  <c r="K663" i="1" a="1"/>
  <c r="K663" i="1" s="1"/>
  <c r="N832" i="1"/>
  <c r="K832" i="1" a="1"/>
  <c r="K832" i="1" s="1"/>
  <c r="N751" i="1"/>
  <c r="K751" i="1" a="1"/>
  <c r="K751" i="1" s="1"/>
  <c r="Q751" i="1" s="1" a="1"/>
  <c r="Q751" i="1" s="1"/>
  <c r="N59" i="1"/>
  <c r="K59" i="1" a="1"/>
  <c r="K59" i="1" s="1"/>
  <c r="N748" i="1"/>
  <c r="K748" i="1" a="1"/>
  <c r="K748" i="1" s="1"/>
  <c r="N1169" i="1"/>
  <c r="K1169" i="1" a="1"/>
  <c r="K1169" i="1" s="1"/>
  <c r="K197" i="1" a="1"/>
  <c r="K197" i="1" s="1"/>
  <c r="N197" i="1"/>
  <c r="N734" i="1"/>
  <c r="K734" i="1" a="1"/>
  <c r="K734" i="1" s="1"/>
  <c r="N830" i="1"/>
  <c r="K830" i="1" a="1"/>
  <c r="K830" i="1" s="1"/>
  <c r="N755" i="1"/>
  <c r="K755" i="1" a="1"/>
  <c r="K755" i="1" s="1"/>
  <c r="N658" i="1"/>
  <c r="K658" i="1" a="1"/>
  <c r="K658" i="1" s="1"/>
  <c r="K701" i="1" a="1"/>
  <c r="K701" i="1" s="1"/>
  <c r="N708" i="1"/>
  <c r="K708" i="1" a="1"/>
  <c r="K708" i="1" s="1"/>
  <c r="Q708" i="1" s="1" a="1"/>
  <c r="Q708" i="1" s="1"/>
  <c r="N199" i="1"/>
  <c r="K199" i="1" a="1"/>
  <c r="K199" i="1" s="1"/>
  <c r="N808" i="1"/>
  <c r="K808" i="1" a="1"/>
  <c r="K808" i="1" s="1"/>
  <c r="N42" i="1"/>
  <c r="K42" i="1" a="1"/>
  <c r="K42" i="1" s="1"/>
  <c r="K1122" i="1" a="1"/>
  <c r="K1122" i="1" s="1"/>
  <c r="N1122" i="1"/>
  <c r="K647" i="1" a="1"/>
  <c r="K647" i="1" s="1"/>
  <c r="N1140" i="1"/>
  <c r="K1140" i="1" a="1"/>
  <c r="K1140" i="1" s="1"/>
  <c r="N621" i="1"/>
  <c r="K621" i="1" a="1"/>
  <c r="K621" i="1" s="1"/>
  <c r="N853" i="1"/>
  <c r="K853" i="1" a="1"/>
  <c r="K853" i="1" s="1"/>
  <c r="Q853" i="1" s="1" a="1"/>
  <c r="Q853" i="1" s="1"/>
  <c r="K868" i="1" a="1"/>
  <c r="K868" i="1" s="1"/>
  <c r="N868" i="1"/>
  <c r="N135" i="1"/>
  <c r="K135" i="1" a="1"/>
  <c r="K135" i="1" s="1"/>
  <c r="K617" i="1" a="1"/>
  <c r="K617" i="1" s="1"/>
  <c r="N617" i="1"/>
  <c r="N622" i="1"/>
  <c r="K622" i="1" a="1"/>
  <c r="K622" i="1" s="1"/>
  <c r="N1127" i="1"/>
  <c r="K1127" i="1" a="1"/>
  <c r="K1127" i="1" s="1"/>
  <c r="N1155" i="1"/>
  <c r="K1155" i="1" a="1"/>
  <c r="K1155" i="1" s="1"/>
  <c r="N678" i="1"/>
  <c r="K678" i="1" a="1"/>
  <c r="K678" i="1" s="1"/>
  <c r="K96" i="1" a="1"/>
  <c r="K96" i="1" s="1"/>
  <c r="N96" i="1"/>
  <c r="K883" i="1" a="1"/>
  <c r="K883" i="1" s="1"/>
  <c r="N883" i="1"/>
  <c r="K1157" i="1" a="1"/>
  <c r="K1157" i="1" s="1"/>
  <c r="N680" i="1"/>
  <c r="K680" i="1" a="1"/>
  <c r="K680" i="1" s="1"/>
  <c r="K159" i="1" a="1"/>
  <c r="K159" i="1" s="1"/>
  <c r="N884" i="1"/>
  <c r="K884" i="1" a="1"/>
  <c r="K884" i="1" s="1"/>
  <c r="N156" i="1"/>
  <c r="K156" i="1" a="1"/>
  <c r="K156" i="1" s="1"/>
  <c r="K679" i="1" a="1"/>
  <c r="K679" i="1" s="1"/>
  <c r="N679" i="1"/>
  <c r="N730" i="1"/>
  <c r="K730" i="1" a="1"/>
  <c r="K730" i="1" s="1"/>
  <c r="N1286" i="1"/>
  <c r="K1286" i="1" a="1"/>
  <c r="K1286" i="1" s="1"/>
  <c r="N1144" i="1"/>
  <c r="K1144" i="1" a="1"/>
  <c r="K1144" i="1" s="1"/>
  <c r="Q1144" i="1" s="1" a="1"/>
  <c r="Q1144" i="1" s="1"/>
  <c r="N1135" i="1"/>
  <c r="K1135" i="1" a="1"/>
  <c r="K1135" i="1" s="1"/>
  <c r="N83" i="1"/>
  <c r="K83" i="1" a="1"/>
  <c r="K83" i="1" s="1"/>
  <c r="N819" i="1"/>
  <c r="K819" i="1" a="1"/>
  <c r="K819" i="1" s="1"/>
  <c r="N95" i="1"/>
  <c r="K95" i="1" a="1"/>
  <c r="K95" i="1" s="1"/>
  <c r="N866" i="1"/>
  <c r="K866" i="1" a="1"/>
  <c r="K866" i="1" s="1"/>
  <c r="N738" i="1"/>
  <c r="K738" i="1" a="1"/>
  <c r="K738" i="1" s="1"/>
  <c r="N19" i="1"/>
  <c r="K19" i="1" a="1"/>
  <c r="K19" i="1" s="1"/>
  <c r="K607" i="1" a="1"/>
  <c r="K607" i="1" s="1"/>
  <c r="N607" i="1"/>
  <c r="N754" i="1"/>
  <c r="K754" i="1" a="1"/>
  <c r="K754" i="1" s="1"/>
  <c r="N796" i="1"/>
  <c r="K796" i="1" a="1"/>
  <c r="K796" i="1" s="1"/>
  <c r="N694" i="1"/>
  <c r="K694" i="1" a="1"/>
  <c r="K694" i="1" s="1"/>
  <c r="N1278" i="1"/>
  <c r="K1278" i="1" a="1"/>
  <c r="K1278" i="1" s="1"/>
  <c r="K50" i="1" a="1"/>
  <c r="K50" i="1" s="1"/>
  <c r="N50" i="1"/>
  <c r="N822" i="1"/>
  <c r="K822" i="1" a="1"/>
  <c r="K822" i="1" s="1"/>
  <c r="N668" i="1"/>
  <c r="K668" i="1" a="1"/>
  <c r="K668" i="1" s="1"/>
  <c r="K51" i="1" a="1"/>
  <c r="K51" i="1" s="1"/>
  <c r="N51" i="1"/>
  <c r="N36" i="1"/>
  <c r="K36" i="1" a="1"/>
  <c r="K36" i="1" s="1"/>
  <c r="K644" i="1" a="1"/>
  <c r="K644" i="1" s="1"/>
  <c r="N644" i="1"/>
  <c r="N605" i="1"/>
  <c r="K605" i="1" a="1"/>
  <c r="K605" i="1" s="1"/>
  <c r="N27" i="1"/>
  <c r="K27" i="1" a="1"/>
  <c r="K27" i="1" s="1"/>
  <c r="K764" i="1" a="1"/>
  <c r="K764" i="1" s="1"/>
  <c r="N764" i="1"/>
  <c r="K825" i="1" a="1"/>
  <c r="K825" i="1" s="1"/>
  <c r="N825" i="1"/>
  <c r="K126" i="1" a="1"/>
  <c r="K126" i="1" s="1"/>
  <c r="N126" i="1"/>
  <c r="N41" i="1"/>
  <c r="K41" i="1" a="1"/>
  <c r="K41" i="1" s="1"/>
  <c r="K1149" i="1" a="1"/>
  <c r="K1149" i="1" s="1"/>
  <c r="Q1149" i="1" s="1" a="1"/>
  <c r="Q1149" i="1" s="1"/>
  <c r="N1149" i="1"/>
  <c r="N129" i="1"/>
  <c r="K129" i="1" a="1"/>
  <c r="K129" i="1" s="1"/>
  <c r="K598" i="1" a="1"/>
  <c r="K598" i="1" s="1"/>
  <c r="K178" i="1" a="1"/>
  <c r="K178" i="1" s="1"/>
  <c r="K635" i="1" a="1"/>
  <c r="K635" i="1" s="1"/>
  <c r="K102" i="1" a="1"/>
  <c r="K102" i="1" s="1"/>
  <c r="N33" i="1"/>
  <c r="K33" i="1" a="1"/>
  <c r="K33" i="1" s="1"/>
  <c r="Q33" i="1" s="1" a="1"/>
  <c r="Q33" i="1" s="1"/>
  <c r="N676" i="1"/>
  <c r="K676" i="1" a="1"/>
  <c r="K676" i="1" s="1"/>
  <c r="K665" i="1" a="1"/>
  <c r="K665" i="1" s="1"/>
  <c r="N665" i="1"/>
  <c r="N616" i="1"/>
  <c r="K616" i="1" a="1"/>
  <c r="K616" i="1" s="1"/>
  <c r="N634" i="1"/>
  <c r="K634" i="1" a="1"/>
  <c r="K634" i="1" s="1"/>
  <c r="N682" i="1"/>
  <c r="K682" i="1" a="1"/>
  <c r="K682" i="1" s="1"/>
  <c r="N94" i="1"/>
  <c r="K94" i="1" a="1"/>
  <c r="K94" i="1" s="1"/>
  <c r="K723" i="1" a="1"/>
  <c r="K723" i="1" s="1"/>
  <c r="N1150" i="1"/>
  <c r="K1150" i="1" a="1"/>
  <c r="K1150" i="1" s="1"/>
  <c r="Q1150" i="1" s="1" a="1"/>
  <c r="Q1150" i="1" s="1"/>
  <c r="K47" i="1" a="1"/>
  <c r="K47" i="1" s="1"/>
  <c r="N191" i="1"/>
  <c r="K191" i="1" a="1"/>
  <c r="K191" i="1" s="1"/>
  <c r="N66" i="1"/>
  <c r="K66" i="1" a="1"/>
  <c r="K66" i="1" s="1"/>
  <c r="K90" i="1" a="1"/>
  <c r="K90" i="1" s="1"/>
  <c r="N724" i="1"/>
  <c r="K724" i="1" a="1"/>
  <c r="K724" i="1" s="1"/>
  <c r="N219" i="1"/>
  <c r="K219" i="1" a="1"/>
  <c r="K219" i="1" s="1"/>
  <c r="N747" i="1"/>
  <c r="K747" i="1" a="1"/>
  <c r="K747" i="1" s="1"/>
  <c r="N79" i="1"/>
  <c r="K79" i="1" a="1"/>
  <c r="K79" i="1" s="1"/>
  <c r="N812" i="1"/>
  <c r="K812" i="1" a="1"/>
  <c r="K812" i="1" s="1"/>
  <c r="N786" i="1"/>
  <c r="K786" i="1" a="1"/>
  <c r="K786" i="1" s="1"/>
  <c r="Q786" i="1" s="1" a="1"/>
  <c r="Q786" i="1" s="1"/>
  <c r="N865" i="1"/>
  <c r="K865" i="1" a="1"/>
  <c r="K865" i="1" s="1"/>
  <c r="N1160" i="1"/>
  <c r="K1160" i="1" a="1"/>
  <c r="K1160" i="1" s="1"/>
  <c r="N721" i="1"/>
  <c r="K721" i="1" a="1"/>
  <c r="K721" i="1" s="1"/>
  <c r="K629" i="1" a="1"/>
  <c r="K629" i="1" s="1"/>
  <c r="N629" i="1"/>
  <c r="N666" i="1"/>
  <c r="K666" i="1" a="1"/>
  <c r="K666" i="1" s="1"/>
  <c r="K657" i="1" a="1"/>
  <c r="K657" i="1" s="1"/>
  <c r="N657" i="1"/>
  <c r="K828" i="1" a="1"/>
  <c r="K828" i="1" s="1"/>
  <c r="N1138" i="1"/>
  <c r="K1138" i="1" a="1"/>
  <c r="K1138" i="1" s="1"/>
  <c r="N1330" i="1"/>
  <c r="K1330" i="1" a="1"/>
  <c r="K1330" i="1" s="1"/>
  <c r="N624" i="1"/>
  <c r="K624" i="1" a="1"/>
  <c r="K624" i="1" s="1"/>
  <c r="N823" i="1"/>
  <c r="K823" i="1" a="1"/>
  <c r="K823" i="1" s="1"/>
  <c r="K61" i="1" a="1"/>
  <c r="K61" i="1" s="1"/>
  <c r="Q61" i="1" s="1" a="1"/>
  <c r="Q61" i="1" s="1"/>
  <c r="N172" i="1"/>
  <c r="K172" i="1" a="1"/>
  <c r="K172" i="1" s="1"/>
  <c r="N671" i="1"/>
  <c r="K671" i="1" a="1"/>
  <c r="K671" i="1" s="1"/>
  <c r="N181" i="1"/>
  <c r="K181" i="1" a="1"/>
  <c r="K181" i="1" s="1"/>
  <c r="K780" i="1" a="1"/>
  <c r="K780" i="1" s="1"/>
  <c r="N213" i="1"/>
  <c r="K213" i="1" a="1"/>
  <c r="K213" i="1" s="1"/>
  <c r="N202" i="1"/>
  <c r="K202" i="1" a="1"/>
  <c r="K202" i="1" s="1"/>
  <c r="N881" i="1"/>
  <c r="K881" i="1" a="1"/>
  <c r="K881" i="1" s="1"/>
  <c r="N203" i="1"/>
  <c r="K203" i="1" a="1"/>
  <c r="K203" i="1" s="1"/>
  <c r="N194" i="1"/>
  <c r="K194" i="1" a="1"/>
  <c r="K194" i="1" s="1"/>
  <c r="Q194" i="1" s="1" a="1"/>
  <c r="Q194" i="1" s="1"/>
  <c r="N112" i="1"/>
  <c r="K112" i="1" a="1"/>
  <c r="K112" i="1" s="1"/>
  <c r="K699" i="1" a="1"/>
  <c r="K699" i="1" s="1"/>
  <c r="Q699" i="1" s="1" a="1"/>
  <c r="Q699" i="1" s="1"/>
  <c r="K1172" i="1" a="1"/>
  <c r="K1172" i="1" s="1"/>
  <c r="N1172" i="1"/>
  <c r="K656" i="1" a="1"/>
  <c r="K656" i="1" s="1"/>
  <c r="N656" i="1"/>
  <c r="K774" i="1" a="1"/>
  <c r="K774" i="1" s="1"/>
  <c r="N774" i="1"/>
  <c r="N717" i="1"/>
  <c r="K717" i="1" a="1"/>
  <c r="K717" i="1" s="1"/>
  <c r="N799" i="1"/>
  <c r="K799" i="1" a="1"/>
  <c r="K799" i="1" s="1"/>
  <c r="N1171" i="1"/>
  <c r="K1171" i="1" a="1"/>
  <c r="K1171" i="1" s="1"/>
  <c r="N773" i="1"/>
  <c r="K773" i="1" a="1"/>
  <c r="K773" i="1" s="1"/>
  <c r="N829" i="1"/>
  <c r="K829" i="1" a="1"/>
  <c r="K829" i="1" s="1"/>
  <c r="N211" i="1"/>
  <c r="K211" i="1" a="1"/>
  <c r="K211" i="1" s="1"/>
  <c r="N1284" i="1"/>
  <c r="K1284" i="1" a="1"/>
  <c r="K1284" i="1" s="1"/>
  <c r="N1132" i="1"/>
  <c r="K1132" i="1" a="1"/>
  <c r="K1132" i="1" s="1"/>
  <c r="N726" i="1"/>
  <c r="K726" i="1" a="1"/>
  <c r="K726" i="1" s="1"/>
  <c r="N68" i="1"/>
  <c r="K68" i="1" a="1"/>
  <c r="K68" i="1" s="1"/>
  <c r="N693" i="1"/>
  <c r="K693" i="1" a="1"/>
  <c r="K693" i="1" s="1"/>
  <c r="Q693" i="1" s="1" a="1"/>
  <c r="Q693" i="1" s="1"/>
  <c r="N1131" i="1"/>
  <c r="K1131" i="1" a="1"/>
  <c r="K1131" i="1" s="1"/>
  <c r="N844" i="1"/>
  <c r="K844" i="1" a="1"/>
  <c r="K844" i="1" s="1"/>
  <c r="N779" i="1"/>
  <c r="K779" i="1" a="1"/>
  <c r="K779" i="1" s="1"/>
  <c r="N863" i="1"/>
  <c r="K863" i="1" a="1"/>
  <c r="K863" i="1" s="1"/>
  <c r="N803" i="1"/>
  <c r="K803" i="1" a="1"/>
  <c r="K803" i="1" s="1"/>
  <c r="N171" i="1"/>
  <c r="K171" i="1" a="1"/>
  <c r="K171" i="1" s="1"/>
  <c r="K118" i="1" a="1"/>
  <c r="K118" i="1" s="1"/>
  <c r="N118" i="1"/>
  <c r="N633" i="1"/>
  <c r="K633" i="1" a="1"/>
  <c r="K633" i="1" s="1"/>
  <c r="N659" i="1"/>
  <c r="K659" i="1" a="1"/>
  <c r="K659" i="1" s="1"/>
  <c r="N137" i="1"/>
  <c r="K137" i="1" a="1"/>
  <c r="K137" i="1" s="1"/>
  <c r="N150" i="1"/>
  <c r="K150" i="1" a="1"/>
  <c r="K150" i="1" s="1"/>
  <c r="N654" i="1"/>
  <c r="K654" i="1" a="1"/>
  <c r="K654" i="1" s="1"/>
  <c r="N762" i="1"/>
  <c r="K762" i="1" a="1"/>
  <c r="K762" i="1" s="1"/>
  <c r="N841" i="1"/>
  <c r="K841" i="1" a="1"/>
  <c r="K841" i="1" s="1"/>
  <c r="N67" i="1"/>
  <c r="K67" i="1" a="1"/>
  <c r="K67" i="1" s="1"/>
  <c r="N599" i="1"/>
  <c r="K599" i="1" a="1"/>
  <c r="K599" i="1" s="1"/>
  <c r="N22" i="1"/>
  <c r="K22" i="1" a="1"/>
  <c r="K22" i="1" s="1"/>
  <c r="N722" i="1"/>
  <c r="K722" i="1" a="1"/>
  <c r="K722" i="1" s="1"/>
  <c r="N673" i="1"/>
  <c r="K673" i="1" a="1"/>
  <c r="K673" i="1" s="1"/>
  <c r="Q673" i="1" s="1" a="1"/>
  <c r="Q673" i="1" s="1"/>
  <c r="N824" i="1"/>
  <c r="K824" i="1" a="1"/>
  <c r="K824" i="1" s="1"/>
  <c r="N643" i="1"/>
  <c r="K643" i="1" a="1"/>
  <c r="K643" i="1" s="1"/>
  <c r="K711" i="1" a="1"/>
  <c r="K711" i="1" s="1"/>
  <c r="N711" i="1"/>
  <c r="N821" i="1"/>
  <c r="K821" i="1" a="1"/>
  <c r="K821" i="1" s="1"/>
  <c r="K208" i="1" a="1"/>
  <c r="K208" i="1" s="1"/>
  <c r="N208" i="1"/>
  <c r="N52" i="1"/>
  <c r="K52" i="1" a="1"/>
  <c r="K52" i="1" s="1"/>
  <c r="N164" i="1"/>
  <c r="K164" i="1" a="1"/>
  <c r="K164" i="1" s="1"/>
  <c r="N85" i="1"/>
  <c r="K85" i="1" a="1"/>
  <c r="K85" i="1" s="1"/>
  <c r="N806" i="1"/>
  <c r="K806" i="1" a="1"/>
  <c r="K806" i="1" s="1"/>
  <c r="Q806" i="1" s="1" a="1"/>
  <c r="Q806" i="1" s="1"/>
  <c r="N1173" i="1"/>
  <c r="K1173" i="1" a="1"/>
  <c r="K1173" i="1" s="1"/>
  <c r="N53" i="1"/>
  <c r="K53" i="1" a="1"/>
  <c r="K53" i="1" s="1"/>
  <c r="N1121" i="1"/>
  <c r="K1121" i="1" a="1"/>
  <c r="K1121" i="1" s="1"/>
  <c r="N684" i="1"/>
  <c r="K684" i="1" a="1"/>
  <c r="K684" i="1" s="1"/>
  <c r="N778" i="1"/>
  <c r="K778" i="1" a="1"/>
  <c r="K778" i="1" s="1"/>
  <c r="K17" i="1" a="1"/>
  <c r="K17" i="1" s="1"/>
  <c r="N17" i="1"/>
  <c r="K1165" i="1" a="1"/>
  <c r="K1165" i="1" s="1"/>
  <c r="N1165" i="1"/>
  <c r="N1126" i="1"/>
  <c r="K1126" i="1" a="1"/>
  <c r="K1126" i="1" s="1"/>
  <c r="N75" i="1"/>
  <c r="K75" i="1" a="1"/>
  <c r="K75" i="1" s="1"/>
  <c r="K801" i="1" a="1"/>
  <c r="K801" i="1" s="1"/>
  <c r="N801" i="1"/>
  <c r="N613" i="1"/>
  <c r="K613" i="1" a="1"/>
  <c r="K613" i="1" s="1"/>
  <c r="N20" i="1"/>
  <c r="K20" i="1" a="1"/>
  <c r="K20" i="1" s="1"/>
  <c r="N1128" i="1"/>
  <c r="K1128" i="1" a="1"/>
  <c r="K1128" i="1" s="1"/>
  <c r="K713" i="1" a="1"/>
  <c r="K713" i="1" s="1"/>
  <c r="N714" i="1"/>
  <c r="K714" i="1" a="1"/>
  <c r="K714" i="1" s="1"/>
  <c r="N794" i="1"/>
  <c r="K794" i="1" a="1"/>
  <c r="K794" i="1" s="1"/>
  <c r="N124" i="1"/>
  <c r="K124" i="1" a="1"/>
  <c r="K124" i="1" s="1"/>
  <c r="K1163" i="1" a="1"/>
  <c r="K1163" i="1" s="1"/>
  <c r="Q1163" i="1" s="1" a="1"/>
  <c r="Q1163" i="1" s="1"/>
  <c r="N1163" i="1"/>
  <c r="K696" i="1" a="1"/>
  <c r="K696" i="1" s="1"/>
  <c r="N696" i="1"/>
  <c r="K858" i="1" a="1"/>
  <c r="K858" i="1" s="1"/>
  <c r="N110" i="1"/>
  <c r="K110" i="1" a="1"/>
  <c r="K110" i="1" s="1"/>
  <c r="N652" i="1"/>
  <c r="K652" i="1" a="1"/>
  <c r="K652" i="1" s="1"/>
  <c r="N7" i="1"/>
  <c r="K7" i="1" a="1"/>
  <c r="K7" i="1" s="1"/>
  <c r="N732" i="1"/>
  <c r="K732" i="1" a="1"/>
  <c r="K732" i="1" s="1"/>
  <c r="N190" i="1"/>
  <c r="K190" i="1" a="1"/>
  <c r="K190" i="1" s="1"/>
  <c r="N157" i="1"/>
  <c r="K157" i="1" a="1"/>
  <c r="K157" i="1" s="1"/>
  <c r="N121" i="1"/>
  <c r="K121" i="1" a="1"/>
  <c r="K121" i="1" s="1"/>
  <c r="Q121" i="1" s="1" a="1"/>
  <c r="Q121" i="1" s="1"/>
  <c r="K183" i="1" a="1"/>
  <c r="K183" i="1" s="1"/>
  <c r="N826" i="1"/>
  <c r="K826" i="1" a="1"/>
  <c r="K826" i="1" s="1"/>
  <c r="N775" i="1"/>
  <c r="K775" i="1" a="1"/>
  <c r="K775" i="1" s="1"/>
  <c r="K878" i="1" a="1"/>
  <c r="K878" i="1" s="1"/>
  <c r="Q878" i="1" s="1" a="1"/>
  <c r="Q878" i="1" s="1"/>
  <c r="N878" i="1"/>
  <c r="N1154" i="1"/>
  <c r="K1154" i="1" a="1"/>
  <c r="K1154" i="1" s="1"/>
  <c r="K144" i="1" a="1"/>
  <c r="K144" i="1" s="1"/>
  <c r="N144" i="1"/>
  <c r="K802" i="1" a="1"/>
  <c r="K802" i="1" s="1"/>
  <c r="N802" i="1"/>
  <c r="K40" i="1" a="1"/>
  <c r="K40" i="1" s="1"/>
  <c r="N40" i="1"/>
  <c r="N1282" i="1"/>
  <c r="K1282" i="1" a="1"/>
  <c r="K1282" i="1" s="1"/>
  <c r="N125" i="1"/>
  <c r="K125" i="1" a="1"/>
  <c r="K125" i="1" s="1"/>
  <c r="K877" i="1" a="1"/>
  <c r="K877" i="1" s="1"/>
  <c r="Q877" i="1" s="1" a="1"/>
  <c r="Q877" i="1" s="1"/>
  <c r="K592" i="1" a="1"/>
  <c r="K592" i="1" s="1"/>
  <c r="N592" i="1"/>
  <c r="N793" i="1"/>
  <c r="K793" i="1" a="1"/>
  <c r="K793" i="1" s="1"/>
  <c r="N769" i="1"/>
  <c r="K769" i="1" a="1"/>
  <c r="K769" i="1" s="1"/>
  <c r="K874" i="1" a="1"/>
  <c r="K874" i="1" s="1"/>
  <c r="N874" i="1"/>
  <c r="K182" i="1" a="1"/>
  <c r="K182" i="1" s="1"/>
  <c r="N182" i="1"/>
  <c r="N840" i="1"/>
  <c r="K840" i="1" a="1"/>
  <c r="K840" i="1" s="1"/>
  <c r="N846" i="1"/>
  <c r="K846" i="1" a="1"/>
  <c r="K846" i="1" s="1"/>
  <c r="N37" i="1"/>
  <c r="K37" i="1" a="1"/>
  <c r="K37" i="1" s="1"/>
  <c r="N192" i="1"/>
  <c r="K192" i="1" a="1"/>
  <c r="K192" i="1" s="1"/>
  <c r="N875" i="1"/>
  <c r="K875" i="1" a="1"/>
  <c r="K875" i="1" s="1"/>
  <c r="N715" i="1"/>
  <c r="K715" i="1" a="1"/>
  <c r="K715" i="1" s="1"/>
  <c r="N670" i="1"/>
  <c r="K670" i="1" a="1"/>
  <c r="K670" i="1" s="1"/>
  <c r="K772" i="1" a="1"/>
  <c r="K772" i="1" s="1"/>
  <c r="N772" i="1"/>
  <c r="K848" i="1" a="1"/>
  <c r="K848" i="1" s="1"/>
  <c r="N848" i="1"/>
  <c r="K123" i="1" a="1"/>
  <c r="K123" i="1" s="1"/>
  <c r="K8" i="1" a="1"/>
  <c r="K8" i="1" s="1"/>
  <c r="K89" i="1" a="1"/>
  <c r="K89" i="1" s="1"/>
  <c r="K685" i="1" a="1"/>
  <c r="K685" i="1" s="1"/>
  <c r="N685" i="1"/>
  <c r="N697" i="1"/>
  <c r="K697" i="1" a="1"/>
  <c r="K697" i="1" s="1"/>
  <c r="N650" i="1"/>
  <c r="K650" i="1" a="1"/>
  <c r="K650" i="1" s="1"/>
  <c r="Q650" i="1" s="1" a="1"/>
  <c r="Q650" i="1" s="1"/>
  <c r="N608" i="1"/>
  <c r="K608" i="1" a="1"/>
  <c r="K608" i="1" s="1"/>
  <c r="N6" i="1"/>
  <c r="K6" i="1" a="1"/>
  <c r="K6" i="1" s="1"/>
  <c r="N188" i="1"/>
  <c r="K188" i="1" a="1"/>
  <c r="K188" i="1" s="1"/>
  <c r="N860" i="1"/>
  <c r="K860" i="1" a="1"/>
  <c r="K860" i="1" s="1"/>
  <c r="Q860" i="1" s="1" a="1"/>
  <c r="Q860" i="1" s="1"/>
  <c r="N593" i="1"/>
  <c r="K593" i="1" a="1"/>
  <c r="K593" i="1" s="1"/>
  <c r="N810" i="1"/>
  <c r="K810" i="1" a="1"/>
  <c r="K810" i="1" s="1"/>
  <c r="K851" i="1" a="1"/>
  <c r="K851" i="1" s="1"/>
  <c r="N851" i="1"/>
  <c r="N620" i="1"/>
  <c r="K620" i="1" a="1"/>
  <c r="K620" i="1" s="1"/>
  <c r="N214" i="1"/>
  <c r="K214" i="1" a="1"/>
  <c r="K214" i="1" s="1"/>
  <c r="N12" i="1"/>
  <c r="K12" i="1" a="1"/>
  <c r="K12" i="1" s="1"/>
  <c r="N1117" i="1"/>
  <c r="K1117" i="1" a="1"/>
  <c r="K1117" i="1" s="1"/>
  <c r="N833" i="1"/>
  <c r="K833" i="1" a="1"/>
  <c r="K833" i="1" s="1"/>
  <c r="K777" i="1" a="1"/>
  <c r="K777" i="1" s="1"/>
  <c r="N777" i="1"/>
  <c r="N64" i="1"/>
  <c r="K64" i="1" a="1"/>
  <c r="K64" i="1" s="1"/>
  <c r="N1337" i="1"/>
  <c r="K1337" i="1" a="1"/>
  <c r="K1337" i="1" s="1"/>
  <c r="N623" i="1"/>
  <c r="K623" i="1" a="1"/>
  <c r="K623" i="1" s="1"/>
  <c r="N1279" i="1"/>
  <c r="K1279" i="1" a="1"/>
  <c r="K1279" i="1" s="1"/>
  <c r="N217" i="1"/>
  <c r="K217" i="1" a="1"/>
  <c r="K217" i="1" s="1"/>
  <c r="N837" i="1"/>
  <c r="K837" i="1" a="1"/>
  <c r="K837" i="1" s="1"/>
  <c r="K767" i="1" a="1"/>
  <c r="K767" i="1" s="1"/>
  <c r="N767" i="1"/>
  <c r="N1141" i="1"/>
  <c r="K1141" i="1" a="1"/>
  <c r="K1141" i="1" s="1"/>
  <c r="N631" i="1"/>
  <c r="K631" i="1" a="1"/>
  <c r="K631" i="1" s="1"/>
  <c r="N63" i="1"/>
  <c r="K63" i="1" a="1"/>
  <c r="K63" i="1" s="1"/>
  <c r="N84" i="1"/>
  <c r="K84" i="1" a="1"/>
  <c r="K84" i="1" s="1"/>
  <c r="N695" i="1"/>
  <c r="K695" i="1" a="1"/>
  <c r="K695" i="1" s="1"/>
  <c r="N891" i="1"/>
  <c r="K891" i="1" a="1"/>
  <c r="K891" i="1" s="1"/>
  <c r="N147" i="1"/>
  <c r="K147" i="1" a="1"/>
  <c r="K147" i="1" s="1"/>
  <c r="N152" i="1"/>
  <c r="K152" i="1" a="1"/>
  <c r="K152" i="1" s="1"/>
  <c r="N1145" i="1"/>
  <c r="K1145" i="1" a="1"/>
  <c r="K1145" i="1" s="1"/>
  <c r="Q1145" i="1" s="1" a="1"/>
  <c r="Q1145" i="1" s="1"/>
  <c r="K28" i="1" a="1"/>
  <c r="K28" i="1" s="1"/>
  <c r="N28" i="1"/>
  <c r="K24" i="1" a="1"/>
  <c r="K24" i="1" s="1"/>
  <c r="N24" i="1"/>
  <c r="N800" i="1"/>
  <c r="K800" i="1" a="1"/>
  <c r="K800" i="1" s="1"/>
  <c r="K104" i="1" a="1"/>
  <c r="K104" i="1" s="1"/>
  <c r="N104" i="1"/>
  <c r="K184" i="1" a="1"/>
  <c r="K184" i="1" s="1"/>
  <c r="Q184" i="1" s="1" a="1"/>
  <c r="Q184" i="1" s="1"/>
  <c r="N184" i="1"/>
  <c r="N729" i="1"/>
  <c r="K729" i="1" a="1"/>
  <c r="K729" i="1" s="1"/>
  <c r="N151" i="1"/>
  <c r="K151" i="1" a="1"/>
  <c r="K151" i="1" s="1"/>
  <c r="N1333" i="1"/>
  <c r="K1333" i="1" a="1"/>
  <c r="K1333" i="1" s="1"/>
  <c r="N122" i="1"/>
  <c r="K122" i="1" a="1"/>
  <c r="K122" i="1" s="1"/>
  <c r="N177" i="1"/>
  <c r="K177" i="1" a="1"/>
  <c r="K177" i="1" s="1"/>
  <c r="N1129" i="1"/>
  <c r="K1129" i="1" a="1"/>
  <c r="K1129" i="1" s="1"/>
  <c r="K1170" i="1" a="1"/>
  <c r="K1170" i="1" s="1"/>
  <c r="N1170" i="1"/>
  <c r="N155" i="1"/>
  <c r="K155" i="1" a="1"/>
  <c r="K155" i="1" s="1"/>
  <c r="N1148" i="1"/>
  <c r="K1148" i="1" a="1"/>
  <c r="K1148" i="1" s="1"/>
  <c r="Q1148" i="1" s="1" a="1"/>
  <c r="Q1148" i="1" s="1"/>
  <c r="N1159" i="1"/>
  <c r="K1159" i="1" a="1"/>
  <c r="K1159" i="1" s="1"/>
  <c r="N99" i="1"/>
  <c r="K99" i="1" a="1"/>
  <c r="K99" i="1" s="1"/>
  <c r="N1137" i="1"/>
  <c r="K1137" i="1" a="1"/>
  <c r="K1137" i="1" s="1"/>
  <c r="K1332" i="1" a="1"/>
  <c r="K1332" i="1" s="1"/>
  <c r="N1332" i="1"/>
  <c r="N870" i="1"/>
  <c r="K870" i="1" a="1"/>
  <c r="K870" i="1" s="1"/>
  <c r="N602" i="1"/>
  <c r="K602" i="1" a="1"/>
  <c r="K602" i="1" s="1"/>
  <c r="N805" i="1"/>
  <c r="K805" i="1" a="1"/>
  <c r="K805" i="1" s="1"/>
  <c r="N626" i="1"/>
  <c r="K626" i="1" a="1"/>
  <c r="K626" i="1" s="1"/>
  <c r="N70" i="1"/>
  <c r="K70" i="1" a="1"/>
  <c r="K70" i="1" s="1"/>
  <c r="K595" i="1" a="1"/>
  <c r="K595" i="1" s="1"/>
  <c r="N595" i="1"/>
  <c r="N1178" i="1"/>
  <c r="K1178" i="1" a="1"/>
  <c r="K1178" i="1" s="1"/>
  <c r="N1151" i="1"/>
  <c r="K1151" i="1" a="1"/>
  <c r="K1151" i="1" s="1"/>
  <c r="N771" i="1"/>
  <c r="K771" i="1" a="1"/>
  <c r="K771" i="1" s="1"/>
  <c r="N9" i="1"/>
  <c r="K9" i="1" a="1"/>
  <c r="K9" i="1" s="1"/>
  <c r="N890" i="1"/>
  <c r="K890" i="1" a="1"/>
  <c r="K890" i="1" s="1"/>
  <c r="N76" i="1"/>
  <c r="K76" i="1" a="1"/>
  <c r="K76" i="1" s="1"/>
  <c r="K65" i="1" a="1"/>
  <c r="K65" i="1" s="1"/>
  <c r="Q65" i="1" s="1" a="1"/>
  <c r="Q65" i="1" s="1"/>
  <c r="N65" i="1"/>
  <c r="N180" i="1"/>
  <c r="K180" i="1" a="1"/>
  <c r="K180" i="1" s="1"/>
  <c r="N78" i="1"/>
  <c r="K78" i="1" a="1"/>
  <c r="K78" i="1" s="1"/>
  <c r="N136" i="1"/>
  <c r="K136" i="1" a="1"/>
  <c r="K136" i="1" s="1"/>
  <c r="N201" i="1"/>
  <c r="K201" i="1" a="1"/>
  <c r="K201" i="1" s="1"/>
  <c r="K1123" i="1" a="1"/>
  <c r="K1123" i="1" s="1"/>
  <c r="N1123" i="1"/>
  <c r="K1134" i="1" a="1"/>
  <c r="K1134" i="1" s="1"/>
  <c r="N1134" i="1"/>
  <c r="N813" i="1"/>
  <c r="K813" i="1" a="1"/>
  <c r="K813" i="1" s="1"/>
  <c r="N18" i="1"/>
  <c r="K18" i="1" a="1"/>
  <c r="K18" i="1" s="1"/>
  <c r="N632" i="1"/>
  <c r="K632" i="1" a="1"/>
  <c r="K632" i="1" s="1"/>
  <c r="N13" i="1"/>
  <c r="K13" i="1" a="1"/>
  <c r="K13" i="1" s="1"/>
  <c r="Q13" i="1" s="1" a="1"/>
  <c r="Q13" i="1" s="1"/>
  <c r="N1166" i="1"/>
  <c r="K1166" i="1" a="1"/>
  <c r="K1166" i="1" s="1"/>
  <c r="K1116" i="1" a="1"/>
  <c r="K1116" i="1" s="1"/>
  <c r="N1116" i="1"/>
  <c r="K30" i="1" a="1"/>
  <c r="K30" i="1" s="1"/>
  <c r="N30" i="1"/>
  <c r="N81" i="1"/>
  <c r="K81" i="1" a="1"/>
  <c r="K81" i="1" s="1"/>
  <c r="N869" i="1"/>
  <c r="K869" i="1" a="1"/>
  <c r="K869" i="1" s="1"/>
  <c r="N612" i="1"/>
  <c r="K612" i="1" a="1"/>
  <c r="K612" i="1" s="1"/>
  <c r="N1147" i="1"/>
  <c r="K1147" i="1" a="1"/>
  <c r="K1147" i="1" s="1"/>
  <c r="Q1147" i="1" s="1" a="1"/>
  <c r="Q1147" i="1" s="1"/>
  <c r="N655" i="1"/>
  <c r="K655" i="1" a="1"/>
  <c r="K655" i="1" s="1"/>
  <c r="N43" i="1"/>
  <c r="K43" i="1" a="1"/>
  <c r="K43" i="1" s="1"/>
  <c r="N168" i="1"/>
  <c r="K168" i="1" a="1"/>
  <c r="K168" i="1" s="1"/>
  <c r="N46" i="1"/>
  <c r="K46" i="1" a="1"/>
  <c r="K46" i="1" s="1"/>
  <c r="N143" i="1"/>
  <c r="K143" i="1" a="1"/>
  <c r="K143" i="1" s="1"/>
  <c r="N590" i="1"/>
  <c r="K590" i="1" a="1"/>
  <c r="K590" i="1" s="1"/>
  <c r="N91" i="1"/>
  <c r="K91" i="1" a="1"/>
  <c r="K91" i="1" s="1"/>
  <c r="N62" i="1"/>
  <c r="K62" i="1" a="1"/>
  <c r="K62" i="1" s="1"/>
  <c r="Q62" i="1" s="1" a="1"/>
  <c r="Q62" i="1" s="1"/>
  <c r="N862" i="1"/>
  <c r="K862" i="1" a="1"/>
  <c r="K862" i="1" s="1"/>
  <c r="K1280" i="1" a="1"/>
  <c r="K1280" i="1" s="1"/>
  <c r="N1280" i="1"/>
  <c r="N1161" i="1"/>
  <c r="K1161" i="1" a="1"/>
  <c r="K1161" i="1" s="1"/>
  <c r="Q1161" i="1" s="1" a="1"/>
  <c r="Q1161" i="1" s="1"/>
  <c r="N742" i="1"/>
  <c r="K742" i="1" a="1"/>
  <c r="K742" i="1" s="1"/>
  <c r="N795" i="1"/>
  <c r="K795" i="1" a="1"/>
  <c r="K795" i="1" s="1"/>
  <c r="N606" i="1"/>
  <c r="K606" i="1" a="1"/>
  <c r="K606" i="1" s="1"/>
  <c r="N220" i="1"/>
  <c r="K220" i="1" a="1"/>
  <c r="K220" i="1" s="1"/>
  <c r="N161" i="1"/>
  <c r="K161" i="1" a="1"/>
  <c r="K161" i="1" s="1"/>
  <c r="Q161" i="1" s="1" a="1"/>
  <c r="Q161" i="1" s="1"/>
  <c r="N653" i="1"/>
  <c r="K653" i="1" a="1"/>
  <c r="K653" i="1" s="1"/>
  <c r="K23" i="1" a="1"/>
  <c r="K23" i="1" s="1"/>
  <c r="N23" i="1"/>
  <c r="K770" i="1" a="1"/>
  <c r="K770" i="1" s="1"/>
  <c r="N770" i="1"/>
  <c r="N669" i="1"/>
  <c r="K669" i="1" a="1"/>
  <c r="K669" i="1" s="1"/>
  <c r="N1334" i="1"/>
  <c r="K1334" i="1" a="1"/>
  <c r="K1334" i="1" s="1"/>
  <c r="N193" i="1"/>
  <c r="K193" i="1" a="1"/>
  <c r="K193" i="1" s="1"/>
  <c r="N174" i="1"/>
  <c r="K174" i="1" a="1"/>
  <c r="K174" i="1" s="1"/>
  <c r="Q174" i="1" s="1" a="1"/>
  <c r="Q174" i="1" s="1"/>
  <c r="N630" i="1"/>
  <c r="K630" i="1" a="1"/>
  <c r="K630" i="1" s="1"/>
  <c r="K839" i="1" a="1"/>
  <c r="K839" i="1" s="1"/>
  <c r="N839" i="1"/>
  <c r="N618" i="1"/>
  <c r="K618" i="1" a="1"/>
  <c r="K618" i="1" s="1"/>
  <c r="Q618" i="1" s="1" a="1"/>
  <c r="Q618" i="1" s="1"/>
  <c r="K207" i="1" a="1"/>
  <c r="K207" i="1" s="1"/>
  <c r="K32" i="1" a="1"/>
  <c r="K32" i="1" s="1"/>
  <c r="N153" i="1"/>
  <c r="K153" i="1" a="1"/>
  <c r="K153" i="1" s="1"/>
  <c r="K792" i="1" a="1"/>
  <c r="K792" i="1" s="1"/>
  <c r="N792" i="1"/>
  <c r="N1130" i="1"/>
  <c r="K1130" i="1" a="1"/>
  <c r="K1130" i="1" s="1"/>
  <c r="N889" i="1"/>
  <c r="K889" i="1" a="1"/>
  <c r="K889" i="1" s="1"/>
  <c r="N140" i="1"/>
  <c r="K140" i="1" a="1"/>
  <c r="K140" i="1" s="1"/>
  <c r="N740" i="1"/>
  <c r="K740" i="1" a="1"/>
  <c r="K740" i="1" s="1"/>
  <c r="N892" i="1"/>
  <c r="K892" i="1" a="1"/>
  <c r="K892" i="1" s="1"/>
  <c r="N1180" i="1"/>
  <c r="K1180" i="1" a="1"/>
  <c r="K1180" i="1" s="1"/>
  <c r="K165" i="1" a="1"/>
  <c r="K165" i="1" s="1"/>
  <c r="N165" i="1"/>
  <c r="N15" i="1"/>
  <c r="K15" i="1" a="1"/>
  <c r="K15" i="1" s="1"/>
  <c r="K783" i="1" a="1"/>
  <c r="K783" i="1" s="1"/>
  <c r="N783" i="1"/>
  <c r="N639" i="1"/>
  <c r="K639" i="1" a="1"/>
  <c r="K639" i="1" s="1"/>
  <c r="N782" i="1"/>
  <c r="K782" i="1" a="1"/>
  <c r="K782" i="1" s="1"/>
  <c r="N859" i="1"/>
  <c r="K859" i="1" a="1"/>
  <c r="K859" i="1" s="1"/>
  <c r="Q859" i="1" s="1" a="1"/>
  <c r="Q859" i="1" s="1"/>
  <c r="N1335" i="1"/>
  <c r="K1335" i="1" a="1"/>
  <c r="K1335" i="1" s="1"/>
  <c r="N739" i="1"/>
  <c r="K739" i="1" a="1"/>
  <c r="K739" i="1" s="1"/>
  <c r="N16" i="1"/>
  <c r="K16" i="1" a="1"/>
  <c r="K16" i="1" s="1"/>
  <c r="N109" i="1"/>
  <c r="K109" i="1" a="1"/>
  <c r="K109" i="1" s="1"/>
  <c r="K1174" i="1" a="1"/>
  <c r="K1174" i="1" s="1"/>
  <c r="N1174" i="1"/>
  <c r="N706" i="1"/>
  <c r="K706" i="1" a="1"/>
  <c r="K706" i="1" s="1"/>
  <c r="N1162" i="1"/>
  <c r="K1162" i="1" a="1"/>
  <c r="K1162" i="1" s="1"/>
  <c r="N689" i="1"/>
  <c r="K689" i="1" a="1"/>
  <c r="K689" i="1" s="1"/>
  <c r="N876" i="1"/>
  <c r="K876" i="1" a="1"/>
  <c r="K876" i="1" s="1"/>
  <c r="N114" i="1"/>
  <c r="K114" i="1" a="1"/>
  <c r="K114" i="1" s="1"/>
  <c r="Q114" i="1" s="1" a="1"/>
  <c r="Q114" i="1" s="1"/>
  <c r="N146" i="1"/>
  <c r="K146" i="1" a="1"/>
  <c r="K146" i="1" s="1"/>
  <c r="K649" i="1" a="1"/>
  <c r="K649" i="1" s="1"/>
  <c r="N649" i="1"/>
  <c r="N35" i="1"/>
  <c r="K35" i="1" a="1"/>
  <c r="K35" i="1" s="1"/>
  <c r="N641" i="1"/>
  <c r="K641" i="1" a="1"/>
  <c r="K641" i="1" s="1"/>
  <c r="N776" i="1"/>
  <c r="K776" i="1" a="1"/>
  <c r="K776" i="1" s="1"/>
  <c r="N87" i="1"/>
  <c r="K87" i="1" a="1"/>
  <c r="K87" i="1" s="1"/>
  <c r="N86" i="1"/>
  <c r="K86" i="1" a="1"/>
  <c r="K86" i="1" s="1"/>
  <c r="K105" i="1" a="1"/>
  <c r="K105" i="1" s="1"/>
  <c r="N105" i="1"/>
  <c r="N887" i="1"/>
  <c r="K887" i="1" a="1"/>
  <c r="K887" i="1" s="1"/>
  <c r="N92" i="1"/>
  <c r="K92" i="1" a="1"/>
  <c r="K92" i="1" s="1"/>
  <c r="K119" i="1" a="1"/>
  <c r="K119" i="1" s="1"/>
  <c r="N119" i="1"/>
  <c r="K787" i="1" a="1"/>
  <c r="K787" i="1" s="1"/>
  <c r="N787" i="1"/>
  <c r="K57" i="1" a="1"/>
  <c r="K57" i="1" s="1"/>
  <c r="N57" i="1"/>
  <c r="N1285" i="1"/>
  <c r="K1285" i="1" a="1"/>
  <c r="K1285" i="1" s="1"/>
  <c r="N49" i="1"/>
  <c r="K49" i="1" a="1"/>
  <c r="K49" i="1" s="1"/>
  <c r="N867" i="1"/>
  <c r="K867" i="1" a="1"/>
  <c r="K867" i="1" s="1"/>
  <c r="N716" i="1"/>
  <c r="K716" i="1" a="1"/>
  <c r="K716" i="1" s="1"/>
  <c r="K816" i="1" a="1"/>
  <c r="K816" i="1" s="1"/>
  <c r="N816" i="1"/>
  <c r="N750" i="1"/>
  <c r="K750" i="1" a="1"/>
  <c r="K750" i="1" s="1"/>
  <c r="K672" i="1" a="1"/>
  <c r="K672" i="1" s="1"/>
  <c r="Q672" i="1" s="1" a="1"/>
  <c r="Q672" i="1" s="1"/>
  <c r="N672" i="1"/>
  <c r="K727" i="1" a="1"/>
  <c r="K727" i="1" s="1"/>
  <c r="N727" i="1"/>
  <c r="N691" i="1"/>
  <c r="K691" i="1" a="1"/>
  <c r="K691" i="1" s="1"/>
  <c r="N720" i="1"/>
  <c r="K720" i="1" a="1"/>
  <c r="K720" i="1" s="1"/>
  <c r="N131" i="1"/>
  <c r="K131" i="1" a="1"/>
  <c r="K131" i="1" s="1"/>
  <c r="N132" i="1"/>
  <c r="K132" i="1" a="1"/>
  <c r="K132" i="1" s="1"/>
  <c r="K712" i="1" a="1"/>
  <c r="K712" i="1" s="1"/>
  <c r="N130" i="1"/>
  <c r="K130" i="1" a="1"/>
  <c r="K130" i="1" s="1"/>
  <c r="N115" i="1"/>
  <c r="K115" i="1" a="1"/>
  <c r="K115" i="1" s="1"/>
  <c r="Q115" i="1" s="1" a="1"/>
  <c r="Q115" i="1" s="1"/>
  <c r="K827" i="1" a="1"/>
  <c r="K827" i="1" s="1"/>
  <c r="N827" i="1"/>
  <c r="N843" i="1"/>
  <c r="K843" i="1" a="1"/>
  <c r="K843" i="1" s="1"/>
  <c r="N145" i="1"/>
  <c r="K145" i="1" a="1"/>
  <c r="K145" i="1" s="1"/>
  <c r="K698" i="1" a="1"/>
  <c r="K698" i="1" s="1"/>
  <c r="Q698" i="1" s="1" a="1"/>
  <c r="Q698" i="1" s="1"/>
  <c r="N698" i="1"/>
  <c r="N1142" i="1"/>
  <c r="K1142" i="1" a="1"/>
  <c r="K1142" i="1" s="1"/>
  <c r="N660" i="1"/>
  <c r="K660" i="1" a="1"/>
  <c r="K660" i="1" s="1"/>
  <c r="N815" i="1"/>
  <c r="K815" i="1" a="1"/>
  <c r="K815" i="1" s="1"/>
  <c r="N761" i="1"/>
  <c r="K761" i="1" a="1"/>
  <c r="K761" i="1" s="1"/>
  <c r="K809" i="1" a="1"/>
  <c r="K809" i="1" s="1"/>
  <c r="N809" i="1"/>
  <c r="N134" i="1"/>
  <c r="K134" i="1" a="1"/>
  <c r="K134" i="1" s="1"/>
  <c r="N646" i="1"/>
  <c r="K646" i="1" a="1"/>
  <c r="K646" i="1" s="1"/>
  <c r="K893" i="1" a="1"/>
  <c r="K893" i="1" s="1"/>
  <c r="N893" i="1"/>
  <c r="N1124" i="1"/>
  <c r="K1124" i="1" a="1"/>
  <c r="K1124" i="1" s="1"/>
  <c r="N205" i="1"/>
  <c r="K205" i="1" a="1"/>
  <c r="K205" i="1" s="1"/>
  <c r="N167" i="1"/>
  <c r="K167" i="1" a="1"/>
  <c r="K167" i="1" s="1"/>
  <c r="N1167" i="1"/>
  <c r="K1167" i="1" a="1"/>
  <c r="K1167" i="1" s="1"/>
  <c r="Q1167" i="1" s="1" a="1"/>
  <c r="Q1167" i="1" s="1"/>
  <c r="N648" i="1"/>
  <c r="K648" i="1" a="1"/>
  <c r="K648" i="1" s="1"/>
  <c r="K702" i="1" a="1"/>
  <c r="K702" i="1" s="1"/>
  <c r="N702" i="1"/>
  <c r="K781" i="1" a="1"/>
  <c r="K781" i="1" s="1"/>
  <c r="N781" i="1"/>
  <c r="N882" i="1"/>
  <c r="K882" i="1" a="1"/>
  <c r="K882" i="1" s="1"/>
  <c r="N788" i="1"/>
  <c r="K788" i="1" a="1"/>
  <c r="K788" i="1" s="1"/>
  <c r="N872" i="1"/>
  <c r="K872" i="1" a="1"/>
  <c r="K872" i="1" s="1"/>
  <c r="N1156" i="1"/>
  <c r="K1156" i="1" a="1"/>
  <c r="K1156" i="1" s="1"/>
  <c r="N594" i="1"/>
  <c r="K594" i="1" a="1"/>
  <c r="K594" i="1" s="1"/>
  <c r="K710" i="1" a="1"/>
  <c r="K710" i="1" s="1"/>
  <c r="N710" i="1"/>
  <c r="K817" i="1" a="1"/>
  <c r="K817" i="1" s="1"/>
  <c r="N817" i="1"/>
  <c r="N98" i="1"/>
  <c r="K98" i="1" a="1"/>
  <c r="K98" i="1" s="1"/>
  <c r="N1146" i="1"/>
  <c r="K1146" i="1" a="1"/>
  <c r="K1146" i="1" s="1"/>
  <c r="N60" i="1"/>
  <c r="K60" i="1" a="1"/>
  <c r="K60" i="1" s="1"/>
  <c r="Q60" i="1" s="1" a="1"/>
  <c r="Q60" i="1" s="1"/>
  <c r="N861" i="1"/>
  <c r="K861" i="1" a="1"/>
  <c r="K861" i="1" s="1"/>
  <c r="K212" i="1" a="1"/>
  <c r="K212" i="1" s="1"/>
  <c r="N212" i="1"/>
  <c r="N818" i="1"/>
  <c r="K818" i="1" a="1"/>
  <c r="K818" i="1" s="1"/>
  <c r="K760" i="1" a="1"/>
  <c r="K760" i="1" s="1"/>
  <c r="N760" i="1"/>
  <c r="K187" i="1" a="1"/>
  <c r="K187" i="1" s="1"/>
  <c r="N187" i="1"/>
  <c r="K880" i="1" a="1"/>
  <c r="K880" i="1" s="1"/>
  <c r="N880" i="1"/>
  <c r="N743" i="1"/>
  <c r="K743" i="1" a="1"/>
  <c r="K743" i="1" s="1"/>
  <c r="N4" i="1"/>
  <c r="K4" i="1" a="1"/>
  <c r="K4" i="1" s="1"/>
  <c r="N681" i="1"/>
  <c r="K681" i="1" a="1"/>
  <c r="K681" i="1" s="1"/>
  <c r="N804" i="1"/>
  <c r="K804" i="1" a="1"/>
  <c r="K804" i="1" s="1"/>
  <c r="N44" i="1"/>
  <c r="K44" i="1" a="1"/>
  <c r="K44" i="1" s="1"/>
  <c r="N849" i="1"/>
  <c r="K849" i="1" a="1"/>
  <c r="K849" i="1" s="1"/>
  <c r="K838" i="1" a="1"/>
  <c r="K838" i="1" s="1"/>
  <c r="N838" i="1"/>
  <c r="K731" i="1" a="1"/>
  <c r="K731" i="1" s="1"/>
  <c r="N731" i="1"/>
  <c r="N138" i="1"/>
  <c r="K138" i="1" a="1"/>
  <c r="K138" i="1" s="1"/>
  <c r="N1176" i="1"/>
  <c r="K1176" i="1" a="1"/>
  <c r="K1176" i="1" s="1"/>
  <c r="N674" i="1"/>
  <c r="K674" i="1" a="1"/>
  <c r="K674" i="1" s="1"/>
  <c r="N614" i="1"/>
  <c r="K614" i="1" a="1"/>
  <c r="K614" i="1" s="1"/>
  <c r="Q614" i="1" s="1" a="1"/>
  <c r="Q614" i="1" s="1"/>
  <c r="N1152" i="1"/>
  <c r="K1152" i="1" a="1"/>
  <c r="K1152" i="1" s="1"/>
  <c r="N117" i="1"/>
  <c r="K117" i="1" a="1"/>
  <c r="K117" i="1" s="1"/>
  <c r="N628" i="1"/>
  <c r="K628" i="1" a="1"/>
  <c r="K628" i="1" s="1"/>
  <c r="K807" i="1" a="1"/>
  <c r="K807" i="1" s="1"/>
  <c r="N807" i="1"/>
  <c r="K725" i="1" a="1"/>
  <c r="K725" i="1" s="1"/>
  <c r="N725" i="1"/>
  <c r="N1331" i="1"/>
  <c r="K1331" i="1" a="1"/>
  <c r="K1331" i="1" s="1"/>
  <c r="N93" i="1"/>
  <c r="K93" i="1" a="1"/>
  <c r="K93" i="1" s="1"/>
  <c r="N603" i="1"/>
  <c r="K603" i="1" a="1"/>
  <c r="K603" i="1" s="1"/>
  <c r="K14" i="1" a="1"/>
  <c r="K14" i="1" s="1"/>
  <c r="Q14" i="1" s="1" a="1"/>
  <c r="Q14" i="1" s="1"/>
  <c r="N14" i="1"/>
  <c r="K873" i="1" a="1"/>
  <c r="K873" i="1" s="1"/>
  <c r="N873" i="1"/>
  <c r="K784" i="1" a="1"/>
  <c r="K784" i="1" s="1"/>
  <c r="N784" i="1"/>
  <c r="N69" i="1"/>
  <c r="K69" i="1" a="1"/>
  <c r="K69" i="1" s="1"/>
  <c r="N5" i="1"/>
  <c r="K5" i="1" a="1"/>
  <c r="K5" i="1" s="1"/>
  <c r="N744" i="1"/>
  <c r="K744" i="1" a="1"/>
  <c r="K744" i="1" s="1"/>
  <c r="N759" i="1"/>
  <c r="K759" i="1" a="1"/>
  <c r="K759" i="1" s="1"/>
  <c r="N847" i="1"/>
  <c r="K847" i="1" a="1"/>
  <c r="K847" i="1" s="1"/>
  <c r="N106" i="1"/>
  <c r="K106" i="1" a="1"/>
  <c r="K106" i="1" s="1"/>
  <c r="N785" i="1"/>
  <c r="K785" i="1" a="1"/>
  <c r="K785" i="1" s="1"/>
  <c r="N707" i="1"/>
  <c r="K707" i="1" a="1"/>
  <c r="K707" i="1" s="1"/>
  <c r="N1136" i="1"/>
  <c r="K1136" i="1" a="1"/>
  <c r="K1136" i="1" s="1"/>
  <c r="K26" i="1" a="1"/>
  <c r="K26" i="1" s="1"/>
  <c r="K737" i="1" a="1"/>
  <c r="K737" i="1" s="1"/>
  <c r="K619" i="1" a="1"/>
  <c r="K619" i="1" s="1"/>
  <c r="N703" i="1"/>
  <c r="N21" i="1"/>
  <c r="K21" i="1" a="1"/>
  <c r="K21" i="1" s="1"/>
  <c r="N1143" i="1"/>
  <c r="K1143" i="1" a="1"/>
  <c r="K1143" i="1" s="1"/>
  <c r="K604" i="1" a="1"/>
  <c r="K604" i="1" s="1"/>
  <c r="N604" i="1"/>
  <c r="N196" i="1"/>
  <c r="K196" i="1" a="1"/>
  <c r="K196" i="1" s="1"/>
  <c r="N820" i="1"/>
  <c r="K820" i="1" a="1"/>
  <c r="K820" i="1" s="1"/>
  <c r="N886" i="1"/>
  <c r="K886" i="1" a="1"/>
  <c r="K886" i="1" s="1"/>
  <c r="N133" i="1"/>
  <c r="K133" i="1" a="1"/>
  <c r="K133" i="1" s="1"/>
  <c r="Q133" i="1" s="1" a="1"/>
  <c r="Q133" i="1" s="1"/>
  <c r="N814" i="1"/>
  <c r="K814" i="1" a="1"/>
  <c r="K814" i="1" s="1"/>
  <c r="N175" i="1"/>
  <c r="K175" i="1" a="1"/>
  <c r="K175" i="1" s="1"/>
  <c r="N709" i="1"/>
  <c r="K709" i="1" a="1"/>
  <c r="K709" i="1" s="1"/>
  <c r="Q709" i="1" s="1" a="1"/>
  <c r="Q709" i="1" s="1"/>
  <c r="N72" i="1"/>
  <c r="K72" i="1" a="1"/>
  <c r="K72" i="1" s="1"/>
  <c r="N170" i="1"/>
  <c r="K170" i="1" a="1"/>
  <c r="K170" i="1" s="1"/>
  <c r="N835" i="1"/>
  <c r="K835" i="1" a="1"/>
  <c r="K835" i="1" s="1"/>
  <c r="K790" i="1" a="1"/>
  <c r="K790" i="1" s="1"/>
  <c r="N790" i="1"/>
  <c r="N103" i="1"/>
  <c r="K103" i="1" a="1"/>
  <c r="K103" i="1" s="1"/>
  <c r="N640" i="1"/>
  <c r="K640" i="1" a="1"/>
  <c r="K640" i="1" s="1"/>
  <c r="N857" i="1"/>
  <c r="K857" i="1" a="1"/>
  <c r="K857" i="1" s="1"/>
  <c r="N797" i="1"/>
  <c r="K797" i="1" a="1"/>
  <c r="K797" i="1" s="1"/>
  <c r="K745" i="1" a="1"/>
  <c r="K745" i="1" s="1"/>
  <c r="N745" i="1"/>
  <c r="N749" i="1"/>
  <c r="K749" i="1" a="1"/>
  <c r="K749" i="1" s="1"/>
  <c r="N158" i="1"/>
  <c r="K158" i="1" a="1"/>
  <c r="K158" i="1" s="1"/>
  <c r="N204" i="1"/>
  <c r="K204" i="1" a="1"/>
  <c r="K204" i="1" s="1"/>
  <c r="K845" i="1" a="1"/>
  <c r="K845" i="1" s="1"/>
  <c r="N845" i="1"/>
  <c r="N661" i="1"/>
  <c r="K661" i="1" a="1"/>
  <c r="K661" i="1" s="1"/>
  <c r="N111" i="1"/>
  <c r="K111" i="1" a="1"/>
  <c r="K111" i="1" s="1"/>
  <c r="N29" i="1"/>
  <c r="K29" i="1" a="1"/>
  <c r="K29" i="1" s="1"/>
  <c r="K662" i="1" a="1"/>
  <c r="K662" i="1" s="1"/>
  <c r="N662" i="1"/>
  <c r="N834" i="1"/>
  <c r="K834" i="1" a="1"/>
  <c r="K834" i="1" s="1"/>
  <c r="K100" i="1" a="1"/>
  <c r="K100" i="1" s="1"/>
  <c r="N100" i="1"/>
  <c r="N120" i="1"/>
  <c r="K120" i="1" a="1"/>
  <c r="K120" i="1" s="1"/>
  <c r="Q120" i="1" s="1" a="1"/>
  <c r="Q120" i="1" s="1"/>
  <c r="N209" i="1"/>
  <c r="K209" i="1" a="1"/>
  <c r="K209" i="1" s="1"/>
  <c r="N700" i="1"/>
  <c r="K700" i="1" a="1"/>
  <c r="K700" i="1" s="1"/>
  <c r="K80" i="1" a="1"/>
  <c r="K80" i="1" s="1"/>
  <c r="N80" i="1"/>
  <c r="N610" i="1"/>
  <c r="K610" i="1" a="1"/>
  <c r="K610" i="1" s="1"/>
  <c r="N1336" i="1"/>
  <c r="K1336" i="1" a="1"/>
  <c r="K1336" i="1" s="1"/>
  <c r="K73" i="1" a="1"/>
  <c r="K73" i="1" s="1"/>
  <c r="N73" i="1"/>
  <c r="K704" i="1" a="1"/>
  <c r="K704" i="1" s="1"/>
  <c r="N704" i="1"/>
  <c r="K850" i="1" a="1"/>
  <c r="K850" i="1" s="1"/>
  <c r="N850" i="1"/>
  <c r="N1164" i="1"/>
  <c r="K1164" i="1" a="1"/>
  <c r="K1164" i="1" s="1"/>
  <c r="K88" i="1" a="1"/>
  <c r="K88" i="1" s="1"/>
  <c r="N88" i="1"/>
  <c r="N688" i="1"/>
  <c r="K688" i="1" a="1"/>
  <c r="K688" i="1" s="1"/>
  <c r="N645" i="1"/>
  <c r="K645" i="1" a="1"/>
  <c r="K645" i="1" s="1"/>
  <c r="N189" i="1"/>
  <c r="K189" i="1" a="1"/>
  <c r="K189" i="1" s="1"/>
  <c r="N210" i="1"/>
  <c r="K210" i="1" a="1"/>
  <c r="K210" i="1" s="1"/>
  <c r="K683" i="1" a="1"/>
  <c r="K683" i="1" s="1"/>
  <c r="N683" i="1"/>
  <c r="N768" i="1"/>
  <c r="K768" i="1" a="1"/>
  <c r="K768" i="1" s="1"/>
  <c r="N687" i="1"/>
  <c r="K687" i="1" a="1"/>
  <c r="K687" i="1" s="1"/>
  <c r="N128" i="1"/>
  <c r="K128" i="1" a="1"/>
  <c r="K128" i="1" s="1"/>
  <c r="K45" i="1" a="1"/>
  <c r="K45" i="1" s="1"/>
  <c r="N45" i="1"/>
  <c r="K1175" i="1" a="1"/>
  <c r="K1175" i="1" s="1"/>
  <c r="N1175" i="1"/>
  <c r="N55" i="1"/>
  <c r="K55" i="1" a="1"/>
  <c r="K55" i="1" s="1"/>
  <c r="N852" i="1"/>
  <c r="K852" i="1" a="1"/>
  <c r="K852" i="1" s="1"/>
  <c r="Q852" i="1" s="1" a="1"/>
  <c r="Q852" i="1" s="1"/>
  <c r="N139" i="1"/>
  <c r="K139" i="1" a="1"/>
  <c r="K139" i="1" s="1"/>
  <c r="Q139" i="1" s="1" a="1"/>
  <c r="Q139" i="1" s="1"/>
  <c r="N148" i="1"/>
  <c r="K148" i="1" a="1"/>
  <c r="K148" i="1" s="1"/>
  <c r="K638" i="1" a="1"/>
  <c r="K638" i="1" s="1"/>
  <c r="N638" i="1"/>
  <c r="N667" i="1"/>
  <c r="K667" i="1" a="1"/>
  <c r="K667" i="1" s="1"/>
  <c r="K200" i="1" a="1"/>
  <c r="K200" i="1" s="1"/>
  <c r="N200" i="1"/>
  <c r="N1168" i="1"/>
  <c r="K1168" i="1" a="1"/>
  <c r="K1168" i="1" s="1"/>
  <c r="Q1168" i="1" s="1" a="1"/>
  <c r="Q1168" i="1" s="1"/>
  <c r="N154" i="1"/>
  <c r="K154" i="1" a="1"/>
  <c r="K154" i="1" s="1"/>
  <c r="N690" i="1"/>
  <c r="K690" i="1" a="1"/>
  <c r="K690" i="1" s="1"/>
  <c r="N752" i="1"/>
  <c r="K752" i="1" a="1"/>
  <c r="K752" i="1" s="1"/>
  <c r="K1115" i="1" a="1"/>
  <c r="K1115" i="1" s="1"/>
  <c r="N1115" i="1"/>
  <c r="N741" i="1"/>
  <c r="K741" i="1" a="1"/>
  <c r="K741" i="1" s="1"/>
  <c r="K31" i="1" a="1"/>
  <c r="K31" i="1" s="1"/>
  <c r="N31" i="1"/>
  <c r="K719" i="1" a="1"/>
  <c r="K719" i="1" s="1"/>
  <c r="N719" i="1"/>
  <c r="N798" i="1"/>
  <c r="K798" i="1" a="1"/>
  <c r="K798" i="1" s="1"/>
  <c r="N651" i="1"/>
  <c r="K651" i="1" a="1"/>
  <c r="K651" i="1" s="1"/>
  <c r="N736" i="1"/>
  <c r="K736" i="1" a="1"/>
  <c r="K736" i="1" s="1"/>
  <c r="K766" i="1" a="1"/>
  <c r="K766" i="1" s="1"/>
  <c r="N766" i="1"/>
  <c r="N1133" i="1"/>
  <c r="K1133" i="1" a="1"/>
  <c r="K1133" i="1" s="1"/>
  <c r="N611" i="1"/>
  <c r="K611" i="1" a="1"/>
  <c r="K611" i="1" s="1"/>
  <c r="N757" i="1"/>
  <c r="K757" i="1" a="1"/>
  <c r="K757" i="1" s="1"/>
  <c r="Q757" i="1" s="1" a="1"/>
  <c r="Q757" i="1" s="1"/>
  <c r="K10" i="1" a="1"/>
  <c r="K10" i="1" s="1"/>
  <c r="N10" i="1"/>
  <c r="M71" i="1"/>
  <c r="M1120" i="1"/>
  <c r="N77" i="1"/>
  <c r="M34" i="1"/>
  <c r="N712" i="1"/>
  <c r="N854" i="1"/>
  <c r="N218" i="1"/>
  <c r="N627" i="1"/>
  <c r="N186" i="1"/>
  <c r="N701" i="1"/>
  <c r="N647" i="1"/>
  <c r="N1157" i="1"/>
  <c r="N159" i="1"/>
  <c r="N699" i="1"/>
  <c r="N723" i="1"/>
  <c r="N47" i="1"/>
  <c r="N90" i="1"/>
  <c r="N828" i="1"/>
  <c r="N61" i="1"/>
  <c r="N713" i="1"/>
  <c r="N858" i="1"/>
  <c r="N183" i="1"/>
  <c r="N877" i="1"/>
  <c r="N885" i="1"/>
  <c r="N831" i="1"/>
  <c r="O5" i="1" l="1"/>
  <c r="O21" i="1"/>
  <c r="O29" i="1"/>
  <c r="O1115" i="1"/>
  <c r="AB23" i="1" s="1"/>
  <c r="O36" i="1"/>
  <c r="O44" i="1"/>
  <c r="O593" i="1"/>
  <c r="Q593" i="1" s="1" a="1"/>
  <c r="Q593" i="1" s="1"/>
  <c r="O609" i="1"/>
  <c r="O632" i="1"/>
  <c r="O640" i="1"/>
  <c r="O656" i="1"/>
  <c r="AB420" i="1" s="1"/>
  <c r="O668" i="1"/>
  <c r="O669" i="1"/>
  <c r="AB432" i="1" s="1"/>
  <c r="O67" i="1"/>
  <c r="O676" i="1"/>
  <c r="O684" i="1"/>
  <c r="AB445" i="1" s="1"/>
  <c r="O78" i="1"/>
  <c r="Q78" i="1" s="1" a="1"/>
  <c r="Q78" i="1" s="1"/>
  <c r="O83" i="1"/>
  <c r="O92" i="1"/>
  <c r="O99" i="1"/>
  <c r="O718" i="1"/>
  <c r="O726" i="1"/>
  <c r="O734" i="1"/>
  <c r="O1282" i="1"/>
  <c r="O106" i="1"/>
  <c r="O6" i="1"/>
  <c r="O1116" i="1"/>
  <c r="AB24" i="1" s="1"/>
  <c r="O37" i="1"/>
  <c r="O45" i="1"/>
  <c r="O594" i="1"/>
  <c r="O610" i="1"/>
  <c r="Q610" i="1" s="1" a="1"/>
  <c r="Q610" i="1" s="1"/>
  <c r="O633" i="1"/>
  <c r="O641" i="1"/>
  <c r="O657" i="1"/>
  <c r="AB421" i="1" s="1"/>
  <c r="O1330" i="1"/>
  <c r="O670" i="1"/>
  <c r="Q670" i="1" s="1" a="1"/>
  <c r="Q670" i="1" s="1"/>
  <c r="O68" i="1"/>
  <c r="Q68" i="1" s="1" a="1"/>
  <c r="Q68" i="1" s="1"/>
  <c r="O677" i="1"/>
  <c r="O1124" i="1"/>
  <c r="Q1124" i="1" s="1" a="1"/>
  <c r="Q1124" i="1" s="1"/>
  <c r="O685" i="1"/>
  <c r="Q685" i="1" s="1" a="1"/>
  <c r="Q685" i="1" s="1"/>
  <c r="O84" i="1"/>
  <c r="O93" i="1"/>
  <c r="Q93" i="1" s="1" a="1"/>
  <c r="Q93" i="1" s="1"/>
  <c r="O703" i="1"/>
  <c r="O719" i="1"/>
  <c r="O735" i="1"/>
  <c r="O1283" i="1"/>
  <c r="O1127" i="1"/>
  <c r="O109" i="1"/>
  <c r="O759" i="1"/>
  <c r="O767" i="1"/>
  <c r="O1117" i="1"/>
  <c r="O26" i="1"/>
  <c r="O49" i="1"/>
  <c r="O600" i="1"/>
  <c r="O645" i="1"/>
  <c r="O662" i="1"/>
  <c r="O667" i="1"/>
  <c r="Q667" i="1" s="1" a="1"/>
  <c r="Q667" i="1" s="1"/>
  <c r="O56" i="1"/>
  <c r="O64" i="1"/>
  <c r="Q64" i="1" s="1" a="1"/>
  <c r="Q64" i="1" s="1"/>
  <c r="O72" i="1"/>
  <c r="O683" i="1"/>
  <c r="O687" i="1"/>
  <c r="O79" i="1"/>
  <c r="O88" i="1"/>
  <c r="O702" i="1"/>
  <c r="O721" i="1"/>
  <c r="O1128" i="1"/>
  <c r="O749" i="1"/>
  <c r="O779" i="1"/>
  <c r="Q779" i="1" s="1" a="1"/>
  <c r="Q779" i="1" s="1"/>
  <c r="O1136" i="1"/>
  <c r="O127" i="1"/>
  <c r="O142" i="1"/>
  <c r="O150" i="1"/>
  <c r="O166" i="1"/>
  <c r="O788" i="1"/>
  <c r="O795" i="1"/>
  <c r="O802" i="1"/>
  <c r="O199" i="1"/>
  <c r="AB150" i="1" s="1"/>
  <c r="O18" i="1"/>
  <c r="O27" i="1"/>
  <c r="O50" i="1"/>
  <c r="O611" i="1"/>
  <c r="O626" i="1"/>
  <c r="O646" i="1"/>
  <c r="AB415" i="1" s="1"/>
  <c r="O52" i="1"/>
  <c r="O57" i="1"/>
  <c r="Q57" i="1" s="1" a="1"/>
  <c r="Q57" i="1" s="1"/>
  <c r="O674" i="1"/>
  <c r="Q674" i="1" s="1" a="1"/>
  <c r="Q674" i="1" s="1"/>
  <c r="O1125" i="1"/>
  <c r="O688" i="1"/>
  <c r="O80" i="1"/>
  <c r="O89" i="1"/>
  <c r="O704" i="1"/>
  <c r="O722" i="1"/>
  <c r="AB467" i="1" s="1"/>
  <c r="O1129" i="1"/>
  <c r="O780" i="1"/>
  <c r="O122" i="1"/>
  <c r="O128" i="1"/>
  <c r="O143" i="1"/>
  <c r="O151" i="1"/>
  <c r="O167" i="1"/>
  <c r="O789" i="1"/>
  <c r="O19" i="1"/>
  <c r="O28" i="1"/>
  <c r="AB17" i="1" s="1"/>
  <c r="O1118" i="1"/>
  <c r="O51" i="1"/>
  <c r="O612" i="1"/>
  <c r="O627" i="1"/>
  <c r="Q627" i="1" s="1" a="1"/>
  <c r="Q627" i="1" s="1"/>
  <c r="O647" i="1"/>
  <c r="AB416" i="1" s="1"/>
  <c r="O53" i="1"/>
  <c r="O58" i="1"/>
  <c r="O675" i="1"/>
  <c r="O73" i="1"/>
  <c r="O689" i="1"/>
  <c r="O1126" i="1"/>
  <c r="O705" i="1"/>
  <c r="O723" i="1"/>
  <c r="AB468" i="1" s="1"/>
  <c r="O742" i="1"/>
  <c r="O1130" i="1"/>
  <c r="O781" i="1"/>
  <c r="O123" i="1"/>
  <c r="O129" i="1"/>
  <c r="AB99" i="1" s="1"/>
  <c r="O144" i="1"/>
  <c r="O152" i="1"/>
  <c r="Q152" i="1" s="1" a="1"/>
  <c r="Q152" i="1" s="1"/>
  <c r="O790" i="1"/>
  <c r="O797" i="1"/>
  <c r="O1332" i="1"/>
  <c r="Q1332" i="1" s="1" a="1"/>
  <c r="Q1332" i="1" s="1"/>
  <c r="O1146" i="1"/>
  <c r="O186" i="1"/>
  <c r="O203" i="1"/>
  <c r="AB154" i="1" s="1"/>
  <c r="O812" i="1"/>
  <c r="Q812" i="1" s="1" a="1"/>
  <c r="Q812" i="1" s="1"/>
  <c r="O1333" i="1"/>
  <c r="Q1333" i="1" s="1" a="1"/>
  <c r="Q1333" i="1" s="1"/>
  <c r="O1155" i="1"/>
  <c r="Q1155" i="1" s="1" a="1"/>
  <c r="Q1155" i="1" s="1"/>
  <c r="O822" i="1"/>
  <c r="O828" i="1"/>
  <c r="O835" i="1"/>
  <c r="Q835" i="1" s="1" a="1"/>
  <c r="Q835" i="1" s="1"/>
  <c r="O1286" i="1"/>
  <c r="Q1286" i="1" s="1" a="1"/>
  <c r="Q1286" i="1" s="1"/>
  <c r="O848" i="1"/>
  <c r="AB413" i="1" s="1"/>
  <c r="O216" i="1"/>
  <c r="AB419" i="1" s="1"/>
  <c r="O1175" i="1"/>
  <c r="O217" i="1"/>
  <c r="AB438" i="1" s="1"/>
  <c r="O868" i="1"/>
  <c r="AB452" i="1" s="1"/>
  <c r="O876" i="1"/>
  <c r="AB460" i="1" s="1"/>
  <c r="O892" i="1"/>
  <c r="AB473" i="1" s="1"/>
  <c r="O1183" i="1"/>
  <c r="O896" i="1"/>
  <c r="AB489" i="1" s="1"/>
  <c r="O223" i="1"/>
  <c r="AB496" i="1" s="1"/>
  <c r="O231" i="1"/>
  <c r="AB503" i="1" s="1"/>
  <c r="O238" i="1"/>
  <c r="O246" i="1"/>
  <c r="O262" i="1"/>
  <c r="O904" i="1"/>
  <c r="O910" i="1"/>
  <c r="O277" i="1"/>
  <c r="O285" i="1"/>
  <c r="AB565" i="1" s="1"/>
  <c r="O292" i="1"/>
  <c r="AB573" i="1" s="1"/>
  <c r="O300" i="1"/>
  <c r="O320" i="1"/>
  <c r="O919" i="1"/>
  <c r="O324" i="1"/>
  <c r="O940" i="1"/>
  <c r="AB624" i="1" s="1"/>
  <c r="O20" i="1"/>
  <c r="Q20" i="1" s="1" a="1"/>
  <c r="Q20" i="1" s="1"/>
  <c r="O1119" i="1"/>
  <c r="Q1119" i="1" s="1" a="1"/>
  <c r="Q1119" i="1" s="1"/>
  <c r="O42" i="1"/>
  <c r="Q42" i="1" s="1" a="1"/>
  <c r="Q42" i="1" s="1"/>
  <c r="O595" i="1"/>
  <c r="O613" i="1"/>
  <c r="O628" i="1"/>
  <c r="O1278" i="1"/>
  <c r="O1279" i="1"/>
  <c r="Q1279" i="1" s="1" a="1"/>
  <c r="Q1279" i="1" s="1"/>
  <c r="O1122" i="1"/>
  <c r="Q1122" i="1" s="1" a="1"/>
  <c r="Q1122" i="1" s="1"/>
  <c r="O59" i="1"/>
  <c r="AB43" i="1" s="1"/>
  <c r="O678" i="1"/>
  <c r="Q678" i="1" s="1" a="1"/>
  <c r="Q678" i="1" s="1"/>
  <c r="O74" i="1"/>
  <c r="O690" i="1"/>
  <c r="Q690" i="1" s="1" a="1"/>
  <c r="Q690" i="1" s="1"/>
  <c r="O81" i="1"/>
  <c r="Q81" i="1" s="1" a="1"/>
  <c r="Q81" i="1" s="1"/>
  <c r="O94" i="1"/>
  <c r="O706" i="1"/>
  <c r="Q706" i="1" s="1" a="1"/>
  <c r="Q706" i="1" s="1"/>
  <c r="O724" i="1"/>
  <c r="O743" i="1"/>
  <c r="O1131" i="1"/>
  <c r="Q1131" i="1" s="1" a="1"/>
  <c r="Q1131" i="1" s="1"/>
  <c r="O112" i="1"/>
  <c r="Q112" i="1" s="1" a="1"/>
  <c r="Q112" i="1" s="1"/>
  <c r="O765" i="1"/>
  <c r="O1134" i="1"/>
  <c r="O785" i="1"/>
  <c r="O130" i="1"/>
  <c r="AB100" i="1" s="1"/>
  <c r="O145" i="1"/>
  <c r="O153" i="1"/>
  <c r="Q153" i="1" s="1" a="1"/>
  <c r="Q153" i="1" s="1"/>
  <c r="O791" i="1"/>
  <c r="Q791" i="1" s="1" a="1"/>
  <c r="Q791" i="1" s="1"/>
  <c r="O798" i="1"/>
  <c r="Q798" i="1" s="1" a="1"/>
  <c r="Q798" i="1" s="1"/>
  <c r="O172" i="1"/>
  <c r="O804" i="1"/>
  <c r="Q804" i="1" s="1" a="1"/>
  <c r="Q804" i="1" s="1"/>
  <c r="O187" i="1"/>
  <c r="O204" i="1"/>
  <c r="Q204" i="1" s="1" a="1"/>
  <c r="Q204" i="1" s="1"/>
  <c r="O813" i="1"/>
  <c r="Q813" i="1" s="1" a="1"/>
  <c r="Q813" i="1" s="1"/>
  <c r="O208" i="1"/>
  <c r="AB159" i="1" s="1"/>
  <c r="O816" i="1"/>
  <c r="AB374" i="1" s="1"/>
  <c r="O1157" i="1"/>
  <c r="Q1157" i="1" s="1" a="1"/>
  <c r="Q1157" i="1" s="1"/>
  <c r="O829" i="1"/>
  <c r="AB390" i="1" s="1"/>
  <c r="O836" i="1"/>
  <c r="Q836" i="1" s="1" a="1"/>
  <c r="Q836" i="1" s="1"/>
  <c r="O841" i="1"/>
  <c r="AB406" i="1" s="1"/>
  <c r="O849" i="1"/>
  <c r="AB414" i="1" s="1"/>
  <c r="O218" i="1"/>
  <c r="O861" i="1"/>
  <c r="AB446" i="1" s="1"/>
  <c r="O869" i="1"/>
  <c r="O893" i="1"/>
  <c r="AB474" i="1" s="1"/>
  <c r="O1184" i="1"/>
  <c r="O1189" i="1"/>
  <c r="O224" i="1"/>
  <c r="AB497" i="1" s="1"/>
  <c r="O901" i="1"/>
  <c r="O239" i="1"/>
  <c r="AB512" i="1" s="1"/>
  <c r="O247" i="1"/>
  <c r="Q247" i="1" s="1" a="1"/>
  <c r="Q247" i="1" s="1"/>
  <c r="O255" i="1"/>
  <c r="O263" i="1"/>
  <c r="O905" i="1"/>
  <c r="O270" i="1"/>
  <c r="AB550" i="1" s="1"/>
  <c r="O278" i="1"/>
  <c r="AB558" i="1" s="1"/>
  <c r="O286" i="1"/>
  <c r="O293" i="1"/>
  <c r="O301" i="1"/>
  <c r="AB582" i="1" s="1"/>
  <c r="O313" i="1"/>
  <c r="AB590" i="1" s="1"/>
  <c r="O321" i="1"/>
  <c r="O920" i="1"/>
  <c r="O926" i="1"/>
  <c r="O947" i="1"/>
  <c r="O955" i="1"/>
  <c r="O1194" i="1"/>
  <c r="AB647" i="1" s="1"/>
  <c r="O1208" i="1"/>
  <c r="Q1208" i="1" s="1" a="1"/>
  <c r="Q1208" i="1" s="1"/>
  <c r="O339" i="1"/>
  <c r="AB672" i="1" s="1"/>
  <c r="O1120" i="1"/>
  <c r="O43" i="1"/>
  <c r="O629" i="1"/>
  <c r="O658" i="1"/>
  <c r="O1280" i="1"/>
  <c r="O1123" i="1"/>
  <c r="Q1123" i="1" s="1" a="1"/>
  <c r="Q1123" i="1" s="1"/>
  <c r="O679" i="1"/>
  <c r="Q679" i="1" s="1" a="1"/>
  <c r="Q679" i="1" s="1"/>
  <c r="O75" i="1"/>
  <c r="Q75" i="1" s="1" a="1"/>
  <c r="Q75" i="1" s="1"/>
  <c r="O82" i="1"/>
  <c r="Q82" i="1" s="1" a="1"/>
  <c r="Q82" i="1" s="1"/>
  <c r="O95" i="1"/>
  <c r="Q95" i="1" s="1" a="1"/>
  <c r="Q95" i="1" s="1"/>
  <c r="O725" i="1"/>
  <c r="O736" i="1"/>
  <c r="O744" i="1"/>
  <c r="O747" i="1"/>
  <c r="O1132" i="1"/>
  <c r="Q1132" i="1" s="1" a="1"/>
  <c r="Q1132" i="1" s="1"/>
  <c r="O113" i="1"/>
  <c r="O766" i="1"/>
  <c r="O775" i="1"/>
  <c r="O782" i="1"/>
  <c r="Q782" i="1" s="1" a="1"/>
  <c r="Q782" i="1" s="1"/>
  <c r="O124" i="1"/>
  <c r="Q124" i="1" s="1" a="1"/>
  <c r="Q124" i="1" s="1"/>
  <c r="O131" i="1"/>
  <c r="AB101" i="1" s="1"/>
  <c r="O146" i="1"/>
  <c r="Q146" i="1" s="1" a="1"/>
  <c r="Q146" i="1" s="1"/>
  <c r="O154" i="1"/>
  <c r="AB119" i="1" s="1"/>
  <c r="O162" i="1"/>
  <c r="AB291" i="1" s="1"/>
  <c r="O1139" i="1"/>
  <c r="O799" i="1"/>
  <c r="O1140" i="1"/>
  <c r="O805" i="1"/>
  <c r="Q805" i="1" s="1" a="1"/>
  <c r="Q805" i="1" s="1"/>
  <c r="O188" i="1"/>
  <c r="O195" i="1"/>
  <c r="Q195" i="1" s="1" a="1"/>
  <c r="Q195" i="1" s="1"/>
  <c r="O205" i="1"/>
  <c r="Q205" i="1" s="1" a="1"/>
  <c r="Q205" i="1" s="1"/>
  <c r="O814" i="1"/>
  <c r="Q814" i="1" s="1" a="1"/>
  <c r="Q814" i="1" s="1"/>
  <c r="O209" i="1"/>
  <c r="O817" i="1"/>
  <c r="O1158" i="1"/>
  <c r="Q1158" i="1" s="1" a="1"/>
  <c r="Q1158" i="1" s="1"/>
  <c r="O830" i="1"/>
  <c r="O837" i="1"/>
  <c r="AB399" i="1" s="1"/>
  <c r="O842" i="1"/>
  <c r="O1169" i="1"/>
  <c r="O219" i="1"/>
  <c r="AB440" i="1" s="1"/>
  <c r="O862" i="1"/>
  <c r="O870" i="1"/>
  <c r="O1337" i="1"/>
  <c r="O1185" i="1"/>
  <c r="AB483" i="1" s="1"/>
  <c r="O897" i="1"/>
  <c r="AB491" i="1" s="1"/>
  <c r="O225" i="1"/>
  <c r="AB498" i="1" s="1"/>
  <c r="O232" i="1"/>
  <c r="O240" i="1"/>
  <c r="AB513" i="1" s="1"/>
  <c r="O248" i="1"/>
  <c r="O256" i="1"/>
  <c r="O264" i="1"/>
  <c r="O906" i="1"/>
  <c r="O271" i="1"/>
  <c r="O279" i="1"/>
  <c r="AB559" i="1" s="1"/>
  <c r="O287" i="1"/>
  <c r="O294" i="1"/>
  <c r="AB575" i="1" s="1"/>
  <c r="O302" i="1"/>
  <c r="Q302" i="1" s="1" a="1"/>
  <c r="Q302" i="1" s="1"/>
  <c r="O314" i="1"/>
  <c r="O322" i="1"/>
  <c r="O921" i="1"/>
  <c r="O325" i="1"/>
  <c r="AB614" i="1" s="1"/>
  <c r="O948" i="1"/>
  <c r="AB632" i="1" s="1"/>
  <c r="O956" i="1"/>
  <c r="AB640" i="1" s="1"/>
  <c r="O1195" i="1"/>
  <c r="AB648" i="1" s="1"/>
  <c r="O1201" i="1"/>
  <c r="O1209" i="1"/>
  <c r="AB662" i="1" s="1"/>
  <c r="O340" i="1"/>
  <c r="O356" i="1"/>
  <c r="O24" i="1"/>
  <c r="Q24" i="1" s="1" a="1"/>
  <c r="Q24" i="1" s="1"/>
  <c r="O35" i="1"/>
  <c r="O47" i="1"/>
  <c r="AB31" i="1" s="1"/>
  <c r="O598" i="1"/>
  <c r="Q598" i="1" s="1" a="1"/>
  <c r="Q598" i="1" s="1"/>
  <c r="O606" i="1"/>
  <c r="O1121" i="1"/>
  <c r="O631" i="1"/>
  <c r="O643" i="1"/>
  <c r="Q643" i="1" s="1" a="1"/>
  <c r="Q643" i="1" s="1"/>
  <c r="O651" i="1"/>
  <c r="O660" i="1"/>
  <c r="AB424" i="1" s="1"/>
  <c r="O665" i="1"/>
  <c r="Q665" i="1" s="1" a="1"/>
  <c r="Q665" i="1" s="1"/>
  <c r="O55" i="1"/>
  <c r="Q55" i="1" s="1" a="1"/>
  <c r="Q55" i="1" s="1"/>
  <c r="O70" i="1"/>
  <c r="Q70" i="1" s="1" a="1"/>
  <c r="Q70" i="1" s="1"/>
  <c r="O681" i="1"/>
  <c r="Q681" i="1" s="1" a="1"/>
  <c r="Q681" i="1" s="1"/>
  <c r="O77" i="1"/>
  <c r="Q77" i="1" s="1" a="1"/>
  <c r="Q77" i="1" s="1"/>
  <c r="O86" i="1"/>
  <c r="O97" i="1"/>
  <c r="Q97" i="1" s="1" a="1"/>
  <c r="Q97" i="1" s="1"/>
  <c r="O717" i="1"/>
  <c r="Q717" i="1" s="1" a="1"/>
  <c r="Q717" i="1" s="1"/>
  <c r="O738" i="1"/>
  <c r="O746" i="1"/>
  <c r="Q746" i="1" s="1" a="1"/>
  <c r="Q746" i="1" s="1"/>
  <c r="O1331" i="1"/>
  <c r="O108" i="1"/>
  <c r="O760" i="1"/>
  <c r="O777" i="1"/>
  <c r="O783" i="1"/>
  <c r="Q783" i="1" s="1" a="1"/>
  <c r="Q783" i="1" s="1"/>
  <c r="O125" i="1"/>
  <c r="Q125" i="1" s="1" a="1"/>
  <c r="Q125" i="1" s="1"/>
  <c r="O140" i="1"/>
  <c r="Q140" i="1" s="1" a="1"/>
  <c r="Q140" i="1" s="1"/>
  <c r="O148" i="1"/>
  <c r="AB113" i="1" s="1"/>
  <c r="O156" i="1"/>
  <c r="Q156" i="1" s="1" a="1"/>
  <c r="Q156" i="1" s="1"/>
  <c r="O164" i="1"/>
  <c r="O170" i="1"/>
  <c r="O793" i="1"/>
  <c r="O800" i="1"/>
  <c r="Q800" i="1" s="1" a="1"/>
  <c r="Q800" i="1" s="1"/>
  <c r="O1142" i="1"/>
  <c r="Q1142" i="1" s="1" a="1"/>
  <c r="Q1142" i="1" s="1"/>
  <c r="O190" i="1"/>
  <c r="Q190" i="1" s="1" a="1"/>
  <c r="Q190" i="1" s="1"/>
  <c r="O197" i="1"/>
  <c r="O1151" i="1"/>
  <c r="O207" i="1"/>
  <c r="O211" i="1"/>
  <c r="O1156" i="1"/>
  <c r="O824" i="1"/>
  <c r="Q824" i="1" s="1" a="1"/>
  <c r="Q824" i="1" s="1"/>
  <c r="O831" i="1"/>
  <c r="Q831" i="1" s="1" a="1"/>
  <c r="Q831" i="1" s="1"/>
  <c r="O1160" i="1"/>
  <c r="AB763" i="1" s="1"/>
  <c r="O844" i="1"/>
  <c r="AB409" i="1" s="1"/>
  <c r="O1171" i="1"/>
  <c r="O854" i="1"/>
  <c r="O221" i="1"/>
  <c r="AB442" i="1" s="1"/>
  <c r="O864" i="1"/>
  <c r="O872" i="1"/>
  <c r="AB456" i="1" s="1"/>
  <c r="O880" i="1"/>
  <c r="AB463" i="1" s="1"/>
  <c r="O888" i="1"/>
  <c r="O1180" i="1"/>
  <c r="O1187" i="1"/>
  <c r="O234" i="1"/>
  <c r="O242" i="1"/>
  <c r="O48" i="1"/>
  <c r="AB40" i="1" s="1"/>
  <c r="O605" i="1"/>
  <c r="Q605" i="1" s="1" a="1"/>
  <c r="Q605" i="1" s="1"/>
  <c r="O661" i="1"/>
  <c r="O71" i="1"/>
  <c r="AB52" i="1" s="1"/>
  <c r="O694" i="1"/>
  <c r="Q694" i="1" s="1" a="1"/>
  <c r="Q694" i="1" s="1"/>
  <c r="O720" i="1"/>
  <c r="Q720" i="1" s="1" a="1"/>
  <c r="Q720" i="1" s="1"/>
  <c r="O737" i="1"/>
  <c r="Q737" i="1" s="1" a="1"/>
  <c r="Q737" i="1" s="1"/>
  <c r="O758" i="1"/>
  <c r="O1137" i="1"/>
  <c r="O803" i="1"/>
  <c r="O196" i="1"/>
  <c r="O1152" i="1"/>
  <c r="O819" i="1"/>
  <c r="AB378" i="1" s="1"/>
  <c r="O832" i="1"/>
  <c r="O845" i="1"/>
  <c r="AB410" i="1" s="1"/>
  <c r="O215" i="1"/>
  <c r="O1336" i="1"/>
  <c r="AB433" i="1" s="1"/>
  <c r="O875" i="1"/>
  <c r="AB459" i="1" s="1"/>
  <c r="O1338" i="1"/>
  <c r="AB479" i="1" s="1"/>
  <c r="O233" i="1"/>
  <c r="AB506" i="1" s="1"/>
  <c r="O249" i="1"/>
  <c r="AB521" i="1" s="1"/>
  <c r="O259" i="1"/>
  <c r="AB530" i="1" s="1"/>
  <c r="O907" i="1"/>
  <c r="AB544" i="1" s="1"/>
  <c r="O275" i="1"/>
  <c r="O289" i="1"/>
  <c r="O299" i="1"/>
  <c r="O316" i="1"/>
  <c r="AB593" i="1" s="1"/>
  <c r="O929" i="1"/>
  <c r="O937" i="1"/>
  <c r="Q937" i="1" s="1" a="1"/>
  <c r="Q937" i="1" s="1"/>
  <c r="O946" i="1"/>
  <c r="O954" i="1"/>
  <c r="O1204" i="1"/>
  <c r="O329" i="1"/>
  <c r="AB667" i="1" s="1"/>
  <c r="O355" i="1"/>
  <c r="O962" i="1"/>
  <c r="AB690" i="1" s="1"/>
  <c r="O970" i="1"/>
  <c r="O978" i="1"/>
  <c r="O986" i="1"/>
  <c r="O361" i="1"/>
  <c r="O367" i="1"/>
  <c r="AB733" i="1" s="1"/>
  <c r="O989" i="1"/>
  <c r="AB741" i="1" s="1"/>
  <c r="O1289" i="1"/>
  <c r="O1291" i="1"/>
  <c r="O525" i="1"/>
  <c r="AB783" i="1" s="1"/>
  <c r="O530" i="1"/>
  <c r="AB788" i="1" s="1"/>
  <c r="O558" i="1"/>
  <c r="O566" i="1"/>
  <c r="O1261" i="1"/>
  <c r="O1098" i="1"/>
  <c r="AB828" i="1" s="1"/>
  <c r="O1104" i="1"/>
  <c r="AB834" i="1" s="1"/>
  <c r="O1313" i="1"/>
  <c r="O1321" i="1"/>
  <c r="AB846" i="1" s="1"/>
  <c r="O1328" i="1"/>
  <c r="AB853" i="1" s="1"/>
  <c r="O1362" i="1"/>
  <c r="O1274" i="1"/>
  <c r="O581" i="1"/>
  <c r="O796" i="1"/>
  <c r="Q796" i="1" s="1" a="1"/>
  <c r="Q796" i="1" s="1"/>
  <c r="O1174" i="1"/>
  <c r="O272" i="1"/>
  <c r="AB552" i="1" s="1"/>
  <c r="O915" i="1"/>
  <c r="AB601" i="1" s="1"/>
  <c r="O1342" i="1"/>
  <c r="O535" i="1"/>
  <c r="O563" i="1"/>
  <c r="AB815" i="1" s="1"/>
  <c r="O1271" i="1"/>
  <c r="O288" i="1"/>
  <c r="O1226" i="1"/>
  <c r="AB748" i="1" s="1"/>
  <c r="O680" i="1"/>
  <c r="O85" i="1"/>
  <c r="Q85" i="1" s="1" a="1"/>
  <c r="Q85" i="1" s="1"/>
  <c r="O739" i="1"/>
  <c r="O126" i="1"/>
  <c r="Q126" i="1" s="1" a="1"/>
  <c r="Q126" i="1" s="1"/>
  <c r="O1141" i="1"/>
  <c r="Q1141" i="1" s="1" a="1"/>
  <c r="Q1141" i="1" s="1"/>
  <c r="O198" i="1"/>
  <c r="AB341" i="1" s="1"/>
  <c r="O201" i="1"/>
  <c r="Q201" i="1" s="1" a="1"/>
  <c r="Q201" i="1" s="1"/>
  <c r="O1153" i="1"/>
  <c r="Q1153" i="1" s="1" a="1"/>
  <c r="Q1153" i="1" s="1"/>
  <c r="O820" i="1"/>
  <c r="Q820" i="1" s="1" a="1"/>
  <c r="Q820" i="1" s="1"/>
  <c r="O833" i="1"/>
  <c r="Q833" i="1" s="1" a="1"/>
  <c r="Q833" i="1" s="1"/>
  <c r="O846" i="1"/>
  <c r="AB411" i="1" s="1"/>
  <c r="O1178" i="1"/>
  <c r="O863" i="1"/>
  <c r="AB448" i="1" s="1"/>
  <c r="O1182" i="1"/>
  <c r="AB480" i="1" s="1"/>
  <c r="O1190" i="1"/>
  <c r="AB494" i="1" s="1"/>
  <c r="O235" i="1"/>
  <c r="AB508" i="1" s="1"/>
  <c r="O250" i="1"/>
  <c r="AB522" i="1" s="1"/>
  <c r="O260" i="1"/>
  <c r="O908" i="1"/>
  <c r="AB545" i="1" s="1"/>
  <c r="O276" i="1"/>
  <c r="O1191" i="1"/>
  <c r="O303" i="1"/>
  <c r="AB584" i="1" s="1"/>
  <c r="O317" i="1"/>
  <c r="AB594" i="1" s="1"/>
  <c r="O922" i="1"/>
  <c r="AB607" i="1" s="1"/>
  <c r="O930" i="1"/>
  <c r="AB618" i="1" s="1"/>
  <c r="O1287" i="1"/>
  <c r="O957" i="1"/>
  <c r="AB641" i="1" s="1"/>
  <c r="O1205" i="1"/>
  <c r="O330" i="1"/>
  <c r="O357" i="1"/>
  <c r="O963" i="1"/>
  <c r="AB691" i="1" s="1"/>
  <c r="O971" i="1"/>
  <c r="O979" i="1"/>
  <c r="Q979" i="1" s="1" a="1"/>
  <c r="Q979" i="1" s="1"/>
  <c r="O1213" i="1"/>
  <c r="O1221" i="1"/>
  <c r="O362" i="1"/>
  <c r="Q362" i="1" s="1" a="1"/>
  <c r="Q362" i="1" s="1"/>
  <c r="O368" i="1"/>
  <c r="AB734" i="1" s="1"/>
  <c r="O990" i="1"/>
  <c r="O1290" i="1"/>
  <c r="AB750" i="1" s="1"/>
  <c r="O998" i="1"/>
  <c r="AB758" i="1" s="1"/>
  <c r="O551" i="1"/>
  <c r="AB805" i="1" s="1"/>
  <c r="O559" i="1"/>
  <c r="AB352" i="1" s="1"/>
  <c r="O567" i="1"/>
  <c r="AB819" i="1" s="1"/>
  <c r="O1099" i="1"/>
  <c r="AB829" i="1" s="1"/>
  <c r="O1105" i="1"/>
  <c r="O1314" i="1"/>
  <c r="O1263" i="1"/>
  <c r="AB847" i="1" s="1"/>
  <c r="O1329" i="1"/>
  <c r="O1268" i="1"/>
  <c r="O1275" i="1"/>
  <c r="O582" i="1"/>
  <c r="AB875" i="1" s="1"/>
  <c r="O1114" i="1"/>
  <c r="O173" i="1"/>
  <c r="O882" i="1"/>
  <c r="O267" i="1"/>
  <c r="O323" i="1"/>
  <c r="O328" i="1"/>
  <c r="AB271" i="1" s="1"/>
  <c r="O344" i="1"/>
  <c r="AB676" i="1" s="1"/>
  <c r="O983" i="1"/>
  <c r="AB710" i="1" s="1"/>
  <c r="O364" i="1"/>
  <c r="O993" i="1"/>
  <c r="O1325" i="1"/>
  <c r="O589" i="1"/>
  <c r="AB885" i="1" s="1"/>
  <c r="O258" i="1"/>
  <c r="O366" i="1"/>
  <c r="AB732" i="1" s="1"/>
  <c r="O529" i="1"/>
  <c r="AB787" i="1" s="1"/>
  <c r="O25" i="1"/>
  <c r="Q25" i="1" s="1" a="1"/>
  <c r="Q25" i="1" s="1"/>
  <c r="O34" i="1"/>
  <c r="O682" i="1"/>
  <c r="O87" i="1"/>
  <c r="Q87" i="1" s="1" a="1"/>
  <c r="Q87" i="1" s="1"/>
  <c r="O748" i="1"/>
  <c r="Q748" i="1" s="1" a="1"/>
  <c r="Q748" i="1" s="1"/>
  <c r="O752" i="1"/>
  <c r="Q752" i="1" s="1" a="1"/>
  <c r="Q752" i="1" s="1"/>
  <c r="O132" i="1"/>
  <c r="Q132" i="1" s="1" a="1"/>
  <c r="Q132" i="1" s="1"/>
  <c r="O1138" i="1"/>
  <c r="Q1138" i="1" s="1" a="1"/>
  <c r="Q1138" i="1" s="1"/>
  <c r="O171" i="1"/>
  <c r="Q171" i="1" s="1" a="1"/>
  <c r="Q171" i="1" s="1"/>
  <c r="O189" i="1"/>
  <c r="Q189" i="1" s="1" a="1"/>
  <c r="Q189" i="1" s="1"/>
  <c r="O200" i="1"/>
  <c r="O202" i="1"/>
  <c r="O1154" i="1"/>
  <c r="O821" i="1"/>
  <c r="AB380" i="1" s="1"/>
  <c r="O834" i="1"/>
  <c r="Q834" i="1" s="1" a="1"/>
  <c r="Q834" i="1" s="1"/>
  <c r="O847" i="1"/>
  <c r="O1170" i="1"/>
  <c r="O855" i="1"/>
  <c r="AB436" i="1" s="1"/>
  <c r="O1186" i="1"/>
  <c r="O222" i="1"/>
  <c r="AB495" i="1" s="1"/>
  <c r="O236" i="1"/>
  <c r="O251" i="1"/>
  <c r="O261" i="1"/>
  <c r="O268" i="1"/>
  <c r="AB546" i="1" s="1"/>
  <c r="O280" i="1"/>
  <c r="AB560" i="1" s="1"/>
  <c r="O290" i="1"/>
  <c r="O304" i="1"/>
  <c r="O318" i="1"/>
  <c r="AB595" i="1" s="1"/>
  <c r="O923" i="1"/>
  <c r="AB608" i="1" s="1"/>
  <c r="O1288" i="1"/>
  <c r="Q1288" i="1" s="1" a="1"/>
  <c r="Q1288" i="1" s="1"/>
  <c r="O1339" i="1"/>
  <c r="O1340" i="1"/>
  <c r="O1206" i="1"/>
  <c r="AB659" i="1" s="1"/>
  <c r="O349" i="1"/>
  <c r="O358" i="1"/>
  <c r="O964" i="1"/>
  <c r="AB692" i="1" s="1"/>
  <c r="O972" i="1"/>
  <c r="O980" i="1"/>
  <c r="AB707" i="1" s="1"/>
  <c r="O1343" i="1"/>
  <c r="AB727" i="1" s="1"/>
  <c r="O369" i="1"/>
  <c r="AB735" i="1" s="1"/>
  <c r="O991" i="1"/>
  <c r="AB743" i="1" s="1"/>
  <c r="O1227" i="1"/>
  <c r="AB751" i="1" s="1"/>
  <c r="O1345" i="1"/>
  <c r="O540" i="1"/>
  <c r="AB796" i="1" s="1"/>
  <c r="O552" i="1"/>
  <c r="O560" i="1"/>
  <c r="AB812" i="1" s="1"/>
  <c r="O1100" i="1"/>
  <c r="AB830" i="1" s="1"/>
  <c r="O1106" i="1"/>
  <c r="O1264" i="1"/>
  <c r="AB855" i="1" s="1"/>
  <c r="O1363" i="1"/>
  <c r="AB862" i="1" s="1"/>
  <c r="O1276" i="1"/>
  <c r="AB868" i="1" s="1"/>
  <c r="O583" i="1"/>
  <c r="O586" i="1"/>
  <c r="O778" i="1"/>
  <c r="AB245" i="1" s="1"/>
  <c r="O213" i="1"/>
  <c r="AB164" i="1" s="1"/>
  <c r="O839" i="1"/>
  <c r="Q839" i="1" s="1" a="1"/>
  <c r="Q839" i="1" s="1"/>
  <c r="O857" i="1"/>
  <c r="AB443" i="1" s="1"/>
  <c r="O895" i="1"/>
  <c r="O283" i="1"/>
  <c r="O522" i="1"/>
  <c r="AB780" i="1" s="1"/>
  <c r="O547" i="1"/>
  <c r="O1310" i="1"/>
  <c r="AB839" i="1" s="1"/>
  <c r="O1265" i="1"/>
  <c r="O579" i="1"/>
  <c r="O245" i="1"/>
  <c r="O1212" i="1"/>
  <c r="O969" i="1"/>
  <c r="O985" i="1"/>
  <c r="O360" i="1"/>
  <c r="AB724" i="1" s="1"/>
  <c r="O374" i="1"/>
  <c r="O537" i="1"/>
  <c r="O599" i="1"/>
  <c r="O1281" i="1"/>
  <c r="Q1281" i="1" s="1" a="1"/>
  <c r="Q1281" i="1" s="1"/>
  <c r="O76" i="1"/>
  <c r="Q76" i="1" s="1" a="1"/>
  <c r="Q76" i="1" s="1"/>
  <c r="O105" i="1"/>
  <c r="O141" i="1"/>
  <c r="Q141" i="1" s="1" a="1"/>
  <c r="Q141" i="1" s="1"/>
  <c r="O792" i="1"/>
  <c r="O206" i="1"/>
  <c r="Q206" i="1" s="1" a="1"/>
  <c r="Q206" i="1" s="1"/>
  <c r="O210" i="1"/>
  <c r="AB161" i="1" s="1"/>
  <c r="O823" i="1"/>
  <c r="O1159" i="1"/>
  <c r="O1172" i="1"/>
  <c r="Q1172" i="1" s="1" a="1"/>
  <c r="Q1172" i="1" s="1"/>
  <c r="O856" i="1"/>
  <c r="AB437" i="1" s="1"/>
  <c r="O879" i="1"/>
  <c r="O889" i="1"/>
  <c r="AB470" i="1" s="1"/>
  <c r="O894" i="1"/>
  <c r="AB486" i="1" s="1"/>
  <c r="O226" i="1"/>
  <c r="AB499" i="1" s="1"/>
  <c r="O237" i="1"/>
  <c r="Q237" i="1" s="1" a="1"/>
  <c r="Q237" i="1" s="1"/>
  <c r="O252" i="1"/>
  <c r="AB524" i="1" s="1"/>
  <c r="O265" i="1"/>
  <c r="O269" i="1"/>
  <c r="O281" i="1"/>
  <c r="O291" i="1"/>
  <c r="AB572" i="1" s="1"/>
  <c r="O305" i="1"/>
  <c r="O319" i="1"/>
  <c r="AB596" i="1" s="1"/>
  <c r="O924" i="1"/>
  <c r="AB609" i="1" s="1"/>
  <c r="O949" i="1"/>
  <c r="O326" i="1"/>
  <c r="AB269" i="1" s="1"/>
  <c r="O1341" i="1"/>
  <c r="O1207" i="1"/>
  <c r="O359" i="1"/>
  <c r="O965" i="1"/>
  <c r="O973" i="1"/>
  <c r="AB700" i="1" s="1"/>
  <c r="O981" i="1"/>
  <c r="O1344" i="1"/>
  <c r="O370" i="1"/>
  <c r="AB736" i="1" s="1"/>
  <c r="O375" i="1"/>
  <c r="O994" i="1"/>
  <c r="AB752" i="1" s="1"/>
  <c r="O376" i="1"/>
  <c r="AB760" i="1" s="1"/>
  <c r="O533" i="1"/>
  <c r="O553" i="1"/>
  <c r="AB807" i="1" s="1"/>
  <c r="O561" i="1"/>
  <c r="O572" i="1"/>
  <c r="AB826" i="1" s="1"/>
  <c r="O1107" i="1"/>
  <c r="Q1107" i="1" s="1" a="1"/>
  <c r="Q1107" i="1" s="1"/>
  <c r="O577" i="1"/>
  <c r="O1277" i="1"/>
  <c r="O584" i="1"/>
  <c r="O587" i="1"/>
  <c r="AB883" i="1" s="1"/>
  <c r="O54" i="1"/>
  <c r="Q54" i="1" s="1" a="1"/>
  <c r="Q54" i="1" s="1"/>
  <c r="O98" i="1"/>
  <c r="Q98" i="1" s="1" a="1"/>
  <c r="Q98" i="1" s="1"/>
  <c r="O1133" i="1"/>
  <c r="Q1133" i="1" s="1" a="1"/>
  <c r="Q1133" i="1" s="1"/>
  <c r="O768" i="1"/>
  <c r="Q768" i="1" s="1" a="1"/>
  <c r="Q768" i="1" s="1"/>
  <c r="O149" i="1"/>
  <c r="O165" i="1"/>
  <c r="O810" i="1"/>
  <c r="Q810" i="1" s="1" a="1"/>
  <c r="Q810" i="1" s="1"/>
  <c r="O826" i="1"/>
  <c r="AB387" i="1" s="1"/>
  <c r="O1335" i="1"/>
  <c r="AB422" i="1" s="1"/>
  <c r="O891" i="1"/>
  <c r="AB472" i="1" s="1"/>
  <c r="O372" i="1"/>
  <c r="AB738" i="1" s="1"/>
  <c r="O543" i="1"/>
  <c r="AB798" i="1" s="1"/>
  <c r="O230" i="1"/>
  <c r="O1203" i="1"/>
  <c r="O961" i="1"/>
  <c r="AB689" i="1" s="1"/>
  <c r="O977" i="1"/>
  <c r="O623" i="1"/>
  <c r="O666" i="1"/>
  <c r="Q666" i="1" s="1" a="1"/>
  <c r="Q666" i="1" s="1"/>
  <c r="O686" i="1"/>
  <c r="Q686" i="1" s="1" a="1"/>
  <c r="Q686" i="1" s="1"/>
  <c r="O96" i="1"/>
  <c r="Q96" i="1" s="1" a="1"/>
  <c r="Q96" i="1" s="1"/>
  <c r="O745" i="1"/>
  <c r="O107" i="1"/>
  <c r="AB83" i="1" s="1"/>
  <c r="O776" i="1"/>
  <c r="Q776" i="1" s="1" a="1"/>
  <c r="Q776" i="1" s="1"/>
  <c r="O147" i="1"/>
  <c r="O163" i="1"/>
  <c r="O794" i="1"/>
  <c r="Q794" i="1" s="1" a="1"/>
  <c r="Q794" i="1" s="1"/>
  <c r="O809" i="1"/>
  <c r="Q809" i="1" s="1" a="1"/>
  <c r="Q809" i="1" s="1"/>
  <c r="O212" i="1"/>
  <c r="O825" i="1"/>
  <c r="O838" i="1"/>
  <c r="O1173" i="1"/>
  <c r="O220" i="1"/>
  <c r="O867" i="1"/>
  <c r="O881" i="1"/>
  <c r="O890" i="1"/>
  <c r="AB471" i="1" s="1"/>
  <c r="O1188" i="1"/>
  <c r="AB487" i="1" s="1"/>
  <c r="O241" i="1"/>
  <c r="O266" i="1"/>
  <c r="AB537" i="1" s="1"/>
  <c r="O909" i="1"/>
  <c r="O282" i="1"/>
  <c r="O295" i="1"/>
  <c r="AB576" i="1" s="1"/>
  <c r="O1192" i="1"/>
  <c r="O914" i="1"/>
  <c r="O925" i="1"/>
  <c r="AB610" i="1" s="1"/>
  <c r="O950" i="1"/>
  <c r="O327" i="1"/>
  <c r="O1210" i="1"/>
  <c r="O343" i="1"/>
  <c r="O974" i="1"/>
  <c r="AB701" i="1" s="1"/>
  <c r="O982" i="1"/>
  <c r="AB709" i="1" s="1"/>
  <c r="O1216" i="1"/>
  <c r="AB716" i="1" s="1"/>
  <c r="O1224" i="1"/>
  <c r="AB721" i="1" s="1"/>
  <c r="O363" i="1"/>
  <c r="O371" i="1"/>
  <c r="AB737" i="1" s="1"/>
  <c r="O992" i="1"/>
  <c r="O995" i="1"/>
  <c r="AB753" i="1" s="1"/>
  <c r="O377" i="1"/>
  <c r="O534" i="1"/>
  <c r="O562" i="1"/>
  <c r="AB814" i="1" s="1"/>
  <c r="O1262" i="1"/>
  <c r="O1324" i="1"/>
  <c r="AB849" i="1" s="1"/>
  <c r="O578" i="1"/>
  <c r="AB857" i="1" s="1"/>
  <c r="O1108" i="1"/>
  <c r="O585" i="1"/>
  <c r="O588" i="1"/>
  <c r="AB884" i="1" s="1"/>
  <c r="O871" i="1"/>
  <c r="Q871" i="1" s="1" a="1"/>
  <c r="Q871" i="1" s="1"/>
  <c r="O296" i="1"/>
  <c r="O951" i="1"/>
  <c r="AB635" i="1" s="1"/>
  <c r="O975" i="1"/>
  <c r="AB702" i="1" s="1"/>
  <c r="O987" i="1"/>
  <c r="AB722" i="1" s="1"/>
  <c r="O1228" i="1"/>
  <c r="O903" i="1"/>
  <c r="AB540" i="1" s="1"/>
  <c r="O997" i="1"/>
  <c r="AB756" i="1" s="1"/>
  <c r="O642" i="1"/>
  <c r="O671" i="1"/>
  <c r="Q671" i="1" s="1" a="1"/>
  <c r="Q671" i="1" s="1"/>
  <c r="O1135" i="1"/>
  <c r="AB251" i="1" s="1"/>
  <c r="O155" i="1"/>
  <c r="O1284" i="1"/>
  <c r="Q1284" i="1" s="1" a="1"/>
  <c r="Q1284" i="1" s="1"/>
  <c r="O811" i="1"/>
  <c r="Q811" i="1" s="1" a="1"/>
  <c r="Q811" i="1" s="1"/>
  <c r="O214" i="1"/>
  <c r="Q214" i="1" s="1" a="1"/>
  <c r="Q214" i="1" s="1"/>
  <c r="O827" i="1"/>
  <c r="Q827" i="1" s="1" a="1"/>
  <c r="Q827" i="1" s="1"/>
  <c r="O840" i="1"/>
  <c r="Q840" i="1" s="1" a="1"/>
  <c r="Q840" i="1" s="1"/>
  <c r="O1165" i="1"/>
  <c r="O858" i="1"/>
  <c r="AB444" i="1" s="1"/>
  <c r="O873" i="1"/>
  <c r="AB457" i="1" s="1"/>
  <c r="O883" i="1"/>
  <c r="AB466" i="1" s="1"/>
  <c r="O1179" i="1"/>
  <c r="O898" i="1"/>
  <c r="O229" i="1"/>
  <c r="AB501" i="1" s="1"/>
  <c r="O257" i="1"/>
  <c r="AB528" i="1" s="1"/>
  <c r="O902" i="1"/>
  <c r="O273" i="1"/>
  <c r="O284" i="1"/>
  <c r="O297" i="1"/>
  <c r="O916" i="1"/>
  <c r="AB602" i="1" s="1"/>
  <c r="O927" i="1"/>
  <c r="O935" i="1"/>
  <c r="AB620" i="1" s="1"/>
  <c r="O944" i="1"/>
  <c r="AB626" i="1" s="1"/>
  <c r="O952" i="1"/>
  <c r="O1193" i="1"/>
  <c r="O1202" i="1"/>
  <c r="O1211" i="1"/>
  <c r="O345" i="1"/>
  <c r="O960" i="1"/>
  <c r="AB688" i="1" s="1"/>
  <c r="O968" i="1"/>
  <c r="O976" i="1"/>
  <c r="O984" i="1"/>
  <c r="AB711" i="1" s="1"/>
  <c r="O988" i="1"/>
  <c r="AB723" i="1" s="1"/>
  <c r="O365" i="1"/>
  <c r="AB731" i="1" s="1"/>
  <c r="O373" i="1"/>
  <c r="O1225" i="1"/>
  <c r="AB747" i="1" s="1"/>
  <c r="O996" i="1"/>
  <c r="O475" i="1"/>
  <c r="AB773" i="1" s="1"/>
  <c r="O523" i="1"/>
  <c r="O528" i="1"/>
  <c r="AB328" i="1" s="1"/>
  <c r="O536" i="1"/>
  <c r="O544" i="1"/>
  <c r="O548" i="1"/>
  <c r="AB803" i="1" s="1"/>
  <c r="O564" i="1"/>
  <c r="O1094" i="1"/>
  <c r="AB822" i="1" s="1"/>
  <c r="O1311" i="1"/>
  <c r="AB840" i="1" s="1"/>
  <c r="O1326" i="1"/>
  <c r="AB851" i="1" s="1"/>
  <c r="O580" i="1"/>
  <c r="AB872" i="1" s="1"/>
  <c r="O592" i="1"/>
  <c r="Q592" i="1" s="1" a="1"/>
  <c r="Q592" i="1" s="1"/>
  <c r="O46" i="1"/>
  <c r="O630" i="1"/>
  <c r="O644" i="1"/>
  <c r="Q644" i="1" s="1" a="1"/>
  <c r="Q644" i="1" s="1"/>
  <c r="O659" i="1"/>
  <c r="O69" i="1"/>
  <c r="Q69" i="1" s="1" a="1"/>
  <c r="Q69" i="1" s="1"/>
  <c r="O784" i="1"/>
  <c r="Q784" i="1" s="1" a="1"/>
  <c r="Q784" i="1" s="1"/>
  <c r="O157" i="1"/>
  <c r="Q157" i="1" s="1" a="1"/>
  <c r="Q157" i="1" s="1"/>
  <c r="O801" i="1"/>
  <c r="O815" i="1"/>
  <c r="O818" i="1"/>
  <c r="O1285" i="1"/>
  <c r="O843" i="1"/>
  <c r="AB408" i="1" s="1"/>
  <c r="O1334" i="1"/>
  <c r="AB417" i="1" s="1"/>
  <c r="O874" i="1"/>
  <c r="AB458" i="1" s="1"/>
  <c r="O1181" i="1"/>
  <c r="O274" i="1"/>
  <c r="O298" i="1"/>
  <c r="AB579" i="1" s="1"/>
  <c r="O315" i="1"/>
  <c r="O928" i="1"/>
  <c r="O936" i="1"/>
  <c r="AB621" i="1" s="1"/>
  <c r="O945" i="1"/>
  <c r="AB627" i="1" s="1"/>
  <c r="O953" i="1"/>
  <c r="AB637" i="1" s="1"/>
  <c r="O1196" i="1"/>
  <c r="AB649" i="1" s="1"/>
  <c r="O524" i="1"/>
  <c r="AB782" i="1" s="1"/>
  <c r="O1095" i="1"/>
  <c r="O1103" i="1"/>
  <c r="AB833" i="1" s="1"/>
  <c r="O565" i="1"/>
  <c r="AB817" i="1" s="1"/>
  <c r="O1312" i="1"/>
  <c r="AB841" i="1" s="1"/>
  <c r="O1109" i="1"/>
  <c r="O1327" i="1"/>
  <c r="Q73" i="1" a="1"/>
  <c r="Q73" i="1" s="1"/>
  <c r="Q1154" i="1" a="1"/>
  <c r="Q1154" i="1" s="1"/>
  <c r="Q668" i="1" a="1"/>
  <c r="Q668" i="1" s="1"/>
  <c r="Q59" i="1" a="1"/>
  <c r="Q59" i="1" s="1"/>
  <c r="Q45" i="1" a="1"/>
  <c r="Q45" i="1" s="1"/>
  <c r="Q705" i="1" a="1"/>
  <c r="Q705" i="1" s="1"/>
  <c r="Q44" i="1" a="1"/>
  <c r="Q44" i="1" s="1"/>
  <c r="Q818" i="1" a="1"/>
  <c r="Q818" i="1" s="1"/>
  <c r="Q594" i="1" a="1"/>
  <c r="Q594" i="1" s="1"/>
  <c r="Q1116" i="1" a="1"/>
  <c r="Q1116" i="1" s="1"/>
  <c r="Q793" i="1" a="1"/>
  <c r="Q793" i="1" s="1"/>
  <c r="Q53" i="1" a="1"/>
  <c r="Q53" i="1" s="1"/>
  <c r="Q841" i="1" a="1"/>
  <c r="Q841" i="1" s="1"/>
  <c r="Q829" i="1" a="1"/>
  <c r="Q829" i="1" s="1"/>
  <c r="AB103" i="1"/>
  <c r="Q704" i="1" a="1"/>
  <c r="Q704" i="1" s="1"/>
  <c r="Q826" i="1" a="1"/>
  <c r="Q826" i="1" s="1"/>
  <c r="Q780" i="1" a="1"/>
  <c r="Q780" i="1" s="1"/>
  <c r="Q828" i="1" a="1"/>
  <c r="Q828" i="1" s="1"/>
  <c r="Q647" i="1" a="1"/>
  <c r="Q647" i="1" s="1"/>
  <c r="Q1125" i="1" a="1"/>
  <c r="Q1125" i="1" s="1"/>
  <c r="Q845" i="1" a="1"/>
  <c r="Q845" i="1" s="1"/>
  <c r="Q1117" i="1" a="1"/>
  <c r="Q1117" i="1" s="1"/>
  <c r="Q202" i="1" a="1"/>
  <c r="Q202" i="1" s="1"/>
  <c r="Q1330" i="1" a="1"/>
  <c r="Q1330" i="1" s="1"/>
  <c r="Q822" i="1" a="1"/>
  <c r="Q822" i="1" s="1"/>
  <c r="Q58" i="1" a="1"/>
  <c r="Q58" i="1" s="1"/>
  <c r="Q683" i="1" a="1"/>
  <c r="Q683" i="1" s="1"/>
  <c r="Q669" i="1" a="1"/>
  <c r="Q669" i="1" s="1"/>
  <c r="Q687" i="1" a="1"/>
  <c r="Q687" i="1" s="1"/>
  <c r="Q72" i="1" a="1"/>
  <c r="Q72" i="1" s="1"/>
  <c r="Q1156" i="1" a="1"/>
  <c r="Q1156" i="1" s="1"/>
  <c r="Q815" i="1" a="1"/>
  <c r="Q815" i="1" s="1"/>
  <c r="Q1280" i="1" a="1"/>
  <c r="Q1280" i="1" s="1"/>
  <c r="Q778" i="1" a="1"/>
  <c r="Q778" i="1" s="1"/>
  <c r="Q52" i="1" a="1"/>
  <c r="Q52" i="1" s="1"/>
  <c r="Q56" i="1" a="1"/>
  <c r="Q56" i="1" s="1"/>
  <c r="Q675" i="1" a="1"/>
  <c r="Q675" i="1" s="1"/>
  <c r="Q234" i="1" a="1"/>
  <c r="Q234" i="1" s="1"/>
  <c r="Q242" i="1" a="1"/>
  <c r="Q242" i="1" s="1"/>
  <c r="Q273" i="1" a="1"/>
  <c r="Q273" i="1" s="1"/>
  <c r="Q289" i="1" a="1"/>
  <c r="Q289" i="1" s="1"/>
  <c r="Q304" i="1" a="1"/>
  <c r="Q304" i="1" s="1"/>
  <c r="Q928" i="1" a="1"/>
  <c r="Q928" i="1" s="1"/>
  <c r="Q950" i="1" a="1"/>
  <c r="Q950" i="1" s="1"/>
  <c r="Q1339" i="1" a="1"/>
  <c r="Q1339" i="1" s="1"/>
  <c r="Q358" i="1" a="1"/>
  <c r="Q358" i="1" s="1"/>
  <c r="Q964" i="1" a="1"/>
  <c r="Q964" i="1" s="1"/>
  <c r="Q1190" i="1" a="1"/>
  <c r="Q1190" i="1" s="1"/>
  <c r="Q260" i="1" a="1"/>
  <c r="Q260" i="1" s="1"/>
  <c r="Q269" i="1" a="1"/>
  <c r="Q269" i="1" s="1"/>
  <c r="Q275" i="1" a="1"/>
  <c r="Q275" i="1" s="1"/>
  <c r="Q283" i="1" a="1"/>
  <c r="Q283" i="1" s="1"/>
  <c r="Q318" i="1" a="1"/>
  <c r="Q318" i="1" s="1"/>
  <c r="Q946" i="1" a="1"/>
  <c r="Q946" i="1" s="1"/>
  <c r="Q1212" i="1" a="1"/>
  <c r="Q1212" i="1" s="1"/>
  <c r="Q344" i="1" a="1"/>
  <c r="Q344" i="1" s="1"/>
  <c r="Q992" i="1" a="1"/>
  <c r="Q992" i="1" s="1"/>
  <c r="Q1108" i="1" a="1"/>
  <c r="Q1108" i="1" s="1"/>
  <c r="Q588" i="1" a="1"/>
  <c r="Q588" i="1" s="1"/>
  <c r="Q1182" i="1" a="1"/>
  <c r="Q1182" i="1" s="1"/>
  <c r="Q895" i="1" a="1"/>
  <c r="Q895" i="1" s="1"/>
  <c r="Q909" i="1" a="1"/>
  <c r="Q909" i="1" s="1"/>
  <c r="Q276" i="1" a="1"/>
  <c r="Q276" i="1" s="1"/>
  <c r="Q319" i="1" a="1"/>
  <c r="Q319" i="1" s="1"/>
  <c r="Q1287" i="1" a="1"/>
  <c r="Q1287" i="1" s="1"/>
  <c r="Q953" i="1" a="1"/>
  <c r="Q953" i="1" s="1"/>
  <c r="Q262" i="1" a="1"/>
  <c r="Q262" i="1" s="1"/>
  <c r="Q904" i="1" a="1"/>
  <c r="Q904" i="1" s="1"/>
  <c r="Q285" i="1" a="1"/>
  <c r="Q285" i="1" s="1"/>
  <c r="Q292" i="1" a="1"/>
  <c r="Q292" i="1" s="1"/>
  <c r="Q919" i="1" a="1"/>
  <c r="Q919" i="1" s="1"/>
  <c r="Q954" i="1" a="1"/>
  <c r="Q954" i="1" s="1"/>
  <c r="Q968" i="1" a="1"/>
  <c r="Q968" i="1" s="1"/>
  <c r="Q976" i="1" a="1"/>
  <c r="Q976" i="1" s="1"/>
  <c r="Q984" i="1" a="1"/>
  <c r="Q984" i="1" s="1"/>
  <c r="Q988" i="1" a="1"/>
  <c r="Q988" i="1" s="1"/>
  <c r="Q365" i="1" a="1"/>
  <c r="Q365" i="1" s="1"/>
  <c r="Q536" i="1" a="1"/>
  <c r="Q536" i="1" s="1"/>
  <c r="Q544" i="1" a="1"/>
  <c r="Q544" i="1" s="1"/>
  <c r="Q1311" i="1" a="1"/>
  <c r="Q1311" i="1" s="1"/>
  <c r="Q1326" i="1" a="1"/>
  <c r="Q1326" i="1" s="1"/>
  <c r="Q580" i="1" a="1"/>
  <c r="Q580" i="1" s="1"/>
  <c r="Q926" i="1" a="1"/>
  <c r="Q926" i="1" s="1"/>
  <c r="Q947" i="1" a="1"/>
  <c r="Q947" i="1" s="1"/>
  <c r="Q1194" i="1" a="1"/>
  <c r="Q1194" i="1" s="1"/>
  <c r="Q360" i="1" a="1"/>
  <c r="Q360" i="1" s="1"/>
  <c r="Q368" i="1" a="1"/>
  <c r="Q368" i="1" s="1"/>
  <c r="Q375" i="1" a="1"/>
  <c r="Q375" i="1" s="1"/>
  <c r="Q1325" i="1" a="1"/>
  <c r="Q1325" i="1" s="1"/>
  <c r="Q279" i="1" a="1"/>
  <c r="Q279" i="1" s="1"/>
  <c r="Q361" i="1" a="1"/>
  <c r="Q361" i="1" s="1"/>
  <c r="Q369" i="1" a="1"/>
  <c r="Q369" i="1" s="1"/>
  <c r="Q993" i="1" a="1"/>
  <c r="Q993" i="1" s="1"/>
  <c r="Q1274" i="1" a="1"/>
  <c r="Q1274" i="1" s="1"/>
  <c r="Q1184" i="1" a="1"/>
  <c r="Q1184" i="1" s="1"/>
  <c r="Q248" i="1" a="1"/>
  <c r="Q248" i="1" s="1"/>
  <c r="Q259" i="1" a="1"/>
  <c r="Q259" i="1" s="1"/>
  <c r="Q1209" i="1" a="1"/>
  <c r="Q1209" i="1" s="1"/>
  <c r="Q985" i="1" a="1"/>
  <c r="Q985" i="1" s="1"/>
  <c r="Q1343" i="1" a="1"/>
  <c r="Q1343" i="1" s="1"/>
  <c r="Q1345" i="1" a="1"/>
  <c r="Q1345" i="1" s="1"/>
  <c r="Q224" i="1" a="1"/>
  <c r="Q224" i="1" s="1"/>
  <c r="Q235" i="1" a="1"/>
  <c r="Q235" i="1" s="1"/>
  <c r="Q270" i="1" a="1"/>
  <c r="Q270" i="1" s="1"/>
  <c r="Q301" i="1" a="1"/>
  <c r="Q301" i="1" s="1"/>
  <c r="Q920" i="1" a="1"/>
  <c r="Q920" i="1" s="1"/>
  <c r="Q963" i="1" a="1"/>
  <c r="Q963" i="1" s="1"/>
  <c r="Q374" i="1" a="1"/>
  <c r="Q374" i="1" s="1"/>
  <c r="Q1290" i="1" a="1"/>
  <c r="Q1290" i="1" s="1"/>
  <c r="Q376" i="1" a="1"/>
  <c r="Q376" i="1" s="1"/>
  <c r="Q522" i="1" a="1"/>
  <c r="Q522" i="1" s="1"/>
  <c r="Q1277" i="1" a="1"/>
  <c r="Q1277" i="1" s="1"/>
  <c r="Q1186" i="1" a="1"/>
  <c r="Q1186" i="1" s="1"/>
  <c r="Q225" i="1" a="1"/>
  <c r="Q225" i="1" s="1"/>
  <c r="Q317" i="1" a="1"/>
  <c r="Q317" i="1" s="1"/>
  <c r="Q356" i="1" a="1"/>
  <c r="Q356" i="1" s="1"/>
  <c r="Q965" i="1" a="1"/>
  <c r="Q965" i="1" s="1"/>
  <c r="Q364" i="1" a="1"/>
  <c r="Q364" i="1" s="1"/>
  <c r="Q540" i="1" a="1"/>
  <c r="Q540" i="1" s="1"/>
  <c r="Q563" i="1" a="1"/>
  <c r="Q563" i="1" s="1"/>
  <c r="Q1095" i="1" a="1"/>
  <c r="Q1095" i="1" s="1"/>
  <c r="Q1103" i="1" a="1"/>
  <c r="Q1103" i="1" s="1"/>
  <c r="Q577" i="1" a="1"/>
  <c r="Q577" i="1" s="1"/>
  <c r="Q272" i="1" a="1"/>
  <c r="Q272" i="1" s="1"/>
  <c r="Q924" i="1" a="1"/>
  <c r="Q924" i="1" s="1"/>
  <c r="Q961" i="1" a="1"/>
  <c r="Q961" i="1" s="1"/>
  <c r="Q537" i="1" a="1"/>
  <c r="Q537" i="1" s="1"/>
  <c r="Q1105" i="1" a="1"/>
  <c r="Q1105" i="1" s="1"/>
  <c r="Q367" i="1" a="1"/>
  <c r="Q367" i="1" s="1"/>
  <c r="Q288" i="1" a="1"/>
  <c r="Q288" i="1" s="1"/>
  <c r="Q321" i="1" a="1"/>
  <c r="Q321" i="1" s="1"/>
  <c r="Q945" i="1" a="1"/>
  <c r="Q945" i="1" s="1"/>
  <c r="Q971" i="1" a="1"/>
  <c r="Q971" i="1" s="1"/>
  <c r="Q370" i="1" a="1"/>
  <c r="Q370" i="1" s="1"/>
  <c r="Q1191" i="1" a="1"/>
  <c r="Q1191" i="1" s="1"/>
  <c r="Q322" i="1" a="1"/>
  <c r="Q322" i="1" s="1"/>
  <c r="Q990" i="1" a="1"/>
  <c r="Q990" i="1" s="1"/>
  <c r="Q547" i="1" a="1"/>
  <c r="Q547" i="1" s="1"/>
  <c r="Q295" i="1" a="1"/>
  <c r="Q295" i="1" s="1"/>
  <c r="Q551" i="1" a="1"/>
  <c r="Q551" i="1" s="1"/>
  <c r="Q267" i="1" a="1"/>
  <c r="Q267" i="1" s="1"/>
  <c r="Q922" i="1" a="1"/>
  <c r="Q922" i="1" s="1"/>
  <c r="Q907" i="1" a="1"/>
  <c r="Q907" i="1" s="1"/>
  <c r="Q340" i="1" a="1"/>
  <c r="Q340" i="1" s="1"/>
  <c r="Q987" i="1" a="1"/>
  <c r="Q987" i="1" s="1"/>
  <c r="Q1226" i="1" a="1"/>
  <c r="Q1226" i="1" s="1"/>
  <c r="Q581" i="1" a="1"/>
  <c r="Q581" i="1" s="1"/>
  <c r="Q1189" i="1" a="1"/>
  <c r="Q1189" i="1" s="1"/>
  <c r="Q1134" i="1" a="1"/>
  <c r="Q1134" i="1" s="1"/>
  <c r="Q188" i="1" a="1"/>
  <c r="Q188" i="1" s="1"/>
  <c r="Q221" i="1" a="1"/>
  <c r="Q221" i="1" s="1"/>
  <c r="Q873" i="1" a="1"/>
  <c r="Q873" i="1" s="1"/>
  <c r="Q43" i="1" a="1"/>
  <c r="Q43" i="1" s="1"/>
  <c r="AB284" i="1"/>
  <c r="Q84" i="1" a="1"/>
  <c r="Q84" i="1" s="1"/>
  <c r="AB338" i="1"/>
  <c r="Q765" i="1" a="1"/>
  <c r="Q765" i="1" s="1"/>
  <c r="AB197" i="1"/>
  <c r="Q80" i="1" a="1"/>
  <c r="Q80" i="1" s="1"/>
  <c r="Q128" i="1" a="1"/>
  <c r="Q128" i="1" s="1"/>
  <c r="Q766" i="1" a="1"/>
  <c r="Q766" i="1" s="1"/>
  <c r="AB270" i="1"/>
  <c r="Q799" i="1" a="1"/>
  <c r="Q799" i="1" s="1"/>
  <c r="Q46" i="1" a="1"/>
  <c r="Q46" i="1" s="1"/>
  <c r="Q736" i="1" a="1"/>
  <c r="Q736" i="1" s="1"/>
  <c r="AB86" i="1"/>
  <c r="Q19" i="1" a="1"/>
  <c r="Q19" i="1" s="1"/>
  <c r="Q1140" i="1" a="1"/>
  <c r="Q1140" i="1" s="1"/>
  <c r="Q127" i="1" a="1"/>
  <c r="Q127" i="1" s="1"/>
  <c r="AB202" i="1"/>
  <c r="Q642" i="1" a="1"/>
  <c r="Q642" i="1" s="1"/>
  <c r="AB192" i="1"/>
  <c r="AB340" i="1"/>
  <c r="Q131" i="1" a="1"/>
  <c r="Q131" i="1" s="1"/>
  <c r="Q83" i="1" a="1"/>
  <c r="Q83" i="1" s="1"/>
  <c r="Q1278" i="1" a="1"/>
  <c r="Q1278" i="1" s="1"/>
  <c r="AB163" i="1"/>
  <c r="AB286" i="1"/>
  <c r="AB254" i="1"/>
  <c r="Q1128" i="1" a="1"/>
  <c r="Q1128" i="1" s="1"/>
  <c r="AB267" i="1"/>
  <c r="Q797" i="1" a="1"/>
  <c r="Q797" i="1" s="1"/>
  <c r="Q142" i="1" a="1"/>
  <c r="Q142" i="1" s="1"/>
  <c r="Q721" i="1" a="1"/>
  <c r="Q721" i="1" s="1"/>
  <c r="Q200" i="1" a="1"/>
  <c r="Q200" i="1" s="1"/>
  <c r="Q658" i="1" a="1"/>
  <c r="Q658" i="1" s="1"/>
  <c r="AB92" i="1"/>
  <c r="Q105" i="1" a="1"/>
  <c r="Q105" i="1" s="1"/>
  <c r="AB30" i="1"/>
  <c r="AB276" i="1"/>
  <c r="Q854" i="1" a="1"/>
  <c r="Q854" i="1" s="1"/>
  <c r="Q109" i="1" a="1"/>
  <c r="Q109" i="1" s="1"/>
  <c r="Q759" i="1" a="1"/>
  <c r="Q759" i="1" s="1"/>
  <c r="Q628" i="1" a="1"/>
  <c r="Q628" i="1" s="1"/>
  <c r="Q863" i="1" a="1"/>
  <c r="Q863" i="1" s="1"/>
  <c r="Q108" i="1" a="1"/>
  <c r="Q108" i="1" s="1"/>
  <c r="Q1146" i="1" a="1"/>
  <c r="Q1146" i="1" s="1"/>
  <c r="Q207" i="1" a="1"/>
  <c r="Q207" i="1" s="1"/>
  <c r="Q173" i="1" a="1"/>
  <c r="Q173" i="1" s="1"/>
  <c r="Q615" i="1" a="1"/>
  <c r="Q615" i="1" s="1"/>
  <c r="Q609" i="1" a="1"/>
  <c r="Q609" i="1" s="1"/>
  <c r="Q620" i="1" a="1"/>
  <c r="Q620" i="1" s="1"/>
  <c r="Q754" i="1" a="1"/>
  <c r="Q754" i="1" s="1"/>
  <c r="Q26" i="1" a="1"/>
  <c r="Q26" i="1" s="1"/>
  <c r="Q1120" i="1" a="1"/>
  <c r="Q1120" i="1" s="1"/>
  <c r="Q107" i="1" a="1"/>
  <c r="Q107" i="1" s="1"/>
  <c r="Q691" i="1" a="1"/>
  <c r="Q691" i="1" s="1"/>
  <c r="Q851" i="1" a="1"/>
  <c r="Q851" i="1" s="1"/>
  <c r="Q1171" i="1" a="1"/>
  <c r="Q1171" i="1" s="1"/>
  <c r="Q172" i="1" a="1"/>
  <c r="Q172" i="1" s="1"/>
  <c r="Q1177" i="1" a="1"/>
  <c r="Q1177" i="1" s="1"/>
  <c r="Q636" i="1" a="1"/>
  <c r="Q636" i="1" s="1"/>
  <c r="Q884" i="1" a="1"/>
  <c r="Q884" i="1" s="1"/>
  <c r="Q607" i="1" a="1"/>
  <c r="Q607" i="1" s="1"/>
  <c r="Q71" i="1" a="1"/>
  <c r="Q71" i="1" s="1"/>
  <c r="Q655" i="1" a="1"/>
  <c r="Q655" i="1" s="1"/>
  <c r="Q100" i="1" a="1"/>
  <c r="Q100" i="1" s="1"/>
  <c r="Q707" i="1" a="1"/>
  <c r="Q707" i="1" s="1"/>
  <c r="Q742" i="1" a="1"/>
  <c r="Q742" i="1" s="1"/>
  <c r="Q104" i="1" a="1"/>
  <c r="Q104" i="1" s="1"/>
  <c r="Q119" i="1" a="1"/>
  <c r="Q119" i="1" s="1"/>
  <c r="Q832" i="1" a="1"/>
  <c r="Q832" i="1" s="1"/>
  <c r="Q211" i="1" a="1"/>
  <c r="Q211" i="1" s="1"/>
  <c r="Q876" i="1" a="1"/>
  <c r="Q876" i="1" s="1"/>
  <c r="Q652" i="1" a="1"/>
  <c r="Q652" i="1" s="1"/>
  <c r="Q886" i="1" a="1"/>
  <c r="Q886" i="1" s="1"/>
  <c r="Q740" i="1" a="1"/>
  <c r="Q740" i="1" s="1"/>
  <c r="Q868" i="1" a="1"/>
  <c r="Q868" i="1" s="1"/>
  <c r="Q838" i="1" a="1"/>
  <c r="Q838" i="1" s="1"/>
  <c r="Q67" i="1" a="1"/>
  <c r="Q67" i="1" s="1"/>
  <c r="Q866" i="1" a="1"/>
  <c r="Q866" i="1" s="1"/>
  <c r="Q1164" i="1" a="1"/>
  <c r="Q1164" i="1" s="1"/>
  <c r="Q785" i="1" a="1"/>
  <c r="Q785" i="1" s="1"/>
  <c r="Q215" i="1" a="1"/>
  <c r="Q215" i="1" s="1"/>
  <c r="Q163" i="1" a="1"/>
  <c r="Q163" i="1" s="1"/>
  <c r="Q160" i="1" a="1"/>
  <c r="Q160" i="1" s="1"/>
  <c r="Q718" i="1" a="1"/>
  <c r="Q718" i="1" s="1"/>
  <c r="Q1282" i="1" a="1"/>
  <c r="Q1282" i="1" s="1"/>
  <c r="Q66" i="1" a="1"/>
  <c r="Q66" i="1" s="1"/>
  <c r="Q130" i="1" a="1"/>
  <c r="Q130" i="1" s="1"/>
  <c r="Q213" i="1" a="1"/>
  <c r="Q213" i="1" s="1"/>
  <c r="Q738" i="1" a="1"/>
  <c r="Q738" i="1" s="1"/>
  <c r="Q608" i="1" a="1"/>
  <c r="Q608" i="1" s="1"/>
  <c r="Q632" i="1" a="1"/>
  <c r="Q632" i="1" s="1"/>
  <c r="Q192" i="1" a="1"/>
  <c r="Q192" i="1" s="1"/>
  <c r="Q166" i="1" a="1"/>
  <c r="Q166" i="1" s="1"/>
  <c r="Q646" i="1" a="1"/>
  <c r="Q646" i="1" s="1"/>
  <c r="Q603" i="1" a="1"/>
  <c r="Q603" i="1" s="1"/>
  <c r="Q680" i="1" a="1"/>
  <c r="Q680" i="1" s="1"/>
  <c r="Q21" i="1" a="1"/>
  <c r="Q21" i="1" s="1"/>
  <c r="Q36" i="1" a="1"/>
  <c r="Q36" i="1" s="1"/>
  <c r="Q103" i="1" a="1"/>
  <c r="Q103" i="1" s="1"/>
  <c r="Q209" i="1" a="1"/>
  <c r="Q209" i="1" s="1"/>
  <c r="Q710" i="1" a="1"/>
  <c r="Q710" i="1" s="1"/>
  <c r="Q630" i="1" a="1"/>
  <c r="Q630" i="1" s="1"/>
  <c r="Q8" i="1" a="1"/>
  <c r="Q8" i="1" s="1"/>
  <c r="Q660" i="1" a="1"/>
  <c r="Q660" i="1" s="1"/>
  <c r="Q730" i="1" a="1"/>
  <c r="Q730" i="1" s="1"/>
  <c r="Q787" i="1" a="1"/>
  <c r="Q787" i="1" s="1"/>
  <c r="AB74" i="1"/>
  <c r="Q702" i="1" a="1"/>
  <c r="Q702" i="1" s="1"/>
  <c r="Q803" i="1" a="1"/>
  <c r="Q803" i="1" s="1"/>
  <c r="Q79" i="1" a="1"/>
  <c r="Q79" i="1" s="1"/>
  <c r="Q676" i="1" a="1"/>
  <c r="Q676" i="1" s="1"/>
  <c r="Q817" i="1" a="1"/>
  <c r="Q817" i="1" s="1"/>
  <c r="Q741" i="1" a="1"/>
  <c r="Q741" i="1" s="1"/>
  <c r="Q677" i="1" a="1"/>
  <c r="Q677" i="1" s="1"/>
  <c r="Q713" i="1" a="1"/>
  <c r="Q713" i="1" s="1"/>
  <c r="Q167" i="1" a="1"/>
  <c r="Q167" i="1" s="1"/>
  <c r="Q682" i="1" a="1"/>
  <c r="Q682" i="1" s="1"/>
  <c r="Q34" i="1" a="1"/>
  <c r="Q34" i="1" s="1"/>
  <c r="Q728" i="1" a="1"/>
  <c r="Q728" i="1" s="1"/>
  <c r="Q723" i="1" a="1"/>
  <c r="Q723" i="1" s="1"/>
  <c r="Q808" i="1" a="1"/>
  <c r="Q808" i="1" s="1"/>
  <c r="Q1127" i="1" a="1"/>
  <c r="Q1127" i="1" s="1"/>
  <c r="Q629" i="1" a="1"/>
  <c r="Q629" i="1" s="1"/>
  <c r="Q850" i="1" a="1"/>
  <c r="Q850" i="1" s="1"/>
  <c r="Q150" i="1" a="1"/>
  <c r="Q150" i="1" s="1"/>
  <c r="Q727" i="1" a="1"/>
  <c r="Q727" i="1" s="1"/>
  <c r="Q893" i="1" a="1"/>
  <c r="Q893" i="1" s="1"/>
  <c r="Q187" i="1" a="1"/>
  <c r="Q187" i="1" s="1"/>
  <c r="Q788" i="1" a="1"/>
  <c r="Q788" i="1" s="1"/>
  <c r="Q649" i="1" a="1"/>
  <c r="Q649" i="1" s="1"/>
  <c r="Q1129" i="1" a="1"/>
  <c r="Q1129" i="1" s="1"/>
  <c r="Q1162" i="1" a="1"/>
  <c r="Q1162" i="1" s="1"/>
  <c r="Q887" i="1" a="1"/>
  <c r="Q887" i="1" s="1"/>
  <c r="Q749" i="1" a="1"/>
  <c r="Q749" i="1" s="1"/>
  <c r="Q106" i="1" a="1"/>
  <c r="Q106" i="1" s="1"/>
  <c r="Q1137" i="1" a="1"/>
  <c r="Q1137" i="1" s="1"/>
  <c r="Q662" i="1" a="1"/>
  <c r="Q662" i="1" s="1"/>
  <c r="Q722" i="1" a="1"/>
  <c r="Q722" i="1" s="1"/>
  <c r="Q28" i="1" a="1"/>
  <c r="Q28" i="1" s="1"/>
  <c r="Q879" i="1" a="1"/>
  <c r="Q879" i="1" s="1"/>
  <c r="Q151" i="1" a="1"/>
  <c r="Q151" i="1" s="1"/>
  <c r="Q94" i="1" a="1"/>
  <c r="Q94" i="1" s="1"/>
  <c r="Q601" i="1" a="1"/>
  <c r="Q601" i="1" s="1"/>
  <c r="Q750" i="1" a="1"/>
  <c r="Q750" i="1" s="1"/>
  <c r="AB142" i="1"/>
  <c r="AB398" i="1"/>
  <c r="Q724" i="1" a="1"/>
  <c r="Q724" i="1" s="1"/>
  <c r="Q889" i="1" a="1"/>
  <c r="Q889" i="1" s="1"/>
  <c r="Q23" i="1" a="1"/>
  <c r="Q23" i="1" s="1"/>
  <c r="Q624" i="1" a="1"/>
  <c r="Q624" i="1" s="1"/>
  <c r="Q745" i="1" a="1"/>
  <c r="Q745" i="1" s="1"/>
  <c r="Q1152" i="1" a="1"/>
  <c r="Q1152" i="1" s="1"/>
  <c r="Q604" i="1" a="1"/>
  <c r="Q604" i="1" s="1"/>
  <c r="Q760" i="1" a="1"/>
  <c r="Q760" i="1" s="1"/>
  <c r="AB108" i="1"/>
  <c r="Q1283" i="1" a="1"/>
  <c r="Q1283" i="1" s="1"/>
  <c r="Q623" i="1" a="1"/>
  <c r="Q623" i="1" s="1"/>
  <c r="Q688" i="1" a="1"/>
  <c r="Q688" i="1" s="1"/>
  <c r="Q134" i="1" a="1"/>
  <c r="Q134" i="1" s="1"/>
  <c r="Q755" i="1" a="1"/>
  <c r="Q755" i="1" s="1"/>
  <c r="Q597" i="1" a="1"/>
  <c r="Q597" i="1" s="1"/>
  <c r="Q645" i="1" a="1"/>
  <c r="Q645" i="1" s="1"/>
  <c r="Q763" i="1" a="1"/>
  <c r="Q763" i="1" s="1"/>
  <c r="Q732" i="1" a="1"/>
  <c r="Q732" i="1" s="1"/>
  <c r="Q600" i="1" a="1"/>
  <c r="Q600" i="1" s="1"/>
  <c r="Q729" i="1" a="1"/>
  <c r="Q729" i="1" s="1"/>
  <c r="Q39" i="1" a="1"/>
  <c r="Q39" i="1" s="1"/>
  <c r="Q158" i="1" a="1"/>
  <c r="Q158" i="1" s="1"/>
  <c r="Q1126" i="1" a="1"/>
  <c r="Q1126" i="1" s="1"/>
  <c r="Q137" i="1" a="1"/>
  <c r="Q137" i="1" s="1"/>
  <c r="Q38" i="1" a="1"/>
  <c r="Q38" i="1" s="1"/>
  <c r="Q790" i="1" a="1"/>
  <c r="Q790" i="1" s="1"/>
  <c r="Q37" i="1" a="1"/>
  <c r="Q37" i="1" s="1"/>
  <c r="Q191" i="1" a="1"/>
  <c r="Q191" i="1" s="1"/>
  <c r="Q41" i="1" a="1"/>
  <c r="Q41" i="1" s="1"/>
  <c r="Q49" i="1" a="1"/>
  <c r="Q49" i="1" s="1"/>
  <c r="Q1331" i="1" a="1"/>
  <c r="Q1331" i="1" s="1"/>
  <c r="Q596" i="1" a="1"/>
  <c r="Q596" i="1" s="1"/>
  <c r="Q641" i="1" a="1"/>
  <c r="Q641" i="1" s="1"/>
  <c r="Q719" i="1" a="1"/>
  <c r="Q719" i="1" s="1"/>
  <c r="Q92" i="1" a="1"/>
  <c r="Q92" i="1" s="1"/>
  <c r="Q89" i="1" a="1"/>
  <c r="Q89" i="1" s="1"/>
  <c r="Q640" i="1" a="1"/>
  <c r="Q640" i="1" s="1"/>
  <c r="Q155" i="1" a="1"/>
  <c r="Q155" i="1" s="1"/>
  <c r="Q764" i="1" a="1"/>
  <c r="Q764" i="1" s="1"/>
  <c r="Q12" i="1" a="1"/>
  <c r="Q12" i="1" s="1"/>
  <c r="Q731" i="1" a="1"/>
  <c r="Q731" i="1" s="1"/>
  <c r="Q32" i="1" a="1"/>
  <c r="Q32" i="1" s="1"/>
  <c r="Q634" i="1" a="1"/>
  <c r="Q634" i="1" s="1"/>
  <c r="Q882" i="1" a="1"/>
  <c r="Q882" i="1" s="1"/>
  <c r="Q31" i="1" a="1"/>
  <c r="Q31" i="1" s="1"/>
  <c r="Q761" i="1" a="1"/>
  <c r="Q761" i="1" s="1"/>
  <c r="Q138" i="1" a="1"/>
  <c r="Q138" i="1" s="1"/>
  <c r="Q703" i="1" a="1"/>
  <c r="Q703" i="1" s="1"/>
  <c r="Q612" i="1" a="1"/>
  <c r="Q612" i="1" s="1"/>
  <c r="Q11" i="1" a="1"/>
  <c r="Q11" i="1" s="1"/>
  <c r="Q16" i="1" a="1"/>
  <c r="Q16" i="1" s="1"/>
  <c r="Q99" i="1" a="1"/>
  <c r="Q99" i="1" s="1"/>
  <c r="Q602" i="1" a="1"/>
  <c r="Q602" i="1" s="1"/>
  <c r="Q10" i="1" a="1"/>
  <c r="Q10" i="1" s="1"/>
  <c r="Q735" i="1" a="1"/>
  <c r="Q735" i="1" s="1"/>
  <c r="Q733" i="1" a="1"/>
  <c r="Q733" i="1" s="1"/>
  <c r="Q781" i="1" a="1"/>
  <c r="Q781" i="1" s="1"/>
  <c r="Q619" i="1" a="1"/>
  <c r="Q619" i="1" s="1"/>
  <c r="Q18" i="1" a="1"/>
  <c r="Q18" i="1" s="1"/>
  <c r="Q164" i="1" a="1"/>
  <c r="Q164" i="1" s="1"/>
  <c r="Q143" i="1" a="1"/>
  <c r="Q143" i="1" s="1"/>
  <c r="Q111" i="1" a="1"/>
  <c r="Q111" i="1" s="1"/>
  <c r="Q50" i="1" a="1"/>
  <c r="Q50" i="1" s="1"/>
  <c r="Q29" i="1" a="1"/>
  <c r="Q29" i="1" s="1"/>
  <c r="Q715" i="1" a="1"/>
  <c r="Q715" i="1" s="1"/>
  <c r="Q15" i="1" a="1"/>
  <c r="Q15" i="1" s="1"/>
  <c r="Q701" i="1" a="1"/>
  <c r="Q701" i="1" s="1"/>
  <c r="Q777" i="1" a="1"/>
  <c r="Q777" i="1" s="1"/>
  <c r="Q169" i="1" a="1"/>
  <c r="Q169" i="1" s="1"/>
  <c r="Q1118" i="1" a="1"/>
  <c r="Q1118" i="1" s="1"/>
  <c r="Q175" i="1" a="1"/>
  <c r="Q175" i="1" s="1"/>
  <c r="Q758" i="1" a="1"/>
  <c r="Q758" i="1" s="1"/>
  <c r="Q664" i="1" a="1"/>
  <c r="Q664" i="1" s="1"/>
  <c r="Q17" i="1" a="1"/>
  <c r="Q17" i="1" s="1"/>
  <c r="Q165" i="1" a="1"/>
  <c r="Q165" i="1" s="1"/>
  <c r="Q772" i="1" a="1"/>
  <c r="Q772" i="1" s="1"/>
  <c r="Q179" i="1" a="1"/>
  <c r="Q179" i="1" s="1"/>
  <c r="Q611" i="1" a="1"/>
  <c r="Q611" i="1" s="1"/>
  <c r="Q590" i="1" a="1"/>
  <c r="Q590" i="1" s="1"/>
  <c r="Q177" i="1" a="1"/>
  <c r="Q177" i="1" s="1"/>
  <c r="Q712" i="1" a="1"/>
  <c r="Q712" i="1" s="1"/>
  <c r="Q613" i="1" a="1"/>
  <c r="Q613" i="1" s="1"/>
  <c r="Q807" i="1" a="1"/>
  <c r="Q807" i="1" s="1"/>
  <c r="Q885" i="1" a="1"/>
  <c r="Q885" i="1" s="1"/>
  <c r="Q770" i="1" a="1"/>
  <c r="Q770" i="1" s="1"/>
  <c r="Q199" i="1" a="1"/>
  <c r="Q199" i="1" s="1"/>
  <c r="Q635" i="1" a="1"/>
  <c r="Q635" i="1" s="1"/>
  <c r="Q22" i="1" a="1"/>
  <c r="Q22" i="1" s="1"/>
  <c r="Q795" i="1" a="1"/>
  <c r="Q795" i="1" s="1"/>
  <c r="Q1176" i="1" a="1"/>
  <c r="Q1176" i="1" s="1"/>
  <c r="O4" i="1"/>
  <c r="Q4" i="1" s="1" a="1"/>
  <c r="Q4" i="1" s="1"/>
  <c r="Q591" i="1" a="1"/>
  <c r="Q591" i="1" s="1"/>
  <c r="Q176" i="1" a="1"/>
  <c r="Q176" i="1" s="1"/>
  <c r="Q193" i="1" a="1"/>
  <c r="Q193" i="1" s="1"/>
  <c r="Q1136" i="1" a="1"/>
  <c r="Q1136" i="1" s="1"/>
  <c r="Q1143" i="1" a="1"/>
  <c r="Q1143" i="1" s="1"/>
  <c r="Q135" i="1" a="1"/>
  <c r="Q135" i="1" s="1"/>
  <c r="Q182" i="1" a="1"/>
  <c r="Q182" i="1" s="1"/>
  <c r="Q769" i="1" a="1"/>
  <c r="Q769" i="1" s="1"/>
  <c r="Q616" i="1" a="1"/>
  <c r="Q616" i="1" s="1"/>
  <c r="Q711" i="1" a="1"/>
  <c r="Q711" i="1" s="1"/>
  <c r="Q697" i="1" a="1"/>
  <c r="Q697" i="1" s="1"/>
  <c r="Q775" i="1" a="1"/>
  <c r="Q775" i="1" s="1"/>
  <c r="Q9" i="1" a="1"/>
  <c r="Q9" i="1" s="1"/>
  <c r="Q700" i="1" a="1"/>
  <c r="Q700" i="1" s="1"/>
  <c r="Q178" i="1" a="1"/>
  <c r="Q178" i="1" s="1"/>
  <c r="Q725" i="1" a="1"/>
  <c r="Q725" i="1" s="1"/>
  <c r="Q136" i="1" a="1"/>
  <c r="Q136" i="1" s="1"/>
  <c r="Q656" i="1" a="1"/>
  <c r="Q656" i="1" s="1"/>
  <c r="Q657" i="1" a="1"/>
  <c r="Q657" i="1" s="1"/>
  <c r="Q40" i="1" a="1"/>
  <c r="Q40" i="1" s="1"/>
  <c r="Q91" i="1" a="1"/>
  <c r="Q91" i="1" s="1"/>
  <c r="Q617" i="1" a="1"/>
  <c r="Q617" i="1" s="1"/>
  <c r="AB8" i="1"/>
  <c r="Q1166" i="1" a="1"/>
  <c r="Q1166" i="1" s="1"/>
  <c r="AB386" i="1"/>
  <c r="Q63" i="1" a="1"/>
  <c r="Q63" i="1" s="1"/>
  <c r="AB358" i="1"/>
  <c r="AB124" i="1"/>
  <c r="Q101" i="1" a="1"/>
  <c r="Q101" i="1" s="1"/>
  <c r="AB132" i="1"/>
  <c r="Q626" i="1" a="1"/>
  <c r="Q626" i="1" s="1"/>
  <c r="Q181" i="1" a="1"/>
  <c r="Q181" i="1" s="1"/>
  <c r="Q74" i="1" a="1"/>
  <c r="Q74" i="1" s="1"/>
  <c r="Q1285" i="1" a="1"/>
  <c r="Q1285" i="1" s="1"/>
  <c r="Q631" i="1" a="1"/>
  <c r="Q631" i="1" s="1"/>
  <c r="Q86" i="1" a="1"/>
  <c r="Q86" i="1" s="1"/>
  <c r="AB345" i="1"/>
  <c r="AB342" i="1"/>
  <c r="AB278" i="1"/>
  <c r="AB226" i="1"/>
  <c r="Q865" i="1" a="1"/>
  <c r="Q865" i="1" s="1"/>
  <c r="AB296" i="1"/>
  <c r="Q1139" i="1" a="1"/>
  <c r="Q1139" i="1" s="1"/>
  <c r="AB106" i="1"/>
  <c r="M595" i="1"/>
  <c r="M104" i="1"/>
  <c r="M767" i="1"/>
  <c r="M875" i="1"/>
  <c r="M1175" i="1"/>
  <c r="M73" i="1"/>
  <c r="M80" i="1"/>
  <c r="M662" i="1"/>
  <c r="M847" i="1"/>
  <c r="M5" i="1"/>
  <c r="M93" i="1"/>
  <c r="M804" i="1"/>
  <c r="M60" i="1"/>
  <c r="M594" i="1"/>
  <c r="M761" i="1"/>
  <c r="M1142" i="1"/>
  <c r="M1170" i="1"/>
  <c r="M719" i="1"/>
  <c r="M638" i="1"/>
  <c r="M45" i="1"/>
  <c r="M604" i="1"/>
  <c r="M205" i="1"/>
  <c r="M145" i="1"/>
  <c r="M57" i="1"/>
  <c r="M82" i="1"/>
  <c r="M864" i="1"/>
  <c r="M179" i="1"/>
  <c r="M591" i="1"/>
  <c r="M126" i="1"/>
  <c r="M27" i="1"/>
  <c r="M694" i="1"/>
  <c r="M754" i="1"/>
  <c r="M866" i="1"/>
  <c r="M83" i="1"/>
  <c r="M1144" i="1"/>
  <c r="M156" i="1"/>
  <c r="M135" i="1"/>
  <c r="M621" i="1"/>
  <c r="M647" i="1"/>
  <c r="M56" i="1"/>
  <c r="M756" i="1"/>
  <c r="M1118" i="1"/>
  <c r="M811" i="1"/>
  <c r="M836" i="1"/>
  <c r="M206" i="1"/>
  <c r="M37" i="1"/>
  <c r="M110" i="1"/>
  <c r="M673" i="1"/>
  <c r="M137" i="1"/>
  <c r="M194" i="1"/>
  <c r="M828" i="1"/>
  <c r="M94" i="1"/>
  <c r="M178" i="1"/>
  <c r="M670" i="1"/>
  <c r="M793" i="1"/>
  <c r="M144" i="1"/>
  <c r="M798" i="1"/>
  <c r="M667" i="1"/>
  <c r="M55" i="1"/>
  <c r="M834" i="1"/>
  <c r="M204" i="1"/>
  <c r="M784" i="1"/>
  <c r="M880" i="1"/>
  <c r="M691" i="1"/>
  <c r="M140" i="1"/>
  <c r="M770" i="1"/>
  <c r="M1280" i="1"/>
  <c r="M611" i="1"/>
  <c r="M768" i="1"/>
  <c r="M645" i="1"/>
  <c r="M820" i="1"/>
  <c r="M196" i="1"/>
  <c r="M212" i="1"/>
  <c r="M132" i="1"/>
  <c r="M716" i="1"/>
  <c r="M86" i="1"/>
  <c r="M776" i="1"/>
  <c r="M706" i="1"/>
  <c r="M782" i="1"/>
  <c r="M1116" i="1"/>
  <c r="M40" i="1"/>
  <c r="M139" i="1"/>
  <c r="M210" i="1"/>
  <c r="M610" i="1"/>
  <c r="M103" i="1"/>
  <c r="M814" i="1"/>
  <c r="M807" i="1"/>
  <c r="M710" i="1"/>
  <c r="M827" i="1"/>
  <c r="M87" i="1"/>
  <c r="M146" i="1"/>
  <c r="M1335" i="1"/>
  <c r="M792" i="1"/>
  <c r="M1334" i="1"/>
  <c r="M653" i="1"/>
  <c r="M606" i="1"/>
  <c r="M143" i="1"/>
  <c r="M1147" i="1"/>
  <c r="M869" i="1"/>
  <c r="M81" i="1"/>
  <c r="M1166" i="1"/>
  <c r="M632" i="1"/>
  <c r="M201" i="1"/>
  <c r="M890" i="1"/>
  <c r="M9" i="1"/>
  <c r="M1178" i="1"/>
  <c r="M805" i="1"/>
  <c r="M1159" i="1"/>
  <c r="M155" i="1"/>
  <c r="M177" i="1"/>
  <c r="M151" i="1"/>
  <c r="M891" i="1"/>
  <c r="M1141" i="1"/>
  <c r="M64" i="1"/>
  <c r="M1117" i="1"/>
  <c r="M620" i="1"/>
  <c r="M860" i="1"/>
  <c r="M188" i="1"/>
  <c r="M89" i="1"/>
  <c r="M848" i="1"/>
  <c r="M874" i="1"/>
  <c r="M592" i="1"/>
  <c r="M183" i="1"/>
  <c r="M794" i="1"/>
  <c r="M726" i="1"/>
  <c r="M1284" i="1"/>
  <c r="M1171" i="1"/>
  <c r="M699" i="1"/>
  <c r="M881" i="1"/>
  <c r="M721" i="1"/>
  <c r="M747" i="1"/>
  <c r="M724" i="1"/>
  <c r="M90" i="1"/>
  <c r="M665" i="1"/>
  <c r="M607" i="1"/>
  <c r="M1157" i="1"/>
  <c r="M617" i="1"/>
  <c r="M868" i="1"/>
  <c r="M59" i="1"/>
  <c r="M663" i="1"/>
  <c r="M38" i="1"/>
  <c r="M149" i="1"/>
  <c r="M218" i="1"/>
  <c r="M1281" i="1"/>
  <c r="M39" i="1"/>
  <c r="M601" i="1"/>
  <c r="M888" i="1"/>
  <c r="M162" i="1"/>
  <c r="M154" i="1"/>
  <c r="M148" i="1"/>
  <c r="M128" i="1"/>
  <c r="M661" i="1"/>
  <c r="M749" i="1"/>
  <c r="M857" i="1"/>
  <c r="M170" i="1"/>
  <c r="M737" i="1"/>
  <c r="M725" i="1"/>
  <c r="M809" i="1"/>
  <c r="M712" i="1"/>
  <c r="M876" i="1"/>
  <c r="M1130" i="1"/>
  <c r="M839" i="1"/>
  <c r="M65" i="1"/>
  <c r="M851" i="1"/>
  <c r="M840" i="1"/>
  <c r="M877" i="1"/>
  <c r="M802" i="1"/>
  <c r="M878" i="1"/>
  <c r="M121" i="1"/>
  <c r="M157" i="1"/>
  <c r="M20" i="1"/>
  <c r="M164" i="1"/>
  <c r="M118" i="1"/>
  <c r="M676" i="1"/>
  <c r="M822" i="1"/>
  <c r="M19" i="1"/>
  <c r="M730" i="1"/>
  <c r="M622" i="1"/>
  <c r="M853" i="1"/>
  <c r="M736" i="1"/>
  <c r="M752" i="1"/>
  <c r="M687" i="1"/>
  <c r="M189" i="1"/>
  <c r="M640" i="1"/>
  <c r="M835" i="1"/>
  <c r="M72" i="1"/>
  <c r="M886" i="1"/>
  <c r="M1143" i="1"/>
  <c r="M21" i="1"/>
  <c r="M14" i="1"/>
  <c r="M702" i="1"/>
  <c r="M698" i="1"/>
  <c r="M720" i="1"/>
  <c r="M92" i="1"/>
  <c r="M35" i="1"/>
  <c r="M1162" i="1"/>
  <c r="M739" i="1"/>
  <c r="M859" i="1"/>
  <c r="M23" i="1"/>
  <c r="M30" i="1"/>
  <c r="M732" i="1"/>
  <c r="M652" i="1"/>
  <c r="M613" i="1"/>
  <c r="M656" i="1"/>
  <c r="M1138" i="1"/>
  <c r="M47" i="1"/>
  <c r="M616" i="1"/>
  <c r="M33" i="1"/>
  <c r="M635" i="1"/>
  <c r="M36" i="1"/>
  <c r="M668" i="1"/>
  <c r="M738" i="1"/>
  <c r="M819" i="1"/>
  <c r="M1135" i="1"/>
  <c r="M159" i="1"/>
  <c r="M96" i="1"/>
  <c r="M1140" i="1"/>
  <c r="M1122" i="1"/>
  <c r="M199" i="1"/>
  <c r="M701" i="1"/>
  <c r="M113" i="1"/>
  <c r="M25" i="1"/>
  <c r="M831" i="1"/>
  <c r="M166" i="1"/>
  <c r="M1177" i="1"/>
  <c r="M728" i="1"/>
  <c r="M597" i="1"/>
  <c r="M163" i="1"/>
  <c r="M107" i="1"/>
  <c r="M700" i="1"/>
  <c r="M120" i="1"/>
  <c r="M29" i="1"/>
  <c r="M175" i="1"/>
  <c r="M838" i="1"/>
  <c r="M781" i="1"/>
  <c r="M867" i="1"/>
  <c r="M1285" i="1"/>
  <c r="M15" i="1"/>
  <c r="M892" i="1"/>
  <c r="M153" i="1"/>
  <c r="M1134" i="1"/>
  <c r="M1332" i="1"/>
  <c r="M8" i="1"/>
  <c r="M715" i="1"/>
  <c r="M769" i="1"/>
  <c r="M7" i="1"/>
  <c r="M75" i="1"/>
  <c r="M1121" i="1"/>
  <c r="M841" i="1"/>
  <c r="M150" i="1"/>
  <c r="M633" i="1"/>
  <c r="M774" i="1"/>
  <c r="M671" i="1"/>
  <c r="M624" i="1"/>
  <c r="M66" i="1"/>
  <c r="M191" i="1"/>
  <c r="M634" i="1"/>
  <c r="M825" i="1"/>
  <c r="M1278" i="1"/>
  <c r="M796" i="1"/>
  <c r="M95" i="1"/>
  <c r="M221" i="1"/>
  <c r="M757" i="1"/>
  <c r="M741" i="1"/>
  <c r="M1168" i="1"/>
  <c r="M1336" i="1"/>
  <c r="M111" i="1"/>
  <c r="M760" i="1"/>
  <c r="M817" i="1"/>
  <c r="M49" i="1"/>
  <c r="M887" i="1"/>
  <c r="M109" i="1"/>
  <c r="M639" i="1"/>
  <c r="M740" i="1"/>
  <c r="M32" i="1"/>
  <c r="M1123" i="1"/>
  <c r="M777" i="1"/>
  <c r="M696" i="1"/>
  <c r="M1126" i="1"/>
  <c r="M778" i="1"/>
  <c r="M53" i="1"/>
  <c r="M806" i="1"/>
  <c r="M52" i="1"/>
  <c r="M821" i="1"/>
  <c r="M824" i="1"/>
  <c r="M22" i="1"/>
  <c r="M762" i="1"/>
  <c r="M112" i="1"/>
  <c r="M172" i="1"/>
  <c r="M850" i="1"/>
  <c r="M100" i="1"/>
  <c r="M845" i="1"/>
  <c r="M707" i="1"/>
  <c r="M117" i="1"/>
  <c r="M674" i="1"/>
  <c r="M138" i="1"/>
  <c r="M4" i="1"/>
  <c r="M872" i="1"/>
  <c r="M648" i="1"/>
  <c r="M815" i="1"/>
  <c r="M130" i="1"/>
  <c r="M727" i="1"/>
  <c r="M649" i="1"/>
  <c r="M165" i="1"/>
  <c r="M207" i="1"/>
  <c r="M174" i="1"/>
  <c r="M161" i="1"/>
  <c r="M168" i="1"/>
  <c r="M655" i="1"/>
  <c r="M612" i="1"/>
  <c r="M78" i="1"/>
  <c r="M771" i="1"/>
  <c r="M602" i="1"/>
  <c r="M1333" i="1"/>
  <c r="M152" i="1"/>
  <c r="M84" i="1"/>
  <c r="M63" i="1"/>
  <c r="M1279" i="1"/>
  <c r="M1337" i="1"/>
  <c r="M810" i="1"/>
  <c r="M608" i="1"/>
  <c r="M697" i="1"/>
  <c r="M772" i="1"/>
  <c r="M826" i="1"/>
  <c r="M1165" i="1"/>
  <c r="M779" i="1"/>
  <c r="M693" i="1"/>
  <c r="M717" i="1"/>
  <c r="M213" i="1"/>
  <c r="M865" i="1"/>
  <c r="M1150" i="1"/>
  <c r="M723" i="1"/>
  <c r="M764" i="1"/>
  <c r="M679" i="1"/>
  <c r="M883" i="1"/>
  <c r="M678" i="1"/>
  <c r="M1127" i="1"/>
  <c r="M42" i="1"/>
  <c r="M658" i="1"/>
  <c r="M830" i="1"/>
  <c r="M1169" i="1"/>
  <c r="M753" i="1"/>
  <c r="M116" i="1"/>
  <c r="M127" i="1"/>
  <c r="M176" i="1"/>
  <c r="M141" i="1"/>
  <c r="M596" i="1"/>
  <c r="M763" i="1"/>
  <c r="M198" i="1"/>
  <c r="M1119" i="1"/>
  <c r="M1153" i="1"/>
  <c r="M733" i="1"/>
  <c r="M703" i="1"/>
  <c r="M637" i="1"/>
  <c r="M200" i="1"/>
  <c r="M704" i="1"/>
  <c r="M745" i="1"/>
  <c r="M619" i="1"/>
  <c r="M106" i="1"/>
  <c r="M759" i="1"/>
  <c r="M603" i="1"/>
  <c r="M1152" i="1"/>
  <c r="M44" i="1"/>
  <c r="M681" i="1"/>
  <c r="M743" i="1"/>
  <c r="M861" i="1"/>
  <c r="M98" i="1"/>
  <c r="M788" i="1"/>
  <c r="M882" i="1"/>
  <c r="M1167" i="1"/>
  <c r="M134" i="1"/>
  <c r="M660" i="1"/>
  <c r="M115" i="1"/>
  <c r="M119" i="1"/>
  <c r="M105" i="1"/>
  <c r="M783" i="1"/>
  <c r="M618" i="1"/>
  <c r="M193" i="1"/>
  <c r="M220" i="1"/>
  <c r="M742" i="1"/>
  <c r="M862" i="1"/>
  <c r="M62" i="1"/>
  <c r="M590" i="1"/>
  <c r="M43" i="1"/>
  <c r="M813" i="1"/>
  <c r="M180" i="1"/>
  <c r="M70" i="1"/>
  <c r="M626" i="1"/>
  <c r="M99" i="1"/>
  <c r="M1129" i="1"/>
  <c r="M729" i="1"/>
  <c r="M800" i="1"/>
  <c r="M147" i="1"/>
  <c r="M631" i="1"/>
  <c r="M837" i="1"/>
  <c r="M833" i="1"/>
  <c r="M214" i="1"/>
  <c r="M593" i="1"/>
  <c r="M650" i="1"/>
  <c r="M182" i="1"/>
  <c r="M125" i="1"/>
  <c r="M1154" i="1"/>
  <c r="M124" i="1"/>
  <c r="M713" i="1"/>
  <c r="M801" i="1"/>
  <c r="M17" i="1"/>
  <c r="M711" i="1"/>
  <c r="M844" i="1"/>
  <c r="M68" i="1"/>
  <c r="M1132" i="1"/>
  <c r="M829" i="1"/>
  <c r="M203" i="1"/>
  <c r="M202" i="1"/>
  <c r="M61" i="1"/>
  <c r="M786" i="1"/>
  <c r="M79" i="1"/>
  <c r="M102" i="1"/>
  <c r="M50" i="1"/>
  <c r="M680" i="1"/>
  <c r="M734" i="1"/>
  <c r="M748" i="1"/>
  <c r="M832" i="1"/>
  <c r="M186" i="1"/>
  <c r="M108" i="1"/>
  <c r="M169" i="1"/>
  <c r="M855" i="1"/>
  <c r="M160" i="1"/>
  <c r="M705" i="1"/>
  <c r="M686" i="1"/>
  <c r="M615" i="1"/>
  <c r="M215" i="1"/>
  <c r="M77" i="1"/>
  <c r="M765" i="1"/>
  <c r="M54" i="1"/>
  <c r="M746" i="1"/>
  <c r="M185" i="1"/>
  <c r="M1133" i="1"/>
  <c r="M651" i="1"/>
  <c r="M690" i="1"/>
  <c r="M852" i="1"/>
  <c r="M688" i="1"/>
  <c r="M1164" i="1"/>
  <c r="M209" i="1"/>
  <c r="M158" i="1"/>
  <c r="M797" i="1"/>
  <c r="M709" i="1"/>
  <c r="M133" i="1"/>
  <c r="M873" i="1"/>
  <c r="M731" i="1"/>
  <c r="M187" i="1"/>
  <c r="M893" i="1"/>
  <c r="M131" i="1"/>
  <c r="M750" i="1"/>
  <c r="M641" i="1"/>
  <c r="M114" i="1"/>
  <c r="M689" i="1"/>
  <c r="M16" i="1"/>
  <c r="M1180" i="1"/>
  <c r="M889" i="1"/>
  <c r="M184" i="1"/>
  <c r="M24" i="1"/>
  <c r="M28" i="1"/>
  <c r="M685" i="1"/>
  <c r="M192" i="1"/>
  <c r="M846" i="1"/>
  <c r="M190" i="1"/>
  <c r="M858" i="1"/>
  <c r="M1163" i="1"/>
  <c r="M1128" i="1"/>
  <c r="M684" i="1"/>
  <c r="M1173" i="1"/>
  <c r="M85" i="1"/>
  <c r="M643" i="1"/>
  <c r="M722" i="1"/>
  <c r="M599" i="1"/>
  <c r="M67" i="1"/>
  <c r="M654" i="1"/>
  <c r="M659" i="1"/>
  <c r="M1172" i="1"/>
  <c r="M780" i="1"/>
  <c r="M181" i="1"/>
  <c r="M823" i="1"/>
  <c r="M1330" i="1"/>
  <c r="M657" i="1"/>
  <c r="M629" i="1"/>
  <c r="M682" i="1"/>
  <c r="M598" i="1"/>
  <c r="M1149" i="1"/>
  <c r="M605" i="1"/>
  <c r="M1286" i="1"/>
  <c r="M884" i="1"/>
  <c r="M808" i="1"/>
  <c r="M708" i="1"/>
  <c r="M600" i="1"/>
  <c r="M791" i="1"/>
  <c r="M675" i="1"/>
  <c r="M1158" i="1"/>
  <c r="M842" i="1"/>
  <c r="M664" i="1"/>
  <c r="M789" i="1"/>
  <c r="M677" i="1"/>
  <c r="M48" i="1"/>
  <c r="M101" i="1"/>
  <c r="M1179" i="1"/>
  <c r="M758" i="1"/>
  <c r="M173" i="1"/>
  <c r="M609" i="1"/>
  <c r="M885" i="1"/>
  <c r="M1139" i="1"/>
  <c r="M197" i="1"/>
  <c r="M627" i="1"/>
  <c r="M854" i="1"/>
  <c r="M871" i="1"/>
  <c r="M879" i="1"/>
  <c r="M856" i="1"/>
  <c r="M1283" i="1"/>
  <c r="M216" i="1"/>
  <c r="M10" i="1"/>
  <c r="M766" i="1"/>
  <c r="M31" i="1"/>
  <c r="M1115" i="1"/>
  <c r="M683" i="1"/>
  <c r="M88" i="1"/>
  <c r="M790" i="1"/>
  <c r="M26" i="1"/>
  <c r="M1136" i="1"/>
  <c r="M785" i="1"/>
  <c r="M744" i="1"/>
  <c r="M69" i="1"/>
  <c r="M1331" i="1"/>
  <c r="M628" i="1"/>
  <c r="M614" i="1"/>
  <c r="M1176" i="1"/>
  <c r="M849" i="1"/>
  <c r="M818" i="1"/>
  <c r="M1146" i="1"/>
  <c r="M1156" i="1"/>
  <c r="M167" i="1"/>
  <c r="M1124" i="1"/>
  <c r="M646" i="1"/>
  <c r="M843" i="1"/>
  <c r="M672" i="1"/>
  <c r="M816" i="1"/>
  <c r="M787" i="1"/>
  <c r="M1174" i="1"/>
  <c r="M630" i="1"/>
  <c r="M669" i="1"/>
  <c r="M795" i="1"/>
  <c r="M1161" i="1"/>
  <c r="M91" i="1"/>
  <c r="M46" i="1"/>
  <c r="M13" i="1"/>
  <c r="M18" i="1"/>
  <c r="M136" i="1"/>
  <c r="M76" i="1"/>
  <c r="M1151" i="1"/>
  <c r="M870" i="1"/>
  <c r="M1137" i="1"/>
  <c r="M1148" i="1"/>
  <c r="M122" i="1"/>
  <c r="M1145" i="1"/>
  <c r="M695" i="1"/>
  <c r="M217" i="1"/>
  <c r="M623" i="1"/>
  <c r="M12" i="1"/>
  <c r="M6" i="1"/>
  <c r="M123" i="1"/>
  <c r="M1282" i="1"/>
  <c r="M775" i="1"/>
  <c r="M714" i="1"/>
  <c r="M208" i="1"/>
  <c r="M171" i="1"/>
  <c r="M803" i="1"/>
  <c r="M863" i="1"/>
  <c r="M1131" i="1"/>
  <c r="M211" i="1"/>
  <c r="M773" i="1"/>
  <c r="M799" i="1"/>
  <c r="M666" i="1"/>
  <c r="M1160" i="1"/>
  <c r="M812" i="1"/>
  <c r="M219" i="1"/>
  <c r="M129" i="1"/>
  <c r="M41" i="1"/>
  <c r="M644" i="1"/>
  <c r="M51" i="1"/>
  <c r="M1155" i="1"/>
  <c r="M755" i="1"/>
  <c r="M751" i="1"/>
  <c r="M642" i="1"/>
  <c r="M718" i="1"/>
  <c r="M97" i="1"/>
  <c r="M735" i="1"/>
  <c r="M692" i="1"/>
  <c r="M58" i="1"/>
  <c r="M142" i="1"/>
  <c r="M11" i="1"/>
  <c r="M1125" i="1"/>
  <c r="M74" i="1"/>
  <c r="M625" i="1"/>
  <c r="AB348" i="1"/>
  <c r="Q825" i="1" a="1"/>
  <c r="Q825" i="1" s="1"/>
  <c r="Q148" i="1" a="1"/>
  <c r="Q148" i="1" s="1"/>
  <c r="AB322" i="1"/>
  <c r="AB116" i="1"/>
  <c r="AB104" i="1"/>
  <c r="AB152" i="1"/>
  <c r="AB149" i="1"/>
  <c r="AB45" i="1"/>
  <c r="AB11" i="1"/>
  <c r="AB138" i="1"/>
  <c r="AB61" i="1"/>
  <c r="Q1130" i="1" a="1"/>
  <c r="Q1130" i="1" s="1"/>
  <c r="AB214" i="1"/>
  <c r="AB264" i="1"/>
  <c r="AB265" i="1"/>
  <c r="AB117" i="1"/>
  <c r="AB188" i="1"/>
  <c r="AB379" i="1"/>
  <c r="AB9" i="1"/>
  <c r="AB405" i="1"/>
  <c r="AB232" i="1"/>
  <c r="AB191" i="1"/>
  <c r="AB252" i="1"/>
  <c r="AB36" i="1"/>
  <c r="AB10" i="1"/>
  <c r="AB97" i="1"/>
  <c r="AB82" i="1"/>
  <c r="AB47" i="1"/>
  <c r="AB391" i="1"/>
  <c r="AB210" i="1"/>
  <c r="AB85" i="1"/>
  <c r="AB20" i="1"/>
  <c r="AB377" i="1"/>
  <c r="AB195" i="1"/>
  <c r="AB272" i="1"/>
  <c r="AB93" i="1"/>
  <c r="AB344" i="1"/>
  <c r="AB396" i="1"/>
  <c r="AB71" i="1"/>
  <c r="AB57" i="1"/>
  <c r="AB91" i="1"/>
  <c r="AB151" i="1"/>
  <c r="AB204" i="1"/>
  <c r="AB223" i="1"/>
  <c r="AB346" i="1"/>
  <c r="AB283" i="1"/>
  <c r="AB33" i="1"/>
  <c r="AB29" i="1"/>
  <c r="AB222" i="1"/>
  <c r="AB401" i="1"/>
  <c r="AB371" i="1"/>
  <c r="AB213" i="1"/>
  <c r="AB337" i="1"/>
  <c r="AB331" i="1"/>
  <c r="AB176" i="1"/>
  <c r="AB392" i="1"/>
  <c r="AB261" i="1"/>
  <c r="AB393" i="1"/>
  <c r="AB365" i="1"/>
  <c r="AB255" i="1"/>
  <c r="AB107" i="1"/>
  <c r="AB16" i="1"/>
  <c r="AB257" i="1"/>
  <c r="AB87" i="1"/>
  <c r="AB212" i="1"/>
  <c r="AB137" i="1"/>
  <c r="AB135" i="1"/>
  <c r="AB134" i="1"/>
  <c r="AB18" i="1"/>
  <c r="AB364" i="1"/>
  <c r="AB350" i="1"/>
  <c r="AB295" i="1"/>
  <c r="AB178" i="1"/>
  <c r="AB64" i="1"/>
  <c r="AB349" i="1"/>
  <c r="AB65" i="1"/>
  <c r="AB356" i="1"/>
  <c r="AB28" i="1"/>
  <c r="AB80" i="1"/>
  <c r="AB62" i="1"/>
  <c r="AB118" i="1"/>
  <c r="AB44" i="1"/>
  <c r="AB128" i="1"/>
  <c r="AB362" i="1"/>
  <c r="AB236" i="1"/>
  <c r="AB230" i="1"/>
  <c r="AB84" i="1"/>
  <c r="AB403" i="1"/>
  <c r="AB397" i="1"/>
  <c r="AB42" i="1"/>
  <c r="AB175" i="1"/>
  <c r="AB395" i="1"/>
  <c r="AB156" i="1"/>
  <c r="AB381" i="1"/>
  <c r="AB55" i="1"/>
  <c r="AB404" i="1"/>
  <c r="AB248" i="1"/>
  <c r="AB115" i="1"/>
  <c r="AB111" i="1"/>
  <c r="AB37" i="1"/>
  <c r="AB314" i="1"/>
  <c r="AB373" i="1"/>
  <c r="AB290" i="1"/>
  <c r="AB394" i="1"/>
  <c r="AB388" i="1"/>
  <c r="AB367" i="1"/>
  <c r="AB98" i="1"/>
  <c r="AB238" i="1"/>
  <c r="AB323" i="1"/>
  <c r="AB288" i="1"/>
  <c r="AB275" i="1"/>
  <c r="AB22" i="1"/>
  <c r="AB54" i="1"/>
  <c r="AB383" i="1"/>
  <c r="AB186" i="1"/>
  <c r="AB293" i="1"/>
  <c r="AB166" i="1"/>
  <c r="AB385" i="1"/>
  <c r="AB277" i="1"/>
  <c r="AB58" i="1"/>
  <c r="AB382" i="1"/>
  <c r="AB145" i="1"/>
  <c r="AB12" i="1"/>
  <c r="AB539" i="1" l="1"/>
  <c r="Q902" i="1" a="1"/>
  <c r="Q902" i="1" s="1"/>
  <c r="AB600" i="1"/>
  <c r="AB625" i="1"/>
  <c r="AB426" i="1"/>
  <c r="AB769" i="1"/>
  <c r="AB705" i="1"/>
  <c r="AB680" i="1"/>
  <c r="AB526" i="1"/>
  <c r="Q255" i="1" a="1"/>
  <c r="Q255" i="1" s="1"/>
  <c r="AB714" i="1"/>
  <c r="AB809" i="1"/>
  <c r="Q1213" i="1" a="1"/>
  <c r="Q1213" i="1" s="1"/>
  <c r="AB697" i="1"/>
  <c r="Q970" i="1" a="1"/>
  <c r="Q970" i="1" s="1"/>
  <c r="AB617" i="1"/>
  <c r="Q929" i="1" a="1"/>
  <c r="Q929" i="1" s="1"/>
  <c r="AB228" i="1"/>
  <c r="Q233" i="1" a="1"/>
  <c r="Q233" i="1" s="1"/>
  <c r="Q252" i="1" a="1"/>
  <c r="Q252" i="1" s="1"/>
  <c r="AB642" i="1"/>
  <c r="AB407" i="1"/>
  <c r="Q842" i="1" a="1"/>
  <c r="Q842" i="1" s="1"/>
  <c r="AB574" i="1"/>
  <c r="Q293" i="1" a="1"/>
  <c r="Q293" i="1" s="1"/>
  <c r="AB146" i="1"/>
  <c r="Q47" i="1" a="1"/>
  <c r="Q47" i="1" s="1"/>
  <c r="Q366" i="1" a="1"/>
  <c r="Q366" i="1" s="1"/>
  <c r="Q956" i="1" a="1"/>
  <c r="Q956" i="1" s="1"/>
  <c r="Q1264" i="1" a="1"/>
  <c r="Q1264" i="1" s="1"/>
  <c r="AB755" i="1"/>
  <c r="AB441" i="1"/>
  <c r="AB704" i="1"/>
  <c r="Q977" i="1" a="1"/>
  <c r="Q977" i="1" s="1"/>
  <c r="AB790" i="1"/>
  <c r="AB586" i="1"/>
  <c r="AB253" i="1"/>
  <c r="AB854" i="1"/>
  <c r="AB580" i="1"/>
  <c r="AB504" i="1"/>
  <c r="AB549" i="1"/>
  <c r="Q910" i="1" a="1"/>
  <c r="Q910" i="1" s="1"/>
  <c r="AB384" i="1"/>
  <c r="AB78" i="1"/>
  <c r="AB247" i="1"/>
  <c r="AB133" i="1"/>
  <c r="Q875" i="1" a="1"/>
  <c r="Q875" i="1" s="1"/>
  <c r="Q1100" i="1" a="1"/>
  <c r="Q1100" i="1" s="1"/>
  <c r="Q935" i="1" a="1"/>
  <c r="Q935" i="1" s="1"/>
  <c r="AB677" i="1"/>
  <c r="Q345" i="1" a="1"/>
  <c r="Q345" i="1" s="1"/>
  <c r="AB663" i="1"/>
  <c r="AB548" i="1"/>
  <c r="AB623" i="1"/>
  <c r="AB877" i="1"/>
  <c r="AB372" i="1"/>
  <c r="AB686" i="1"/>
  <c r="AB516" i="1"/>
  <c r="Q792" i="1" a="1"/>
  <c r="Q792" i="1" s="1"/>
  <c r="AB802" i="1"/>
  <c r="AB343" i="1"/>
  <c r="AB882" i="1"/>
  <c r="Q586" i="1" a="1"/>
  <c r="Q586" i="1" s="1"/>
  <c r="AB806" i="1"/>
  <c r="Q552" i="1" a="1"/>
  <c r="Q552" i="1" s="1"/>
  <c r="AB699" i="1"/>
  <c r="AB674" i="1"/>
  <c r="AB509" i="1"/>
  <c r="AB538" i="1"/>
  <c r="AB568" i="1"/>
  <c r="AB569" i="1"/>
  <c r="AB449" i="1"/>
  <c r="Q864" i="1" a="1"/>
  <c r="Q864" i="1" s="1"/>
  <c r="AB683" i="1"/>
  <c r="AB606" i="1"/>
  <c r="AB543" i="1"/>
  <c r="AB631" i="1"/>
  <c r="AB612" i="1"/>
  <c r="AB541" i="1"/>
  <c r="AB478" i="1"/>
  <c r="AB779" i="1"/>
  <c r="Q1181" i="1" a="1"/>
  <c r="Q1181" i="1" s="1"/>
  <c r="AB636" i="1"/>
  <c r="Q952" i="1" a="1"/>
  <c r="Q952" i="1" s="1"/>
  <c r="AB633" i="1"/>
  <c r="AB653" i="1"/>
  <c r="AB517" i="1"/>
  <c r="Q245" i="1" a="1"/>
  <c r="Q245" i="1" s="1"/>
  <c r="AB664" i="1"/>
  <c r="AB880" i="1"/>
  <c r="AB453" i="1"/>
  <c r="AB431" i="1"/>
  <c r="AB774" i="1"/>
  <c r="Q582" i="1" a="1"/>
  <c r="Q582" i="1" s="1"/>
  <c r="AB587" i="1"/>
  <c r="AB708" i="1"/>
  <c r="Q981" i="1" a="1"/>
  <c r="Q981" i="1" s="1"/>
  <c r="AB651" i="1"/>
  <c r="Q1340" i="1" a="1"/>
  <c r="Q1340" i="1" s="1"/>
  <c r="AB867" i="1"/>
  <c r="AB832" i="1"/>
  <c r="AB629" i="1"/>
  <c r="AB844" i="1"/>
  <c r="AB873" i="1"/>
  <c r="AB718" i="1"/>
  <c r="AB695" i="1"/>
  <c r="AB670" i="1"/>
  <c r="AB761" i="1"/>
  <c r="Q377" i="1" a="1"/>
  <c r="Q377" i="1" s="1"/>
  <c r="AB794" i="1"/>
  <c r="AB858" i="1"/>
  <c r="AB825" i="1"/>
  <c r="Q1265" i="1" a="1"/>
  <c r="Q1265" i="1" s="1"/>
  <c r="AB842" i="1"/>
  <c r="Q1313" i="1" a="1"/>
  <c r="Q1313" i="1" s="1"/>
  <c r="AB757" i="1"/>
  <c r="AB848" i="1"/>
  <c r="AB439" i="1"/>
  <c r="AB557" i="1"/>
  <c r="Q277" i="1" a="1"/>
  <c r="Q277" i="1" s="1"/>
  <c r="Q874" i="1" a="1"/>
  <c r="Q874" i="1" s="1"/>
  <c r="Q1109" i="1" a="1"/>
  <c r="Q1109" i="1" s="1"/>
  <c r="Q930" i="1" a="1"/>
  <c r="Q930" i="1" s="1"/>
  <c r="Q944" i="1" a="1"/>
  <c r="Q944" i="1" s="1"/>
  <c r="AB878" i="1"/>
  <c r="AB675" i="1"/>
  <c r="Q343" i="1" a="1"/>
  <c r="Q343" i="1" s="1"/>
  <c r="AB562" i="1"/>
  <c r="Q282" i="1" a="1"/>
  <c r="Q282" i="1" s="1"/>
  <c r="AB523" i="1"/>
  <c r="AB200" i="1"/>
  <c r="AB529" i="1"/>
  <c r="AB206" i="1"/>
  <c r="AB698" i="1"/>
  <c r="AB749" i="1"/>
  <c r="AB566" i="1"/>
  <c r="AB102" i="1"/>
  <c r="AB240" i="1"/>
  <c r="AB105" i="1"/>
  <c r="Q210" i="1" a="1"/>
  <c r="Q210" i="1" s="1"/>
  <c r="Q962" i="1" a="1"/>
  <c r="Q962" i="1" s="1"/>
  <c r="AB616" i="1"/>
  <c r="AB816" i="1"/>
  <c r="AB357" i="1"/>
  <c r="AB476" i="1"/>
  <c r="AB777" i="1"/>
  <c r="AB754" i="1"/>
  <c r="AB820" i="1"/>
  <c r="AB870" i="1"/>
  <c r="AB717" i="1"/>
  <c r="AB745" i="1"/>
  <c r="AB694" i="1"/>
  <c r="AB429" i="1"/>
  <c r="AB772" i="1"/>
  <c r="AB189" i="1"/>
  <c r="AB187" i="1"/>
  <c r="Q219" i="1" a="1"/>
  <c r="Q219" i="1" s="1"/>
  <c r="Q837" i="1" a="1"/>
  <c r="Q837" i="1" s="1"/>
  <c r="Q129" i="1" a="1"/>
  <c r="Q129" i="1" s="1"/>
  <c r="Q880" i="1" a="1"/>
  <c r="Q880" i="1" s="1"/>
  <c r="AB39" i="1"/>
  <c r="AB190" i="1"/>
  <c r="AB308" i="1"/>
  <c r="Q983" i="1" a="1"/>
  <c r="Q983" i="1" s="1"/>
  <c r="Q359" i="1" a="1"/>
  <c r="Q359" i="1" s="1"/>
  <c r="Q226" i="1" a="1"/>
  <c r="Q226" i="1" s="1"/>
  <c r="Q553" i="1" a="1"/>
  <c r="Q553" i="1" s="1"/>
  <c r="Q1210" i="1" a="1"/>
  <c r="Q1210" i="1" s="1"/>
  <c r="Q1329" i="1" a="1"/>
  <c r="Q1329" i="1" s="1"/>
  <c r="Q325" i="1" a="1"/>
  <c r="Q325" i="1" s="1"/>
  <c r="Q533" i="1" a="1"/>
  <c r="Q533" i="1" s="1"/>
  <c r="Q475" i="1" a="1"/>
  <c r="Q475" i="1" s="1"/>
  <c r="Q940" i="1" a="1"/>
  <c r="Q940" i="1" s="1"/>
  <c r="Q223" i="1" a="1"/>
  <c r="Q223" i="1" s="1"/>
  <c r="Q903" i="1" a="1"/>
  <c r="Q903" i="1" s="1"/>
  <c r="Q1216" i="1" a="1"/>
  <c r="Q1216" i="1" s="1"/>
  <c r="Q1192" i="1" a="1"/>
  <c r="Q1192" i="1" s="1"/>
  <c r="Q1188" i="1" a="1"/>
  <c r="Q1188" i="1" s="1"/>
  <c r="Q915" i="1" a="1"/>
  <c r="Q915" i="1" s="1"/>
  <c r="Q203" i="1" a="1"/>
  <c r="Q203" i="1" s="1"/>
  <c r="AB577" i="1"/>
  <c r="Q296" i="1" a="1"/>
  <c r="Q296" i="1" s="1"/>
  <c r="AB244" i="1"/>
  <c r="AB728" i="1"/>
  <c r="Q1344" i="1" a="1"/>
  <c r="Q1344" i="1" s="1"/>
  <c r="Q1159" i="1" a="1"/>
  <c r="Q1159" i="1" s="1"/>
  <c r="AB762" i="1"/>
  <c r="AB622" i="1"/>
  <c r="AB477" i="1"/>
  <c r="AB778" i="1"/>
  <c r="Q819" i="1" a="1"/>
  <c r="Q819" i="1" s="1"/>
  <c r="AB852" i="1"/>
  <c r="AB865" i="1"/>
  <c r="Q1327" i="1" a="1"/>
  <c r="Q1327" i="1" s="1"/>
  <c r="AB781" i="1"/>
  <c r="Q523" i="1" a="1"/>
  <c r="Q523" i="1" s="1"/>
  <c r="AB703" i="1"/>
  <c r="AB678" i="1"/>
  <c r="AB464" i="1"/>
  <c r="Q881" i="1" a="1"/>
  <c r="Q881" i="1" s="1"/>
  <c r="AB871" i="1"/>
  <c r="Q579" i="1" a="1"/>
  <c r="Q579" i="1" s="1"/>
  <c r="AB836" i="1"/>
  <c r="AB715" i="1"/>
  <c r="AB811" i="1"/>
  <c r="Q559" i="1" a="1"/>
  <c r="Q559" i="1" s="1"/>
  <c r="AB567" i="1"/>
  <c r="AB235" i="1"/>
  <c r="AB505" i="1"/>
  <c r="AB182" i="1"/>
  <c r="Q232" i="1" a="1"/>
  <c r="Q232" i="1" s="1"/>
  <c r="AB425" i="1"/>
  <c r="AB768" i="1"/>
  <c r="Q1169" i="1" a="1"/>
  <c r="Q1169" i="1" s="1"/>
  <c r="AB198" i="1"/>
  <c r="Q525" i="1" a="1"/>
  <c r="Q525" i="1" s="1"/>
  <c r="Q249" i="1" a="1"/>
  <c r="Q249" i="1" s="1"/>
  <c r="AB451" i="1"/>
  <c r="Q867" i="1" a="1"/>
  <c r="Q867" i="1" s="1"/>
  <c r="AB532" i="1"/>
  <c r="Q261" i="1" a="1"/>
  <c r="Q261" i="1" s="1"/>
  <c r="AB144" i="1"/>
  <c r="AB281" i="1"/>
  <c r="Q1175" i="1" a="1"/>
  <c r="Q1175" i="1" s="1"/>
  <c r="Q1275" i="1" a="1"/>
  <c r="Q1275" i="1" s="1"/>
  <c r="Q978" i="1" a="1"/>
  <c r="Q978" i="1" s="1"/>
  <c r="Q973" i="1" a="1"/>
  <c r="Q973" i="1" s="1"/>
  <c r="Q948" i="1" a="1"/>
  <c r="Q948" i="1" s="1"/>
  <c r="Q1106" i="1" a="1"/>
  <c r="Q1106" i="1" s="1"/>
  <c r="Q562" i="1" a="1"/>
  <c r="Q562" i="1" s="1"/>
  <c r="Q229" i="1" a="1"/>
  <c r="Q229" i="1" s="1"/>
  <c r="Q250" i="1" a="1"/>
  <c r="Q250" i="1" s="1"/>
  <c r="AB615" i="1"/>
  <c r="Q927" i="1" a="1"/>
  <c r="Q927" i="1" s="1"/>
  <c r="AB492" i="1"/>
  <c r="Q898" i="1" a="1"/>
  <c r="Q898" i="1" s="1"/>
  <c r="AB693" i="1"/>
  <c r="AB740" i="1"/>
  <c r="AB630" i="1"/>
  <c r="AB845" i="1"/>
  <c r="AB611" i="1"/>
  <c r="AB430" i="1"/>
  <c r="Q1174" i="1" a="1"/>
  <c r="Q1174" i="1" s="1"/>
  <c r="AB682" i="1"/>
  <c r="AB551" i="1"/>
  <c r="Q271" i="1" a="1"/>
  <c r="Q271" i="1" s="1"/>
  <c r="AB639" i="1"/>
  <c r="AB481" i="1"/>
  <c r="AB363" i="1"/>
  <c r="Q1335" i="1" a="1"/>
  <c r="Q1335" i="1" s="1"/>
  <c r="Q1321" i="1" a="1"/>
  <c r="Q1321" i="1" s="1"/>
  <c r="Q355" i="1" a="1"/>
  <c r="Q355" i="1" s="1"/>
  <c r="Q231" i="1" a="1"/>
  <c r="Q231" i="1" s="1"/>
  <c r="AB95" i="1"/>
  <c r="AB301" i="1"/>
  <c r="AB309" i="1"/>
  <c r="AB330" i="1"/>
  <c r="AB167" i="1"/>
  <c r="AB205" i="1"/>
  <c r="AB332" i="1"/>
  <c r="AB324" i="1"/>
  <c r="Q216" i="1" a="1"/>
  <c r="Q216" i="1" s="1"/>
  <c r="Q858" i="1" a="1"/>
  <c r="Q858" i="1" s="1"/>
  <c r="Q1173" i="1" a="1"/>
  <c r="Q1173" i="1" s="1"/>
  <c r="Q257" i="1" a="1"/>
  <c r="Q257" i="1" s="1"/>
  <c r="Q313" i="1" a="1"/>
  <c r="Q313" i="1" s="1"/>
  <c r="Q287" i="1" a="1"/>
  <c r="Q287" i="1" s="1"/>
  <c r="Q529" i="1" a="1"/>
  <c r="Q529" i="1" s="1"/>
  <c r="Q955" i="1" a="1"/>
  <c r="Q955" i="1" s="1"/>
  <c r="Q1312" i="1" a="1"/>
  <c r="Q1312" i="1" s="1"/>
  <c r="Q951" i="1" a="1"/>
  <c r="Q951" i="1" s="1"/>
  <c r="Q572" i="1" a="1"/>
  <c r="Q572" i="1" s="1"/>
  <c r="Q916" i="1" a="1"/>
  <c r="Q916" i="1" s="1"/>
  <c r="Q997" i="1" a="1"/>
  <c r="Q997" i="1" s="1"/>
  <c r="Q914" i="1" a="1"/>
  <c r="Q914" i="1" s="1"/>
  <c r="Q324" i="1" a="1"/>
  <c r="Q324" i="1" s="1"/>
  <c r="Q896" i="1" a="1"/>
  <c r="Q896" i="1" s="1"/>
  <c r="Q982" i="1" a="1"/>
  <c r="Q982" i="1" s="1"/>
  <c r="Q1338" i="1" a="1"/>
  <c r="Q1338" i="1" s="1"/>
  <c r="Q316" i="1" a="1"/>
  <c r="Q316" i="1" s="1"/>
  <c r="Q848" i="1" a="1"/>
  <c r="Q848" i="1" s="1"/>
  <c r="Q208" i="1" a="1"/>
  <c r="Q208" i="1" s="1"/>
  <c r="Q844" i="1" a="1"/>
  <c r="Q844" i="1" s="1"/>
  <c r="Q1180" i="1" a="1"/>
  <c r="Q1180" i="1" s="1"/>
  <c r="AB786" i="1"/>
  <c r="Q528" i="1" a="1"/>
  <c r="Q528" i="1" s="1"/>
  <c r="AB423" i="1"/>
  <c r="AB766" i="1"/>
  <c r="AB719" i="1"/>
  <c r="Q1221" i="1" a="1"/>
  <c r="Q1221" i="1" s="1"/>
  <c r="AB203" i="1"/>
  <c r="AB455" i="1"/>
  <c r="AB589" i="1"/>
  <c r="AB791" i="1"/>
  <c r="Q534" i="1" a="1"/>
  <c r="Q534" i="1" s="1"/>
  <c r="AB813" i="1"/>
  <c r="Q561" i="1" a="1"/>
  <c r="Q561" i="1" s="1"/>
  <c r="AB510" i="1"/>
  <c r="AB412" i="1"/>
  <c r="Q847" i="1" a="1"/>
  <c r="Q847" i="1" s="1"/>
  <c r="AB531" i="1"/>
  <c r="AB469" i="1"/>
  <c r="AB603" i="1"/>
  <c r="AB661" i="1"/>
  <c r="AB804" i="1"/>
  <c r="AB519" i="1"/>
  <c r="AB196" i="1"/>
  <c r="AB125" i="1"/>
  <c r="AB174" i="1"/>
  <c r="Q891" i="1" a="1"/>
  <c r="Q891" i="1" s="1"/>
  <c r="Q861" i="1" a="1"/>
  <c r="Q861" i="1" s="1"/>
  <c r="Q1196" i="1" a="1"/>
  <c r="Q1196" i="1" s="1"/>
  <c r="Q908" i="1" a="1"/>
  <c r="Q908" i="1" s="1"/>
  <c r="AB645" i="1"/>
  <c r="Q328" i="1" a="1"/>
  <c r="Q328" i="1" s="1"/>
  <c r="AB861" i="1"/>
  <c r="AB827" i="1"/>
  <c r="Q1268" i="1" a="1"/>
  <c r="Q1268" i="1" s="1"/>
  <c r="AB706" i="1"/>
  <c r="AB681" i="1"/>
  <c r="AB227" i="1"/>
  <c r="Q869" i="1" a="1"/>
  <c r="Q869" i="1" s="1"/>
  <c r="AB355" i="1"/>
  <c r="AB329" i="1"/>
  <c r="AB170" i="1"/>
  <c r="Q1334" i="1" a="1"/>
  <c r="Q1334" i="1" s="1"/>
  <c r="Q1160" i="1" a="1"/>
  <c r="Q1160" i="1" s="1"/>
  <c r="Q888" i="1" a="1"/>
  <c r="Q888" i="1" s="1"/>
  <c r="Q957" i="1" a="1"/>
  <c r="Q957" i="1" s="1"/>
  <c r="Q1328" i="1" a="1"/>
  <c r="Q1328" i="1" s="1"/>
  <c r="Q280" i="1" a="1"/>
  <c r="Q280" i="1" s="1"/>
  <c r="Q530" i="1" a="1"/>
  <c r="Q530" i="1" s="1"/>
  <c r="Q239" i="1" a="1"/>
  <c r="Q239" i="1" s="1"/>
  <c r="Q560" i="1" a="1"/>
  <c r="Q560" i="1" s="1"/>
  <c r="Q268" i="1" a="1"/>
  <c r="Q268" i="1" s="1"/>
  <c r="Q1291" i="1" a="1"/>
  <c r="Q1291" i="1" s="1"/>
  <c r="Q294" i="1" a="1"/>
  <c r="Q294" i="1" s="1"/>
  <c r="Q897" i="1" a="1"/>
  <c r="Q897" i="1" s="1"/>
  <c r="Q1183" i="1" a="1"/>
  <c r="Q1183" i="1" s="1"/>
  <c r="Q974" i="1" a="1"/>
  <c r="Q974" i="1" s="1"/>
  <c r="AB554" i="1"/>
  <c r="Q274" i="1" a="1"/>
  <c r="Q274" i="1" s="1"/>
  <c r="Q801" i="1" a="1"/>
  <c r="Q801" i="1" s="1"/>
  <c r="AB525" i="1"/>
  <c r="AB793" i="1"/>
  <c r="AB646" i="1"/>
  <c r="Q1193" i="1" a="1"/>
  <c r="Q1193" i="1" s="1"/>
  <c r="AB553" i="1"/>
  <c r="AB838" i="1"/>
  <c r="AB370" i="1"/>
  <c r="AB837" i="1"/>
  <c r="AB643" i="1"/>
  <c r="Q326" i="1" a="1"/>
  <c r="Q326" i="1" s="1"/>
  <c r="AB536" i="1"/>
  <c r="AB428" i="1"/>
  <c r="AB771" i="1"/>
  <c r="AB666" i="1"/>
  <c r="AB808" i="1"/>
  <c r="AB488" i="1"/>
  <c r="AB679" i="1"/>
  <c r="Q349" i="1" a="1"/>
  <c r="Q349" i="1" s="1"/>
  <c r="AB571" i="1"/>
  <c r="AB730" i="1"/>
  <c r="AB881" i="1"/>
  <c r="Q1114" i="1" a="1"/>
  <c r="Q1114" i="1" s="1"/>
  <c r="AB726" i="1"/>
  <c r="AB294" i="1"/>
  <c r="C22" i="3" s="1"/>
  <c r="D22" i="3" s="1"/>
  <c r="AB658" i="1"/>
  <c r="AB801" i="1"/>
  <c r="AB556" i="1"/>
  <c r="AB435" i="1"/>
  <c r="AB776" i="1"/>
  <c r="AB792" i="1"/>
  <c r="AB860" i="1"/>
  <c r="Q1362" i="1" a="1"/>
  <c r="Q1362" i="1" s="1"/>
  <c r="AB810" i="1"/>
  <c r="AB351" i="1"/>
  <c r="AB713" i="1"/>
  <c r="AB628" i="1"/>
  <c r="AB650" i="1"/>
  <c r="AB485" i="1"/>
  <c r="AB785" i="1"/>
  <c r="AB427" i="1"/>
  <c r="AB770" i="1"/>
  <c r="AB353" i="1"/>
  <c r="AB53" i="1"/>
  <c r="AB389" i="1"/>
  <c r="AB654" i="1"/>
  <c r="AB797" i="1"/>
  <c r="AB583" i="1"/>
  <c r="AB520" i="1"/>
  <c r="AB447" i="1"/>
  <c r="AB304" i="1"/>
  <c r="AB237" i="1"/>
  <c r="AB598" i="1"/>
  <c r="AB534" i="1"/>
  <c r="Q263" i="1" a="1"/>
  <c r="Q263" i="1" s="1"/>
  <c r="AB46" i="1"/>
  <c r="Q595" i="1" a="1"/>
  <c r="Q595" i="1" s="1"/>
  <c r="AB581" i="1"/>
  <c r="AB511" i="1"/>
  <c r="AB450" i="1"/>
  <c r="Q689" i="1" a="1"/>
  <c r="Q689" i="1" s="1"/>
  <c r="AB592" i="1"/>
  <c r="AB376" i="1"/>
  <c r="AB739" i="1"/>
  <c r="AB665" i="1"/>
  <c r="AB578" i="1"/>
  <c r="AB644" i="1"/>
  <c r="AB656" i="1"/>
  <c r="AB869" i="1"/>
  <c r="AB660" i="1"/>
  <c r="AB561" i="1"/>
  <c r="AB462" i="1"/>
  <c r="AB712" i="1"/>
  <c r="AB687" i="1"/>
  <c r="AB876" i="1"/>
  <c r="AB850" i="1"/>
  <c r="AB863" i="1"/>
  <c r="AB465" i="1"/>
  <c r="AB843" i="1"/>
  <c r="AB742" i="1"/>
  <c r="AB684" i="1"/>
  <c r="AB864" i="1"/>
  <c r="AB874" i="1"/>
  <c r="AB824" i="1"/>
  <c r="AB821" i="1"/>
  <c r="AB657" i="1"/>
  <c r="AB800" i="1"/>
  <c r="AB555" i="1"/>
  <c r="AB418" i="1"/>
  <c r="AB515" i="1"/>
  <c r="AB298" i="1"/>
  <c r="C4" i="3" s="1"/>
  <c r="D4" i="3" s="1"/>
  <c r="AB673" i="1"/>
  <c r="AB599" i="1"/>
  <c r="AB535" i="1"/>
  <c r="AB475" i="1"/>
  <c r="AB68" i="1"/>
  <c r="AB613" i="1"/>
  <c r="AB490" i="1"/>
  <c r="AB604" i="1"/>
  <c r="AB533" i="1"/>
  <c r="Q994" i="1" a="1"/>
  <c r="Q994" i="1" s="1"/>
  <c r="Q303" i="1" a="1"/>
  <c r="Q303" i="1" s="1"/>
  <c r="Q264" i="1" a="1"/>
  <c r="Q264" i="1" s="1"/>
  <c r="AB823" i="1"/>
  <c r="AB360" i="1"/>
  <c r="AB799" i="1"/>
  <c r="AB655" i="1"/>
  <c r="AB564" i="1"/>
  <c r="AB729" i="1"/>
  <c r="AB634" i="1"/>
  <c r="AB514" i="1"/>
  <c r="AB502" i="1"/>
  <c r="AB280" i="1"/>
  <c r="AB856" i="1"/>
  <c r="AB744" i="1"/>
  <c r="AB652" i="1"/>
  <c r="AB879" i="1"/>
  <c r="AB547" i="1"/>
  <c r="AB696" i="1"/>
  <c r="AB671" i="1"/>
  <c r="AB563" i="1"/>
  <c r="AB759" i="1"/>
  <c r="AB685" i="1"/>
  <c r="AB585" i="1"/>
  <c r="AB484" i="1"/>
  <c r="AB784" i="1"/>
  <c r="AB746" i="1"/>
  <c r="AB835" i="1"/>
  <c r="AB668" i="1"/>
  <c r="AB570" i="1"/>
  <c r="AB789" i="1"/>
  <c r="AB866" i="1"/>
  <c r="AB831" i="1"/>
  <c r="AB818" i="1"/>
  <c r="AB725" i="1"/>
  <c r="AB638" i="1"/>
  <c r="AB507" i="1"/>
  <c r="AB434" i="1"/>
  <c r="AB591" i="1"/>
  <c r="AB527" i="1"/>
  <c r="AB454" i="1"/>
  <c r="AB588" i="1"/>
  <c r="AB375" i="1"/>
  <c r="AB242" i="1"/>
  <c r="AB605" i="1"/>
  <c r="AB542" i="1"/>
  <c r="AB619" i="1"/>
  <c r="AB482" i="1"/>
  <c r="AB597" i="1"/>
  <c r="AB518" i="1"/>
  <c r="Q684" i="1" a="1"/>
  <c r="Q684" i="1" s="1"/>
  <c r="AB143" i="1"/>
  <c r="Q1115" i="1" a="1"/>
  <c r="Q1115" i="1" s="1"/>
  <c r="Q323" i="1" a="1"/>
  <c r="Q323" i="1" s="1"/>
  <c r="Q585" i="1" a="1"/>
  <c r="Q585" i="1" s="1"/>
  <c r="Q995" i="1" a="1"/>
  <c r="Q995" i="1" s="1"/>
  <c r="Q925" i="1" a="1"/>
  <c r="Q925" i="1" s="1"/>
  <c r="Q972" i="1" a="1"/>
  <c r="Q972" i="1" s="1"/>
  <c r="Q936" i="1" a="1"/>
  <c r="Q936" i="1" s="1"/>
  <c r="Q281" i="1" a="1"/>
  <c r="Q281" i="1" s="1"/>
  <c r="Q1187" i="1" a="1"/>
  <c r="Q1187" i="1" s="1"/>
  <c r="Q843" i="1" a="1"/>
  <c r="Q843" i="1" s="1"/>
  <c r="Q855" i="1" a="1"/>
  <c r="Q855" i="1" s="1"/>
  <c r="Q849" i="1" a="1"/>
  <c r="Q849" i="1" s="1"/>
  <c r="Q305" i="1" a="1"/>
  <c r="Q305" i="1" s="1"/>
  <c r="Q265" i="1" a="1"/>
  <c r="Q265" i="1" s="1"/>
  <c r="Q357" i="1" a="1"/>
  <c r="Q357" i="1" s="1"/>
  <c r="Q1271" i="1" a="1"/>
  <c r="Q1271" i="1" s="1"/>
  <c r="Q584" i="1" a="1"/>
  <c r="Q584" i="1" s="1"/>
  <c r="Q524" i="1" a="1"/>
  <c r="Q524" i="1" s="1"/>
  <c r="Q1211" i="1" a="1"/>
  <c r="Q1211" i="1" s="1"/>
  <c r="Q251" i="1" a="1"/>
  <c r="Q251" i="1" s="1"/>
  <c r="Q315" i="1" a="1"/>
  <c r="Q315" i="1" s="1"/>
  <c r="Q1185" i="1" a="1"/>
  <c r="Q1185" i="1" s="1"/>
  <c r="Q1289" i="1" a="1"/>
  <c r="Q1289" i="1" s="1"/>
  <c r="Q558" i="1" a="1"/>
  <c r="Q558" i="1" s="1"/>
  <c r="Q1204" i="1" a="1"/>
  <c r="Q1204" i="1" s="1"/>
  <c r="Q906" i="1" a="1"/>
  <c r="Q906" i="1" s="1"/>
  <c r="Q821" i="1" a="1"/>
  <c r="Q821" i="1" s="1"/>
  <c r="Q212" i="1" a="1"/>
  <c r="Q212" i="1" s="1"/>
  <c r="AB140" i="1"/>
  <c r="Q872" i="1" a="1"/>
  <c r="Q872" i="1" s="1"/>
  <c r="Q1336" i="1" a="1"/>
  <c r="Q1336" i="1" s="1"/>
  <c r="Q816" i="1" a="1"/>
  <c r="Q816" i="1" s="1"/>
  <c r="Q857" i="1" a="1"/>
  <c r="Q857" i="1" s="1"/>
  <c r="Q162" i="1" a="1"/>
  <c r="Q162" i="1" s="1"/>
  <c r="Q856" i="1" a="1"/>
  <c r="Q856" i="1" s="1"/>
  <c r="Q870" i="1" a="1"/>
  <c r="Q870" i="1" s="1"/>
  <c r="Q241" i="1" a="1"/>
  <c r="Q241" i="1" s="1"/>
  <c r="Q589" i="1" a="1"/>
  <c r="Q589" i="1" s="1"/>
  <c r="Q565" i="1" a="1"/>
  <c r="Q565" i="1" s="1"/>
  <c r="Q240" i="1" a="1"/>
  <c r="Q240" i="1" s="1"/>
  <c r="Q1201" i="1" a="1"/>
  <c r="Q1201" i="1" s="1"/>
  <c r="Q1099" i="1" a="1"/>
  <c r="Q1099" i="1" s="1"/>
  <c r="Q1310" i="1" a="1"/>
  <c r="Q1310" i="1" s="1"/>
  <c r="Q1104" i="1" a="1"/>
  <c r="Q1104" i="1" s="1"/>
  <c r="Q1263" i="1" a="1"/>
  <c r="Q1263" i="1" s="1"/>
  <c r="Q1227" i="1" a="1"/>
  <c r="Q1227" i="1" s="1"/>
  <c r="Q986" i="1" a="1"/>
  <c r="Q986" i="1" s="1"/>
  <c r="Q1276" i="1" a="1"/>
  <c r="Q1276" i="1" s="1"/>
  <c r="Q372" i="1" a="1"/>
  <c r="Q372" i="1" s="1"/>
  <c r="Q314" i="1" a="1"/>
  <c r="Q314" i="1" s="1"/>
  <c r="Q587" i="1" a="1"/>
  <c r="Q587" i="1" s="1"/>
  <c r="Q535" i="1" a="1"/>
  <c r="Q535" i="1" s="1"/>
  <c r="Q1195" i="1" a="1"/>
  <c r="Q1195" i="1" s="1"/>
  <c r="Q256" i="1" a="1"/>
  <c r="Q256" i="1" s="1"/>
  <c r="Q567" i="1" a="1"/>
  <c r="Q567" i="1" s="1"/>
  <c r="Q969" i="1" a="1"/>
  <c r="Q969" i="1" s="1"/>
  <c r="Q278" i="1" a="1"/>
  <c r="Q278" i="1" s="1"/>
  <c r="Q564" i="1" a="1"/>
  <c r="Q564" i="1" s="1"/>
  <c r="Q1225" i="1" a="1"/>
  <c r="Q1225" i="1" s="1"/>
  <c r="Q330" i="1" a="1"/>
  <c r="Q330" i="1" s="1"/>
  <c r="Q320" i="1" a="1"/>
  <c r="Q320" i="1" s="1"/>
  <c r="Q246" i="1" a="1"/>
  <c r="Q246" i="1" s="1"/>
  <c r="Q1206" i="1" a="1"/>
  <c r="Q1206" i="1" s="1"/>
  <c r="Q291" i="1" a="1"/>
  <c r="Q291" i="1" s="1"/>
  <c r="Q230" i="1" a="1"/>
  <c r="Q230" i="1" s="1"/>
  <c r="Q1324" i="1" a="1"/>
  <c r="Q1324" i="1" s="1"/>
  <c r="Q363" i="1" a="1"/>
  <c r="Q363" i="1" s="1"/>
  <c r="Q298" i="1" a="1"/>
  <c r="Q298" i="1" s="1"/>
  <c r="Q236" i="1" a="1"/>
  <c r="Q236" i="1" s="1"/>
  <c r="Q1342" i="1" a="1"/>
  <c r="Q1342" i="1" s="1"/>
  <c r="Q266" i="1" a="1"/>
  <c r="Q266" i="1" s="1"/>
  <c r="Q1151" i="1" a="1"/>
  <c r="Q1151" i="1" s="1"/>
  <c r="Q846" i="1" a="1"/>
  <c r="Q846" i="1" s="1"/>
  <c r="Q980" i="1" a="1"/>
  <c r="Q980" i="1" s="1"/>
  <c r="Q1094" i="1" a="1"/>
  <c r="Q1094" i="1" s="1"/>
  <c r="Q996" i="1" a="1"/>
  <c r="Q996" i="1" s="1"/>
  <c r="Q960" i="1" a="1"/>
  <c r="Q960" i="1" s="1"/>
  <c r="Q329" i="1" a="1"/>
  <c r="Q329" i="1" s="1"/>
  <c r="Q299" i="1" a="1"/>
  <c r="Q299" i="1" s="1"/>
  <c r="Q578" i="1" a="1"/>
  <c r="Q578" i="1" s="1"/>
  <c r="Q371" i="1" a="1"/>
  <c r="Q371" i="1" s="1"/>
  <c r="Q1205" i="1" a="1"/>
  <c r="Q1205" i="1" s="1"/>
  <c r="Q923" i="1" a="1"/>
  <c r="Q923" i="1" s="1"/>
  <c r="Q1337" i="1" a="1"/>
  <c r="Q1337" i="1" s="1"/>
  <c r="AB94" i="1"/>
  <c r="AB110" i="1"/>
  <c r="AB216" i="1"/>
  <c r="Q883" i="1" a="1"/>
  <c r="Q883" i="1" s="1"/>
  <c r="Q890" i="1" a="1"/>
  <c r="Q890" i="1" s="1"/>
  <c r="Q892" i="1" a="1"/>
  <c r="Q892" i="1" s="1"/>
  <c r="Q1165" i="1" a="1"/>
  <c r="Q1165" i="1" s="1"/>
  <c r="Q48" i="1" a="1"/>
  <c r="Q48" i="1" s="1"/>
  <c r="Q862" i="1" a="1"/>
  <c r="Q862" i="1" s="1"/>
  <c r="Q566" i="1" a="1"/>
  <c r="Q566" i="1" s="1"/>
  <c r="Q339" i="1" a="1"/>
  <c r="Q339" i="1" s="1"/>
  <c r="Q991" i="1" a="1"/>
  <c r="Q991" i="1" s="1"/>
  <c r="Q894" i="1" a="1"/>
  <c r="Q894" i="1" s="1"/>
  <c r="Q949" i="1" a="1"/>
  <c r="Q949" i="1" s="1"/>
  <c r="Q1261" i="1" a="1"/>
  <c r="Q1261" i="1" s="1"/>
  <c r="Q1098" i="1" a="1"/>
  <c r="Q1098" i="1" s="1"/>
  <c r="Q998" i="1" a="1"/>
  <c r="Q998" i="1" s="1"/>
  <c r="Q1228" i="1" a="1"/>
  <c r="Q1228" i="1" s="1"/>
  <c r="Q1314" i="1" a="1"/>
  <c r="Q1314" i="1" s="1"/>
  <c r="Q989" i="1" a="1"/>
  <c r="Q989" i="1" s="1"/>
  <c r="Q921" i="1" a="1"/>
  <c r="Q921" i="1" s="1"/>
  <c r="Q975" i="1" a="1"/>
  <c r="Q975" i="1" s="1"/>
  <c r="Q286" i="1" a="1"/>
  <c r="Q286" i="1" s="1"/>
  <c r="Q1363" i="1" a="1"/>
  <c r="Q1363" i="1" s="1"/>
  <c r="Q297" i="1" a="1"/>
  <c r="Q297" i="1" s="1"/>
  <c r="Q583" i="1" a="1"/>
  <c r="Q583" i="1" s="1"/>
  <c r="Q901" i="1" a="1"/>
  <c r="Q901" i="1" s="1"/>
  <c r="Q543" i="1" a="1"/>
  <c r="Q543" i="1" s="1"/>
  <c r="Q1202" i="1" a="1"/>
  <c r="Q1202" i="1" s="1"/>
  <c r="Q905" i="1" a="1"/>
  <c r="Q905" i="1" s="1"/>
  <c r="Q548" i="1" a="1"/>
  <c r="Q548" i="1" s="1"/>
  <c r="Q373" i="1" a="1"/>
  <c r="Q373" i="1" s="1"/>
  <c r="Q1207" i="1" a="1"/>
  <c r="Q1207" i="1" s="1"/>
  <c r="Q300" i="1" a="1"/>
  <c r="Q300" i="1" s="1"/>
  <c r="Q238" i="1" a="1"/>
  <c r="Q238" i="1" s="1"/>
  <c r="Q1341" i="1" a="1"/>
  <c r="Q1341" i="1" s="1"/>
  <c r="Q284" i="1" a="1"/>
  <c r="Q284" i="1" s="1"/>
  <c r="Q222" i="1" a="1"/>
  <c r="Q222" i="1" s="1"/>
  <c r="Q1262" i="1" a="1"/>
  <c r="Q1262" i="1" s="1"/>
  <c r="Q1224" i="1" a="1"/>
  <c r="Q1224" i="1" s="1"/>
  <c r="Q327" i="1" a="1"/>
  <c r="Q327" i="1" s="1"/>
  <c r="Q290" i="1" a="1"/>
  <c r="Q290" i="1" s="1"/>
  <c r="Q1203" i="1" a="1"/>
  <c r="Q1203" i="1" s="1"/>
  <c r="Q258" i="1" a="1"/>
  <c r="Q258" i="1" s="1"/>
  <c r="Q1170" i="1" a="1"/>
  <c r="Q1170" i="1" s="1"/>
  <c r="Q1179" i="1" a="1"/>
  <c r="Q1179" i="1" s="1"/>
  <c r="Q1178" i="1" a="1"/>
  <c r="Q1178" i="1" s="1"/>
  <c r="Q734" i="1" a="1"/>
  <c r="Q734" i="1" s="1"/>
  <c r="Q51" i="1" a="1"/>
  <c r="Q51" i="1" s="1"/>
  <c r="Q743" i="1" a="1"/>
  <c r="Q743" i="1" s="1"/>
  <c r="AB76" i="1"/>
  <c r="AB249" i="1"/>
  <c r="AB77" i="1"/>
  <c r="AB250" i="1"/>
  <c r="AB287" i="1"/>
  <c r="AB194" i="1"/>
  <c r="Q145" i="1" a="1"/>
  <c r="Q145" i="1" s="1"/>
  <c r="Q170" i="1" a="1"/>
  <c r="Q170" i="1" s="1"/>
  <c r="AB310" i="1"/>
  <c r="Q149" i="1" a="1"/>
  <c r="Q149" i="1" s="1"/>
  <c r="AB4" i="1"/>
  <c r="AB302" i="1"/>
  <c r="AB319" i="1"/>
  <c r="AB229" i="1"/>
  <c r="C20" i="3"/>
  <c r="D20" i="3" s="1"/>
  <c r="AB274" i="1"/>
  <c r="AB209" i="1"/>
  <c r="AB268" i="1"/>
  <c r="AB273" i="1"/>
  <c r="AB354" i="1"/>
  <c r="AB224" i="1"/>
  <c r="AB177" i="1"/>
  <c r="AB400" i="1"/>
  <c r="AB157" i="1"/>
  <c r="AB320" i="1"/>
  <c r="AB35" i="1"/>
  <c r="AB123" i="1"/>
  <c r="AB90" i="1"/>
  <c r="AB317" i="1"/>
  <c r="Q823" i="1" a="1"/>
  <c r="Q823" i="1" s="1"/>
  <c r="AB347" i="1"/>
  <c r="AB59" i="1"/>
  <c r="AB21" i="1"/>
  <c r="AB122" i="1"/>
  <c r="AB66" i="1"/>
  <c r="AB266" i="1"/>
  <c r="AB327" i="1"/>
  <c r="AB168" i="1"/>
  <c r="AB336" i="1"/>
  <c r="AB139" i="1"/>
  <c r="AB239" i="1"/>
  <c r="AB72" i="1"/>
  <c r="AB79" i="1"/>
  <c r="AB306" i="1"/>
  <c r="AB303" i="1"/>
  <c r="C7" i="3" s="1"/>
  <c r="D7" i="3" s="1"/>
  <c r="AB311" i="1"/>
  <c r="AB27" i="1"/>
  <c r="AB325" i="1"/>
  <c r="AB41" i="1"/>
  <c r="AB181" i="1"/>
  <c r="AB173" i="1"/>
  <c r="AB221" i="1"/>
  <c r="AB158" i="1"/>
  <c r="Q773" i="1" a="1"/>
  <c r="Q773" i="1" s="1"/>
  <c r="AB171" i="1"/>
  <c r="AB361" i="1"/>
  <c r="AB179" i="1"/>
  <c r="AB70" i="1"/>
  <c r="Q123" i="1" a="1"/>
  <c r="Q123" i="1" s="1"/>
  <c r="AB185" i="1"/>
  <c r="Q198" i="1" a="1"/>
  <c r="Q198" i="1" s="1"/>
  <c r="AB335" i="1"/>
  <c r="Q220" i="1" a="1"/>
  <c r="Q220" i="1" s="1"/>
  <c r="AB369" i="1"/>
  <c r="Q633" i="1" a="1"/>
  <c r="Q633" i="1" s="1"/>
  <c r="AB258" i="1"/>
  <c r="Q696" i="1" a="1"/>
  <c r="Q696" i="1" s="1"/>
  <c r="AB14" i="1"/>
  <c r="Q217" i="1" a="1"/>
  <c r="Q217" i="1" s="1"/>
  <c r="AB366" i="1"/>
  <c r="Q653" i="1" a="1"/>
  <c r="Q653" i="1" s="1"/>
  <c r="AB299" i="1"/>
  <c r="Q186" i="1" a="1"/>
  <c r="Q186" i="1" s="1"/>
  <c r="AB316" i="1"/>
  <c r="Q774" i="1" a="1"/>
  <c r="Q774" i="1" s="1"/>
  <c r="AB172" i="1"/>
  <c r="Q726" i="1" a="1"/>
  <c r="Q726" i="1" s="1"/>
  <c r="AB81" i="1"/>
  <c r="Q599" i="1" a="1"/>
  <c r="Q599" i="1" s="1"/>
  <c r="AB130" i="1"/>
  <c r="Q196" i="1" a="1"/>
  <c r="Q196" i="1" s="1"/>
  <c r="AB333" i="1"/>
  <c r="C17" i="3" s="1"/>
  <c r="D17" i="3" s="1"/>
  <c r="Q767" i="1" a="1"/>
  <c r="Q767" i="1" s="1"/>
  <c r="AB165" i="1"/>
  <c r="Q147" i="1" a="1"/>
  <c r="Q147" i="1" s="1"/>
  <c r="AB211" i="1"/>
  <c r="Q168" i="1" a="1"/>
  <c r="Q168" i="1" s="1"/>
  <c r="AB246" i="1"/>
  <c r="AB402" i="1"/>
  <c r="AB129" i="1"/>
  <c r="AB318" i="1"/>
  <c r="AB126" i="1"/>
  <c r="Q622" i="1" a="1"/>
  <c r="Q622" i="1" s="1"/>
  <c r="AB241" i="1"/>
  <c r="Q654" i="1" a="1"/>
  <c r="Q654" i="1" s="1"/>
  <c r="AB300" i="1"/>
  <c r="Q122" i="1" a="1"/>
  <c r="Q122" i="1" s="1"/>
  <c r="AB184" i="1"/>
  <c r="Q651" i="1" a="1"/>
  <c r="Q651" i="1" s="1"/>
  <c r="AB297" i="1"/>
  <c r="AB183" i="1"/>
  <c r="AB305" i="1"/>
  <c r="AB51" i="1"/>
  <c r="AB136" i="1"/>
  <c r="AB219" i="1"/>
  <c r="AB217" i="1"/>
  <c r="Q661" i="1" a="1"/>
  <c r="Q661" i="1" s="1"/>
  <c r="Q90" i="1" a="1"/>
  <c r="Q90" i="1" s="1"/>
  <c r="AB34" i="1"/>
  <c r="Q762" i="1" a="1"/>
  <c r="Q762" i="1" s="1"/>
  <c r="AB160" i="1"/>
  <c r="Q6" i="1" a="1"/>
  <c r="Q6" i="1" s="1"/>
  <c r="AB6" i="1"/>
  <c r="AB131" i="1"/>
  <c r="AB207" i="1"/>
  <c r="AB368" i="1"/>
  <c r="AB292" i="1"/>
  <c r="C2" i="3" s="1"/>
  <c r="D2" i="3" s="1"/>
  <c r="AB89" i="1"/>
  <c r="AB225" i="1"/>
  <c r="AB359" i="1"/>
  <c r="AB220" i="1"/>
  <c r="AB60" i="1"/>
  <c r="AB56" i="1"/>
  <c r="AB67" i="1"/>
  <c r="AB73" i="1"/>
  <c r="AB114" i="1"/>
  <c r="AB201" i="1"/>
  <c r="AB260" i="1"/>
  <c r="Q7" i="1" a="1"/>
  <c r="Q7" i="1" s="1"/>
  <c r="AB7" i="1"/>
  <c r="C13" i="3" s="1"/>
  <c r="D13" i="3" s="1"/>
  <c r="Q180" i="1" a="1"/>
  <c r="Q180" i="1" s="1"/>
  <c r="AB307" i="1"/>
  <c r="Q197" i="1" a="1"/>
  <c r="Q197" i="1" s="1"/>
  <c r="AB334" i="1"/>
  <c r="Q1135" i="1" a="1"/>
  <c r="Q1135" i="1" s="1"/>
  <c r="AB180" i="1"/>
  <c r="Q663" i="1" a="1"/>
  <c r="Q663" i="1" s="1"/>
  <c r="AB326" i="1"/>
  <c r="Q638" i="1" a="1"/>
  <c r="Q638" i="1" s="1"/>
  <c r="AB263" i="1"/>
  <c r="Q739" i="1" a="1"/>
  <c r="Q739" i="1" s="1"/>
  <c r="AB96" i="1"/>
  <c r="Q159" i="1" a="1"/>
  <c r="Q159" i="1" s="1"/>
  <c r="AB234" i="1"/>
  <c r="Q183" i="1" a="1"/>
  <c r="Q183" i="1" s="1"/>
  <c r="AB313" i="1"/>
  <c r="Q5" i="1" a="1"/>
  <c r="Q5" i="1" s="1"/>
  <c r="AB5" i="1"/>
  <c r="Q771" i="1" a="1"/>
  <c r="Q771" i="1" s="1"/>
  <c r="AB169" i="1"/>
  <c r="Q747" i="1" a="1"/>
  <c r="Q747" i="1" s="1"/>
  <c r="AB112" i="1"/>
  <c r="Q606" i="1" a="1"/>
  <c r="Q606" i="1" s="1"/>
  <c r="AB193" i="1"/>
  <c r="Q789" i="1" a="1"/>
  <c r="Q789" i="1" s="1"/>
  <c r="AB256" i="1"/>
  <c r="Q144" i="1" a="1"/>
  <c r="Q144" i="1" s="1"/>
  <c r="AB208" i="1"/>
  <c r="Q802" i="1" a="1"/>
  <c r="Q802" i="1" s="1"/>
  <c r="AB282" i="1"/>
  <c r="Q756" i="1" a="1"/>
  <c r="Q756" i="1" s="1"/>
  <c r="AB153" i="1"/>
  <c r="Q102" i="1" a="1"/>
  <c r="Q102" i="1" s="1"/>
  <c r="AB109" i="1"/>
  <c r="Q154" i="1" a="1"/>
  <c r="Q154" i="1" s="1"/>
  <c r="AB218" i="1"/>
  <c r="Q716" i="1" a="1"/>
  <c r="Q716" i="1" s="1"/>
  <c r="AB69" i="1"/>
  <c r="AB321" i="1"/>
  <c r="AB38" i="1"/>
  <c r="AB231" i="1"/>
  <c r="AB48" i="1"/>
  <c r="AB25" i="1"/>
  <c r="C18" i="3" s="1"/>
  <c r="D18" i="3" s="1"/>
  <c r="AB19" i="1"/>
  <c r="AB26" i="1"/>
  <c r="AB127" i="1"/>
  <c r="AB312" i="1"/>
  <c r="AB199" i="1"/>
  <c r="AB215" i="1"/>
  <c r="AB259" i="1"/>
  <c r="AB88" i="1"/>
  <c r="AB162" i="1"/>
  <c r="AB121" i="1"/>
  <c r="AB285" i="1"/>
  <c r="Q35" i="1" a="1"/>
  <c r="Q35" i="1" s="1"/>
  <c r="AB63" i="1"/>
  <c r="Q637" i="1" a="1"/>
  <c r="Q637" i="1" s="1"/>
  <c r="AB262" i="1"/>
  <c r="Q648" i="1" a="1"/>
  <c r="Q648" i="1" s="1"/>
  <c r="AB289" i="1"/>
  <c r="Q185" i="1" a="1"/>
  <c r="Q185" i="1" s="1"/>
  <c r="AB315" i="1"/>
  <c r="Q30" i="1" a="1"/>
  <c r="Q30" i="1" s="1"/>
  <c r="AB49" i="1"/>
  <c r="Q117" i="1" a="1"/>
  <c r="Q117" i="1" s="1"/>
  <c r="AB148" i="1"/>
  <c r="Q113" i="1" a="1"/>
  <c r="Q113" i="1" s="1"/>
  <c r="AB141" i="1"/>
  <c r="Q1121" i="1" a="1"/>
  <c r="Q1121" i="1" s="1"/>
  <c r="AB243" i="1"/>
  <c r="Q621" i="1" a="1"/>
  <c r="Q621" i="1" s="1"/>
  <c r="AB233" i="1"/>
  <c r="AB279" i="1"/>
  <c r="Q639" i="1" a="1"/>
  <c r="Q639" i="1" s="1"/>
  <c r="AB147" i="1"/>
  <c r="Q110" i="1" a="1"/>
  <c r="Q110" i="1" s="1"/>
  <c r="AB50" i="1"/>
  <c r="Q27" i="1" a="1"/>
  <c r="Q27" i="1" s="1"/>
  <c r="Q218" i="1" a="1"/>
  <c r="Q218" i="1" s="1"/>
  <c r="AB15" i="1"/>
  <c r="Q695" i="1" a="1"/>
  <c r="Q695" i="1" s="1"/>
  <c r="AB155" i="1"/>
  <c r="Q118" i="1" a="1"/>
  <c r="Q118" i="1" s="1"/>
  <c r="C27" i="3"/>
  <c r="D27" i="3" s="1"/>
  <c r="AB13" i="1"/>
  <c r="Q88" i="1" a="1"/>
  <c r="Q88" i="1" s="1"/>
  <c r="Q830" i="1" a="1"/>
  <c r="Q830" i="1" s="1"/>
  <c r="AB120" i="1"/>
  <c r="Q744" i="1" a="1"/>
  <c r="Q744" i="1" s="1"/>
  <c r="AB75" i="1"/>
  <c r="Q714" i="1" a="1"/>
  <c r="Q714" i="1" s="1"/>
  <c r="AB339" i="1"/>
  <c r="Q659" i="1" a="1"/>
  <c r="Q659" i="1" s="1"/>
  <c r="O2" i="1"/>
  <c r="C10" i="3"/>
  <c r="D10" i="3" s="1"/>
  <c r="AB32" i="1"/>
  <c r="C28" i="3" l="1"/>
  <c r="D28" i="3" s="1"/>
  <c r="C25" i="3"/>
  <c r="D25" i="3" s="1"/>
  <c r="C30" i="3"/>
  <c r="D30" i="3" s="1"/>
  <c r="C29" i="3"/>
  <c r="D29" i="3" s="1"/>
  <c r="C6" i="3"/>
  <c r="D6" i="3" s="1"/>
  <c r="C31" i="3"/>
  <c r="D31" i="3" s="1"/>
  <c r="C11" i="3"/>
  <c r="D11" i="3" s="1"/>
  <c r="C8" i="3"/>
  <c r="D8" i="3" s="1"/>
  <c r="C9" i="3"/>
  <c r="D9" i="3" s="1"/>
  <c r="C14" i="3"/>
  <c r="D14" i="3" s="1"/>
  <c r="C19" i="3"/>
  <c r="D19" i="3" s="1"/>
  <c r="C24" i="3"/>
  <c r="D24" i="3" s="1"/>
  <c r="C12" i="3"/>
  <c r="D12" i="3" s="1"/>
  <c r="C15" i="3"/>
  <c r="D15" i="3" s="1"/>
  <c r="C21" i="3"/>
  <c r="D21" i="3" s="1"/>
  <c r="C16" i="3"/>
  <c r="D16" i="3" s="1"/>
  <c r="C26" i="3"/>
  <c r="D26" i="3" s="1"/>
  <c r="C23" i="3"/>
  <c r="D23" i="3" s="1"/>
  <c r="C5" i="3"/>
  <c r="D5" i="3" s="1"/>
  <c r="C3" i="3"/>
  <c r="D3" i="3" s="1"/>
  <c r="Q2" i="1"/>
  <c r="M3" i="9" s="1"/>
  <c r="H9" i="3" l="1" a="1"/>
  <c r="H9" i="3" s="1"/>
  <c r="H6" i="3" a="1"/>
  <c r="H6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<sst xmlns="http://schemas.openxmlformats.org/spreadsheetml/2006/main" count="6011" uniqueCount="1336">
  <si>
    <t>SL NO</t>
  </si>
  <si>
    <t>ASSLY MARK</t>
  </si>
  <si>
    <t>GRID LOCATION</t>
  </si>
  <si>
    <t>TOP ELEVATION</t>
  </si>
  <si>
    <t>MEMBER TYPE</t>
  </si>
  <si>
    <t>BEAM</t>
  </si>
  <si>
    <t>H-BRACE</t>
  </si>
  <si>
    <t>COLUMN</t>
  </si>
  <si>
    <t>HANGER</t>
  </si>
  <si>
    <t>Split Delimeter</t>
  </si>
  <si>
    <t>Column1</t>
  </si>
  <si>
    <t>PR01</t>
  </si>
  <si>
    <t>ID</t>
  </si>
  <si>
    <t>/</t>
  </si>
  <si>
    <t>-</t>
  </si>
  <si>
    <t>BOX NO</t>
  </si>
  <si>
    <t>Box1</t>
  </si>
  <si>
    <t>A'</t>
  </si>
  <si>
    <t>A</t>
  </si>
  <si>
    <t>B</t>
  </si>
  <si>
    <t>Box2</t>
  </si>
  <si>
    <t>Box3</t>
  </si>
  <si>
    <t>Box4</t>
  </si>
  <si>
    <t>Box5</t>
  </si>
  <si>
    <t>Box6</t>
  </si>
  <si>
    <t>N1</t>
  </si>
  <si>
    <t>N2</t>
  </si>
  <si>
    <t>L1</t>
  </si>
  <si>
    <t>L2</t>
  </si>
  <si>
    <t>Boxes Def</t>
  </si>
  <si>
    <t>O1-Grid</t>
  </si>
  <si>
    <t>O2-Grid</t>
  </si>
  <si>
    <t>In/Out</t>
  </si>
  <si>
    <t>on numbers
Web-Web</t>
  </si>
  <si>
    <t>on laters
Flange-Flange</t>
  </si>
  <si>
    <t>O1-Unique</t>
  </si>
  <si>
    <t>O2-Unique</t>
  </si>
  <si>
    <t>AREA</t>
  </si>
  <si>
    <t>ITEM DESCRIPTION</t>
  </si>
  <si>
    <t>GRADE</t>
  </si>
  <si>
    <t>PO MATERIAL CODE</t>
  </si>
  <si>
    <t>DRG TYPE</t>
  </si>
  <si>
    <t>DRAWING NO</t>
  </si>
  <si>
    <t>REV</t>
  </si>
  <si>
    <t>MARK NO</t>
  </si>
  <si>
    <t>DRG PART QTY</t>
  </si>
  <si>
    <t>QTY DISPATCHED</t>
  </si>
  <si>
    <t>BILL WT.(KG)</t>
  </si>
  <si>
    <t>Building Name</t>
  </si>
  <si>
    <t>IRN NO</t>
  </si>
  <si>
    <t>SPLICE PLATE / REMARKS</t>
  </si>
  <si>
    <t>VENDOR</t>
  </si>
  <si>
    <t>PACKING LIST NO.</t>
  </si>
  <si>
    <t>PACKING LIST</t>
  </si>
  <si>
    <t>Remarks</t>
  </si>
  <si>
    <t>E250BR</t>
  </si>
  <si>
    <t>--</t>
  </si>
  <si>
    <t>Beam</t>
  </si>
  <si>
    <t>Column</t>
  </si>
  <si>
    <t>SplitMarkNo</t>
  </si>
  <si>
    <t>PL_QTY</t>
  </si>
  <si>
    <t>Unique</t>
  </si>
  <si>
    <t>Avail. Qty</t>
  </si>
  <si>
    <t>P</t>
  </si>
  <si>
    <t>UsedQty</t>
  </si>
  <si>
    <t>BalanceQty</t>
  </si>
  <si>
    <t>Priority</t>
  </si>
  <si>
    <t>MarkNo</t>
  </si>
  <si>
    <t>Grand Total</t>
  </si>
  <si>
    <t>Check of Negative Balance Qty</t>
  </si>
  <si>
    <t>Check for Positive Balance Qty</t>
  </si>
  <si>
    <t>Put Part List in "Main" sheet till Member Type</t>
  </si>
  <si>
    <t>TagNo</t>
  </si>
  <si>
    <t>edit split delimeters in "ID" column's formula</t>
  </si>
  <si>
    <t>put length written above SlNo in the macro</t>
  </si>
  <si>
    <t>Drag usedQty column on the "Main" Sheet</t>
  </si>
  <si>
    <t>Weight</t>
  </si>
  <si>
    <t>add packing list in "MasterPL" sheet</t>
  </si>
  <si>
    <t>Drag Formulas in "FilteredPL" sheet</t>
  </si>
  <si>
    <t>Check Status on Balance Qty in "FilteredPL"</t>
  </si>
  <si>
    <t>Req Qty</t>
  </si>
  <si>
    <t>WT(KG)</t>
  </si>
  <si>
    <t>Avail Qty</t>
  </si>
  <si>
    <t>Box No</t>
  </si>
  <si>
    <t>Status</t>
  </si>
  <si>
    <t>Erec WT(KG)</t>
  </si>
  <si>
    <t>Front Available (Tonn)</t>
  </si>
  <si>
    <t>1BE01</t>
  </si>
  <si>
    <t>EL.+106.100</t>
  </si>
  <si>
    <t>1BE02</t>
  </si>
  <si>
    <t>EL.+106.250</t>
  </si>
  <si>
    <t>1BE03</t>
  </si>
  <si>
    <t>1BE04</t>
  </si>
  <si>
    <t>1BE05</t>
  </si>
  <si>
    <t>1BE06</t>
  </si>
  <si>
    <t>1BE07</t>
  </si>
  <si>
    <t>1BE08</t>
  </si>
  <si>
    <t>1BE09</t>
  </si>
  <si>
    <t>1BE10</t>
  </si>
  <si>
    <t>1BE11</t>
  </si>
  <si>
    <t>1BE12</t>
  </si>
  <si>
    <t>1BE13</t>
  </si>
  <si>
    <t>1BE14</t>
  </si>
  <si>
    <t>1BE15</t>
  </si>
  <si>
    <t>1BE16</t>
  </si>
  <si>
    <t>1BE17</t>
  </si>
  <si>
    <t>1BE18</t>
  </si>
  <si>
    <t>1BE19</t>
  </si>
  <si>
    <t>1BE20</t>
  </si>
  <si>
    <t>1BE21</t>
  </si>
  <si>
    <t>1BE22</t>
  </si>
  <si>
    <t>1BE23</t>
  </si>
  <si>
    <t>1BE24</t>
  </si>
  <si>
    <t>1BE25</t>
  </si>
  <si>
    <t>1BE26</t>
  </si>
  <si>
    <t>1BE27</t>
  </si>
  <si>
    <t>1BE28</t>
  </si>
  <si>
    <t>1BE29</t>
  </si>
  <si>
    <t>1BE30</t>
  </si>
  <si>
    <t>1BE31</t>
  </si>
  <si>
    <t>1BE32</t>
  </si>
  <si>
    <t>1BE33</t>
  </si>
  <si>
    <t>1BE34</t>
  </si>
  <si>
    <t>1BE35</t>
  </si>
  <si>
    <t>1BE36</t>
  </si>
  <si>
    <t>1BE37</t>
  </si>
  <si>
    <t>1BE38</t>
  </si>
  <si>
    <t>1FR01</t>
  </si>
  <si>
    <t>FRAME</t>
  </si>
  <si>
    <t>1FR02</t>
  </si>
  <si>
    <t>1HA01</t>
  </si>
  <si>
    <t>1HB01</t>
  </si>
  <si>
    <t>1HB02</t>
  </si>
  <si>
    <t>1HB03</t>
  </si>
  <si>
    <t>1HB04</t>
  </si>
  <si>
    <t>EL.+106.175</t>
  </si>
  <si>
    <t>1HB05</t>
  </si>
  <si>
    <t>1HB06</t>
  </si>
  <si>
    <t>1HB07</t>
  </si>
  <si>
    <t>1HB08</t>
  </si>
  <si>
    <t>1HB09</t>
  </si>
  <si>
    <t>1HB10</t>
  </si>
  <si>
    <t>1HB11</t>
  </si>
  <si>
    <t>1HB12</t>
  </si>
  <si>
    <t>1SC01</t>
  </si>
  <si>
    <t>STUB_COLUMN</t>
  </si>
  <si>
    <t>1SC02</t>
  </si>
  <si>
    <t>2BE01</t>
  </si>
  <si>
    <t>EL.+108.600</t>
  </si>
  <si>
    <t>2BE02</t>
  </si>
  <si>
    <t>EL.+108.750</t>
  </si>
  <si>
    <t>2BE03</t>
  </si>
  <si>
    <t>2BE04</t>
  </si>
  <si>
    <t>2BE05</t>
  </si>
  <si>
    <t>2BE06</t>
  </si>
  <si>
    <t>2BE07</t>
  </si>
  <si>
    <t>2BE08</t>
  </si>
  <si>
    <t>2BE09</t>
  </si>
  <si>
    <t>2BE10</t>
  </si>
  <si>
    <t>2BE11</t>
  </si>
  <si>
    <t>2BE12</t>
  </si>
  <si>
    <t>2BE13</t>
  </si>
  <si>
    <t>2BE14</t>
  </si>
  <si>
    <t>2BE15</t>
  </si>
  <si>
    <t>2BE16</t>
  </si>
  <si>
    <t>2BE17</t>
  </si>
  <si>
    <t>2BE18</t>
  </si>
  <si>
    <t>2BE19</t>
  </si>
  <si>
    <t>2BE20</t>
  </si>
  <si>
    <t>2BE21</t>
  </si>
  <si>
    <t>2BE22</t>
  </si>
  <si>
    <t>2BE23</t>
  </si>
  <si>
    <t>2BE24</t>
  </si>
  <si>
    <t>2BE25</t>
  </si>
  <si>
    <t>2BE26</t>
  </si>
  <si>
    <t>2BE27</t>
  </si>
  <si>
    <t>2BE28</t>
  </si>
  <si>
    <t>2BE29</t>
  </si>
  <si>
    <t>2BE30</t>
  </si>
  <si>
    <t>2BE31</t>
  </si>
  <si>
    <t>2BE32</t>
  </si>
  <si>
    <t>2BE33</t>
  </si>
  <si>
    <t>2BE34</t>
  </si>
  <si>
    <t>2BE35</t>
  </si>
  <si>
    <t>2HB01</t>
  </si>
  <si>
    <t>2HB02</t>
  </si>
  <si>
    <t>2HB03</t>
  </si>
  <si>
    <t>2HB04</t>
  </si>
  <si>
    <t>2HB05</t>
  </si>
  <si>
    <t>2HB06</t>
  </si>
  <si>
    <t>2HB07</t>
  </si>
  <si>
    <t>2HB08</t>
  </si>
  <si>
    <t>2HB09</t>
  </si>
  <si>
    <t>2HB10</t>
  </si>
  <si>
    <t>2HB11</t>
  </si>
  <si>
    <t>2HB12</t>
  </si>
  <si>
    <t>2HB13</t>
  </si>
  <si>
    <t>2HB14</t>
  </si>
  <si>
    <t>2HB15</t>
  </si>
  <si>
    <t>2HB16</t>
  </si>
  <si>
    <t>2HB17</t>
  </si>
  <si>
    <t>2HB18</t>
  </si>
  <si>
    <t>2HB19</t>
  </si>
  <si>
    <t>2HB20</t>
  </si>
  <si>
    <t>2HB21</t>
  </si>
  <si>
    <t>2SC01</t>
  </si>
  <si>
    <t>2SC02</t>
  </si>
  <si>
    <t>3BE01</t>
  </si>
  <si>
    <t>3BE02</t>
  </si>
  <si>
    <t>EL.+111.250</t>
  </si>
  <si>
    <t>3BE03</t>
  </si>
  <si>
    <t>3BE04</t>
  </si>
  <si>
    <t>3BE05</t>
  </si>
  <si>
    <t>3BE06</t>
  </si>
  <si>
    <t>3BE07</t>
  </si>
  <si>
    <t>3BE08</t>
  </si>
  <si>
    <t>3BE09</t>
  </si>
  <si>
    <t>3BE10</t>
  </si>
  <si>
    <t>3BE11</t>
  </si>
  <si>
    <t>3BE12</t>
  </si>
  <si>
    <t>3BE13</t>
  </si>
  <si>
    <t>3BE14</t>
  </si>
  <si>
    <t>3BE15</t>
  </si>
  <si>
    <t>3BE16</t>
  </si>
  <si>
    <t>EL.+112.750</t>
  </si>
  <si>
    <t>3BE17</t>
  </si>
  <si>
    <t>EL.+112.000</t>
  </si>
  <si>
    <t>3BE18</t>
  </si>
  <si>
    <t>3BE19</t>
  </si>
  <si>
    <t>3BE20</t>
  </si>
  <si>
    <t>3BE21</t>
  </si>
  <si>
    <t>3BE22</t>
  </si>
  <si>
    <t>3BE23</t>
  </si>
  <si>
    <t>3BE24</t>
  </si>
  <si>
    <t>3BE25</t>
  </si>
  <si>
    <t>3BE26</t>
  </si>
  <si>
    <t>3BE27</t>
  </si>
  <si>
    <t>3BE28</t>
  </si>
  <si>
    <t>EL.+113.750</t>
  </si>
  <si>
    <t>3BE29</t>
  </si>
  <si>
    <t>3BE30</t>
  </si>
  <si>
    <t>3BE31</t>
  </si>
  <si>
    <t>3BE32</t>
  </si>
  <si>
    <t>3BE33</t>
  </si>
  <si>
    <t>3BE34</t>
  </si>
  <si>
    <t>3BE35</t>
  </si>
  <si>
    <t>3BE36</t>
  </si>
  <si>
    <t>3BE37</t>
  </si>
  <si>
    <t>3BE38</t>
  </si>
  <si>
    <t>3BE39</t>
  </si>
  <si>
    <t>3BE40</t>
  </si>
  <si>
    <t>3BE41</t>
  </si>
  <si>
    <t>3BE42</t>
  </si>
  <si>
    <t>3BE43</t>
  </si>
  <si>
    <t>3BE44</t>
  </si>
  <si>
    <t>3BE45</t>
  </si>
  <si>
    <t>3BE46</t>
  </si>
  <si>
    <t>3BE47</t>
  </si>
  <si>
    <t>3BE48</t>
  </si>
  <si>
    <t>3BE49</t>
  </si>
  <si>
    <t>3BE50</t>
  </si>
  <si>
    <t>3BE51</t>
  </si>
  <si>
    <t>3BE52</t>
  </si>
  <si>
    <t>3BE53</t>
  </si>
  <si>
    <t>3BE54</t>
  </si>
  <si>
    <t>3BE55</t>
  </si>
  <si>
    <t>3BE56</t>
  </si>
  <si>
    <t>3BE57</t>
  </si>
  <si>
    <t>3BE58</t>
  </si>
  <si>
    <t>3BE59</t>
  </si>
  <si>
    <t>3BE60</t>
  </si>
  <si>
    <t>3BE61</t>
  </si>
  <si>
    <t>3BE62</t>
  </si>
  <si>
    <t>3BE63</t>
  </si>
  <si>
    <t>3BE64</t>
  </si>
  <si>
    <t>3BE65</t>
  </si>
  <si>
    <t>3HB01</t>
  </si>
  <si>
    <t>3HB02</t>
  </si>
  <si>
    <t>3HB03</t>
  </si>
  <si>
    <t>3HB04</t>
  </si>
  <si>
    <t>3HB05</t>
  </si>
  <si>
    <t>3HB06</t>
  </si>
  <si>
    <t>3HB07</t>
  </si>
  <si>
    <t>3HB08</t>
  </si>
  <si>
    <t>3HB09</t>
  </si>
  <si>
    <t>3HB10</t>
  </si>
  <si>
    <t>EL.+112.675</t>
  </si>
  <si>
    <t>3HB11</t>
  </si>
  <si>
    <t>3HB12</t>
  </si>
  <si>
    <t>3HB13</t>
  </si>
  <si>
    <t>3HB14</t>
  </si>
  <si>
    <t>3HB15</t>
  </si>
  <si>
    <t>3HB16</t>
  </si>
  <si>
    <t>3HB17</t>
  </si>
  <si>
    <t>3HB18</t>
  </si>
  <si>
    <t>3HB19</t>
  </si>
  <si>
    <t>3HB20</t>
  </si>
  <si>
    <t>3SC01</t>
  </si>
  <si>
    <t>3SC02</t>
  </si>
  <si>
    <t>3SC03</t>
  </si>
  <si>
    <t>3SC04</t>
  </si>
  <si>
    <t>3SC05</t>
  </si>
  <si>
    <t>3SC06</t>
  </si>
  <si>
    <t>EL.+112.329</t>
  </si>
  <si>
    <t>3SC07</t>
  </si>
  <si>
    <t>EL.+112.429</t>
  </si>
  <si>
    <t>4BE01</t>
  </si>
  <si>
    <t>EL.+113.600</t>
  </si>
  <si>
    <t>4BE02</t>
  </si>
  <si>
    <t>4BE03</t>
  </si>
  <si>
    <t>4BE04</t>
  </si>
  <si>
    <t>4BE05</t>
  </si>
  <si>
    <t>4BE06</t>
  </si>
  <si>
    <t>4BE07</t>
  </si>
  <si>
    <t>4BE08</t>
  </si>
  <si>
    <t>4BE09</t>
  </si>
  <si>
    <t>4BE10</t>
  </si>
  <si>
    <t>4BE11</t>
  </si>
  <si>
    <t>4BE12</t>
  </si>
  <si>
    <t>4BE13</t>
  </si>
  <si>
    <t>4BE14</t>
  </si>
  <si>
    <t>4BE15</t>
  </si>
  <si>
    <t>4BE16</t>
  </si>
  <si>
    <t>4BE17</t>
  </si>
  <si>
    <t>4BE18</t>
  </si>
  <si>
    <t>4BE19</t>
  </si>
  <si>
    <t>4HB01</t>
  </si>
  <si>
    <t>4HB02</t>
  </si>
  <si>
    <t>4HB03</t>
  </si>
  <si>
    <t>4HB04</t>
  </si>
  <si>
    <t>4HB05</t>
  </si>
  <si>
    <t>4HB06</t>
  </si>
  <si>
    <t>4HB07</t>
  </si>
  <si>
    <t>4HB08</t>
  </si>
  <si>
    <t>4HB09</t>
  </si>
  <si>
    <t>4HB10</t>
  </si>
  <si>
    <t>4HB11</t>
  </si>
  <si>
    <t>4HB12</t>
  </si>
  <si>
    <t>5BE01</t>
  </si>
  <si>
    <t>5BE02</t>
  </si>
  <si>
    <t>5BE03</t>
  </si>
  <si>
    <t>5BE04</t>
  </si>
  <si>
    <t>5BE05</t>
  </si>
  <si>
    <t>5BE06</t>
  </si>
  <si>
    <t>5BE07</t>
  </si>
  <si>
    <t>5BE08</t>
  </si>
  <si>
    <t>5BE09</t>
  </si>
  <si>
    <t>5BE10</t>
  </si>
  <si>
    <t>5BE11</t>
  </si>
  <si>
    <t>5BE12</t>
  </si>
  <si>
    <t>5BE13</t>
  </si>
  <si>
    <t>5BE14</t>
  </si>
  <si>
    <t>5BE15</t>
  </si>
  <si>
    <t>EL.+117.050</t>
  </si>
  <si>
    <t>5BE16</t>
  </si>
  <si>
    <t>EL.+116.900</t>
  </si>
  <si>
    <t>5BE17</t>
  </si>
  <si>
    <t>5BE18</t>
  </si>
  <si>
    <t>5BE19</t>
  </si>
  <si>
    <t>5BE20</t>
  </si>
  <si>
    <t>5BE21</t>
  </si>
  <si>
    <t>5BE22</t>
  </si>
  <si>
    <t>5BE23</t>
  </si>
  <si>
    <t>5BE24</t>
  </si>
  <si>
    <t>5BE25</t>
  </si>
  <si>
    <t>5BE26</t>
  </si>
  <si>
    <t>5BE27</t>
  </si>
  <si>
    <t>5HA01</t>
  </si>
  <si>
    <t>5HB01</t>
  </si>
  <si>
    <t>5HB02</t>
  </si>
  <si>
    <t>5HB03</t>
  </si>
  <si>
    <t>5HB04</t>
  </si>
  <si>
    <t>5HB05</t>
  </si>
  <si>
    <t>5HB06</t>
  </si>
  <si>
    <t>5HB07</t>
  </si>
  <si>
    <t>5SC01</t>
  </si>
  <si>
    <t>EL.+118.117</t>
  </si>
  <si>
    <t>6BE01</t>
  </si>
  <si>
    <t>EL.+118.750</t>
  </si>
  <si>
    <t>6BE02</t>
  </si>
  <si>
    <t>6BE03</t>
  </si>
  <si>
    <t>6BE04</t>
  </si>
  <si>
    <t>6BE05</t>
  </si>
  <si>
    <t>6BE06</t>
  </si>
  <si>
    <t>6BE07</t>
  </si>
  <si>
    <t>6BE08</t>
  </si>
  <si>
    <t>6BE09</t>
  </si>
  <si>
    <t>6BE10</t>
  </si>
  <si>
    <t>6BE11</t>
  </si>
  <si>
    <t>6BE12</t>
  </si>
  <si>
    <t>6BE13</t>
  </si>
  <si>
    <t>6BE14</t>
  </si>
  <si>
    <t>6HB01</t>
  </si>
  <si>
    <t>EL.+118.675</t>
  </si>
  <si>
    <t>6HB02</t>
  </si>
  <si>
    <t>6HB03</t>
  </si>
  <si>
    <t>6HB04</t>
  </si>
  <si>
    <t>6HB05</t>
  </si>
  <si>
    <t>6HB06</t>
  </si>
  <si>
    <t>6HB07</t>
  </si>
  <si>
    <t>6HB08</t>
  </si>
  <si>
    <t>6HB09</t>
  </si>
  <si>
    <t>6HB10</t>
  </si>
  <si>
    <t>6HB11</t>
  </si>
  <si>
    <t>6HB12</t>
  </si>
  <si>
    <t>C01</t>
  </si>
  <si>
    <t>C02</t>
  </si>
  <si>
    <t>EL.+119.647</t>
  </si>
  <si>
    <t>C03</t>
  </si>
  <si>
    <t>C04</t>
  </si>
  <si>
    <t>C05</t>
  </si>
  <si>
    <t>C06</t>
  </si>
  <si>
    <t>C07</t>
  </si>
  <si>
    <t>C08</t>
  </si>
  <si>
    <t>C09</t>
  </si>
  <si>
    <t>C10</t>
  </si>
  <si>
    <t>C11</t>
  </si>
  <si>
    <t>C12</t>
  </si>
  <si>
    <t>C13</t>
  </si>
  <si>
    <t>C14</t>
  </si>
  <si>
    <t>C15</t>
  </si>
  <si>
    <t>EL.+118.950</t>
  </si>
  <si>
    <t>C16</t>
  </si>
  <si>
    <t>C17</t>
  </si>
  <si>
    <t>C18</t>
  </si>
  <si>
    <t>SF01</t>
  </si>
  <si>
    <t>EL.+107.723</t>
  </si>
  <si>
    <t>SF02</t>
  </si>
  <si>
    <t>SF03</t>
  </si>
  <si>
    <t>SF04</t>
  </si>
  <si>
    <t>SF05</t>
  </si>
  <si>
    <t>EL.+120.253</t>
  </si>
  <si>
    <t>SF06</t>
  </si>
  <si>
    <t>SW01</t>
  </si>
  <si>
    <t>EL.+119.753</t>
  </si>
  <si>
    <t>SW02</t>
  </si>
  <si>
    <t>EL.+119.953</t>
  </si>
  <si>
    <t>VB01</t>
  </si>
  <si>
    <t>V_BRACE</t>
  </si>
  <si>
    <t>VB02</t>
  </si>
  <si>
    <t>VB03</t>
  </si>
  <si>
    <t>EL.+103.405</t>
  </si>
  <si>
    <t>VB04</t>
  </si>
  <si>
    <t>VB05</t>
  </si>
  <si>
    <t>VB06</t>
  </si>
  <si>
    <t>VB07</t>
  </si>
  <si>
    <t>VB08</t>
  </si>
  <si>
    <t>VB09</t>
  </si>
  <si>
    <t>VB10</t>
  </si>
  <si>
    <t>VB11</t>
  </si>
  <si>
    <t>VB12</t>
  </si>
  <si>
    <t>VB13</t>
  </si>
  <si>
    <t>EL.+108.146</t>
  </si>
  <si>
    <t>VB14</t>
  </si>
  <si>
    <t>VB15</t>
  </si>
  <si>
    <t>VB16</t>
  </si>
  <si>
    <t>VB17</t>
  </si>
  <si>
    <t>VB18</t>
  </si>
  <si>
    <t>VB19</t>
  </si>
  <si>
    <t>EL.+105.832</t>
  </si>
  <si>
    <t>VB20</t>
  </si>
  <si>
    <t>VB21</t>
  </si>
  <si>
    <t>VB22</t>
  </si>
  <si>
    <t>EL.+105.932</t>
  </si>
  <si>
    <t>VB23</t>
  </si>
  <si>
    <t>VB24</t>
  </si>
  <si>
    <t>EL.+108.332</t>
  </si>
  <si>
    <t>VB25</t>
  </si>
  <si>
    <t>VB26</t>
  </si>
  <si>
    <t>VB27</t>
  </si>
  <si>
    <t>VB28</t>
  </si>
  <si>
    <t>VB29</t>
  </si>
  <si>
    <t>VB30</t>
  </si>
  <si>
    <t>VB31</t>
  </si>
  <si>
    <t>VB32</t>
  </si>
  <si>
    <t>VB33</t>
  </si>
  <si>
    <t>EL.+112.432</t>
  </si>
  <si>
    <t>VB34</t>
  </si>
  <si>
    <t>VB35</t>
  </si>
  <si>
    <t>VB36</t>
  </si>
  <si>
    <t>VB37</t>
  </si>
  <si>
    <t>VB38</t>
  </si>
  <si>
    <t>VB39</t>
  </si>
  <si>
    <t>VB40</t>
  </si>
  <si>
    <t>VB41</t>
  </si>
  <si>
    <t>VB42</t>
  </si>
  <si>
    <t>VB44</t>
  </si>
  <si>
    <t>VB45</t>
  </si>
  <si>
    <t>VB46</t>
  </si>
  <si>
    <t>VB47</t>
  </si>
  <si>
    <t>VB48</t>
  </si>
  <si>
    <t>VB49</t>
  </si>
  <si>
    <t>VB50</t>
  </si>
  <si>
    <t>VB51</t>
  </si>
  <si>
    <t>VB52</t>
  </si>
  <si>
    <t>VB53</t>
  </si>
  <si>
    <t>Define Boxes</t>
  </si>
  <si>
    <t>Turn off Calculation</t>
  </si>
  <si>
    <t>10</t>
  </si>
  <si>
    <t>Turn oN Calculation</t>
  </si>
  <si>
    <t>Drag "Avail. Qty" Coulmn's formula</t>
  </si>
  <si>
    <t>1833-PR01-C</t>
  </si>
  <si>
    <t>11</t>
  </si>
  <si>
    <t>12</t>
  </si>
  <si>
    <t>13</t>
  </si>
  <si>
    <t>15</t>
  </si>
  <si>
    <t>A"</t>
  </si>
  <si>
    <t>14</t>
  </si>
  <si>
    <t>10/A'-A</t>
  </si>
  <si>
    <t>10/A-B</t>
  </si>
  <si>
    <t>10/B&gt;</t>
  </si>
  <si>
    <t>11-12/A'-A</t>
  </si>
  <si>
    <t>10-11/A'-A</t>
  </si>
  <si>
    <t>10-11/B&gt;</t>
  </si>
  <si>
    <t>10-11/A</t>
  </si>
  <si>
    <t>10-11/A-B</t>
  </si>
  <si>
    <t>10-11/B</t>
  </si>
  <si>
    <t>EL.+107.050</t>
  </si>
  <si>
    <t>12/A-B</t>
  </si>
  <si>
    <t>EL.+106.850</t>
  </si>
  <si>
    <t>13/A-B</t>
  </si>
  <si>
    <t>14-15/A-B</t>
  </si>
  <si>
    <t>14-15/B&gt;</t>
  </si>
  <si>
    <t>EL.+110.300</t>
  </si>
  <si>
    <t>15/B&gt;</t>
  </si>
  <si>
    <t>15&gt;/B</t>
  </si>
  <si>
    <t>14-15/A</t>
  </si>
  <si>
    <t>14-15/B</t>
  </si>
  <si>
    <t>11/A'-A</t>
  </si>
  <si>
    <t>11/A-B</t>
  </si>
  <si>
    <t>11/B&gt;</t>
  </si>
  <si>
    <t>11-12/B&gt;</t>
  </si>
  <si>
    <t>11-12/A-B</t>
  </si>
  <si>
    <t>11-12/A</t>
  </si>
  <si>
    <t>11-12/B</t>
  </si>
  <si>
    <t>1BE39</t>
  </si>
  <si>
    <t>1BE40</t>
  </si>
  <si>
    <t>1BE41</t>
  </si>
  <si>
    <t>12/A'-A</t>
  </si>
  <si>
    <t>EL.+105.200</t>
  </si>
  <si>
    <t>1BE42</t>
  </si>
  <si>
    <t>1BE43</t>
  </si>
  <si>
    <t>1BE44</t>
  </si>
  <si>
    <t>1BE45</t>
  </si>
  <si>
    <t>1BE46</t>
  </si>
  <si>
    <t>12/B&gt;</t>
  </si>
  <si>
    <t>1BE47</t>
  </si>
  <si>
    <t>12-13/A-B</t>
  </si>
  <si>
    <t>1BE48</t>
  </si>
  <si>
    <t>1BE49</t>
  </si>
  <si>
    <t>1BE50</t>
  </si>
  <si>
    <t>1BE51</t>
  </si>
  <si>
    <t>1BE52</t>
  </si>
  <si>
    <t>1BE53</t>
  </si>
  <si>
    <t>12-13/A</t>
  </si>
  <si>
    <t>1BE54</t>
  </si>
  <si>
    <t>12-13/B</t>
  </si>
  <si>
    <t>1BE55</t>
  </si>
  <si>
    <t>12-13/A'-A</t>
  </si>
  <si>
    <t>1BE56</t>
  </si>
  <si>
    <t>1BE57</t>
  </si>
  <si>
    <t>12-13/B&gt;</t>
  </si>
  <si>
    <t>1BE58</t>
  </si>
  <si>
    <t>1BE59</t>
  </si>
  <si>
    <t>1BE60</t>
  </si>
  <si>
    <t>15/A-B</t>
  </si>
  <si>
    <t>1BE61</t>
  </si>
  <si>
    <t>1BE62</t>
  </si>
  <si>
    <t>1BE63</t>
  </si>
  <si>
    <t>1BE64</t>
  </si>
  <si>
    <t>1BE65</t>
  </si>
  <si>
    <t>1BE66</t>
  </si>
  <si>
    <t>1BE67</t>
  </si>
  <si>
    <t>1BE68</t>
  </si>
  <si>
    <t>1BE69</t>
  </si>
  <si>
    <t>1BE70</t>
  </si>
  <si>
    <t>1BE71</t>
  </si>
  <si>
    <t>1BE72</t>
  </si>
  <si>
    <t>1BE73</t>
  </si>
  <si>
    <t>1BE74</t>
  </si>
  <si>
    <t>1BE75</t>
  </si>
  <si>
    <t>1BE76</t>
  </si>
  <si>
    <t>12-13/A"-A</t>
  </si>
  <si>
    <t>1BE77</t>
  </si>
  <si>
    <t>1BE78</t>
  </si>
  <si>
    <t>1BE79</t>
  </si>
  <si>
    <t>1BE80</t>
  </si>
  <si>
    <t>1BE81</t>
  </si>
  <si>
    <t>1BE82</t>
  </si>
  <si>
    <t>1BE83</t>
  </si>
  <si>
    <t>1BE84</t>
  </si>
  <si>
    <t>12-13/A"</t>
  </si>
  <si>
    <t>1BE85</t>
  </si>
  <si>
    <t>13/A"-A</t>
  </si>
  <si>
    <t>1BE86</t>
  </si>
  <si>
    <t>EL.+102.170</t>
  </si>
  <si>
    <t>1BE87</t>
  </si>
  <si>
    <t>1BE88</t>
  </si>
  <si>
    <t>13/B&gt;</t>
  </si>
  <si>
    <t>1BE89</t>
  </si>
  <si>
    <t>13-14/A"-A</t>
  </si>
  <si>
    <t>1BE90</t>
  </si>
  <si>
    <t>13-14/A-B</t>
  </si>
  <si>
    <t>1BE91</t>
  </si>
  <si>
    <t>13-14/A"</t>
  </si>
  <si>
    <t>1BE92</t>
  </si>
  <si>
    <t>EL.+104.210</t>
  </si>
  <si>
    <t>1BE93</t>
  </si>
  <si>
    <t>1BE94</t>
  </si>
  <si>
    <t>13-14/A</t>
  </si>
  <si>
    <t>1BE95</t>
  </si>
  <si>
    <t>1BE96</t>
  </si>
  <si>
    <t>1BE97</t>
  </si>
  <si>
    <t>13-14/B</t>
  </si>
  <si>
    <t>1BE98</t>
  </si>
  <si>
    <t>14/A"-A</t>
  </si>
  <si>
    <t>1BE99</t>
  </si>
  <si>
    <t>14/A-B</t>
  </si>
  <si>
    <t>1BE100</t>
  </si>
  <si>
    <t>14/B&gt;</t>
  </si>
  <si>
    <t>1BE101</t>
  </si>
  <si>
    <t>1BE102</t>
  </si>
  <si>
    <t>EL.+107.992</t>
  </si>
  <si>
    <t>EL.+106.750</t>
  </si>
  <si>
    <t>1FR03</t>
  </si>
  <si>
    <t>1FR04</t>
  </si>
  <si>
    <t>1HA02</t>
  </si>
  <si>
    <t>EL.+107.750</t>
  </si>
  <si>
    <t>1HA03</t>
  </si>
  <si>
    <t>1HA04</t>
  </si>
  <si>
    <t>EL.+106.675</t>
  </si>
  <si>
    <t>1HB13</t>
  </si>
  <si>
    <t>EL.+106.775</t>
  </si>
  <si>
    <t>1HB14</t>
  </si>
  <si>
    <t>1HB15</t>
  </si>
  <si>
    <t>1HB16</t>
  </si>
  <si>
    <t>1HB17</t>
  </si>
  <si>
    <t>1HB18</t>
  </si>
  <si>
    <t>13-14/A'-A</t>
  </si>
  <si>
    <t>1HB19</t>
  </si>
  <si>
    <t>1HB20</t>
  </si>
  <si>
    <t>1HB21</t>
  </si>
  <si>
    <t>1HB22</t>
  </si>
  <si>
    <t>1HB23</t>
  </si>
  <si>
    <t>1HB24</t>
  </si>
  <si>
    <t>STUB COLUMN</t>
  </si>
  <si>
    <t>1SC03</t>
  </si>
  <si>
    <t>1SC04</t>
  </si>
  <si>
    <t>1SC05</t>
  </si>
  <si>
    <t>EL.+109.650</t>
  </si>
  <si>
    <t>1SC06</t>
  </si>
  <si>
    <t>EL.+115.488</t>
  </si>
  <si>
    <t>1SC07</t>
  </si>
  <si>
    <t>EL.+105.929</t>
  </si>
  <si>
    <t>1SC08</t>
  </si>
  <si>
    <t>EL.+112.424</t>
  </si>
  <si>
    <t>1SC09</t>
  </si>
  <si>
    <t>1SC10</t>
  </si>
  <si>
    <t>1SC11</t>
  </si>
  <si>
    <t>1SC12</t>
  </si>
  <si>
    <t>EL.+116.050</t>
  </si>
  <si>
    <t>1SC13</t>
  </si>
  <si>
    <t>1SC14</t>
  </si>
  <si>
    <t>EL.+116.100</t>
  </si>
  <si>
    <t>EL.+107.982</t>
  </si>
  <si>
    <t>10-12/A'-A</t>
  </si>
  <si>
    <t>2BE36</t>
  </si>
  <si>
    <t>2BE37</t>
  </si>
  <si>
    <t>2BE38</t>
  </si>
  <si>
    <t>2BE39</t>
  </si>
  <si>
    <t>2BE40</t>
  </si>
  <si>
    <t>2BE41</t>
  </si>
  <si>
    <t>2BE42</t>
  </si>
  <si>
    <t>2BE43</t>
  </si>
  <si>
    <t>2BE44</t>
  </si>
  <si>
    <t>EL.+108.500</t>
  </si>
  <si>
    <t>2BE45</t>
  </si>
  <si>
    <t>2BE46</t>
  </si>
  <si>
    <t>2BE47</t>
  </si>
  <si>
    <t>2BE48</t>
  </si>
  <si>
    <t>EL.+107.950</t>
  </si>
  <si>
    <t>2BE49</t>
  </si>
  <si>
    <t>2BE50</t>
  </si>
  <si>
    <t>EL.+110.150</t>
  </si>
  <si>
    <t>2BE51</t>
  </si>
  <si>
    <t>2BE52</t>
  </si>
  <si>
    <t>13-14/B&gt;</t>
  </si>
  <si>
    <t>2BE53</t>
  </si>
  <si>
    <t>2BE54</t>
  </si>
  <si>
    <t>2BE55</t>
  </si>
  <si>
    <t>2BE56</t>
  </si>
  <si>
    <t>2BE57</t>
  </si>
  <si>
    <t>2BE58</t>
  </si>
  <si>
    <t>2BE59</t>
  </si>
  <si>
    <t>2BE60</t>
  </si>
  <si>
    <t>2BE61</t>
  </si>
  <si>
    <t>2BE62</t>
  </si>
  <si>
    <t>2BE63</t>
  </si>
  <si>
    <t>2BE64</t>
  </si>
  <si>
    <t>2BE65</t>
  </si>
  <si>
    <t>2BE66</t>
  </si>
  <si>
    <t>2BE67</t>
  </si>
  <si>
    <t>2BE68</t>
  </si>
  <si>
    <t>2BE69</t>
  </si>
  <si>
    <t>2BE70</t>
  </si>
  <si>
    <t>2BE71</t>
  </si>
  <si>
    <t>2HA01</t>
  </si>
  <si>
    <t>EL.+108.414</t>
  </si>
  <si>
    <t>EL.+109.575</t>
  </si>
  <si>
    <t>2HB22</t>
  </si>
  <si>
    <t>2HB23</t>
  </si>
  <si>
    <t>2HB24</t>
  </si>
  <si>
    <t>EL.+112.540</t>
  </si>
  <si>
    <t>2HB25</t>
  </si>
  <si>
    <t>2HB26</t>
  </si>
  <si>
    <t>EL.+110.225</t>
  </si>
  <si>
    <t>2HB27</t>
  </si>
  <si>
    <t>2HB28</t>
  </si>
  <si>
    <t>2HB29</t>
  </si>
  <si>
    <t>EL.+108.425</t>
  </si>
  <si>
    <t>2HB30</t>
  </si>
  <si>
    <t>2HB31</t>
  </si>
  <si>
    <t>2SC03</t>
  </si>
  <si>
    <t>2SC04</t>
  </si>
  <si>
    <t>2SC05</t>
  </si>
  <si>
    <t>EL.+112.250</t>
  </si>
  <si>
    <t>EL.+112.600</t>
  </si>
  <si>
    <t>15&gt;/A-B</t>
  </si>
  <si>
    <t>EL.+111.625</t>
  </si>
  <si>
    <t>15&gt;/A</t>
  </si>
  <si>
    <t>3HA01</t>
  </si>
  <si>
    <t>EL.+111.875</t>
  </si>
  <si>
    <t>3HA02</t>
  </si>
  <si>
    <t>EL.+112.175</t>
  </si>
  <si>
    <t>EL.+115.500</t>
  </si>
  <si>
    <t>EL.+115.279</t>
  </si>
  <si>
    <t>EL.+114.100</t>
  </si>
  <si>
    <t>EL.+114.750</t>
  </si>
  <si>
    <t>3SC08</t>
  </si>
  <si>
    <t>3SC09</t>
  </si>
  <si>
    <t>3SC10</t>
  </si>
  <si>
    <t>EL.+116.579</t>
  </si>
  <si>
    <t>3SC11</t>
  </si>
  <si>
    <t>EL.+115.179</t>
  </si>
  <si>
    <t>3SC12</t>
  </si>
  <si>
    <t>EL.+114.870</t>
  </si>
  <si>
    <t>3SC13</t>
  </si>
  <si>
    <t>3SC14</t>
  </si>
  <si>
    <t>3SC15</t>
  </si>
  <si>
    <t>3SC16</t>
  </si>
  <si>
    <t>3SC17</t>
  </si>
  <si>
    <t>3SC18</t>
  </si>
  <si>
    <t>EL.+115.875</t>
  </si>
  <si>
    <t>EL.+114.050</t>
  </si>
  <si>
    <t>15&gt;/B&gt;</t>
  </si>
  <si>
    <t>4BE20</t>
  </si>
  <si>
    <t>4BE21</t>
  </si>
  <si>
    <t>4BE22</t>
  </si>
  <si>
    <t>4BE23</t>
  </si>
  <si>
    <t>4BE24</t>
  </si>
  <si>
    <t>4BE25</t>
  </si>
  <si>
    <t>4BE26</t>
  </si>
  <si>
    <t>4BE27</t>
  </si>
  <si>
    <t>4BE28</t>
  </si>
  <si>
    <t>4BE29</t>
  </si>
  <si>
    <t>4BE30</t>
  </si>
  <si>
    <t>4BE31</t>
  </si>
  <si>
    <t>4BE32</t>
  </si>
  <si>
    <t>4BE33</t>
  </si>
  <si>
    <t>4BE34</t>
  </si>
  <si>
    <t>4BE35</t>
  </si>
  <si>
    <t>4BE36</t>
  </si>
  <si>
    <t>4BE37</t>
  </si>
  <si>
    <t>4BE38</t>
  </si>
  <si>
    <t>4BE39</t>
  </si>
  <si>
    <t>4BE40</t>
  </si>
  <si>
    <t>4BE41</t>
  </si>
  <si>
    <t>4BE42</t>
  </si>
  <si>
    <t>4BE43</t>
  </si>
  <si>
    <t>4BE44</t>
  </si>
  <si>
    <t>4BE45</t>
  </si>
  <si>
    <t>4BE46</t>
  </si>
  <si>
    <t>4BE47</t>
  </si>
  <si>
    <t>4BE48</t>
  </si>
  <si>
    <t>4BE49</t>
  </si>
  <si>
    <t>4BE50</t>
  </si>
  <si>
    <t>4BE51</t>
  </si>
  <si>
    <t>4BE52</t>
  </si>
  <si>
    <t>4BE53</t>
  </si>
  <si>
    <t>4BE54</t>
  </si>
  <si>
    <t>4BE55</t>
  </si>
  <si>
    <t>4BE56</t>
  </si>
  <si>
    <t>4BE57</t>
  </si>
  <si>
    <t>4BE58</t>
  </si>
  <si>
    <t>14-15/A'-A</t>
  </si>
  <si>
    <t>4BE59</t>
  </si>
  <si>
    <t>4BE60</t>
  </si>
  <si>
    <t>4BE61</t>
  </si>
  <si>
    <t>4BE62</t>
  </si>
  <si>
    <t>4BE63</t>
  </si>
  <si>
    <t>15/A'-A</t>
  </si>
  <si>
    <t>4BE64</t>
  </si>
  <si>
    <t>4BE65</t>
  </si>
  <si>
    <t>4BE66</t>
  </si>
  <si>
    <t>4BE67</t>
  </si>
  <si>
    <t>4BE69</t>
  </si>
  <si>
    <t>4BE70</t>
  </si>
  <si>
    <t>4FR01</t>
  </si>
  <si>
    <t>4FR02</t>
  </si>
  <si>
    <t>4FR03</t>
  </si>
  <si>
    <t>4FR04</t>
  </si>
  <si>
    <t>4FR05</t>
  </si>
  <si>
    <t>4HA01</t>
  </si>
  <si>
    <t>EL.+114.894</t>
  </si>
  <si>
    <t>4HA02</t>
  </si>
  <si>
    <t>EL.+114.020</t>
  </si>
  <si>
    <t>4HA03</t>
  </si>
  <si>
    <t>EL.+113.975</t>
  </si>
  <si>
    <t>EL.+114.025</t>
  </si>
  <si>
    <t>EL.+113.525</t>
  </si>
  <si>
    <t>4HB13</t>
  </si>
  <si>
    <t>4HB14</t>
  </si>
  <si>
    <t>4HB15</t>
  </si>
  <si>
    <t>4HB16</t>
  </si>
  <si>
    <t>4HB17</t>
  </si>
  <si>
    <t>4HB18</t>
  </si>
  <si>
    <t>4HB19</t>
  </si>
  <si>
    <t>4HB20</t>
  </si>
  <si>
    <t>4HB21</t>
  </si>
  <si>
    <t>4HB22</t>
  </si>
  <si>
    <t>4HB23</t>
  </si>
  <si>
    <t>4HB24</t>
  </si>
  <si>
    <t>4HB25</t>
  </si>
  <si>
    <t>4HB26</t>
  </si>
  <si>
    <t>4HB27</t>
  </si>
  <si>
    <t>4HB28</t>
  </si>
  <si>
    <t>4HB29</t>
  </si>
  <si>
    <t>4HB30</t>
  </si>
  <si>
    <t>4HB31</t>
  </si>
  <si>
    <t>4HB32</t>
  </si>
  <si>
    <t>4HB33</t>
  </si>
  <si>
    <t>4HB34</t>
  </si>
  <si>
    <t>4HB35</t>
  </si>
  <si>
    <t>4HB36</t>
  </si>
  <si>
    <t>4HB37</t>
  </si>
  <si>
    <t>4HB38</t>
  </si>
  <si>
    <t>4HB39</t>
  </si>
  <si>
    <t>4HB40</t>
  </si>
  <si>
    <t>4HB41</t>
  </si>
  <si>
    <t>4HB42</t>
  </si>
  <si>
    <t>4HB43</t>
  </si>
  <si>
    <t>4HB44</t>
  </si>
  <si>
    <t>EL.+114.675</t>
  </si>
  <si>
    <t>4HB45</t>
  </si>
  <si>
    <t>4HB46</t>
  </si>
  <si>
    <t>4HB47</t>
  </si>
  <si>
    <t>4HB48</t>
  </si>
  <si>
    <t>4HB49</t>
  </si>
  <si>
    <t>4HB50</t>
  </si>
  <si>
    <t>4HB51</t>
  </si>
  <si>
    <t>4HB52</t>
  </si>
  <si>
    <t>4HB53</t>
  </si>
  <si>
    <t>EL.+115.100</t>
  </si>
  <si>
    <t>5BE28</t>
  </si>
  <si>
    <t>5BE29</t>
  </si>
  <si>
    <t>5BE30</t>
  </si>
  <si>
    <t>5BE31</t>
  </si>
  <si>
    <t>5BE32</t>
  </si>
  <si>
    <t>5BE33</t>
  </si>
  <si>
    <t>5BE34</t>
  </si>
  <si>
    <t>5BE35</t>
  </si>
  <si>
    <t>5BE36</t>
  </si>
  <si>
    <t>5BE37</t>
  </si>
  <si>
    <t>5BE38</t>
  </si>
  <si>
    <t>5BE39</t>
  </si>
  <si>
    <t>5BE40</t>
  </si>
  <si>
    <t>5BE41</t>
  </si>
  <si>
    <t>5BE42</t>
  </si>
  <si>
    <t>5BE43</t>
  </si>
  <si>
    <t>5BE44</t>
  </si>
  <si>
    <t>5BE45</t>
  </si>
  <si>
    <t>5BE46</t>
  </si>
  <si>
    <t>5BE47</t>
  </si>
  <si>
    <t>5BE48</t>
  </si>
  <si>
    <t>5BE49</t>
  </si>
  <si>
    <t>5BE50</t>
  </si>
  <si>
    <t>5BE51</t>
  </si>
  <si>
    <t>5BE52</t>
  </si>
  <si>
    <t>5BE53</t>
  </si>
  <si>
    <t>EL.+115.631</t>
  </si>
  <si>
    <t>5HA02</t>
  </si>
  <si>
    <t>EL.+115.681</t>
  </si>
  <si>
    <t>EL.+115.425</t>
  </si>
  <si>
    <t>EL.+115.345</t>
  </si>
  <si>
    <t>5SC02</t>
  </si>
  <si>
    <t>5SC03</t>
  </si>
  <si>
    <t>6BE15</t>
  </si>
  <si>
    <t>6BE16</t>
  </si>
  <si>
    <t>6BE17</t>
  </si>
  <si>
    <t>6BE18</t>
  </si>
  <si>
    <t>6BE19</t>
  </si>
  <si>
    <t>6BE20</t>
  </si>
  <si>
    <t>6BE21</t>
  </si>
  <si>
    <t>6BE22</t>
  </si>
  <si>
    <t>6BE23</t>
  </si>
  <si>
    <t>6BE24</t>
  </si>
  <si>
    <t>6BE25</t>
  </si>
  <si>
    <t>6BE26</t>
  </si>
  <si>
    <t>6BE27</t>
  </si>
  <si>
    <t>6BE28</t>
  </si>
  <si>
    <t>6BE29</t>
  </si>
  <si>
    <t>6BE30</t>
  </si>
  <si>
    <t>EL.+118.600</t>
  </si>
  <si>
    <t>6BE31</t>
  </si>
  <si>
    <t>6BE32</t>
  </si>
  <si>
    <t>6BE33</t>
  </si>
  <si>
    <t>6BE34</t>
  </si>
  <si>
    <t>6BE35</t>
  </si>
  <si>
    <t>6BE36</t>
  </si>
  <si>
    <t>6BE37</t>
  </si>
  <si>
    <t>6BE38</t>
  </si>
  <si>
    <t>6BE39</t>
  </si>
  <si>
    <t>6BE40</t>
  </si>
  <si>
    <t>6BE41</t>
  </si>
  <si>
    <t>6BE42</t>
  </si>
  <si>
    <t>6BE43</t>
  </si>
  <si>
    <t>6BE44</t>
  </si>
  <si>
    <t>6BE45</t>
  </si>
  <si>
    <t>6BE46</t>
  </si>
  <si>
    <t>6BE47</t>
  </si>
  <si>
    <t>6BE48</t>
  </si>
  <si>
    <t>6BE49</t>
  </si>
  <si>
    <t>6BE50</t>
  </si>
  <si>
    <t>6BE51</t>
  </si>
  <si>
    <t>6BE52</t>
  </si>
  <si>
    <t>6BE53</t>
  </si>
  <si>
    <t>6BE54</t>
  </si>
  <si>
    <t>6BE55</t>
  </si>
  <si>
    <t>6BE56</t>
  </si>
  <si>
    <t>6BE57</t>
  </si>
  <si>
    <t>6BE58</t>
  </si>
  <si>
    <t>6BE59</t>
  </si>
  <si>
    <t>6BE60</t>
  </si>
  <si>
    <t>6BE61</t>
  </si>
  <si>
    <t>6BE62</t>
  </si>
  <si>
    <t>6BE63</t>
  </si>
  <si>
    <t>6BE64</t>
  </si>
  <si>
    <t>6BE65</t>
  </si>
  <si>
    <t>6BE66</t>
  </si>
  <si>
    <t>6BE67</t>
  </si>
  <si>
    <t>6BE68</t>
  </si>
  <si>
    <t>6BE69</t>
  </si>
  <si>
    <t>6BE70</t>
  </si>
  <si>
    <t>6BE71</t>
  </si>
  <si>
    <t>6BE72</t>
  </si>
  <si>
    <t>6BE73</t>
  </si>
  <si>
    <t>6BE74</t>
  </si>
  <si>
    <t>6BE75</t>
  </si>
  <si>
    <t>6BE76</t>
  </si>
  <si>
    <t>6BE77</t>
  </si>
  <si>
    <t>6BE78</t>
  </si>
  <si>
    <t>6BE79</t>
  </si>
  <si>
    <t>6BE80</t>
  </si>
  <si>
    <t>6BE81</t>
  </si>
  <si>
    <t>6BE82</t>
  </si>
  <si>
    <t>6BE83</t>
  </si>
  <si>
    <t>6BE84</t>
  </si>
  <si>
    <t>6BE85</t>
  </si>
  <si>
    <t>6BE86</t>
  </si>
  <si>
    <t>6BE87</t>
  </si>
  <si>
    <t>6BE88</t>
  </si>
  <si>
    <t>6BE89</t>
  </si>
  <si>
    <t>6BE90</t>
  </si>
  <si>
    <t>6BE91</t>
  </si>
  <si>
    <t>6BE92</t>
  </si>
  <si>
    <t>6BE93</t>
  </si>
  <si>
    <t>6BE94</t>
  </si>
  <si>
    <t>6BE95</t>
  </si>
  <si>
    <t>6BE96</t>
  </si>
  <si>
    <t>6BE97</t>
  </si>
  <si>
    <t>6BE98</t>
  </si>
  <si>
    <t>6BE99</t>
  </si>
  <si>
    <t>6BE100</t>
  </si>
  <si>
    <t>6BE101</t>
  </si>
  <si>
    <t>6BE102</t>
  </si>
  <si>
    <t>6BE103</t>
  </si>
  <si>
    <t>6BE104</t>
  </si>
  <si>
    <t>6BE105</t>
  </si>
  <si>
    <t>6BE106</t>
  </si>
  <si>
    <t>6BE107</t>
  </si>
  <si>
    <t>6BE108</t>
  </si>
  <si>
    <t>6HA01</t>
  </si>
  <si>
    <t>EL.+116.422</t>
  </si>
  <si>
    <t>6HA02</t>
  </si>
  <si>
    <t>EL.+118.331</t>
  </si>
  <si>
    <t>EL.+116.975</t>
  </si>
  <si>
    <t>6HB13</t>
  </si>
  <si>
    <t>6HB14</t>
  </si>
  <si>
    <t>6HB15</t>
  </si>
  <si>
    <t>6HB16</t>
  </si>
  <si>
    <t>6HB17</t>
  </si>
  <si>
    <t>6HB18</t>
  </si>
  <si>
    <t>6HB19</t>
  </si>
  <si>
    <t>6HB20</t>
  </si>
  <si>
    <t>6HB21</t>
  </si>
  <si>
    <t>6HB22</t>
  </si>
  <si>
    <t>6HB23</t>
  </si>
  <si>
    <t>6HB24</t>
  </si>
  <si>
    <t>6HB25</t>
  </si>
  <si>
    <t>6HB26</t>
  </si>
  <si>
    <t>6HB27</t>
  </si>
  <si>
    <t>6HB28</t>
  </si>
  <si>
    <t>6HB29</t>
  </si>
  <si>
    <t>6HB30</t>
  </si>
  <si>
    <t>6HB31</t>
  </si>
  <si>
    <t>6HB32</t>
  </si>
  <si>
    <t>6HB33</t>
  </si>
  <si>
    <t>6HB34</t>
  </si>
  <si>
    <t>6HB35</t>
  </si>
  <si>
    <t>6HB36</t>
  </si>
  <si>
    <t>6HB37</t>
  </si>
  <si>
    <t>6HB38</t>
  </si>
  <si>
    <t>6HB39</t>
  </si>
  <si>
    <t>6HB40</t>
  </si>
  <si>
    <t>6HB41</t>
  </si>
  <si>
    <t>6HB42</t>
  </si>
  <si>
    <t>6HB43</t>
  </si>
  <si>
    <t>6HB44</t>
  </si>
  <si>
    <t>6HB45</t>
  </si>
  <si>
    <t>6HB46</t>
  </si>
  <si>
    <t>6HB47</t>
  </si>
  <si>
    <t>6HB48</t>
  </si>
  <si>
    <t>6HB49</t>
  </si>
  <si>
    <t>6HB50</t>
  </si>
  <si>
    <t>6HB51</t>
  </si>
  <si>
    <t>6HB52</t>
  </si>
  <si>
    <t>6SC01</t>
  </si>
  <si>
    <t>6SC02</t>
  </si>
  <si>
    <t>10/A</t>
  </si>
  <si>
    <t>EL.+107.147</t>
  </si>
  <si>
    <t>EL.+112.950</t>
  </si>
  <si>
    <t>EL.+123.073</t>
  </si>
  <si>
    <t>14/A"</t>
  </si>
  <si>
    <t>EL.+108.848</t>
  </si>
  <si>
    <t>EL.+114.498</t>
  </si>
  <si>
    <t>10/B</t>
  </si>
  <si>
    <t>14/A</t>
  </si>
  <si>
    <t>EL.+107.048</t>
  </si>
  <si>
    <t>11/A</t>
  </si>
  <si>
    <t>EL.+113.800</t>
  </si>
  <si>
    <t>11/B</t>
  </si>
  <si>
    <t>EL.+112.975</t>
  </si>
  <si>
    <t>14/B</t>
  </si>
  <si>
    <t>12/A</t>
  </si>
  <si>
    <t>EL.+110.548</t>
  </si>
  <si>
    <t>C19</t>
  </si>
  <si>
    <t>C20</t>
  </si>
  <si>
    <t>C21</t>
  </si>
  <si>
    <t>C22</t>
  </si>
  <si>
    <t>12/B</t>
  </si>
  <si>
    <t>C23</t>
  </si>
  <si>
    <t>C24</t>
  </si>
  <si>
    <t>15/A</t>
  </si>
  <si>
    <t>EL.+108.950</t>
  </si>
  <si>
    <t>C25</t>
  </si>
  <si>
    <t>C26</t>
  </si>
  <si>
    <t>13/A"</t>
  </si>
  <si>
    <t>C27</t>
  </si>
  <si>
    <t>C28</t>
  </si>
  <si>
    <t>15/B</t>
  </si>
  <si>
    <t>C29</t>
  </si>
  <si>
    <t>13/A</t>
  </si>
  <si>
    <t>EL.+111.048</t>
  </si>
  <si>
    <t>C30</t>
  </si>
  <si>
    <t>EL.+114.715</t>
  </si>
  <si>
    <t>C31</t>
  </si>
  <si>
    <t>C32</t>
  </si>
  <si>
    <t>13/B</t>
  </si>
  <si>
    <t>C33</t>
  </si>
  <si>
    <t>C34</t>
  </si>
  <si>
    <t>EL.+126.450</t>
  </si>
  <si>
    <t>C35</t>
  </si>
  <si>
    <t>C36</t>
  </si>
  <si>
    <t>C37</t>
  </si>
  <si>
    <t>C38</t>
  </si>
  <si>
    <t>EL.+107.733</t>
  </si>
  <si>
    <t>SPLICE PLATE</t>
  </si>
  <si>
    <t>EL.+107.632</t>
  </si>
  <si>
    <t>EL.+111.632</t>
  </si>
  <si>
    <t>EL.+123.478</t>
  </si>
  <si>
    <t>EL.+114.253</t>
  </si>
  <si>
    <t>EL.+120.052</t>
  </si>
  <si>
    <t>EL.+116.018</t>
  </si>
  <si>
    <t>EL.+115.103</t>
  </si>
  <si>
    <t>EL.+114.278</t>
  </si>
  <si>
    <t>EL.+110.253</t>
  </si>
  <si>
    <t>SF07</t>
  </si>
  <si>
    <t>EL.+111.302</t>
  </si>
  <si>
    <t>SF08</t>
  </si>
  <si>
    <t>SF09</t>
  </si>
  <si>
    <t>EL.+109.113</t>
  </si>
  <si>
    <t>EL.+114.763</t>
  </si>
  <si>
    <t>SF10</t>
  </si>
  <si>
    <t>SF11</t>
  </si>
  <si>
    <t>SF12</t>
  </si>
  <si>
    <t>SF13</t>
  </si>
  <si>
    <t>EL.+107.253</t>
  </si>
  <si>
    <t>EL.+111.153</t>
  </si>
  <si>
    <t>EL.+107.153</t>
  </si>
  <si>
    <t>EL.+114.802</t>
  </si>
  <si>
    <t>EL.+115.718</t>
  </si>
  <si>
    <t>EL.+123.177</t>
  </si>
  <si>
    <t>EL.+113.978</t>
  </si>
  <si>
    <t>EL.+113.953</t>
  </si>
  <si>
    <t>EL.+109.953</t>
  </si>
  <si>
    <t>SW03</t>
  </si>
  <si>
    <t>EL.+110.653</t>
  </si>
  <si>
    <t>SW04</t>
  </si>
  <si>
    <t>EL.+114.583</t>
  </si>
  <si>
    <t>EL.+108.933</t>
  </si>
  <si>
    <t>SW05</t>
  </si>
  <si>
    <t>EL.+112.332</t>
  </si>
  <si>
    <t>V-BRACE</t>
  </si>
  <si>
    <t>EL.+116.476</t>
  </si>
  <si>
    <t>EL.+118.097</t>
  </si>
  <si>
    <t>EL.+112.422</t>
  </si>
  <si>
    <t>EL.+105.927</t>
  </si>
  <si>
    <t>EL.+106.632</t>
  </si>
  <si>
    <t>EL.+110.827</t>
  </si>
  <si>
    <t>EL.+116.632</t>
  </si>
  <si>
    <t>EL.+106.966</t>
  </si>
  <si>
    <t>EL.+116.832</t>
  </si>
  <si>
    <t>EL.+112.427</t>
  </si>
  <si>
    <t>EL.+109.332</t>
  </si>
  <si>
    <t>EL.+116.423</t>
  </si>
  <si>
    <t>EL.+105.664</t>
  </si>
  <si>
    <t>EL.+107.858</t>
  </si>
  <si>
    <t>EL.+121.543</t>
  </si>
  <si>
    <t>EL.+106.683</t>
  </si>
  <si>
    <t>EL.+121.557</t>
  </si>
  <si>
    <t>EL.+112.157</t>
  </si>
  <si>
    <t>EL.+105.707</t>
  </si>
  <si>
    <t>EL.+114.757</t>
  </si>
  <si>
    <t>EL.+114.895</t>
  </si>
  <si>
    <t>EL.+112.287</t>
  </si>
  <si>
    <t>EL.+115.182</t>
  </si>
  <si>
    <t>EL.+105.747</t>
  </si>
  <si>
    <t>VB43</t>
  </si>
  <si>
    <t>EL.+104.782</t>
  </si>
  <si>
    <t>EL.+113.882</t>
  </si>
  <si>
    <t>EL.+118.332</t>
  </si>
  <si>
    <t>EL.+112.532</t>
  </si>
  <si>
    <t>EL.+113.382</t>
  </si>
  <si>
    <t>EL.+106.032</t>
  </si>
  <si>
    <t>VB54</t>
  </si>
  <si>
    <t>VB55</t>
  </si>
  <si>
    <t>VB56</t>
  </si>
  <si>
    <t>VB57</t>
  </si>
  <si>
    <t>VB58</t>
  </si>
  <si>
    <t>EL.+113.920</t>
  </si>
  <si>
    <t>VB59</t>
  </si>
  <si>
    <t>EL.+110.082</t>
  </si>
  <si>
    <t>VB60</t>
  </si>
  <si>
    <t>EL.+101.737</t>
  </si>
  <si>
    <t>VB61</t>
  </si>
  <si>
    <t>EL.+121.267</t>
  </si>
  <si>
    <t>VB62</t>
  </si>
  <si>
    <t>EL.+103.892</t>
  </si>
  <si>
    <t>VB63</t>
  </si>
  <si>
    <t>EL.+105.822</t>
  </si>
  <si>
    <t>VB64</t>
  </si>
  <si>
    <t>EL.+107.517</t>
  </si>
  <si>
    <t>VB65</t>
  </si>
  <si>
    <t>VB66</t>
  </si>
  <si>
    <t>EL.+111.307</t>
  </si>
  <si>
    <t>EL.+113.171</t>
  </si>
  <si>
    <t>VB67</t>
  </si>
  <si>
    <t>EL.+113.282</t>
  </si>
  <si>
    <t>VB68</t>
  </si>
  <si>
    <t>EL.+118.532</t>
  </si>
  <si>
    <t>VB69</t>
  </si>
  <si>
    <t>EL.+116.545</t>
  </si>
  <si>
    <t>VB70</t>
  </si>
  <si>
    <t>EL.+118.432</t>
  </si>
  <si>
    <t>VB71</t>
  </si>
  <si>
    <t>EL.+118.318</t>
  </si>
  <si>
    <t>VB72</t>
  </si>
  <si>
    <t>VB73</t>
  </si>
  <si>
    <t>VB74</t>
  </si>
  <si>
    <t>VB75</t>
  </si>
  <si>
    <t>VB76</t>
  </si>
  <si>
    <t>VB77</t>
  </si>
  <si>
    <t>VB78</t>
  </si>
  <si>
    <t>EL.+109.982</t>
  </si>
  <si>
    <t>VB79</t>
  </si>
  <si>
    <t>EL.+111.782</t>
  </si>
  <si>
    <t>VB80</t>
  </si>
  <si>
    <t>EL.+113.182</t>
  </si>
  <si>
    <t>VB81</t>
  </si>
  <si>
    <t>VB82</t>
  </si>
  <si>
    <t>VB83</t>
  </si>
  <si>
    <t>VB84</t>
  </si>
  <si>
    <t>EL.+113.863</t>
  </si>
  <si>
    <t>VB85</t>
  </si>
  <si>
    <t>VB86</t>
  </si>
  <si>
    <t>VB87</t>
  </si>
  <si>
    <t>EL.+118.484</t>
  </si>
  <si>
    <t>VB88</t>
  </si>
  <si>
    <t>VB89</t>
  </si>
  <si>
    <t>VB90</t>
  </si>
  <si>
    <t>VB91</t>
  </si>
  <si>
    <t>VB92</t>
  </si>
  <si>
    <t>VB93</t>
  </si>
  <si>
    <t>VB94</t>
  </si>
  <si>
    <t>EL.+105.629</t>
  </si>
  <si>
    <t>VBRACE</t>
  </si>
  <si>
    <t>VB95</t>
  </si>
  <si>
    <t>EL.+109.229</t>
  </si>
  <si>
    <t>VB96</t>
  </si>
  <si>
    <t>VB97</t>
  </si>
  <si>
    <t>EL.+112.327</t>
  </si>
  <si>
    <t>VB98</t>
  </si>
  <si>
    <t>VB99</t>
  </si>
  <si>
    <t>EL.+116.940</t>
  </si>
  <si>
    <t>VB100</t>
  </si>
  <si>
    <t>VB101</t>
  </si>
  <si>
    <t>VB102</t>
  </si>
  <si>
    <t>VB103</t>
  </si>
  <si>
    <t>VB104</t>
  </si>
  <si>
    <t>VB105</t>
  </si>
  <si>
    <t>VB106</t>
  </si>
  <si>
    <t>1833-PR01C</t>
  </si>
  <si>
    <t>FP</t>
  </si>
  <si>
    <t>50054-TPL-1833-ST-FD-PR01C-C01-0101&amp;102</t>
  </si>
  <si>
    <t>R00</t>
  </si>
  <si>
    <t>PR01C-C01</t>
  </si>
  <si>
    <t>ZW/PARAS</t>
  </si>
  <si>
    <t>PL01</t>
  </si>
  <si>
    <t>ZW/PARAS/PL01</t>
  </si>
  <si>
    <t>50054-TPL-1833-ST-FD-PR01C-C06-0110&amp;111</t>
  </si>
  <si>
    <t>PR01C-C06</t>
  </si>
  <si>
    <t>Not Applicable</t>
  </si>
  <si>
    <t>50054-TPL-1833-ST-FD-PR01C-C09-0116&amp;117</t>
  </si>
  <si>
    <t>R01</t>
  </si>
  <si>
    <t>PR01C-C09</t>
  </si>
  <si>
    <t>50054-TPL-1833-ST-FD-PR01C-C10-0118&amp;119</t>
  </si>
  <si>
    <t>PR01C-C10</t>
  </si>
  <si>
    <t>50054-TPL-1833-ST-FD-PR01C-C11-0120&amp;121</t>
  </si>
  <si>
    <t>PR01C-C11</t>
  </si>
  <si>
    <t>50054-TPL-1833-ST-FD-PR01C-C14-0126&amp;127</t>
  </si>
  <si>
    <t>PR01C-C14</t>
  </si>
  <si>
    <t>Splice plate</t>
  </si>
  <si>
    <t>50054-TPL-1833-ST-FD-PR01C-SF01-1049</t>
  </si>
  <si>
    <t>PR01C-SF01</t>
  </si>
  <si>
    <t>1/24 TO 24/24</t>
  </si>
  <si>
    <t>50054-TPL-1833-ST-FD-PR01C-SF03-1051</t>
  </si>
  <si>
    <t>PR01C-SF03</t>
  </si>
  <si>
    <t>1/12 TO 12/12</t>
  </si>
  <si>
    <t>50054-TPL-1833-ST-FD-PR01C-SF05-1053</t>
  </si>
  <si>
    <t>PR01C-SF05</t>
  </si>
  <si>
    <t>1/8 TO 8/8</t>
  </si>
  <si>
    <t>50054-TPL-1833-ST-FD-PR01C-SF06-1054</t>
  </si>
  <si>
    <t>PR01C-SF06</t>
  </si>
  <si>
    <t>1/4 TO 4/4</t>
  </si>
  <si>
    <t>50054-TPL-1833-ST-FD-PR01C-SF07-1055</t>
  </si>
  <si>
    <t>PR01C-SF07</t>
  </si>
  <si>
    <t>50054-TPL-1833-ST-FD-PR01C-SF08-1056</t>
  </si>
  <si>
    <t>PR01C-SF08</t>
  </si>
  <si>
    <t>#FP</t>
  </si>
  <si>
    <t>50054-TPL-1833-ST-FD-PR01C-1BE02-0224</t>
  </si>
  <si>
    <t>PR01C-1BE02</t>
  </si>
  <si>
    <t>ZW/paras</t>
  </si>
  <si>
    <t>PL02</t>
  </si>
  <si>
    <t>ZW/paras/PL02</t>
  </si>
  <si>
    <t>50054-TPL-1833-ST-FD-PR01C-1BE05-0227</t>
  </si>
  <si>
    <t>PR01C-1BE05</t>
  </si>
  <si>
    <t>50054-TPL-1833-ST-FD-PR01C-1BE06-0228</t>
  </si>
  <si>
    <t>PR01C-1BE06</t>
  </si>
  <si>
    <t>50054-TPL-1833-ST-FD-PR01C-1BE07-0229</t>
  </si>
  <si>
    <t>PR01C-1BE07</t>
  </si>
  <si>
    <t>50054-TPL-1833-ST-FD-PR01C-1BE08-0230</t>
  </si>
  <si>
    <t>PR01C-1BE08</t>
  </si>
  <si>
    <t>50054-TPL-1833-ST-FD-PR01C-1BE10-0232</t>
  </si>
  <si>
    <t>PR01C-1BE10</t>
  </si>
  <si>
    <t>50054-TPL-1833-ST-FD-PR01C-1BE28-0250&amp;251</t>
  </si>
  <si>
    <t>PR01C-1BE28</t>
  </si>
  <si>
    <t>50054-TPL-1833-ST-FD-PR01C-6BE84-0701</t>
  </si>
  <si>
    <t>PR01C-6BE84</t>
  </si>
  <si>
    <t>50054-TPL-1833-ST-FD-PR01C-C03-0105&amp;106</t>
  </si>
  <si>
    <t>R02</t>
  </si>
  <si>
    <t>PR01C-C03</t>
  </si>
  <si>
    <t>50054-TPL-1833-ST-FD-PR01C-C04-0107&amp;108</t>
  </si>
  <si>
    <t>PR01C-C04</t>
  </si>
  <si>
    <t>50054-TPL-1833-ST-FD-PR01C-C05-0109</t>
  </si>
  <si>
    <t>PR01C-C05</t>
  </si>
  <si>
    <t>50054-TPL-1833-ST-FD-PR01C-C12-0122&amp;123</t>
  </si>
  <si>
    <t>PR01C-C12</t>
  </si>
  <si>
    <t>50054-TPL-1833-ST-FD-PR01C-C31-0161&amp;162</t>
  </si>
  <si>
    <t>PR01C-C31</t>
  </si>
  <si>
    <t>50054-TPL-1833-ST-FD-PR01C-C35-0169,170&amp;171</t>
  </si>
  <si>
    <t>PR01C-C35</t>
  </si>
  <si>
    <t>50054-TPL-1833-ST-FD-PR01C-C37-0174,175&amp;176</t>
  </si>
  <si>
    <t>PR01C-C37</t>
  </si>
  <si>
    <t>50054-TPL-1833-ST-FD-PR01C-C38-0177,178&amp;179</t>
  </si>
  <si>
    <t>PR01C-C38</t>
  </si>
  <si>
    <t>50054-TPL-1833-ST-FD-PR01C-SF02-1050</t>
  </si>
  <si>
    <t>PR01C-SF02</t>
  </si>
  <si>
    <t>1/76 TO 76/76</t>
  </si>
  <si>
    <t>50054-TPL-1833-ST-FD-PR01C-SF04-1052</t>
  </si>
  <si>
    <t>PR01C-SF04</t>
  </si>
  <si>
    <t>1/37 TO 37/37</t>
  </si>
  <si>
    <t>Run Macro using "Assign Qty" button</t>
  </si>
  <si>
    <t>10_11_A</t>
  </si>
  <si>
    <t>10_A_B</t>
  </si>
  <si>
    <t>11_A_B</t>
  </si>
  <si>
    <t>10_B_A</t>
  </si>
  <si>
    <t>11_B_A</t>
  </si>
  <si>
    <t>12_A_B</t>
  </si>
  <si>
    <t>13_A_B</t>
  </si>
  <si>
    <t>12_B_A</t>
  </si>
  <si>
    <t>13_B_A</t>
  </si>
  <si>
    <t>15_A_B</t>
  </si>
  <si>
    <t>15_B_A</t>
  </si>
  <si>
    <t>13_A'_A"</t>
  </si>
  <si>
    <t>14_A"_A</t>
  </si>
  <si>
    <t>14_A'_A"</t>
  </si>
  <si>
    <t>10_11_B</t>
  </si>
  <si>
    <t>12_13_A</t>
  </si>
  <si>
    <t>12_13_B</t>
  </si>
  <si>
    <t>13_14_A</t>
  </si>
  <si>
    <t>13_14_B</t>
  </si>
  <si>
    <t>15_-_A</t>
  </si>
  <si>
    <t>15_-_B</t>
  </si>
  <si>
    <t>12_13_A"</t>
  </si>
  <si>
    <t>14_15_A"</t>
  </si>
  <si>
    <t>Update Packing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</si>
</sst>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51">
    <xf numFmtId="0" fontId="0" fillId="0" borderId="0" xfId="0"/>
    <xf numFmtId="0" fontId="1" fillId="0" borderId="0" xfId="0" applyFont="1"/>
    <xf numFmtId="0" fontId="0" fillId="0" borderId="1" xfId="0" applyBorder="1"/>
    <xf numFmtId="0" fontId="0" fillId="4" borderId="1" xfId="0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49" fontId="0" fillId="0" borderId="1" xfId="0" applyNumberFormat="1" applyBorder="1"/>
    <xf numFmtId="49" fontId="0" fillId="0" borderId="3" xfId="0" applyNumberFormat="1" applyBorder="1"/>
    <xf numFmtId="49" fontId="0" fillId="0" borderId="8" xfId="0" applyNumberFormat="1" applyBorder="1"/>
    <xf numFmtId="49" fontId="0" fillId="0" borderId="9" xfId="0" applyNumberFormat="1" applyBorder="1"/>
    <xf numFmtId="0" fontId="3" fillId="0" borderId="0" xfId="0" applyFont="1"/>
    <xf numFmtId="0" fontId="0" fillId="5" borderId="1" xfId="0" applyFill="1" applyBorder="1" applyAlignment="1">
      <alignment horizontal="center" wrapText="1"/>
    </xf>
    <xf numFmtId="1" fontId="0" fillId="0" borderId="5" xfId="0" applyNumberFormat="1" applyBorder="1"/>
    <xf numFmtId="1" fontId="0" fillId="0" borderId="1" xfId="0" applyNumberFormat="1" applyBorder="1"/>
    <xf numFmtId="1" fontId="0" fillId="0" borderId="8" xfId="0" applyNumberFormat="1" applyBorder="1"/>
    <xf numFmtId="0" fontId="1" fillId="2" borderId="0" xfId="0" applyFont="1" applyFill="1"/>
    <xf numFmtId="0" fontId="0" fillId="2" borderId="1" xfId="0" applyFill="1" applyBorder="1"/>
    <xf numFmtId="0" fontId="0" fillId="0" borderId="0" xfId="0" pivotButton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pivotButton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7" xfId="0" applyBorder="1"/>
    <xf numFmtId="0" fontId="0" fillId="0" borderId="22" xfId="0" applyBorder="1"/>
    <xf numFmtId="0" fontId="0" fillId="0" borderId="23" xfId="0" applyBorder="1"/>
    <xf numFmtId="0" fontId="1" fillId="6" borderId="24" xfId="0" applyFont="1" applyFill="1" applyBorder="1"/>
    <xf numFmtId="0" fontId="1" fillId="6" borderId="25" xfId="0" applyFont="1" applyFill="1" applyBorder="1"/>
    <xf numFmtId="43" fontId="0" fillId="0" borderId="0" xfId="1" applyFont="1"/>
    <xf numFmtId="0" fontId="1" fillId="0" borderId="19" xfId="0" applyFont="1" applyBorder="1" applyAlignment="1">
      <alignment horizontal="center" vertical="center"/>
    </xf>
    <xf numFmtId="43" fontId="1" fillId="0" borderId="21" xfId="0" applyNumberFormat="1" applyFont="1" applyBorder="1" applyAlignment="1">
      <alignment horizontal="center" vertical="center"/>
    </xf>
    <xf numFmtId="0" fontId="0" fillId="7" borderId="5" xfId="0" applyFill="1" applyBorder="1"/>
    <xf numFmtId="0" fontId="0" fillId="0" borderId="8" xfId="0" applyBorder="1"/>
    <xf numFmtId="0" fontId="0" fillId="0" borderId="11" xfId="0" pivotButton="1" applyBorder="1"/>
    <xf numFmtId="0" fontId="0" fillId="0" borderId="26" xfId="0" applyBorder="1"/>
    <xf numFmtId="0" fontId="0" fillId="0" borderId="12" xfId="0" applyBorder="1"/>
    <xf numFmtId="0" fontId="0" fillId="0" borderId="18" xfId="0" applyBorder="1"/>
    <xf numFmtId="0" fontId="0" fillId="0" borderId="11" xfId="0" applyBorder="1"/>
    <xf numFmtId="0" fontId="0" fillId="0" borderId="27" xfId="0" pivotButton="1" applyBorder="1"/>
    <xf numFmtId="0" fontId="0" fillId="3" borderId="10" xfId="0" applyFill="1" applyBorder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Comma" xfId="1" builtinId="3"/>
    <cellStyle name="Normal" xfId="0" builtinId="0"/>
  </cellStyles>
  <dxfs count="59">
    <dxf>
      <numFmt numFmtId="0" formatCode="General"/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" formatCode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1095375</xdr:colOff>
          <xdr:row>0</xdr:row>
          <xdr:rowOff>180975</xdr:rowOff>
        </xdr:from>
        <xdr:to>
          <xdr:col>5</xdr:col>
          <xdr:colOff>1095375</xdr:colOff>
          <xdr:row>1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AssignQty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0</xdr:colOff>
      <xdr:row>2</xdr:row>
      <xdr:rowOff>0</xdr:rowOff>
    </xdr:from>
    <xdr:to>
      <xdr:col>44</xdr:col>
      <xdr:colOff>409708</xdr:colOff>
      <xdr:row>53</xdr:row>
      <xdr:rowOff>83506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03672" y="654844"/>
          <a:ext cx="9488224" cy="969780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nil Chandel" refreshedDate="45269.53583414352" createdVersion="8" refreshedVersion="8" minRefreshableVersion="3" recordCount="1360" xr:uid="{0A23B546-C395-4904-959A-F3D8E12AC2A0}">
  <cacheSource type="worksheet">
    <worksheetSource name="PartList"/>
  </cacheSource>
  <cacheFields count="17">
    <cacheField name="SL NO" numFmtId="0">
      <sharedItems containsSemiMixedTypes="0" containsString="0" containsNumber="1" containsInteger="1" minValue="1" maxValue="1360"/>
    </cacheField>
    <cacheField name="ASSLY MARK" numFmtId="0">
      <sharedItems count="1953">
        <s v="1BE01"/>
        <s v="1BE02"/>
        <s v="1BE03"/>
        <s v="1BE04"/>
        <s v="1BE05"/>
        <s v="1BE06"/>
        <s v="1BE07"/>
        <s v="1BE08"/>
        <s v="1BE09"/>
        <s v="1BE10"/>
        <s v="1BE11"/>
        <s v="1BE12"/>
        <s v="1BE13"/>
        <s v="1BE14"/>
        <s v="1BE15"/>
        <s v="1BE16"/>
        <s v="1BE19"/>
        <s v="1BE26"/>
        <s v="1BE27"/>
        <s v="1BE28"/>
        <s v="1BE29"/>
        <s v="1BE30"/>
        <s v="1BE31"/>
        <s v="1BE32"/>
        <s v="1BE33"/>
        <s v="1BE34"/>
        <s v="1BE35"/>
        <s v="1BE36"/>
        <s v="1BE37"/>
        <s v="1BE38"/>
        <s v="1BE39"/>
        <s v="1BE40"/>
        <s v="1BE99"/>
        <s v="1BE100"/>
        <s v="1FR01"/>
        <s v="1FR02"/>
        <s v="1HA02"/>
        <s v="1HA03"/>
        <s v="1HA04"/>
        <s v="1HB01"/>
        <s v="1HB02"/>
        <s v="1HB03"/>
        <s v="1HB04"/>
        <s v="1HB05"/>
        <s v="1HB06"/>
        <s v="1HB07"/>
        <s v="1HB08"/>
        <s v="1HB09"/>
        <s v="1HB10"/>
        <s v="1HB11"/>
        <s v="1SC01"/>
        <s v="1SC02"/>
        <s v="1SC03"/>
        <s v="1SC04"/>
        <s v="1SC05"/>
        <s v="1SC06"/>
        <s v="2BE01"/>
        <s v="2BE02"/>
        <s v="2BE04"/>
        <s v="2BE05"/>
        <s v="2BE06"/>
        <s v="2BE07"/>
        <s v="2BE08"/>
        <s v="2BE09"/>
        <s v="2BE10"/>
        <s v="2BE11"/>
        <s v="2BE12"/>
        <s v="2BE14"/>
        <s v="2BE15"/>
        <s v="2BE16"/>
        <s v="2BE17"/>
        <s v="2BE18"/>
        <s v="2BE19"/>
        <s v="2BE20"/>
        <s v="2BE21"/>
        <s v="2BE23"/>
        <s v="2BE55"/>
        <s v="2BE59"/>
        <s v="2BE60"/>
        <s v="2BE67"/>
        <s v="2BE68"/>
        <s v="2BE69"/>
        <s v="2HA01"/>
        <s v="2HB01"/>
        <s v="2HB02"/>
        <s v="2HB03"/>
        <s v="2HB04"/>
        <s v="2HB05"/>
        <s v="2SC01"/>
        <s v="2SC02"/>
        <s v="2SC04"/>
        <s v="3BE01"/>
        <s v="3BE02"/>
        <s v="3BE03"/>
        <s v="3BE04"/>
        <s v="3BE05"/>
        <s v="3BE06"/>
        <s v="3BE07"/>
        <s v="3BE08"/>
        <s v="3BE09"/>
        <s v="3BE10"/>
        <s v="3BE12"/>
        <s v="3BE13"/>
        <s v="3BE14"/>
        <s v="3BE15"/>
        <s v="3BE16"/>
        <s v="3BE17"/>
        <s v="3BE18"/>
        <s v="3BE19"/>
        <s v="3BE20"/>
        <s v="3BE21"/>
        <s v="3BE22"/>
        <s v="3BE23"/>
        <s v="3BE24"/>
        <s v="3BE25"/>
        <s v="3BE26"/>
        <s v="3BE27"/>
        <s v="3BE28"/>
        <s v="3BE29"/>
        <s v="3BE30"/>
        <s v="3BE31"/>
        <s v="3BE32"/>
        <s v="3BE33"/>
        <s v="3BE34"/>
        <s v="3BE35"/>
        <s v="3BE36"/>
        <s v="3BE37"/>
        <s v="3BE38"/>
        <s v="3BE39"/>
        <s v="3BE40"/>
        <s v="3BE60"/>
        <s v="3HB01"/>
        <s v="3HB02"/>
        <s v="3HB03"/>
        <s v="3HB04"/>
        <s v="3HB05"/>
        <s v="3HB06"/>
        <s v="3HB07"/>
        <s v="3HB08"/>
        <s v="3HB09"/>
        <s v="3HB10"/>
        <s v="3HB11"/>
        <s v="3HB12"/>
        <s v="3HB13"/>
        <s v="3HB14"/>
        <s v="3HB15"/>
        <s v="3HB16"/>
        <s v="3HB17"/>
        <s v="3SC01"/>
        <s v="3SC02"/>
        <s v="3SC03"/>
        <s v="3SC04"/>
        <s v="3SC05"/>
        <s v="3SC06"/>
        <s v="3SC15"/>
        <s v="4BE02"/>
        <s v="4BE03"/>
        <s v="4BE04"/>
        <s v="4BE05"/>
        <s v="4BE06"/>
        <s v="4BE07"/>
        <s v="4BE08"/>
        <s v="4BE54"/>
        <s v="4BE55"/>
        <s v="4FR05"/>
        <s v="4HA01"/>
        <s v="4HA02"/>
        <s v="4HA03"/>
        <s v="4HB01"/>
        <s v="5BE01"/>
        <s v="5BE02"/>
        <s v="5BE03"/>
        <s v="5BE04"/>
        <s v="5BE05"/>
        <s v="5BE06"/>
        <s v="5BE07"/>
        <s v="5BE08"/>
        <s v="5BE09"/>
        <s v="5BE11"/>
        <s v="5BE12"/>
        <s v="5BE13"/>
        <s v="5BE14"/>
        <s v="5BE15"/>
        <s v="5BE16"/>
        <s v="5BE17"/>
        <s v="5BE18"/>
        <s v="5BE19"/>
        <s v="5BE20"/>
        <s v="5BE21"/>
        <s v="5BE22"/>
        <s v="5BE23"/>
        <s v="5BE24"/>
        <s v="5BE25"/>
        <s v="5BE26"/>
        <s v="5BE27"/>
        <s v="5BE28"/>
        <s v="5BE29"/>
        <s v="5BE30"/>
        <s v="5BE31"/>
        <s v="5BE32"/>
        <s v="5BE33"/>
        <s v="5BE34"/>
        <s v="5BE35"/>
        <s v="5BE36"/>
        <s v="5BE37"/>
        <s v="5BE38"/>
        <s v="5BE39"/>
        <s v="5BE40"/>
        <s v="5BE41"/>
        <s v="5BE42"/>
        <s v="5BE43"/>
        <s v="5BE44"/>
        <s v="5BE52"/>
        <s v="5BE53"/>
        <s v="5HB01"/>
        <s v="5HB02"/>
        <s v="5HB03"/>
        <s v="5HB04"/>
        <s v="5HB05"/>
        <s v="5HB06"/>
        <s v="5HB07"/>
        <s v="5SC01"/>
        <s v="5SC02"/>
        <s v="5SC03"/>
        <s v="6BE01"/>
        <s v="6BE02"/>
        <s v="6BE03"/>
        <s v="6BE04"/>
        <s v="6BE05"/>
        <s v="6BE06"/>
        <s v="6BE07"/>
        <s v="6BE08"/>
        <s v="6BE09"/>
        <s v="6BE10"/>
        <s v="6BE12"/>
        <s v="6BE13"/>
        <s v="6BE14"/>
        <s v="6BE15"/>
        <s v="6BE16"/>
        <s v="6BE17"/>
        <s v="6BE18"/>
        <s v="6BE19"/>
        <s v="6BE20"/>
        <s v="6BE21"/>
        <s v="6BE22"/>
        <s v="6BE23"/>
        <s v="6BE24"/>
        <s v="6BE25"/>
        <s v="6BE26"/>
        <s v="6BE27"/>
        <s v="6BE29"/>
        <s v="6BE30"/>
        <s v="6BE31"/>
        <s v="6BE32"/>
        <s v="6BE33"/>
        <s v="6BE34"/>
        <s v="6BE35"/>
        <s v="6BE36"/>
        <s v="6BE37"/>
        <s v="6BE38"/>
        <s v="6BE39"/>
        <s v="6BE40"/>
        <s v="6BE52"/>
        <s v="6BE53"/>
        <s v="6BE55"/>
        <s v="6BE84"/>
        <s v="6BE85"/>
        <s v="6BE86"/>
        <s v="6BE108"/>
        <s v="6HA01"/>
        <s v="6HA02"/>
        <s v="6HB01"/>
        <s v="6HB02"/>
        <s v="6HB03"/>
        <s v="6HB04"/>
        <s v="6HB05"/>
        <s v="6HB06"/>
        <s v="6HB07"/>
        <s v="6HB08"/>
        <s v="6HB09"/>
        <s v="6HB10"/>
        <s v="6HB11"/>
        <s v="6HB12"/>
        <s v="6HB13"/>
        <s v="6HB14"/>
        <s v="6HB15"/>
        <s v="6HB16"/>
        <s v="6HB17"/>
        <s v="C01"/>
        <s v="C02"/>
        <s v="C03"/>
        <s v="C06"/>
        <s v="C07"/>
        <s v="C08"/>
        <s v="C09"/>
        <s v="C10"/>
        <s v="C11"/>
        <s v="C12"/>
        <s v="C13"/>
        <s v="C14"/>
        <s v="C15"/>
        <s v="C16"/>
        <s v="C17"/>
        <s v="C21"/>
        <s v="C37"/>
        <s v="C38"/>
        <s v="SF01"/>
        <s v="SF02"/>
        <s v="SF03"/>
        <s v="SF04"/>
        <s v="SF05"/>
        <s v="SF06"/>
        <s v="SF11"/>
        <s v="SF12"/>
        <s v="SF13"/>
        <s v="SW01"/>
        <s v="SW02"/>
        <s v="SW03"/>
        <s v="SW05"/>
        <s v="VB01"/>
        <s v="VB02"/>
        <s v="VB03"/>
        <s v="VB04"/>
        <s v="VB05"/>
        <s v="VB07"/>
        <s v="VB08"/>
        <s v="VB09"/>
        <s v="VB10"/>
        <s v="VB11"/>
        <s v="VB12"/>
        <s v="VB13"/>
        <s v="VB14"/>
        <s v="VB15"/>
        <s v="VB16"/>
        <s v="VB17"/>
        <s v="VB18"/>
        <s v="VB19"/>
        <s v="VB20"/>
        <s v="VB21"/>
        <s v="VB23"/>
        <s v="VB24"/>
        <s v="VB25"/>
        <s v="VB26"/>
        <s v="VB27"/>
        <s v="VB28"/>
        <s v="VB29"/>
        <s v="VB30"/>
        <s v="VB31"/>
        <s v="VB32"/>
        <s v="VB33"/>
        <s v="VB34"/>
        <s v="VB35"/>
        <s v="VB36"/>
        <s v="VB37"/>
        <s v="VB38"/>
        <s v="VB39"/>
        <s v="VB40"/>
        <s v="VB41"/>
        <s v="VB42"/>
        <s v="VB47"/>
        <s v="VB48"/>
        <s v="VB77"/>
        <s v="VB78"/>
        <s v="VB92"/>
        <s v="VB93"/>
        <s v="VB95"/>
        <s v="VB96"/>
        <s v="VB97"/>
        <s v="VB98"/>
        <s v="VB99"/>
        <s v="VB103"/>
        <s v="VB104"/>
        <s v="VB105"/>
        <s v="VB106"/>
        <s v="1BE17"/>
        <s v="1BE18"/>
        <s v="1BE41"/>
        <s v="1BE42"/>
        <s v="1BE43"/>
        <s v="1BE44"/>
        <s v="1BE45"/>
        <s v="1BE46"/>
        <s v="1BE47"/>
        <s v="1BE48"/>
        <s v="1BE49"/>
        <s v="1BE50"/>
        <s v="1BE51"/>
        <s v="1BE52"/>
        <s v="1BE53"/>
        <s v="1BE54"/>
        <s v="1BE55"/>
        <s v="1BE56"/>
        <s v="1BE57"/>
        <s v="1BE58"/>
        <s v="1BE59"/>
        <s v="1BE61"/>
        <s v="1BE62"/>
        <s v="1BE63"/>
        <s v="1BE64"/>
        <s v="1BE65"/>
        <s v="1BE66"/>
        <s v="1BE67"/>
        <s v="1BE68"/>
        <s v="1BE69"/>
        <s v="1BE70"/>
        <s v="1BE71"/>
        <s v="1BE72"/>
        <s v="1BE73"/>
        <s v="1BE74"/>
        <s v="1BE75"/>
        <s v="1BE76"/>
        <s v="1BE77"/>
        <s v="1BE78"/>
        <s v="1BE79"/>
        <s v="1BE80"/>
        <s v="1BE81"/>
        <s v="1BE82"/>
        <s v="1BE83"/>
        <s v="1BE85"/>
        <s v="1BE86"/>
        <s v="1BE87"/>
        <s v="1BE88"/>
        <s v="1BE89"/>
        <s v="1BE90"/>
        <s v="1BE94"/>
        <s v="1BE95"/>
        <s v="1BE96"/>
        <s v="1BE97"/>
        <s v="1FR03"/>
        <s v="1FR04"/>
        <s v="1HA01"/>
        <s v="1HB12"/>
        <s v="1HB13"/>
        <s v="1HB14"/>
        <s v="1HB15"/>
        <s v="1HB16"/>
        <s v="1HB17"/>
        <s v="1HB18"/>
        <s v="1HB19"/>
        <s v="1HB20"/>
        <s v="1HB21"/>
        <s v="1HB22"/>
        <s v="1SC07"/>
        <s v="1SC08"/>
        <s v="1SC09"/>
        <s v="1SC10"/>
        <s v="1SC11"/>
        <s v="1SC12"/>
        <s v="1SC13"/>
        <s v="1SC14"/>
        <s v="2BE13"/>
        <s v="2BE22"/>
        <s v="2BE24"/>
        <s v="2BE25"/>
        <s v="2BE26"/>
        <s v="2BE27"/>
        <s v="2BE28"/>
        <s v="2BE29"/>
        <s v="2BE30"/>
        <s v="2BE31"/>
        <s v="2BE32"/>
        <s v="2BE33"/>
        <s v="2BE34"/>
        <s v="2BE35"/>
        <s v="2BE36"/>
        <s v="2BE37"/>
        <s v="2BE38"/>
        <s v="2BE39"/>
        <s v="2BE40"/>
        <s v="2BE41"/>
        <s v="2BE42"/>
        <s v="2BE43"/>
        <s v="2BE44"/>
        <s v="2BE45"/>
        <s v="2BE46"/>
        <s v="2BE47"/>
        <s v="2BE50"/>
        <s v="2BE51"/>
        <s v="2BE52"/>
        <s v="2BE53"/>
        <s v="2BE54"/>
        <s v="2BE56"/>
        <s v="2BE57"/>
        <s v="2BE71"/>
        <s v="2HB06"/>
        <s v="2HB07"/>
        <s v="2HB08"/>
        <s v="2HB09"/>
        <s v="2HB10"/>
        <s v="2HB11"/>
        <s v="2HB12"/>
        <s v="2HB13"/>
        <s v="2HB14"/>
        <s v="2HB15"/>
        <s v="2HB16"/>
        <s v="2HB17"/>
        <s v="2HB18"/>
        <s v="2HB19"/>
        <s v="2HB20"/>
        <s v="2HB21"/>
        <s v="2HB22"/>
        <s v="2HB23"/>
        <s v="2HB24"/>
        <s v="2HB25"/>
        <s v="2HB27"/>
        <s v="2HB29"/>
        <s v="2HB30"/>
        <s v="2SC03"/>
        <s v="3BE41"/>
        <s v="3BE42"/>
        <s v="3BE43"/>
        <s v="3BE44"/>
        <s v="3BE46"/>
        <s v="3BE47"/>
        <s v="3BE48"/>
        <s v="3BE49"/>
        <s v="3BE50"/>
        <s v="3BE51"/>
        <s v="3BE52"/>
        <s v="3BE53"/>
        <s v="3BE55"/>
        <s v="3BE56"/>
        <s v="3BE57"/>
        <s v="3BE58"/>
        <s v="3HA01"/>
        <s v="3HA02"/>
        <s v="3HB18"/>
        <s v="3SC08"/>
        <s v="3SC09"/>
        <s v="3SC10"/>
        <s v="3SC11"/>
        <s v="3SC12"/>
        <s v="3SC13"/>
        <s v="3SC14"/>
        <s v="4BE10"/>
        <s v="4BE11"/>
        <s v="4BE12"/>
        <s v="4BE14"/>
        <s v="4BE15"/>
        <s v="4BE16"/>
        <s v="4BE17"/>
        <s v="4BE20"/>
        <s v="4BE21"/>
        <s v="4BE22"/>
        <s v="4BE23"/>
        <s v="4BE24"/>
        <s v="4BE25"/>
        <s v="4BE26"/>
        <s v="4BE27"/>
        <s v="4BE29"/>
        <s v="4BE30"/>
        <s v="4BE31"/>
        <s v="4BE32"/>
        <s v="4BE33"/>
        <s v="4BE34"/>
        <s v="4BE35"/>
        <s v="4BE38"/>
        <s v="4BE39"/>
        <s v="4BE40"/>
        <s v="4BE42"/>
        <s v="4BE43"/>
        <s v="4BE44"/>
        <s v="4BE45"/>
        <s v="4BE46"/>
        <s v="4BE47"/>
        <s v="4BE48"/>
        <s v="4BE49"/>
        <s v="4BE50"/>
        <s v="4BE51"/>
        <s v="4BE52"/>
        <s v="4FR01"/>
        <s v="4FR03"/>
        <s v="4FR04"/>
        <s v="4HB02"/>
        <s v="4HB03"/>
        <s v="4HB04"/>
        <s v="4HB05"/>
        <s v="4HB06"/>
        <s v="4HB07"/>
        <s v="4HB08"/>
        <s v="4HB09"/>
        <s v="4HB10"/>
        <s v="4HB11"/>
        <s v="4HB12"/>
        <s v="4HB13"/>
        <s v="4HB14"/>
        <s v="4HB15"/>
        <s v="4HB16"/>
        <s v="4HB17"/>
        <s v="4HB18"/>
        <s v="4HB19"/>
        <s v="4HB20"/>
        <s v="4HB21"/>
        <s v="4HB22"/>
        <s v="4HB23"/>
        <s v="4HB24"/>
        <s v="4HB25"/>
        <s v="4HB26"/>
        <s v="4HB27"/>
        <s v="4HB28"/>
        <s v="4HB29"/>
        <s v="4HB30"/>
        <s v="4HB31"/>
        <s v="4HB32"/>
        <s v="4HB33"/>
        <s v="4HB45"/>
        <s v="4HB47"/>
        <s v="4HB48"/>
        <s v="4HB50"/>
        <s v="4HB51"/>
        <s v="4HB52"/>
        <s v="5BE10"/>
        <s v="5BE45"/>
        <s v="5BE46"/>
        <s v="5BE47"/>
        <s v="5BE48"/>
        <s v="5BE49"/>
        <s v="5BE50"/>
        <s v="5BE51"/>
        <s v="5HA01"/>
        <s v="5HA02"/>
        <s v="6BE41"/>
        <s v="6BE42"/>
        <s v="6BE43"/>
        <s v="6BE44"/>
        <s v="6BE45"/>
        <s v="6BE46"/>
        <s v="6BE47"/>
        <s v="6BE48"/>
        <s v="6BE49"/>
        <s v="6BE50"/>
        <s v="6BE51"/>
        <s v="6BE54"/>
        <s v="6BE56"/>
        <s v="6BE57"/>
        <s v="6BE58"/>
        <s v="6BE59"/>
        <s v="6BE60"/>
        <s v="6BE61"/>
        <s v="6BE62"/>
        <s v="6BE63"/>
        <s v="6BE64"/>
        <s v="6BE65"/>
        <s v="6BE66"/>
        <s v="6BE67"/>
        <s v="6BE68"/>
        <s v="6BE69"/>
        <s v="6BE72"/>
        <s v="6BE73"/>
        <s v="6BE74"/>
        <s v="6BE75"/>
        <s v="6BE76"/>
        <s v="6BE77"/>
        <s v="6BE78"/>
        <s v="6BE79"/>
        <s v="6BE80"/>
        <s v="6BE81"/>
        <s v="6BE82"/>
        <s v="6HB18"/>
        <s v="6HB19"/>
        <s v="6HB20"/>
        <s v="6HB21"/>
        <s v="6HB22"/>
        <s v="6HB23"/>
        <s v="6HB24"/>
        <s v="6HB25"/>
        <s v="6HB26"/>
        <s v="6HB27"/>
        <s v="6HB28"/>
        <s v="6HB29"/>
        <s v="6HB30"/>
        <s v="6HB31"/>
        <s v="6HB32"/>
        <s v="6HB33"/>
        <s v="6HB34"/>
        <s v="6HB35"/>
        <s v="6HB36"/>
        <s v="6HB37"/>
        <s v="6HB38"/>
        <s v="6HB39"/>
        <s v="6HB40"/>
        <s v="6HB41"/>
        <s v="6HB42"/>
        <s v="6HB43"/>
        <s v="6HB44"/>
        <s v="6SC01"/>
        <s v="6SC02"/>
        <s v="C18"/>
        <s v="C19"/>
        <s v="C20"/>
        <s v="C22"/>
        <s v="C23"/>
        <s v="C29"/>
        <s v="C30"/>
        <s v="C32"/>
        <s v="C33"/>
        <s v="C35"/>
        <s v="SF07"/>
        <s v="SF08"/>
        <s v="VB06"/>
        <s v="VB22"/>
        <s v="VB43"/>
        <s v="VB44"/>
        <s v="VB46"/>
        <s v="VB49"/>
        <s v="VB50"/>
        <s v="VB51"/>
        <s v="VB53"/>
        <s v="VB54"/>
        <s v="VB55"/>
        <s v="VB56"/>
        <s v="VB57"/>
        <s v="VB58"/>
        <s v="VB91"/>
        <s v="VB94"/>
        <s v="VB100"/>
        <s v="VB101"/>
        <s v="VB102"/>
        <s v="1BE20"/>
        <s v="1BE21"/>
        <s v="1BE22"/>
        <s v="1BE23"/>
        <s v="1BE24"/>
        <s v="1BE25"/>
        <s v="1BE60"/>
        <s v="1BE101"/>
        <s v="1BE102"/>
        <s v="1HB23"/>
        <s v="1HB24"/>
        <s v="2BE03"/>
        <s v="2BE61"/>
        <s v="2BE62"/>
        <s v="2BE63"/>
        <s v="2BE64"/>
        <s v="2BE65"/>
        <s v="2BE66"/>
        <s v="2BE70"/>
        <s v="2HB26"/>
        <s v="2HB28"/>
        <s v="2HB31"/>
        <s v="2SC05"/>
        <s v="3BE11"/>
        <s v="3BE45"/>
        <s v="3BE61"/>
        <s v="3BE62"/>
        <s v="3BE63"/>
        <s v="3BE64"/>
        <s v="3BE65"/>
        <s v="3HB19"/>
        <s v="3HB20"/>
        <s v="3SC07"/>
        <s v="3SC16"/>
        <s v="3SC17"/>
        <s v="3SC18"/>
        <s v="4BE09"/>
        <s v="4BE13"/>
        <s v="4BE18"/>
        <s v="4BE19"/>
        <s v="4BE36"/>
        <s v="4BE37"/>
        <s v="4BE56"/>
        <s v="4BE57"/>
        <s v="4BE59"/>
        <s v="4BE60"/>
        <s v="4BE61"/>
        <s v="4BE62"/>
        <s v="4BE63"/>
        <s v="4BE64"/>
        <s v="4BE65"/>
        <s v="4BE66"/>
        <s v="4BE67"/>
        <s v="4BE69"/>
        <s v="4FR02"/>
        <s v="4HB35"/>
        <s v="4HB36"/>
        <s v="4HB37"/>
        <s v="4HB39"/>
        <s v="4HB40"/>
        <s v="4HB41"/>
        <s v="4HB42"/>
        <s v="4HB43"/>
        <s v="4HB44"/>
        <s v="4HB46"/>
        <s v="4HB49"/>
        <s v="4HB53"/>
        <s v="6BE11"/>
        <s v="6BE28"/>
        <s v="6BE87"/>
        <s v="6BE88"/>
        <s v="6BE89"/>
        <s v="6BE90"/>
        <s v="6BE91"/>
        <s v="6BE94"/>
        <s v="6BE95"/>
        <s v="6BE96"/>
        <s v="6BE97"/>
        <s v="6BE98"/>
        <s v="6BE99"/>
        <s v="6BE100"/>
        <s v="6BE101"/>
        <s v="6BE102"/>
        <s v="6BE103"/>
        <s v="6BE104"/>
        <s v="6BE106"/>
        <s v="6BE107"/>
        <s v="6HB45"/>
        <s v="6HB46"/>
        <s v="6HB47"/>
        <s v="6HB48"/>
        <s v="6HB49"/>
        <s v="6HB50"/>
        <s v="6HB51"/>
        <s v="6HB52"/>
        <s v="C24"/>
        <s v="C25"/>
        <s v="C28"/>
        <s v="C31"/>
        <s v="VB45"/>
        <s v="VB59"/>
        <s v="VB68"/>
        <s v="VB76"/>
        <s v="VB79"/>
        <s v="VB80"/>
        <s v="VB82"/>
        <s v="VB84"/>
        <s v="VB85"/>
        <s v="VB86"/>
        <s v="VB87"/>
        <s v="VB88"/>
        <s v="VB89"/>
        <s v="VB90"/>
        <s v="1BE84"/>
        <s v="1BE91"/>
        <s v="1BE92"/>
        <s v="1BE93"/>
        <s v="2BE48"/>
        <s v="2BE49"/>
        <s v="3BE54"/>
        <s v="4BE28"/>
        <s v="4BE41"/>
        <s v="6BE70"/>
        <s v="6BE71"/>
        <s v="C26"/>
        <s v="C27"/>
        <s v="C34"/>
        <s v="SF09"/>
        <s v="SF10"/>
        <s v="SW04"/>
        <s v="VB52"/>
        <s v="VB60"/>
        <s v="VB61"/>
        <s v="VB62"/>
        <s v="VB63"/>
        <s v="VB64"/>
        <s v="VB65"/>
        <s v="VB66"/>
        <s v="VB67"/>
        <s v="VB69"/>
        <s v="VB70"/>
        <s v="VB71"/>
        <s v="VB72"/>
        <s v="VB73"/>
        <s v="VB74"/>
        <s v="VB75"/>
        <s v="1BE98"/>
        <s v="2BE58"/>
        <s v="3BE59"/>
        <s v="4BE01"/>
        <s v="4BE53"/>
        <s v="4BE58"/>
        <s v="4BE70"/>
        <s v="4HB34"/>
        <s v="4HB38"/>
        <s v="6BE83"/>
        <s v="6BE92"/>
        <s v="6BE93"/>
        <s v="6BE105"/>
        <s v="C04"/>
        <s v="C05"/>
        <s v="C36"/>
        <s v="VB81"/>
        <s v="VB83"/>
        <s v="1MR01" u="1"/>
        <s v="1MR02" u="1"/>
        <s v="4SC01" u="1"/>
        <s v="DS01" u="1"/>
        <s v="DS02" u="1"/>
        <s v="DS05" u="1"/>
        <s v="DS06" u="1"/>
        <s v="2FR01" u="1"/>
        <s v="2FR02" u="1"/>
        <s v="3BE66" u="1"/>
        <s v="3HB21" u="1"/>
        <s v="3HB22" u="1"/>
        <s v="3HB23" u="1"/>
        <s v="3HB24" u="1"/>
        <s v="3HB25" u="1"/>
        <s v="3HB26" u="1"/>
        <s v="3HB27" u="1"/>
        <s v="3HB28" u="1"/>
        <s v="3HB29" u="1"/>
        <s v="4SC02" u="1"/>
        <s v="4SC03" u="1"/>
        <s v="5HB08" u="1"/>
        <s v="5HB09" u="1"/>
        <s v="5HB10" u="1"/>
        <s v="DS03" u="1"/>
        <s v="DS04" u="1"/>
        <s v="1BE002" u="1"/>
        <s v="1BE017" u="1"/>
        <s v="1BE046" u="1"/>
        <s v="1BE047" u="1"/>
        <s v="1BE050" u="1"/>
        <s v="1BE051" u="1"/>
        <s v="1BE052" u="1"/>
        <s v="1BE053" u="1"/>
        <s v="1BE061" u="1"/>
        <s v="1BE062" u="1"/>
        <s v="1BE084" u="1"/>
        <s v="1BE087" u="1"/>
        <s v="1BE096" u="1"/>
        <s v="1HB003" u="1"/>
        <s v="1HB006" u="1"/>
        <s v="1HB007" u="1"/>
        <s v="1HB008" u="1"/>
        <s v="1HB009" u="1"/>
        <s v="1HB034" u="1"/>
        <s v="2BE006" u="1"/>
        <s v="2BE070" u="1"/>
        <s v="3BE019" u="1"/>
        <s v="3BE032" u="1"/>
        <s v="3BE033" u="1"/>
        <s v="3BE050" u="1"/>
        <s v="3BE066" u="1"/>
        <s v="3BE092" u="1"/>
        <s v="3BE115" u="1"/>
        <s v="3HB001" u="1"/>
        <s v="3HB003" u="1"/>
        <s v="3HB011" u="1"/>
        <s v="3HB012" u="1"/>
        <s v="4BE002" u="1"/>
        <s v="4BE024" u="1"/>
        <s v="4BE025" u="1"/>
        <s v="4BE026" u="1"/>
        <s v="4BE027" u="1"/>
        <s v="4BE028" u="1"/>
        <s v="4BE029" u="1"/>
        <s v="4BE037" u="1"/>
        <s v="4HB001" u="1"/>
        <s v="4HB002" u="1"/>
        <s v="4HB003" u="1"/>
        <s v="4HB011" u="1"/>
        <s v="5BE077" u="1"/>
        <s v="6BE013" u="1"/>
        <s v="6BE016" u="1"/>
        <s v="6BE023" u="1"/>
        <s v="6BE024" u="1"/>
        <s v="6BE030" u="1"/>
        <s v="6BE039" u="1"/>
        <s v="6HB008" u="1"/>
        <s v="6HB009" u="1"/>
        <s v="6HB010" u="1"/>
        <s v="C007" u="1"/>
        <s v="C008" u="1"/>
        <s v="C021" u="1"/>
        <s v="C034" u="1"/>
        <s v="C035" u="1"/>
        <s v="C048" u="1"/>
        <s v="C054" u="1"/>
        <s v="SC003" u="1"/>
        <s v="SC004" u="1"/>
        <s v="SC012" u="1"/>
        <s v="SC013" u="1"/>
        <s v="SC042" u="1"/>
        <s v="VB012" u="1"/>
        <s v="VB013" u="1"/>
        <s v="VB014" u="1"/>
        <s v="VB031" u="1"/>
        <s v="VB048" u="1"/>
        <s v="VB049" u="1"/>
        <s v="VB050" u="1"/>
        <s v="VB051" u="1"/>
        <s v="VB052" u="1"/>
        <s v="VB053" u="1"/>
        <s v="VB054" u="1"/>
        <s v="VB055" u="1"/>
        <s v="VB056" u="1"/>
        <s v="VB061" u="1"/>
        <s v="VB062" u="1"/>
        <s v="VB063" u="1"/>
        <s v="VB064" u="1"/>
        <s v="VB065" u="1"/>
        <s v="VB068" u="1"/>
        <s v="VB069" u="1"/>
        <s v="VB070" u="1"/>
        <s v="VB072" u="1"/>
        <s v="VB073" u="1"/>
        <s v="VB082" u="1"/>
        <s v="VB121" u="1"/>
        <s v="VB171" u="1"/>
        <s v="VB172" u="1"/>
        <s v="VB173" u="1"/>
        <s v="VB174" u="1"/>
        <s v="VB175" u="1"/>
        <s v="VB210" u="1"/>
        <s v="VB211" u="1"/>
        <s v="VB212" u="1"/>
        <s v="VB243" u="1"/>
        <s v="1BE003" u="1"/>
        <s v="1BE022" u="1"/>
        <s v="1BE032" u="1"/>
        <s v="1BE033" u="1"/>
        <s v="1BE034" u="1"/>
        <s v="1BE036" u="1"/>
        <s v="1BE037" u="1"/>
        <s v="1BE038" u="1"/>
        <s v="1BE045" u="1"/>
        <s v="1BE058" u="1"/>
        <s v="1BE063" u="1"/>
        <s v="1BE067" u="1"/>
        <s v="1BE078" u="1"/>
        <s v="1BE079" u="1"/>
        <s v="1BE080" u="1"/>
        <s v="1BE081" u="1"/>
        <s v="1BE082" u="1"/>
        <s v="1BE083" u="1"/>
        <s v="1BE085" u="1"/>
        <s v="1BE086" u="1"/>
        <s v="1BE088" u="1"/>
        <s v="1BE089" u="1"/>
        <s v="1BE090" u="1"/>
        <s v="1BE091" u="1"/>
        <s v="1BE092" u="1"/>
        <s v="1BE093" u="1"/>
        <s v="1BE099" u="1"/>
        <s v="1BE103" u="1"/>
        <s v="1BE104" u="1"/>
        <s v="1BE105" u="1"/>
        <s v="1BE108" u="1"/>
        <s v="1BE117" u="1"/>
        <s v="1BE120" u="1"/>
        <s v="1BE121" u="1"/>
        <s v="1HB013" u="1"/>
        <s v="1HB014" u="1"/>
        <s v="1HB015" u="1"/>
        <s v="1HB016" u="1"/>
        <s v="1HB017" u="1"/>
        <s v="1HB018" u="1"/>
        <s v="1HB019" u="1"/>
        <s v="1HB030" u="1"/>
        <s v="1HB035" u="1"/>
        <s v="1HB040" u="1"/>
        <s v="2BE001" u="1"/>
        <s v="2BE002" u="1"/>
        <s v="2BE008" u="1"/>
        <s v="2BE023" u="1"/>
        <s v="2BE027" u="1"/>
        <s v="2BE033" u="1"/>
        <s v="2BE040" u="1"/>
        <s v="2BE053" u="1"/>
        <s v="2BE054" u="1"/>
        <s v="2BE059" u="1"/>
        <s v="2BE060" u="1"/>
        <s v="2BE064" u="1"/>
        <s v="2BE065" u="1"/>
        <s v="2BE067" u="1"/>
        <s v="2BE071" u="1"/>
        <s v="2BE073" u="1"/>
        <s v="2BE078" u="1"/>
        <s v="2BE080" u="1"/>
        <s v="2BE087" u="1"/>
        <s v="2BE098" u="1"/>
        <s v="2HB003" u="1"/>
        <s v="2HB025" u="1"/>
        <s v="2HB028" u="1"/>
        <s v="3BE001" u="1"/>
        <s v="3BE002" u="1"/>
        <s v="3BE004" u="1"/>
        <s v="3BE005" u="1"/>
        <s v="3BE006" u="1"/>
        <s v="3BE007" u="1"/>
        <s v="3BE008" u="1"/>
        <s v="3BE012" u="1"/>
        <s v="3BE015" u="1"/>
        <s v="3BE016" u="1"/>
        <s v="3BE017" u="1"/>
        <s v="3BE018" u="1"/>
        <s v="3BE022" u="1"/>
        <s v="3BE023" u="1"/>
        <s v="3BE024" u="1"/>
        <s v="3BE025" u="1"/>
        <s v="3BE026" u="1"/>
        <s v="3BE027" u="1"/>
        <s v="3BE028" u="1"/>
        <s v="3BE029" u="1"/>
        <s v="3BE030" u="1"/>
        <s v="3BE034" u="1"/>
        <s v="3BE035" u="1"/>
        <s v="3BE049" u="1"/>
        <s v="3BE051" u="1"/>
        <s v="3BE052" u="1"/>
        <s v="3BE053" u="1"/>
        <s v="3BE067" u="1"/>
        <s v="3BE068" u="1"/>
        <s v="3BE069" u="1"/>
        <s v="3BE070" u="1"/>
        <s v="3BE071" u="1"/>
        <s v="3BE072" u="1"/>
        <s v="3BE073" u="1"/>
        <s v="3BE074" u="1"/>
        <s v="3BE075" u="1"/>
        <s v="3BE076" u="1"/>
        <s v="3BE077" u="1"/>
        <s v="3BE081" u="1"/>
        <s v="3BE082" u="1"/>
        <s v="3BE090" u="1"/>
        <s v="3BE091" u="1"/>
        <s v="3BE094" u="1"/>
        <s v="3BE107" u="1"/>
        <s v="3BE108" u="1"/>
        <s v="3BE109" u="1"/>
        <s v="3BE110" u="1"/>
        <s v="3BE112" u="1"/>
        <s v="3BE113" u="1"/>
        <s v="3BE114" u="1"/>
        <s v="3BE116" u="1"/>
        <s v="3BE117" u="1"/>
        <s v="3BE118" u="1"/>
        <s v="3BE119" u="1"/>
        <s v="3BE120" u="1"/>
        <s v="3BE124" u="1"/>
        <s v="3BE127" u="1"/>
        <s v="3BE128" u="1"/>
        <s v="3HB002" u="1"/>
        <s v="3HB004" u="1"/>
        <s v="3HB006" u="1"/>
        <s v="3HB007" u="1"/>
        <s v="3HB008" u="1"/>
        <s v="3HB009" u="1"/>
        <s v="3HB010" u="1"/>
        <s v="3HB013" u="1"/>
        <s v="3HB017" u="1"/>
        <s v="3HB019" u="1"/>
        <s v="4BE003" u="1"/>
        <s v="4BE005" u="1"/>
        <s v="4BE007" u="1"/>
        <s v="4BE008" u="1"/>
        <s v="4BE009" u="1"/>
        <s v="4BE010" u="1"/>
        <s v="4BE011" u="1"/>
        <s v="4BE012" u="1"/>
        <s v="4BE013" u="1"/>
        <s v="4BE014" u="1"/>
        <s v="4BE015" u="1"/>
        <s v="4BE016" u="1"/>
        <s v="4BE017" u="1"/>
        <s v="4BE018" u="1"/>
        <s v="4BE019" u="1"/>
        <s v="4BE020" u="1"/>
        <s v="4BE022" u="1"/>
        <s v="4BE023" u="1"/>
        <s v="4BE030" u="1"/>
        <s v="4BE031" u="1"/>
        <s v="4BE032" u="1"/>
        <s v="4BE033" u="1"/>
        <s v="4BE035" u="1"/>
        <s v="4BE039" u="1"/>
        <s v="4BE040" u="1"/>
        <s v="4BE041" u="1"/>
        <s v="4BE042" u="1"/>
        <s v="4BE043" u="1"/>
        <s v="4BE044" u="1"/>
        <s v="4BE045" u="1"/>
        <s v="4BE046" u="1"/>
        <s v="4BE064" u="1"/>
        <s v="4BE065" u="1"/>
        <s v="4BE066" u="1"/>
        <s v="4BE067" u="1"/>
        <s v="4BE068" u="1"/>
        <s v="4HB004" u="1"/>
        <s v="4HB005" u="1"/>
        <s v="4HB006" u="1"/>
        <s v="4HB007" u="1"/>
        <s v="4HB008" u="1"/>
        <s v="4HB009" u="1"/>
        <s v="4HB010" u="1"/>
        <s v="4HB012" u="1"/>
        <s v="4HB013" u="1"/>
        <s v="4HB014" u="1"/>
        <s v="4HB015" u="1"/>
        <s v="4HB016" u="1"/>
        <s v="4HB017" u="1"/>
        <s v="4HB026" u="1"/>
        <s v="5BE016" u="1"/>
        <s v="5BE017" u="1"/>
        <s v="5BE023" u="1"/>
        <s v="5BE026" u="1"/>
        <s v="5BE027" u="1"/>
        <s v="5BE039" u="1"/>
        <s v="5BE040" u="1"/>
        <s v="5BE042" u="1"/>
        <s v="5BE062" u="1"/>
        <s v="5BE063" u="1"/>
        <s v="5BE078" u="1"/>
        <s v="5BE081" u="1"/>
        <s v="5BE083" u="1"/>
        <s v="5BE086" u="1"/>
        <s v="5HB006" u="1"/>
        <s v="5HB007" u="1"/>
        <s v="5HB009" u="1"/>
        <s v="6BE001" u="1"/>
        <s v="6BE003" u="1"/>
        <s v="6BE005" u="1"/>
        <s v="6BE006" u="1"/>
        <s v="6BE007" u="1"/>
        <s v="6BE008" u="1"/>
        <s v="6BE009" u="1"/>
        <s v="6BE010" u="1"/>
        <s v="6BE014" u="1"/>
        <s v="6BE015" u="1"/>
        <s v="6BE017" u="1"/>
        <s v="6BE018" u="1"/>
        <s v="6BE019" u="1"/>
        <s v="6BE020" u="1"/>
        <s v="6BE021" u="1"/>
        <s v="6BE022" u="1"/>
        <s v="6BE025" u="1"/>
        <s v="6HB007" u="1"/>
        <s v="C012" u="1"/>
        <s v="C020" u="1"/>
        <s v="C031" u="1"/>
        <s v="C032" u="1"/>
        <s v="C033" u="1"/>
        <s v="C053" u="1"/>
        <s v="C061" u="1"/>
        <s v="C062" u="1"/>
        <s v="HA002" u="1"/>
        <s v="HA005" u="1"/>
        <s v="HA022" u="1"/>
        <s v="HA031" u="1"/>
        <s v="HA032" u="1"/>
        <s v="HA033" u="1"/>
        <s v="HA036" u="1"/>
        <s v="HA044" u="1"/>
        <s v="HA045" u="1"/>
        <s v="HA046" u="1"/>
        <s v="HA047" u="1"/>
        <s v="HA048" u="1"/>
        <s v="HA049" u="1"/>
        <s v="HA056" u="1"/>
        <s v="HA057" u="1"/>
        <s v="HA059" u="1"/>
        <s v="HA070" u="1"/>
        <s v="HA080" u="1"/>
        <s v="SC005" u="1"/>
        <s v="SC007" u="1"/>
        <s v="SC016" u="1"/>
        <s v="SC034" u="1"/>
        <s v="SC035" u="1"/>
        <s v="SC036" u="1"/>
        <s v="SC037" u="1"/>
        <s v="SC039" u="1"/>
        <s v="SC045" u="1"/>
        <s v="VB008" u="1"/>
        <s v="VB009" u="1"/>
        <s v="VB010" u="1"/>
        <s v="VB032" u="1"/>
        <s v="VB037" u="1"/>
        <s v="VB038" u="1"/>
        <s v="VB040" u="1"/>
        <s v="VB041" u="1"/>
        <s v="VB043" u="1"/>
        <s v="VB045" u="1"/>
        <s v="VB083" u="1"/>
        <s v="VB084" u="1"/>
        <s v="VB096" u="1"/>
        <s v="VB097" u="1"/>
        <s v="VB098" u="1"/>
        <s v="VB099" u="1"/>
        <s v="VB110" u="1"/>
        <s v="VB111" u="1"/>
        <s v="VB169" u="1"/>
        <s v="VB182" u="1"/>
        <s v="VB213" u="1"/>
        <s v="VB272" u="1"/>
        <s v="1BE001" u="1"/>
        <s v="1BE004" u="1"/>
        <s v="1BE005" u="1"/>
        <s v="1BE006" u="1"/>
        <s v="1BE013" u="1"/>
        <s v="1BE014" u="1"/>
        <s v="1BE018" u="1"/>
        <s v="1BE023" u="1"/>
        <s v="1BE024" u="1"/>
        <s v="1BE025" u="1"/>
        <s v="1BE029" u="1"/>
        <s v="1BE030" u="1"/>
        <s v="1BE031" u="1"/>
        <s v="1BE035" u="1"/>
        <s v="1BE042" u="1"/>
        <s v="1BE043" u="1"/>
        <s v="1BE044" u="1"/>
        <s v="1BE055" u="1"/>
        <s v="1BE060" u="1"/>
        <s v="1BE094" u="1"/>
        <s v="1BE095" u="1"/>
        <s v="1BE098" u="1"/>
        <s v="1BE111" u="1"/>
        <s v="1BE112" u="1"/>
        <s v="1BE118" u="1"/>
        <s v="1BE119" u="1"/>
        <s v="1BE122" u="1"/>
        <s v="1BE123" u="1"/>
        <s v="1BE124" u="1"/>
        <s v="1HB001" u="1"/>
        <s v="1HB023" u="1"/>
        <s v="1HB026" u="1"/>
        <s v="1HB028" u="1"/>
        <s v="1HB029" u="1"/>
        <s v="1HB031" u="1"/>
        <s v="1HB033" u="1"/>
        <s v="1HB036" u="1"/>
        <s v="1HB038" u="1"/>
        <s v="1HB039" u="1"/>
        <s v="1MR002" u="1"/>
        <s v="1MR003" u="1"/>
        <s v="2BE005" u="1"/>
        <s v="2BE007" u="1"/>
        <s v="2BE009" u="1"/>
        <s v="2BE010" u="1"/>
        <s v="2BE011" u="1"/>
        <s v="2BE012" u="1"/>
        <s v="2BE028" u="1"/>
        <s v="2BE029" u="1"/>
        <s v="2BE034" u="1"/>
        <s v="2BE036" u="1"/>
        <s v="2BE041" u="1"/>
        <s v="2BE042" u="1"/>
        <s v="2BE043" u="1"/>
        <s v="2BE056" u="1"/>
        <s v="2BE063" u="1"/>
        <s v="2BE066" u="1"/>
        <s v="2BE074" u="1"/>
        <s v="2BE075" u="1"/>
        <s v="2BE082" u="1"/>
        <s v="2BE088" u="1"/>
        <s v="2BE091" u="1"/>
        <s v="2BE092" u="1"/>
        <s v="2BE093" u="1"/>
        <s v="2BE099" u="1"/>
        <s v="2BE100" u="1"/>
        <s v="2BE101" u="1"/>
        <s v="2BE102" u="1"/>
        <s v="2BE103" u="1"/>
        <s v="2BE105" u="1"/>
        <s v="2BE106" u="1"/>
        <s v="2HB005" u="1"/>
        <s v="2HB007" u="1"/>
        <s v="2HB008" u="1"/>
        <s v="2HB010" u="1"/>
        <s v="2HB011" u="1"/>
        <s v="2HB012" u="1"/>
        <s v="2HB013" u="1"/>
        <s v="2HB014" u="1"/>
        <s v="2HB016" u="1"/>
        <s v="2HB026" u="1"/>
        <s v="2HB029" u="1"/>
        <s v="3BE003" u="1"/>
        <s v="3BE009" u="1"/>
        <s v="3BE020" u="1"/>
        <s v="3BE021" u="1"/>
        <s v="3BE036" u="1"/>
        <s v="3BE037" u="1"/>
        <s v="3BE038" u="1"/>
        <s v="3BE039" u="1"/>
        <s v="3BE054" u="1"/>
        <s v="3BE055" u="1"/>
        <s v="3BE056" u="1"/>
        <s v="3BE060" u="1"/>
        <s v="3BE063" u="1"/>
        <s v="3BE064" u="1"/>
        <s v="3BE065" u="1"/>
        <s v="3BE079" u="1"/>
        <s v="3BE080" u="1"/>
        <s v="3BE083" u="1"/>
        <s v="3BE084" u="1"/>
        <s v="3BE086" u="1"/>
        <s v="3BE087" u="1"/>
        <s v="3BE088" u="1"/>
        <s v="3BE089" u="1"/>
        <s v="3BE095" u="1"/>
        <s v="3BE096" u="1"/>
        <s v="3BE097" u="1"/>
        <s v="3BE106" u="1"/>
        <s v="3BE111" u="1"/>
        <s v="3BE121" u="1"/>
        <s v="3BE122" u="1"/>
        <s v="3BE125" u="1"/>
        <s v="3BE126" u="1"/>
        <s v="3BE129" u="1"/>
        <s v="3BE136" u="1"/>
        <s v="3HB005" u="1"/>
        <s v="3HB014" u="1"/>
        <s v="3HB015" u="1"/>
        <s v="3HB018" u="1"/>
        <s v="3HB020" u="1"/>
        <s v="3HB021" u="1"/>
        <s v="3HB022" u="1"/>
        <s v="3HB023" u="1"/>
        <s v="3HB024" u="1"/>
        <s v="3HB025" u="1"/>
        <s v="3HB026" u="1"/>
        <s v="5BE001" u="1"/>
        <s v="5BE002" u="1"/>
        <s v="5BE003" u="1"/>
        <s v="5BE004" u="1"/>
        <s v="5BE012" u="1"/>
        <s v="5BE014" u="1"/>
        <s v="5BE015" u="1"/>
        <s v="5BE018" u="1"/>
        <s v="5BE019" u="1"/>
        <s v="5BE020" u="1"/>
        <s v="5BE021" u="1"/>
        <s v="5BE022" u="1"/>
        <s v="5BE024" u="1"/>
        <s v="5BE025" u="1"/>
        <s v="5BE028" u="1"/>
        <s v="5BE029" u="1"/>
        <s v="5BE030" u="1"/>
        <s v="5BE031" u="1"/>
        <s v="5BE037" u="1"/>
        <s v="5BE043" u="1"/>
        <s v="5BE047" u="1"/>
        <s v="5BE049" u="1"/>
        <s v="5BE050" u="1"/>
        <s v="5BE051" u="1"/>
        <s v="5BE061" u="1"/>
        <s v="5BE064" u="1"/>
        <s v="5BE065" u="1"/>
        <s v="5BE072" u="1"/>
        <s v="5BE074" u="1"/>
        <s v="5BE075" u="1"/>
        <s v="5BE082" u="1"/>
        <s v="5BE085" u="1"/>
        <s v="5HB001" u="1"/>
        <s v="5HB002" u="1"/>
        <s v="5HB004" u="1"/>
        <s v="5HB005" u="1"/>
        <s v="5HB010" u="1"/>
        <s v="5HB011" u="1"/>
        <s v="5HB018" u="1"/>
        <s v="5HB019" u="1"/>
        <s v="5HB020" u="1"/>
        <s v="6BE002" u="1"/>
        <s v="6BE004" u="1"/>
        <s v="6BE011" u="1"/>
        <s v="6BE012" u="1"/>
        <s v="6BE029" u="1"/>
        <s v="6BE032" u="1"/>
        <s v="6BE034" u="1"/>
        <s v="6BE035" u="1"/>
        <s v="6BE036" u="1"/>
        <s v="6BE038" u="1"/>
        <s v="6HB001" u="1"/>
        <s v="6HB002" u="1"/>
        <s v="6HB003" u="1"/>
        <s v="6HB004" u="1"/>
        <s v="6HB005" u="1"/>
        <s v="6HB006" u="1"/>
        <s v="C002" u="1"/>
        <s v="C011" u="1"/>
        <s v="C044" u="1"/>
        <s v="C045" u="1"/>
        <s v="C046" u="1"/>
        <s v="C047" u="1"/>
        <s v="C060" u="1"/>
        <s v="C063" u="1"/>
        <s v="HA003" u="1"/>
        <s v="HA004" u="1"/>
        <s v="HA006" u="1"/>
        <s v="HA012" u="1"/>
        <s v="HA015" u="1"/>
        <s v="HA023" u="1"/>
        <s v="HA027" u="1"/>
        <s v="HA028" u="1"/>
        <s v="HA029" u="1"/>
        <s v="HA035" u="1"/>
        <s v="HA038" u="1"/>
        <s v="HA051" u="1"/>
        <s v="HA053" u="1"/>
        <s v="HA060" u="1"/>
        <s v="HA061" u="1"/>
        <s v="HA064" u="1"/>
        <s v="HA067" u="1"/>
        <s v="HA068" u="1"/>
        <s v="SC001" u="1"/>
        <s v="SC002" u="1"/>
        <s v="SC014" u="1"/>
        <s v="SC015" u="1"/>
        <s v="SC019" u="1"/>
        <s v="SC030" u="1"/>
        <s v="SC031" u="1"/>
        <s v="SC041" u="1"/>
        <s v="SC043" u="1"/>
        <s v="SC044" u="1"/>
        <s v="VB001" u="1"/>
        <s v="VB003" u="1"/>
        <s v="VB006" u="1"/>
        <s v="VB007" u="1"/>
        <s v="VB020" u="1"/>
        <s v="VB024" u="1"/>
        <s v="VB036" u="1"/>
        <s v="VB044" u="1"/>
        <s v="VB047" u="1"/>
        <s v="VB085" u="1"/>
        <s v="VB087" u="1"/>
        <s v="VB113" u="1"/>
        <s v="VB115" u="1"/>
        <s v="VB116" u="1"/>
        <s v="VB117" u="1"/>
        <s v="VB120" u="1"/>
        <s v="VB122" u="1"/>
        <s v="VB123" u="1"/>
        <s v="VB133" u="1"/>
        <s v="VB134" u="1"/>
        <s v="VB135" u="1"/>
        <s v="VB136" u="1"/>
        <s v="VB155" u="1"/>
        <s v="VB156" u="1"/>
        <s v="VB157" u="1"/>
        <s v="VB158" u="1"/>
        <s v="VB159" u="1"/>
        <s v="VB170" u="1"/>
        <s v="VB178" u="1"/>
        <s v="VB183" u="1"/>
        <s v="VB184" u="1"/>
        <s v="VB187" u="1"/>
        <s v="VB214" u="1"/>
        <s v="VB215" u="1"/>
        <s v="VB216" u="1"/>
        <s v="VB217" u="1"/>
        <s v="VB218" u="1"/>
        <s v="VB228" u="1"/>
        <s v="VB242" u="1"/>
        <s v="VB251" u="1"/>
        <s v="VB252" u="1"/>
        <s v="VB254" u="1"/>
        <s v="VB255" u="1"/>
        <s v="VB268" u="1"/>
        <s v="1BE009" u="1"/>
        <s v="1BE011" u="1"/>
        <s v="1BE012" u="1"/>
        <s v="1BE019" u="1"/>
        <s v="1BE020" u="1"/>
        <s v="1BE039" u="1"/>
        <s v="1BE048" u="1"/>
        <s v="1BE049" u="1"/>
        <s v="1BE056" u="1"/>
        <s v="1BE057" u="1"/>
        <s v="1BE071" u="1"/>
        <s v="1BE072" u="1"/>
        <s v="1BE073" u="1"/>
        <s v="1BE074" u="1"/>
        <s v="1BE076" u="1"/>
        <s v="1BE077" u="1"/>
        <s v="1BE097" u="1"/>
        <s v="1BE106" u="1"/>
        <s v="1BE109" u="1"/>
        <s v="1BE114" u="1"/>
        <s v="1HB005" u="1"/>
        <s v="1HB010" u="1"/>
        <s v="1HB011" u="1"/>
        <s v="1HB025" u="1"/>
        <s v="1HB027" u="1"/>
        <s v="1HB041" u="1"/>
        <s v="2BE013" u="1"/>
        <s v="2BE014" u="1"/>
        <s v="2BE015" u="1"/>
        <s v="2BE019" u="1"/>
        <s v="2BE020" u="1"/>
        <s v="2BE021" u="1"/>
        <s v="2BE026" u="1"/>
        <s v="2BE031" u="1"/>
        <s v="2BE037" u="1"/>
        <s v="2BE039" u="1"/>
        <s v="2BE046" u="1"/>
        <s v="2BE047" u="1"/>
        <s v="2BE057" u="1"/>
        <s v="2BE058" u="1"/>
        <s v="2BE068" u="1"/>
        <s v="2BE081" u="1"/>
        <s v="2BE083" u="1"/>
        <s v="2BE084" u="1"/>
        <s v="2BE085" u="1"/>
        <s v="2BE094" u="1"/>
        <s v="2BE095" u="1"/>
        <s v="2BE097" u="1"/>
        <s v="2HB002" u="1"/>
        <s v="2HB006" u="1"/>
        <s v="2HB009" u="1"/>
        <s v="2HB015" u="1"/>
        <s v="2HB017" u="1"/>
        <s v="2HB018" u="1"/>
        <s v="2HB020" u="1"/>
        <s v="3BE010" u="1"/>
        <s v="3BE011" u="1"/>
        <s v="3BE040" u="1"/>
        <s v="3BE041" u="1"/>
        <s v="3BE042" u="1"/>
        <s v="3BE058" u="1"/>
        <s v="3BE059" u="1"/>
        <s v="3BE085" u="1"/>
        <s v="3BE098" u="1"/>
        <s v="3BE099" u="1"/>
        <s v="3BE100" u="1"/>
        <s v="3BE101" u="1"/>
        <s v="3BE102" u="1"/>
        <s v="3BE103" u="1"/>
        <s v="3BE104" u="1"/>
        <s v="3BE105" u="1"/>
        <s v="3BE130" u="1"/>
        <s v="3BE131" u="1"/>
        <s v="3BE133" u="1"/>
        <s v="3HB016" u="1"/>
        <s v="3HB027" u="1"/>
        <s v="3HB028" u="1"/>
        <s v="3HB029" u="1"/>
        <s v="5BE006" u="1"/>
        <s v="5BE009" u="1"/>
        <s v="5BE010" u="1"/>
        <s v="5BE011" u="1"/>
        <s v="5BE013" u="1"/>
        <s v="5BE032" u="1"/>
        <s v="5BE033" u="1"/>
        <s v="5BE034" u="1"/>
        <s v="5BE035" u="1"/>
        <s v="5BE044" u="1"/>
        <s v="5BE045" u="1"/>
        <s v="5BE055" u="1"/>
        <s v="5BE056" u="1"/>
        <s v="5BE058" u="1"/>
        <s v="5BE059" u="1"/>
        <s v="5BE060" u="1"/>
        <s v="5BE066" u="1"/>
        <s v="5BE067" u="1"/>
        <s v="5BE068" u="1"/>
        <s v="5BE079" u="1"/>
        <s v="5BE080" u="1"/>
        <s v="5HB003" u="1"/>
        <s v="5HB012" u="1"/>
        <s v="5HB016" u="1"/>
        <s v="5HB017" u="1"/>
        <s v="6BE026" u="1"/>
        <s v="6BE027" u="1"/>
        <s v="6BE028" u="1"/>
        <s v="6BE031" u="1"/>
        <s v="6BE037" u="1"/>
        <s v="C003" u="1"/>
        <s v="C006" u="1"/>
        <s v="C013" u="1"/>
        <s v="C017" u="1"/>
        <s v="C019" u="1"/>
        <s v="C040" u="1"/>
        <s v="C043" u="1"/>
        <s v="C059" u="1"/>
        <s v="HA001" u="1"/>
        <s v="HA008" u="1"/>
        <s v="HA016" u="1"/>
        <s v="HA018" u="1"/>
        <s v="HA020" u="1"/>
        <s v="HA026" u="1"/>
        <s v="HA039" u="1"/>
        <s v="HA040" u="1"/>
        <s v="HA041" u="1"/>
        <s v="HA043" u="1"/>
        <s v="HA065" u="1"/>
        <s v="HA071" u="1"/>
        <s v="HA072" u="1"/>
        <s v="HA074" u="1"/>
        <s v="HA075" u="1"/>
        <s v="HA077" u="1"/>
        <s v="HA079" u="1"/>
        <s v="SC023" u="1"/>
        <s v="SC027" u="1"/>
        <s v="SC028" u="1"/>
        <s v="SC029" u="1"/>
        <s v="VB002" u="1"/>
        <s v="VB005" u="1"/>
        <s v="VB022" u="1"/>
        <s v="VB023" u="1"/>
        <s v="VB028" u="1"/>
        <s v="VB030" u="1"/>
        <s v="VB033" u="1"/>
        <s v="VB107" u="1"/>
        <s v="VB108" u="1"/>
        <s v="VB109" u="1"/>
        <s v="VB118" u="1"/>
        <s v="VB124" u="1"/>
        <s v="VB125" u="1"/>
        <s v="VB126" u="1"/>
        <s v="VB127" u="1"/>
        <s v="VB128" u="1"/>
        <s v="VB140" u="1"/>
        <s v="VB145" u="1"/>
        <s v="VB201" u="1"/>
        <s v="VB219" u="1"/>
        <s v="VB220" u="1"/>
        <s v="VB241" u="1"/>
        <s v="VB266" u="1"/>
        <s v="VB267" u="1"/>
        <s v="1BE007" u="1"/>
        <s v="1BE008" u="1"/>
        <s v="1BE010" u="1"/>
        <s v="1BE015" u="1"/>
        <s v="1BE021" u="1"/>
        <s v="1BE026" u="1"/>
        <s v="1BE027" u="1"/>
        <s v="1BE028" u="1"/>
        <s v="1BE040" u="1"/>
        <s v="1BE041" u="1"/>
        <s v="1BE054" u="1"/>
        <s v="1BE059" u="1"/>
        <s v="1BE064" u="1"/>
        <s v="1BE065" u="1"/>
        <s v="1BE066" u="1"/>
        <s v="1BE068" u="1"/>
        <s v="1BE069" u="1"/>
        <s v="1BE070" u="1"/>
        <s v="1BE075" u="1"/>
        <s v="1BE107" u="1"/>
        <s v="1BE110" u="1"/>
        <s v="1BE115" u="1"/>
        <s v="1BE116" u="1"/>
        <s v="1BE125" u="1"/>
        <s v="1HB002" u="1"/>
        <s v="1HB004" u="1"/>
        <s v="1HB012" u="1"/>
        <s v="1HB020" u="1"/>
        <s v="1HB021" u="1"/>
        <s v="1HB022" u="1"/>
        <s v="1HB024" u="1"/>
        <s v="1HB032" u="1"/>
        <s v="1HB037" u="1"/>
        <s v="1HB042" u="1"/>
        <s v="1MR001" u="1"/>
        <s v="2BE003" u="1"/>
        <s v="2BE004" u="1"/>
        <s v="2BE016" u="1"/>
        <s v="2BE017" u="1"/>
        <s v="2BE018" u="1"/>
        <s v="2BE022" u="1"/>
        <s v="2BE030" u="1"/>
        <s v="2BE032" u="1"/>
        <s v="2BE035" u="1"/>
        <s v="2BE038" u="1"/>
        <s v="2BE044" u="1"/>
        <s v="2BE045" u="1"/>
        <s v="2BE048" u="1"/>
        <s v="2BE049" u="1"/>
        <s v="2BE050" u="1"/>
        <s v="2BE051" u="1"/>
        <s v="2BE052" u="1"/>
        <s v="2BE055" u="1"/>
        <s v="2BE061" u="1"/>
        <s v="2BE062" u="1"/>
        <s v="2BE072" u="1"/>
        <s v="2BE076" u="1"/>
        <s v="2BE077" u="1"/>
        <s v="2BE079" u="1"/>
        <s v="2BE086" u="1"/>
        <s v="2BE089" u="1"/>
        <s v="2BE090" u="1"/>
        <s v="2BE096" u="1"/>
        <s v="2BE104" u="1"/>
        <s v="2HB001" u="1"/>
        <s v="2HB004" u="1"/>
        <s v="2HB019" u="1"/>
        <s v="2HB021" u="1"/>
        <s v="2HB022" u="1"/>
        <s v="2HB023" u="1"/>
        <s v="2HB024" u="1"/>
        <s v="2HB027" u="1"/>
        <s v="3BE013" u="1"/>
        <s v="3BE014" u="1"/>
        <s v="3BE031" u="1"/>
        <s v="3BE043" u="1"/>
        <s v="3BE044" u="1"/>
        <s v="3BE045" u="1"/>
        <s v="3BE046" u="1"/>
        <s v="3BE047" u="1"/>
        <s v="3BE048" u="1"/>
        <s v="3BE061" u="1"/>
        <s v="3BE062" u="1"/>
        <s v="3BE078" u="1"/>
        <s v="3BE093" u="1"/>
        <s v="3BE123" u="1"/>
        <s v="3BE132" u="1"/>
        <s v="3BE134" u="1"/>
        <s v="3BE135" u="1"/>
        <s v="3BE137" u="1"/>
        <s v="3HB030" u="1"/>
        <s v="3HB031" u="1"/>
        <s v="3HB032" u="1"/>
        <s v="3HB033" u="1"/>
        <s v="3HB034" u="1"/>
        <s v="3HB035" u="1"/>
        <s v="3HB036" u="1"/>
        <s v="3HB037" u="1"/>
        <s v="4BE001" u="1"/>
        <s v="4BE004" u="1"/>
        <s v="4BE006" u="1"/>
        <s v="4BE021" u="1"/>
        <s v="4BE034" u="1"/>
        <s v="4BE036" u="1"/>
        <s v="4BE038" u="1"/>
        <s v="4BE047" u="1"/>
        <s v="4BE048" u="1"/>
        <s v="4BE049" u="1"/>
        <s v="4BE050" u="1"/>
        <s v="4BE051" u="1"/>
        <s v="4BE052" u="1"/>
        <s v="4BE053" u="1"/>
        <s v="4BE054" u="1"/>
        <s v="4BE055" u="1"/>
        <s v="4BE056" u="1"/>
        <s v="4BE057" u="1"/>
        <s v="4BE058" u="1"/>
        <s v="4BE060" u="1"/>
        <s v="4BE061" u="1"/>
        <s v="4BE062" u="1"/>
        <s v="4BE063" u="1"/>
        <s v="4HB018" u="1"/>
        <s v="4HB019" u="1"/>
        <s v="4HB020" u="1"/>
        <s v="4HB021" u="1"/>
        <s v="4HB022" u="1"/>
        <s v="4HB023" u="1"/>
        <s v="4HB024" u="1"/>
        <s v="4HB025" u="1"/>
        <s v="4HB027" u="1"/>
        <s v="4HB028" u="1"/>
        <s v="5BE005" u="1"/>
        <s v="5BE007" u="1"/>
        <s v="5BE008" u="1"/>
        <s v="5BE036" u="1"/>
        <s v="5BE038" u="1"/>
        <s v="5BE041" u="1"/>
        <s v="5BE046" u="1"/>
        <s v="5BE048" u="1"/>
        <s v="5BE053" u="1"/>
        <s v="5BE054" u="1"/>
        <s v="5BE057" u="1"/>
        <s v="5BE069" u="1"/>
        <s v="5BE070" u="1"/>
        <s v="5BE071" u="1"/>
        <s v="5BE073" u="1"/>
        <s v="5BE076" u="1"/>
        <s v="5BE084" u="1"/>
        <s v="5HB008" u="1"/>
        <s v="5HB013" u="1"/>
        <s v="5HB014" u="1"/>
        <s v="5HB015" u="1"/>
        <s v="6BE033" u="1"/>
        <s v="C004" u="1"/>
        <s v="C009" u="1"/>
        <s v="C010" u="1"/>
        <s v="C018" u="1"/>
        <s v="C029" u="1"/>
        <s v="C030" u="1"/>
        <s v="C051" u="1"/>
        <s v="C052" u="1"/>
        <s v="HA009" u="1"/>
        <s v="HA010" u="1"/>
        <s v="HA011" u="1"/>
        <s v="HA013" u="1"/>
        <s v="HA014" u="1"/>
        <s v="HA017" u="1"/>
        <s v="HA019" u="1"/>
        <s v="HA021" u="1"/>
        <s v="HA024" u="1"/>
        <s v="HA025" u="1"/>
        <s v="HA030" u="1"/>
        <s v="HA034" u="1"/>
        <s v="HA037" u="1"/>
        <s v="HA042" u="1"/>
        <s v="HA050" u="1"/>
        <s v="HA052" u="1"/>
        <s v="HA054" u="1"/>
        <s v="HA055" u="1"/>
        <s v="HA058" u="1"/>
        <s v="HA062" u="1"/>
        <s v="HA066" u="1"/>
        <s v="HA069" u="1"/>
        <s v="HA073" u="1"/>
        <s v="HA078" u="1"/>
        <s v="SC008" u="1"/>
        <s v="SC011" u="1"/>
        <s v="SC024" u="1"/>
        <s v="SC025" u="1"/>
        <s v="VB004" u="1"/>
        <s v="VB021" u="1"/>
        <s v="VB034" u="1"/>
        <s v="VB035" u="1"/>
        <s v="VB078" u="1"/>
        <s v="VB079" u="1"/>
        <s v="VB081" u="1"/>
        <s v="VB088" u="1"/>
        <s v="VB094" u="1"/>
        <s v="VB119" u="1"/>
        <s v="VB137" u="1"/>
        <s v="VB138" u="1"/>
        <s v="VB139" u="1"/>
        <s v="VB150" u="1"/>
        <s v="VB151" u="1"/>
        <s v="VB152" u="1"/>
        <s v="VB153" u="1"/>
        <s v="VB154" u="1"/>
        <s v="VB160" u="1"/>
        <s v="VB161" u="1"/>
        <s v="VB162" u="1"/>
        <s v="VB166" u="1"/>
        <s v="VB185" u="1"/>
        <s v="VB189" u="1"/>
        <s v="VB190" u="1"/>
        <s v="VB191" u="1"/>
        <s v="VB208" u="1"/>
        <s v="VB221" u="1"/>
        <s v="VB224" u="1"/>
        <s v="VB226" u="1"/>
        <s v="VB234" u="1"/>
        <s v="VB235" u="1"/>
        <s v="VB236" u="1"/>
        <s v="VB245" u="1"/>
        <s v="VB264" u="1"/>
        <s v="VB269" u="1"/>
        <s v="VB281" u="1"/>
        <s v="1BE016" u="1"/>
        <s v="1BE113" u="1"/>
        <s v="2BE024" u="1"/>
        <s v="2BE025" u="1"/>
        <s v="2BE069" u="1"/>
        <s v="3BE057" u="1"/>
        <s v="4BE059" u="1"/>
        <s v="5BE052" u="1"/>
        <s v="C015" u="1"/>
        <s v="C016" u="1"/>
        <s v="C023" u="1"/>
        <s v="C025" u="1"/>
        <s v="VB075" u="1"/>
        <s v="VB077" u="1"/>
        <s v="VB141" u="1"/>
        <s v="VB204" u="1"/>
        <s v="VB223" u="1"/>
      </sharedItems>
    </cacheField>
    <cacheField name="GRID LOCATION" numFmtId="0">
      <sharedItems/>
    </cacheField>
    <cacheField name="TOP ELEVATION" numFmtId="0">
      <sharedItems count="234">
        <s v="EL.+106.250"/>
        <s v="EL.+107.050"/>
        <s v="EL.+106.100"/>
        <s v="EL.+107.992"/>
        <s v="EL.+106.750"/>
        <s v="EL.+107.750"/>
        <s v="EL.+105.200"/>
        <s v="EL.+106.675"/>
        <s v="EL.+106.175"/>
        <s v="EL.+109.650"/>
        <s v="EL.+115.488"/>
        <s v="EL.+108.750"/>
        <s v="EL.+107.982"/>
        <s v="EL.+108.600"/>
        <s v="EL.+108.500"/>
        <s v="EL.+110.300"/>
        <s v="EL.+108.414"/>
        <s v="EL.+109.575"/>
        <s v="EL.+112.424"/>
        <s v="EL.+112.429"/>
        <s v="EL.+112.750"/>
        <s v="EL.+111.250"/>
        <s v="EL.+112.000"/>
        <s v="EL.+112.600"/>
        <s v="EL.+112.675"/>
        <s v="EL.+115.500"/>
        <s v="EL.+115.279"/>
        <s v="EL.+117.050"/>
        <s v="EL.+114.100"/>
        <s v="EL.+113.750"/>
        <s v="EL.+113.600"/>
        <s v="EL.+114.050"/>
        <s v="EL.+114.894"/>
        <s v="EL.+114.020"/>
        <s v="EL.+113.975"/>
        <s v="EL.+115.425"/>
        <s v="EL.+115.345"/>
        <s v="EL.+118.750"/>
        <s v="EL.+118.600"/>
        <s v="EL.+116.900"/>
        <s v="EL.+116.422"/>
        <s v="EL.+118.331"/>
        <s v="EL.+116.975"/>
        <s v="EL.+107.147"/>
        <s v="EL.+112.950"/>
        <s v="EL.+123.073"/>
        <s v="EL.+107.048"/>
        <s v="EL.+113.800"/>
        <s v="EL.+112.975"/>
        <s v="EL.+126.450"/>
        <s v="EL.+107.733"/>
        <s v="EL.+107.632"/>
        <s v="EL.+123.478"/>
        <s v="EL.+114.253"/>
        <s v="EL.+115.103"/>
        <s v="EL.+114.278"/>
        <s v="EL.+107.723"/>
        <s v="EL.+107.253"/>
        <s v="EL.+107.153"/>
        <s v="EL.+114.802"/>
        <s v="EL.+123.177"/>
        <s v="EL.+113.978"/>
        <s v="EL.+113.953"/>
        <s v="EL.+112.332"/>
        <s v="EL.+116.476"/>
        <s v="EL.+118.097"/>
        <s v="EL.+112.422"/>
        <s v="EL.+105.927"/>
        <s v="EL.+110.827"/>
        <s v="EL.+116.632"/>
        <s v="EL.+106.966"/>
        <s v="EL.+116.832"/>
        <s v="EL.+112.427"/>
        <s v="EL.+109.332"/>
        <s v="EL.+116.423"/>
        <s v="EL.+105.932"/>
        <s v="EL.+103.405"/>
        <s v="EL.+105.664"/>
        <s v="EL.+107.858"/>
        <s v="EL.+121.543"/>
        <s v="EL.+121.557"/>
        <s v="EL.+112.157"/>
        <s v="EL.+108.332"/>
        <s v="EL.+108.146"/>
        <s v="EL.+105.707"/>
        <s v="EL.+114.757"/>
        <s v="EL.+114.895"/>
        <s v="EL.+105.832"/>
        <s v="EL.+112.287"/>
        <s v="EL.+115.182"/>
        <s v="EL.+105.747"/>
        <s v="EL.+118.332"/>
        <s v="EL.+109.982"/>
        <s v="EL.+109.229"/>
        <s v="EL.+112.432"/>
        <s v="EL.+112.327"/>
        <s v="EL.+116.940"/>
        <s v="EL.+106.850"/>
        <s v="EL.+102.170"/>
        <s v="EL.+104.210"/>
        <s v="EL.+106.775"/>
        <s v="EL.+105.929"/>
        <s v="EL.+116.050"/>
        <s v="EL.+116.100"/>
        <s v="EL.+110.150"/>
        <s v="EL.+112.540"/>
        <s v="EL.+108.425"/>
        <s v="EL.+112.329"/>
        <s v="EL.+111.875"/>
        <s v="EL.+116.579"/>
        <s v="EL.+115.179"/>
        <s v="EL.+114.870"/>
        <s v="EL.+114.025"/>
        <s v="EL.+113.525"/>
        <s v="EL.+115.100"/>
        <s v="EL.+115.631"/>
        <s v="EL.+115.681"/>
        <s v="EL.+118.675"/>
        <s v="EL.+118.117"/>
        <s v="EL.+110.548"/>
        <s v="EL.+119.647"/>
        <s v="EL.+118.950"/>
        <s v="EL.+111.048"/>
        <s v="EL.+114.715"/>
        <s v="EL.+111.632"/>
        <s v="EL.+120.253"/>
        <s v="EL.+120.052"/>
        <s v="EL.+116.018"/>
        <s v="EL.+111.302"/>
        <s v="EL.+111.153"/>
        <s v="EL.+115.718"/>
        <s v="EL.+119.953"/>
        <s v="EL.+119.753"/>
        <s v="EL.+110.653"/>
        <s v="EL.+106.632"/>
        <s v="EL.+106.683"/>
        <s v="EL.+104.782"/>
        <s v="EL.+113.882"/>
        <s v="EL.+112.532"/>
        <s v="EL.+113.920"/>
        <s v="EL.+105.629"/>
        <s v="EL.+110.225"/>
        <s v="EL.+112.250"/>
        <s v="EL.+112.175"/>
        <s v="EL.+114.750"/>
        <s v="EL.+114.675"/>
        <s v="EL.+108.950"/>
        <s v="EL.+110.253"/>
        <s v="EL.+109.953"/>
        <s v="EL.+110.082"/>
        <s v="EL.+118.532"/>
        <s v="EL.+106.032"/>
        <s v="EL.+111.782"/>
        <s v="EL.+113.182"/>
        <s v="EL.+113.382"/>
        <s v="EL.+113.863"/>
        <s v="EL.+118.484"/>
        <s v="EL.+107.950"/>
        <s v="EL.+111.625"/>
        <s v="EL.+108.848"/>
        <s v="EL.+114.498"/>
        <s v="EL.+114.763"/>
        <s v="EL.+109.113"/>
        <s v="EL.+114.583"/>
        <s v="EL.+108.933"/>
        <s v="EL.+101.737"/>
        <s v="EL.+121.267"/>
        <s v="EL.+103.892"/>
        <s v="EL.+105.822"/>
        <s v="EL.+107.517"/>
        <s v="EL.+111.307"/>
        <s v="EL.+113.171"/>
        <s v="EL.+113.282"/>
        <s v="EL.+116.545"/>
        <s v="EL.+118.432"/>
        <s v="EL.+118.318"/>
        <s v="EL.+115.875"/>
        <s v="EL.+105.300" u="1"/>
        <s v="EL.+105.631" u="1"/>
        <s v="EL.+105.203" u="1"/>
        <s v="EL.+108.329" u="1"/>
        <s v="EL.+110.829" u="1"/>
        <s v="EL.+111.100" u="1"/>
        <s v="EL.+111.175" u="1"/>
        <s v="EL.+113.675" u="1"/>
        <s v="EL.+115.329" u="1"/>
        <s v="EL.+115.600" u="1"/>
        <s v="EL.+115.750" u="1"/>
        <s v="EL.+115.675" u="1"/>
        <s v="EL.+109.638" u="1"/>
        <s v="EL.+122.175" u="1"/>
        <s v="EL.+107.138" u="1"/>
        <s v="EL.+116.848" u="1"/>
        <s v="EL.+110.223" u="1"/>
        <s v="EL.+120.233" u="1"/>
        <s v="EL.+117.433" u="1"/>
        <s v="EL.+109.743" u="1"/>
        <s v="EL.+107.243" u="1"/>
        <s v="EL.+116.953" u="1"/>
        <s v="EL.+115.532" u="1"/>
        <s v="EL.+111.032" u="1"/>
        <s v="EL.+113.432" u="1"/>
        <s v="EL.+105.782" u="1"/>
        <s v="EL.+109.400" u="1"/>
        <s v="EL.+107.179" u="1"/>
        <s v="EL.+107.500" u="1"/>
        <s v="EL.+109.325" u="1"/>
        <s v="EL.+114.800" u="1"/>
        <s v="EL.+114.725" u="1"/>
        <s v="EL.+107.425" u="1"/>
        <s v="EL.+117.375" u="1"/>
        <s v="EL.+113.331" u="1"/>
        <s v="EL.+115.277" u="1"/>
        <s v="EL.+118.201" u="1"/>
        <s v="EL.+109.647" u="1"/>
        <s v="EL.+110.233" u="1"/>
        <s v="EL.+109.753" u="1"/>
        <s v="EL.+115.278" u="1"/>
        <s v="EL.+105.619" u="1"/>
        <s v="EL.+118.123" u="1"/>
        <s v="EL.+113.192" u="1"/>
        <s v="EL.+121.632" u="1"/>
        <s v="EL.+121.506" u="1"/>
        <s v="EL.+110.832" u="1"/>
        <s v="EL.+110.692" u="1"/>
        <s v="EL.+108.140" u="1"/>
        <s v="EL.+113.332" u="1"/>
        <s v="EL.+107.182" u="1"/>
        <s v="EL.+112.840" u="1"/>
        <s v="EL.+114.482" u="1"/>
        <s v="EL.+114.635" u="1"/>
        <s v="EL.+114.805" u="1"/>
        <s v="EL.+114.489" u="1"/>
        <s v="EL.+118.202" u="1"/>
      </sharedItems>
    </cacheField>
    <cacheField name="MEMBER TYPE" numFmtId="0">
      <sharedItems/>
    </cacheField>
    <cacheField name="Unique" numFmtId="0">
      <sharedItems/>
    </cacheField>
    <cacheField name="ID" numFmtId="0">
      <sharedItems/>
    </cacheField>
    <cacheField name="BOX NO" numFmtId="0">
      <sharedItems count="19">
        <s v="Box1_Box4"/>
        <s v="Box1"/>
        <s v="Box1_Box2_Box4_Box5"/>
        <s v="Box1_Box2"/>
        <s v="Box1_Box2_Box3"/>
        <s v="Box1_Box2_Box3_Box6"/>
        <s v="Box2"/>
        <s v="Box2_Box5"/>
        <s v="Box2_Box5_Box6"/>
        <s v="Box3"/>
        <s v="Box3_Box6"/>
        <s v="Box5"/>
        <s v="Box5_Box6"/>
        <s v="Box6"/>
        <s v="Box2_Box3" u="1"/>
        <s v="Box2_Box3_Box5_Box6" u="1"/>
        <s v="Box3_Box4" u="1"/>
        <s v="Box4" u="1"/>
        <s v="Box4_Box5" u="1"/>
      </sharedItems>
    </cacheField>
    <cacheField name="Priority" numFmtId="0">
      <sharedItems containsSemiMixedTypes="0" containsString="0" containsNumber="1" containsInteger="1" minValue="1" maxValue="6"/>
    </cacheField>
    <cacheField name="In/Out" numFmtId="0">
      <sharedItems/>
    </cacheField>
    <cacheField name="O1-Grid" numFmtId="0">
      <sharedItems count="42">
        <s v="InBB"/>
        <s v="10_A_B"/>
        <s v=""/>
        <s v="InB"/>
        <s v="11_A_B"/>
        <s v="10_B_A"/>
        <s v="11_B_A"/>
        <s v="12_A_B"/>
        <s v="13_A_B"/>
        <s v="12_B_A"/>
        <s v="13_B_A"/>
        <s v="15_A_B"/>
        <s v="15_B_A"/>
        <s v="13_A'_A&quot;"/>
        <s v="14_A&quot;_A"/>
        <s v="14_A'_A&quot;"/>
        <s v="7_A_B" u="1"/>
        <s v="7_B_A" u="1"/>
        <s v="8_A_B" u="1"/>
        <s v="9_A_B" u="1"/>
        <s v="8_B_A" u="1"/>
        <s v="9_B_A" u="1"/>
        <s v="6_7_A" u="1"/>
        <s v="6_7_B" u="1"/>
        <s v="7_6_7" u="1"/>
        <s v="8_9_A" u="1"/>
        <s v="8_9_B" u="1"/>
        <s v="8_8_9" u="1"/>
        <s v="9_8_9" u="1"/>
        <s v="1'_A'_A" u="1"/>
        <s v="1&quot;_A'_A" u="1"/>
        <s v="2_A_B" u="1"/>
        <s v="1_A_B" u="1"/>
        <s v="2_C_D" u="1"/>
        <s v="1_C_D" u="1"/>
        <s v="1_E_F" u="1"/>
        <s v="2_E_F" u="1"/>
        <s v="1'_E_F" u="1"/>
        <s v="2_G_H" u="1"/>
        <s v="1_G_H" u="1"/>
        <s v="1_J_-" u="1"/>
        <s v="2_J_-" u="1"/>
      </sharedItems>
    </cacheField>
    <cacheField name="O2-Grid" numFmtId="0">
      <sharedItems count="42">
        <s v="InBB"/>
        <s v="InB"/>
        <s v=""/>
        <s v="10_11_A"/>
        <s v="10_11_B"/>
        <s v="12_13_A"/>
        <s v="12_13_B"/>
        <s v="13_14_A"/>
        <s v="13_14_B"/>
        <s v="15_-_A"/>
        <s v="15_-_B"/>
        <s v="12_13_A&quot;"/>
        <s v="14_15_A&quot;"/>
        <s v="6_7_A" u="1"/>
        <s v="6_7_B" u="1"/>
        <s v="8_9_A" u="1"/>
        <s v="8_9_B" u="1"/>
        <s v="7_A_B" u="1"/>
        <s v="B_A_A" u="1"/>
        <s v="B_A_B" u="1"/>
        <s v="8_A_B" u="1"/>
        <s v="9_A_B" u="1"/>
        <s v="1'_1_A'" u="1"/>
        <s v="1&quot;_1'_A'" u="1"/>
        <s v="1&quot;_1'_A" u="1"/>
        <s v="1'_1_B" u="1"/>
        <s v="1_2_A" u="1"/>
        <s v="1_2_B" u="1"/>
        <s v="1'_1_D" u="1"/>
        <s v="1'_1_C" u="1"/>
        <s v="1_2_D" u="1"/>
        <s v="1_2_C" u="1"/>
        <s v="1_2_F" u="1"/>
        <s v="1'_1_F" u="1"/>
        <s v="1_2_E" u="1"/>
        <s v="1'_1_E" u="1"/>
        <s v="1_2_G" u="1"/>
        <s v="1_2_H" u="1"/>
        <s v="1'_1_G" u="1"/>
        <s v="1'_1_H" u="1"/>
        <s v="1_2_J" u="1"/>
        <s v="1'_1_J" u="1"/>
      </sharedItems>
    </cacheField>
    <cacheField name="O1-Unique" numFmtId="0">
      <sharedItems/>
    </cacheField>
    <cacheField name="O2-Unique" numFmtId="0">
      <sharedItems/>
    </cacheField>
    <cacheField name="Avail. Qty" numFmtId="0">
      <sharedItems containsSemiMixedTypes="0" containsString="0" containsNumber="1" containsInteger="1" minValue="0" maxValue="1"/>
    </cacheField>
    <cacheField name="Weight" numFmtId="0">
      <sharedItems containsSemiMixedTypes="0" containsString="0" containsNumber="1" minValue="0" maxValue="4202.7700000000004"/>
    </cacheField>
    <cacheField name="Erec WT(KG)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0">
  <r>
    <n v="1"/>
    <x v="0"/>
    <s v="10/A'-A"/>
    <x v="0"/>
    <s v="BEAM"/>
    <s v="Yes"/>
    <s v="10_A'_A"/>
    <x v="0"/>
    <n v="1"/>
    <s v=""/>
    <x v="0"/>
    <x v="0"/>
    <s v="1BE01#Box1_Box4#InBB"/>
    <s v="1BE01#Box1_Box4#InBB"/>
    <n v="0"/>
    <n v="0"/>
    <n v="0"/>
  </r>
  <r>
    <n v="2"/>
    <x v="1"/>
    <s v="10/A-B"/>
    <x v="0"/>
    <s v="BEAM"/>
    <s v="Yes"/>
    <s v="10_A_B"/>
    <x v="1"/>
    <n v="1"/>
    <s v=""/>
    <x v="1"/>
    <x v="1"/>
    <s v="1BE02#Box1#10_A_B"/>
    <s v="1BE02#Box1#InB"/>
    <n v="1"/>
    <n v="1545.45"/>
    <n v="0"/>
  </r>
  <r>
    <n v="3"/>
    <x v="2"/>
    <s v="10/B&gt;"/>
    <x v="0"/>
    <s v="BEAM"/>
    <s v="Yes"/>
    <s v="10_B&gt;"/>
    <x v="1"/>
    <n v="1"/>
    <s v="O"/>
    <x v="2"/>
    <x v="2"/>
    <s v="1BE03#Box1#O"/>
    <s v="1BE03#Box1#O"/>
    <n v="0"/>
    <n v="0"/>
    <n v="0"/>
  </r>
  <r>
    <n v="4"/>
    <x v="3"/>
    <s v="11-12/A'-A"/>
    <x v="0"/>
    <s v="BEAM"/>
    <s v="No"/>
    <s v="11_12_A'_A"/>
    <x v="2"/>
    <n v="1"/>
    <s v=""/>
    <x v="0"/>
    <x v="0"/>
    <s v="1BE04#Box1_Box2_Box4_Box5#InBB"/>
    <s v="1BE04#Box1_Box2_Box4_Box5#InBB"/>
    <n v="0"/>
    <n v="0"/>
    <n v="0"/>
  </r>
  <r>
    <n v="5"/>
    <x v="3"/>
    <s v="10-11/A'-A"/>
    <x v="0"/>
    <s v="BEAM"/>
    <s v="No"/>
    <s v="10_11_A'_A"/>
    <x v="0"/>
    <n v="1"/>
    <s v=""/>
    <x v="0"/>
    <x v="0"/>
    <s v="1BE04#Box1_Box4#InBB"/>
    <s v="1BE04#Box1_Box4#InBB"/>
    <n v="0"/>
    <n v="0"/>
    <n v="0"/>
  </r>
  <r>
    <n v="6"/>
    <x v="3"/>
    <s v="11-12/A'-A"/>
    <x v="0"/>
    <s v="BEAM"/>
    <s v="No"/>
    <s v="11_12_A'_A"/>
    <x v="2"/>
    <n v="1"/>
    <s v=""/>
    <x v="0"/>
    <x v="0"/>
    <s v="1BE04#Box1_Box2_Box4_Box5#InBB"/>
    <s v="1BE04#Box1_Box2_Box4_Box5#InBB"/>
    <n v="0"/>
    <n v="0"/>
    <n v="0"/>
  </r>
  <r>
    <n v="7"/>
    <x v="3"/>
    <s v="11-12/A'-A"/>
    <x v="0"/>
    <s v="BEAM"/>
    <s v="No"/>
    <s v="11_12_A'_A"/>
    <x v="2"/>
    <n v="1"/>
    <s v=""/>
    <x v="0"/>
    <x v="0"/>
    <s v="1BE04#Box1_Box2_Box4_Box5#InBB"/>
    <s v="1BE04#Box1_Box2_Box4_Box5#InBB"/>
    <n v="0"/>
    <n v="0"/>
    <n v="0"/>
  </r>
  <r>
    <n v="8"/>
    <x v="3"/>
    <s v="10-11/A'-A"/>
    <x v="0"/>
    <s v="BEAM"/>
    <s v="No"/>
    <s v="10_11_A'_A"/>
    <x v="0"/>
    <n v="1"/>
    <s v=""/>
    <x v="0"/>
    <x v="0"/>
    <s v="1BE04#Box1_Box4#InBB"/>
    <s v="1BE04#Box1_Box4#InBB"/>
    <n v="0"/>
    <n v="0"/>
    <n v="0"/>
  </r>
  <r>
    <n v="9"/>
    <x v="3"/>
    <s v="11-12/A'-A"/>
    <x v="0"/>
    <s v="BEAM"/>
    <s v="No"/>
    <s v="11_12_A'_A"/>
    <x v="2"/>
    <n v="1"/>
    <s v=""/>
    <x v="0"/>
    <x v="0"/>
    <s v="1BE04#Box1_Box2_Box4_Box5#InBB"/>
    <s v="1BE04#Box1_Box2_Box4_Box5#InBB"/>
    <n v="0"/>
    <n v="0"/>
    <n v="0"/>
  </r>
  <r>
    <n v="10"/>
    <x v="3"/>
    <s v="11-12/A'-A"/>
    <x v="0"/>
    <s v="BEAM"/>
    <s v="No"/>
    <s v="11_12_A'_A"/>
    <x v="2"/>
    <n v="1"/>
    <s v=""/>
    <x v="0"/>
    <x v="0"/>
    <s v="1BE04#Box1_Box2_Box4_Box5#InBB"/>
    <s v="1BE04#Box1_Box2_Box4_Box5#InBB"/>
    <n v="0"/>
    <n v="0"/>
    <n v="0"/>
  </r>
  <r>
    <n v="11"/>
    <x v="3"/>
    <s v="10-11/A'-A"/>
    <x v="0"/>
    <s v="BEAM"/>
    <s v="No"/>
    <s v="10_11_A'_A"/>
    <x v="0"/>
    <n v="1"/>
    <s v=""/>
    <x v="0"/>
    <x v="0"/>
    <s v="1BE04#Box1_Box4#InBB"/>
    <s v="1BE04#Box1_Box4#InBB"/>
    <n v="0"/>
    <n v="0"/>
    <n v="0"/>
  </r>
  <r>
    <n v="12"/>
    <x v="3"/>
    <s v="10-11/A'-A"/>
    <x v="0"/>
    <s v="BEAM"/>
    <s v="No"/>
    <s v="10_11_A'_A"/>
    <x v="0"/>
    <n v="1"/>
    <s v=""/>
    <x v="0"/>
    <x v="0"/>
    <s v="1BE04#Box1_Box4#InBB"/>
    <s v="1BE04#Box1_Box4#InBB"/>
    <n v="0"/>
    <n v="0"/>
    <n v="0"/>
  </r>
  <r>
    <n v="13"/>
    <x v="3"/>
    <s v="10-11/A'-A"/>
    <x v="0"/>
    <s v="BEAM"/>
    <s v="No"/>
    <s v="10_11_A'_A"/>
    <x v="0"/>
    <n v="1"/>
    <s v=""/>
    <x v="0"/>
    <x v="0"/>
    <s v="1BE04#Box1_Box4#InBB"/>
    <s v="1BE04#Box1_Box4#InBB"/>
    <n v="0"/>
    <n v="0"/>
    <n v="0"/>
  </r>
  <r>
    <n v="14"/>
    <x v="3"/>
    <s v="10-11/B&gt;"/>
    <x v="0"/>
    <s v="BEAM"/>
    <s v="No"/>
    <s v="10_11_B&gt;"/>
    <x v="1"/>
    <n v="1"/>
    <s v="O"/>
    <x v="2"/>
    <x v="2"/>
    <s v="1BE04#Box1#O"/>
    <s v="1BE04#Box1#O"/>
    <n v="0"/>
    <n v="0"/>
    <n v="0"/>
  </r>
  <r>
    <n v="15"/>
    <x v="4"/>
    <s v="10-11/A'-A"/>
    <x v="0"/>
    <s v="BEAM"/>
    <s v="Yes"/>
    <s v="10_11_A'_A"/>
    <x v="0"/>
    <n v="1"/>
    <s v=""/>
    <x v="0"/>
    <x v="0"/>
    <s v="1BE05#Box1_Box4#InBB"/>
    <s v="1BE05#Box1_Box4#InBB"/>
    <n v="1"/>
    <n v="346.7"/>
    <n v="0"/>
  </r>
  <r>
    <n v="16"/>
    <x v="5"/>
    <s v="10-11/A"/>
    <x v="0"/>
    <s v="BEAM"/>
    <s v="Yes"/>
    <s v="10_11_A"/>
    <x v="1"/>
    <n v="1"/>
    <s v=""/>
    <x v="3"/>
    <x v="3"/>
    <s v="1BE06#Box1#InB"/>
    <s v="1BE06#Box1#10_11_A"/>
    <n v="1"/>
    <n v="468.1"/>
    <n v="0"/>
  </r>
  <r>
    <n v="17"/>
    <x v="6"/>
    <s v="10-11/A-B"/>
    <x v="0"/>
    <s v="BEAM"/>
    <s v="Yes"/>
    <s v="10_11_A_B"/>
    <x v="1"/>
    <n v="1"/>
    <s v=""/>
    <x v="3"/>
    <x v="1"/>
    <s v="1BE07#Box1#InB"/>
    <s v="1BE07#Box1#InB"/>
    <n v="1"/>
    <n v="571.71"/>
    <n v="0"/>
  </r>
  <r>
    <n v="18"/>
    <x v="7"/>
    <s v="10-11/B"/>
    <x v="0"/>
    <s v="BEAM"/>
    <s v="Yes"/>
    <s v="10_11_B"/>
    <x v="1"/>
    <n v="1"/>
    <s v=""/>
    <x v="3"/>
    <x v="4"/>
    <s v="1BE08#Box1#InB"/>
    <s v="1BE08#Box1#10_11_B"/>
    <n v="1"/>
    <n v="447.85"/>
    <n v="0"/>
  </r>
  <r>
    <n v="19"/>
    <x v="8"/>
    <s v="10-11/B&gt;"/>
    <x v="1"/>
    <s v="BEAM"/>
    <s v="No"/>
    <s v="10_11_B&gt;"/>
    <x v="1"/>
    <n v="1"/>
    <s v="O"/>
    <x v="2"/>
    <x v="2"/>
    <s v="1BE09#Box1#O"/>
    <s v="1BE09#Box1#O"/>
    <n v="0"/>
    <n v="0"/>
    <n v="0"/>
  </r>
  <r>
    <n v="20"/>
    <x v="8"/>
    <s v="10-11/B&gt;"/>
    <x v="1"/>
    <s v="BEAM"/>
    <s v="No"/>
    <s v="10_11_B&gt;"/>
    <x v="1"/>
    <n v="1"/>
    <s v="O"/>
    <x v="2"/>
    <x v="2"/>
    <s v="1BE09#Box1#O"/>
    <s v="1BE09#Box1#O"/>
    <n v="0"/>
    <n v="0"/>
    <n v="0"/>
  </r>
  <r>
    <n v="21"/>
    <x v="9"/>
    <s v="10-11/B&gt;"/>
    <x v="0"/>
    <s v="BEAM"/>
    <s v="Yes"/>
    <s v="10_11_B&gt;"/>
    <x v="1"/>
    <n v="1"/>
    <s v="O"/>
    <x v="2"/>
    <x v="2"/>
    <s v="1BE10#Box1#O"/>
    <s v="1BE10#Box1#O"/>
    <n v="1"/>
    <n v="327.97"/>
    <n v="0"/>
  </r>
  <r>
    <n v="22"/>
    <x v="10"/>
    <s v="10-11/B"/>
    <x v="1"/>
    <s v="BEAM"/>
    <s v="Yes"/>
    <s v="10_11_B"/>
    <x v="1"/>
    <n v="1"/>
    <s v=""/>
    <x v="3"/>
    <x v="4"/>
    <s v="1BE11#Box1#InB"/>
    <s v="1BE11#Box1#10_11_B"/>
    <n v="0"/>
    <n v="0"/>
    <n v="0"/>
  </r>
  <r>
    <n v="23"/>
    <x v="11"/>
    <s v="10-11/B&gt;"/>
    <x v="1"/>
    <s v="BEAM"/>
    <s v="Yes"/>
    <s v="10_11_B&gt;"/>
    <x v="1"/>
    <n v="1"/>
    <s v="O"/>
    <x v="2"/>
    <x v="2"/>
    <s v="1BE12#Box1#O"/>
    <s v="1BE12#Box1#O"/>
    <n v="0"/>
    <n v="0"/>
    <n v="0"/>
  </r>
  <r>
    <n v="24"/>
    <x v="12"/>
    <s v="10-11/A-B"/>
    <x v="0"/>
    <s v="BEAM"/>
    <s v="Yes"/>
    <s v="10_11_A_B"/>
    <x v="1"/>
    <n v="1"/>
    <s v=""/>
    <x v="3"/>
    <x v="1"/>
    <s v="1BE13#Box1#InB"/>
    <s v="1BE13#Box1#InB"/>
    <n v="0"/>
    <n v="0"/>
    <n v="0"/>
  </r>
  <r>
    <n v="25"/>
    <x v="13"/>
    <s v="10-11/A-B"/>
    <x v="0"/>
    <s v="BEAM"/>
    <s v="Yes"/>
    <s v="10_11_A_B"/>
    <x v="1"/>
    <n v="1"/>
    <s v=""/>
    <x v="3"/>
    <x v="1"/>
    <s v="1BE14#Box1#InB"/>
    <s v="1BE14#Box1#InB"/>
    <n v="0"/>
    <n v="0"/>
    <n v="0"/>
  </r>
  <r>
    <n v="26"/>
    <x v="14"/>
    <s v="10-11/A-B"/>
    <x v="0"/>
    <s v="BEAM"/>
    <s v="Yes"/>
    <s v="10_11_A_B"/>
    <x v="1"/>
    <n v="1"/>
    <s v=""/>
    <x v="3"/>
    <x v="1"/>
    <s v="1BE15#Box1#InB"/>
    <s v="1BE15#Box1#InB"/>
    <n v="0"/>
    <n v="0"/>
    <n v="0"/>
  </r>
  <r>
    <n v="27"/>
    <x v="15"/>
    <s v="10-11/A-B"/>
    <x v="0"/>
    <s v="BEAM"/>
    <s v="No"/>
    <s v="10_11_A_B"/>
    <x v="1"/>
    <n v="1"/>
    <s v=""/>
    <x v="3"/>
    <x v="1"/>
    <s v="1BE16#Box1#InB"/>
    <s v="1BE16#Box1#InB"/>
    <n v="0"/>
    <n v="0"/>
    <n v="0"/>
  </r>
  <r>
    <n v="28"/>
    <x v="15"/>
    <s v="10-11/A-B"/>
    <x v="0"/>
    <s v="BEAM"/>
    <s v="No"/>
    <s v="10_11_A_B"/>
    <x v="1"/>
    <n v="1"/>
    <s v=""/>
    <x v="3"/>
    <x v="1"/>
    <s v="1BE16#Box1#InB"/>
    <s v="1BE16#Box1#InB"/>
    <n v="0"/>
    <n v="0"/>
    <n v="0"/>
  </r>
  <r>
    <n v="32"/>
    <x v="16"/>
    <s v="10-11/A-B"/>
    <x v="0"/>
    <s v="BEAM"/>
    <s v="No"/>
    <s v="10_11_A_B"/>
    <x v="1"/>
    <n v="1"/>
    <s v=""/>
    <x v="3"/>
    <x v="1"/>
    <s v="1BE19#Box1#InB"/>
    <s v="1BE19#Box1#InB"/>
    <n v="0"/>
    <n v="0"/>
    <n v="0"/>
  </r>
  <r>
    <n v="33"/>
    <x v="16"/>
    <s v="10-11/A-B"/>
    <x v="0"/>
    <s v="BEAM"/>
    <s v="No"/>
    <s v="10_11_A_B"/>
    <x v="1"/>
    <n v="1"/>
    <s v=""/>
    <x v="3"/>
    <x v="1"/>
    <s v="1BE19#Box1#InB"/>
    <s v="1BE19#Box1#InB"/>
    <n v="0"/>
    <n v="0"/>
    <n v="0"/>
  </r>
  <r>
    <n v="40"/>
    <x v="17"/>
    <s v="10-11/B&gt;"/>
    <x v="0"/>
    <s v="BEAM"/>
    <s v="Yes"/>
    <s v="10_11_B&gt;"/>
    <x v="1"/>
    <n v="1"/>
    <s v="O"/>
    <x v="2"/>
    <x v="2"/>
    <s v="1BE26#Box1#O"/>
    <s v="1BE26#Box1#O"/>
    <n v="0"/>
    <n v="0"/>
    <n v="0"/>
  </r>
  <r>
    <n v="41"/>
    <x v="18"/>
    <s v="11/A'-A"/>
    <x v="0"/>
    <s v="BEAM"/>
    <s v="Yes"/>
    <s v="11_A'_A"/>
    <x v="0"/>
    <n v="1"/>
    <s v=""/>
    <x v="0"/>
    <x v="0"/>
    <s v="1BE27#Box1_Box4#InBB"/>
    <s v="1BE27#Box1_Box4#InBB"/>
    <n v="0"/>
    <n v="0"/>
    <n v="0"/>
  </r>
  <r>
    <n v="42"/>
    <x v="19"/>
    <s v="11/A-B"/>
    <x v="0"/>
    <s v="BEAM"/>
    <s v="Yes"/>
    <s v="11_A_B"/>
    <x v="1"/>
    <n v="1"/>
    <s v=""/>
    <x v="4"/>
    <x v="1"/>
    <s v="1BE28#Box1#11_A_B"/>
    <s v="1BE28#Box1#InB"/>
    <n v="1"/>
    <n v="1605.12"/>
    <n v="0"/>
  </r>
  <r>
    <n v="43"/>
    <x v="20"/>
    <s v="11/B&gt;"/>
    <x v="0"/>
    <s v="BEAM"/>
    <s v="Yes"/>
    <s v="11_B&gt;"/>
    <x v="1"/>
    <n v="1"/>
    <s v="O"/>
    <x v="2"/>
    <x v="2"/>
    <s v="1BE29#Box1#O"/>
    <s v="1BE29#Box1#O"/>
    <n v="0"/>
    <n v="0"/>
    <n v="0"/>
  </r>
  <r>
    <n v="44"/>
    <x v="21"/>
    <s v="11-12/B&gt;"/>
    <x v="0"/>
    <s v="BEAM"/>
    <s v="No"/>
    <s v="11_12_B&gt;"/>
    <x v="3"/>
    <n v="1"/>
    <s v="O"/>
    <x v="2"/>
    <x v="2"/>
    <s v="1BE30#Box1_Box2#O"/>
    <s v="1BE30#Box1_Box2#O"/>
    <n v="0"/>
    <n v="0"/>
    <n v="0"/>
  </r>
  <r>
    <n v="45"/>
    <x v="21"/>
    <s v="11-12/B&gt;"/>
    <x v="0"/>
    <s v="BEAM"/>
    <s v="No"/>
    <s v="11_12_B&gt;"/>
    <x v="3"/>
    <n v="1"/>
    <s v="O"/>
    <x v="2"/>
    <x v="2"/>
    <s v="1BE30#Box1_Box2#O"/>
    <s v="1BE30#Box1_Box2#O"/>
    <n v="0"/>
    <n v="0"/>
    <n v="0"/>
  </r>
  <r>
    <n v="46"/>
    <x v="21"/>
    <s v="11-12/B&gt;"/>
    <x v="0"/>
    <s v="BEAM"/>
    <s v="No"/>
    <s v="11_12_B&gt;"/>
    <x v="3"/>
    <n v="1"/>
    <s v="O"/>
    <x v="2"/>
    <x v="2"/>
    <s v="1BE30#Box1_Box2#O"/>
    <s v="1BE30#Box1_Box2#O"/>
    <n v="0"/>
    <n v="0"/>
    <n v="0"/>
  </r>
  <r>
    <n v="47"/>
    <x v="21"/>
    <s v="11-12/B&gt;"/>
    <x v="0"/>
    <s v="BEAM"/>
    <s v="No"/>
    <s v="11_12_B&gt;"/>
    <x v="3"/>
    <n v="1"/>
    <s v="O"/>
    <x v="2"/>
    <x v="2"/>
    <s v="1BE30#Box1_Box2#O"/>
    <s v="1BE30#Box1_Box2#O"/>
    <n v="0"/>
    <n v="0"/>
    <n v="0"/>
  </r>
  <r>
    <n v="48"/>
    <x v="22"/>
    <s v="11-12/B&gt;"/>
    <x v="0"/>
    <s v="BEAM"/>
    <s v="Yes"/>
    <s v="11_12_B&gt;"/>
    <x v="3"/>
    <n v="1"/>
    <s v="O"/>
    <x v="2"/>
    <x v="2"/>
    <s v="1BE31#Box1_Box2#O"/>
    <s v="1BE31#Box1_Box2#O"/>
    <n v="0"/>
    <n v="0"/>
    <n v="0"/>
  </r>
  <r>
    <n v="49"/>
    <x v="23"/>
    <s v="11-12/A-B"/>
    <x v="2"/>
    <s v="BEAM"/>
    <s v="Yes"/>
    <s v="11_12_A_B"/>
    <x v="3"/>
    <n v="1"/>
    <s v=""/>
    <x v="0"/>
    <x v="0"/>
    <s v="1BE32#Box1_Box2#InBB"/>
    <s v="1BE32#Box1_Box2#InBB"/>
    <n v="0"/>
    <n v="0"/>
    <n v="0"/>
  </r>
  <r>
    <n v="50"/>
    <x v="24"/>
    <s v="11-12/B&gt;"/>
    <x v="0"/>
    <s v="BEAM"/>
    <s v="Yes"/>
    <s v="11_12_B&gt;"/>
    <x v="3"/>
    <n v="1"/>
    <s v="O"/>
    <x v="2"/>
    <x v="2"/>
    <s v="1BE33#Box1_Box2#O"/>
    <s v="1BE33#Box1_Box2#O"/>
    <n v="0"/>
    <n v="0"/>
    <n v="0"/>
  </r>
  <r>
    <n v="51"/>
    <x v="25"/>
    <s v="11-12/A'-A"/>
    <x v="0"/>
    <s v="BEAM"/>
    <s v="Yes"/>
    <s v="11_12_A'_A"/>
    <x v="2"/>
    <n v="1"/>
    <s v=""/>
    <x v="0"/>
    <x v="0"/>
    <s v="1BE34#Box1_Box2_Box4_Box5#InBB"/>
    <s v="1BE34#Box1_Box2_Box4_Box5#InBB"/>
    <n v="0"/>
    <n v="0"/>
    <n v="0"/>
  </r>
  <r>
    <n v="52"/>
    <x v="26"/>
    <s v="11-12/A"/>
    <x v="0"/>
    <s v="BEAM"/>
    <s v="Yes"/>
    <s v="11_12_A"/>
    <x v="3"/>
    <n v="1"/>
    <s v=""/>
    <x v="0"/>
    <x v="0"/>
    <s v="1BE35#Box1_Box2#InBB"/>
    <s v="1BE35#Box1_Box2#InBB"/>
    <n v="0"/>
    <n v="0"/>
    <n v="0"/>
  </r>
  <r>
    <n v="53"/>
    <x v="27"/>
    <s v="11-12/A-B"/>
    <x v="0"/>
    <s v="BEAM"/>
    <s v="Yes"/>
    <s v="11_12_A_B"/>
    <x v="3"/>
    <n v="1"/>
    <s v=""/>
    <x v="0"/>
    <x v="0"/>
    <s v="1BE36#Box1_Box2#InBB"/>
    <s v="1BE36#Box1_Box2#InBB"/>
    <n v="0"/>
    <n v="0"/>
    <n v="0"/>
  </r>
  <r>
    <n v="54"/>
    <x v="28"/>
    <s v="11-12/B"/>
    <x v="0"/>
    <s v="BEAM"/>
    <s v="Yes"/>
    <s v="11_12_B"/>
    <x v="3"/>
    <n v="1"/>
    <s v=""/>
    <x v="0"/>
    <x v="0"/>
    <s v="1BE37#Box1_Box2#InBB"/>
    <s v="1BE37#Box1_Box2#InBB"/>
    <n v="0"/>
    <n v="0"/>
    <n v="0"/>
  </r>
  <r>
    <n v="55"/>
    <x v="29"/>
    <s v="11-12/B&gt;"/>
    <x v="0"/>
    <s v="BEAM"/>
    <s v="Yes"/>
    <s v="11_12_B&gt;"/>
    <x v="3"/>
    <n v="1"/>
    <s v="O"/>
    <x v="2"/>
    <x v="2"/>
    <s v="1BE38#Box1_Box2#O"/>
    <s v="1BE38#Box1_Box2#O"/>
    <n v="0"/>
    <n v="0"/>
    <n v="0"/>
  </r>
  <r>
    <n v="56"/>
    <x v="30"/>
    <s v="11-12/A-B"/>
    <x v="2"/>
    <s v="BEAM"/>
    <s v="Yes"/>
    <s v="11_12_A_B"/>
    <x v="3"/>
    <n v="1"/>
    <s v=""/>
    <x v="0"/>
    <x v="0"/>
    <s v="1BE39#Box1_Box2#InBB"/>
    <s v="1BE39#Box1_Box2#InBB"/>
    <n v="0"/>
    <n v="0"/>
    <n v="0"/>
  </r>
  <r>
    <n v="57"/>
    <x v="31"/>
    <s v="11-12/B&gt;"/>
    <x v="0"/>
    <s v="BEAM"/>
    <s v="Yes"/>
    <s v="11_12_B&gt;"/>
    <x v="3"/>
    <n v="1"/>
    <s v="O"/>
    <x v="2"/>
    <x v="2"/>
    <s v="1BE40#Box1_Box2#O"/>
    <s v="1BE40#Box1_Box2#O"/>
    <n v="0"/>
    <n v="0"/>
    <n v="0"/>
  </r>
  <r>
    <n v="140"/>
    <x v="32"/>
    <s v="14/A-B"/>
    <x v="0"/>
    <s v="BEAM"/>
    <s v="Yes"/>
    <s v="14_A_B"/>
    <x v="4"/>
    <n v="1"/>
    <s v=""/>
    <x v="0"/>
    <x v="0"/>
    <s v="1BE99#Box1_Box2_Box3#InBB"/>
    <s v="1BE99#Box1_Box2_Box3#InBB"/>
    <n v="0"/>
    <n v="0"/>
    <n v="0"/>
  </r>
  <r>
    <n v="141"/>
    <x v="33"/>
    <s v="14/B&gt;"/>
    <x v="0"/>
    <s v="BEAM"/>
    <s v="Yes"/>
    <s v="14_B&gt;"/>
    <x v="5"/>
    <n v="1"/>
    <s v="O"/>
    <x v="2"/>
    <x v="2"/>
    <s v="1BE100#Box1_Box2_Box3_Box6#O"/>
    <s v="1BE100#Box1_Box2_Box3_Box6#O"/>
    <n v="0"/>
    <n v="0"/>
    <n v="0"/>
  </r>
  <r>
    <n v="144"/>
    <x v="34"/>
    <s v="10-11/A-B"/>
    <x v="3"/>
    <s v="FRAME"/>
    <s v="Yes"/>
    <s v="10_11_A_B"/>
    <x v="1"/>
    <n v="1"/>
    <s v=""/>
    <x v="3"/>
    <x v="1"/>
    <s v="1FR01#Box1#InB"/>
    <s v="1FR01#Box1#InB"/>
    <n v="0"/>
    <n v="0"/>
    <n v="0"/>
  </r>
  <r>
    <n v="145"/>
    <x v="35"/>
    <s v="10-11/A-B"/>
    <x v="4"/>
    <s v="FRAME"/>
    <s v="Yes"/>
    <s v="10_11_A_B"/>
    <x v="1"/>
    <n v="1"/>
    <s v=""/>
    <x v="3"/>
    <x v="1"/>
    <s v="1FR02#Box1#InB"/>
    <s v="1FR02#Box1#InB"/>
    <n v="0"/>
    <n v="0"/>
    <n v="0"/>
  </r>
  <r>
    <n v="149"/>
    <x v="36"/>
    <s v="10-11/B"/>
    <x v="5"/>
    <s v="HANGER"/>
    <s v="Yes"/>
    <s v="10_11_B"/>
    <x v="1"/>
    <n v="1"/>
    <s v=""/>
    <x v="3"/>
    <x v="4"/>
    <s v="1HA02#Box1#InB"/>
    <s v="1HA02#Box1#10_11_B"/>
    <n v="0"/>
    <n v="0"/>
    <n v="0"/>
  </r>
  <r>
    <n v="150"/>
    <x v="37"/>
    <s v="11-12/A'-A"/>
    <x v="6"/>
    <s v="HANGER"/>
    <s v="Yes"/>
    <s v="11_12_A'_A"/>
    <x v="2"/>
    <n v="1"/>
    <s v=""/>
    <x v="0"/>
    <x v="0"/>
    <s v="1HA03#Box1_Box2_Box4_Box5#InBB"/>
    <s v="1HA03#Box1_Box2_Box4_Box5#InBB"/>
    <n v="0"/>
    <n v="0"/>
    <n v="0"/>
  </r>
  <r>
    <n v="151"/>
    <x v="38"/>
    <s v="11-12/A'-A"/>
    <x v="6"/>
    <s v="HANGER"/>
    <s v="Yes"/>
    <s v="11_12_A'_A"/>
    <x v="2"/>
    <n v="1"/>
    <s v=""/>
    <x v="0"/>
    <x v="0"/>
    <s v="1HA04#Box1_Box2_Box4_Box5#InBB"/>
    <s v="1HA04#Box1_Box2_Box4_Box5#InBB"/>
    <n v="0"/>
    <n v="0"/>
    <n v="0"/>
  </r>
  <r>
    <n v="152"/>
    <x v="39"/>
    <s v="10-11/A-B"/>
    <x v="2"/>
    <s v="H-BRACE"/>
    <s v="Yes"/>
    <s v="10_11_A_B"/>
    <x v="1"/>
    <n v="1"/>
    <s v=""/>
    <x v="3"/>
    <x v="1"/>
    <s v="1HB01#Box1#InB"/>
    <s v="1HB01#Box1#InB"/>
    <n v="0"/>
    <n v="0"/>
    <n v="0"/>
  </r>
  <r>
    <n v="153"/>
    <x v="40"/>
    <s v="10-11/A-B"/>
    <x v="7"/>
    <s v="H-BRACE"/>
    <s v="No"/>
    <s v="10_11_A_B"/>
    <x v="1"/>
    <n v="1"/>
    <s v=""/>
    <x v="3"/>
    <x v="1"/>
    <s v="1HB02#Box1#InB"/>
    <s v="1HB02#Box1#InB"/>
    <n v="0"/>
    <n v="0"/>
    <n v="0"/>
  </r>
  <r>
    <n v="154"/>
    <x v="40"/>
    <s v="10-11/A-B"/>
    <x v="7"/>
    <s v="H-BRACE"/>
    <s v="No"/>
    <s v="10_11_A_B"/>
    <x v="1"/>
    <n v="1"/>
    <s v=""/>
    <x v="3"/>
    <x v="1"/>
    <s v="1HB02#Box1#InB"/>
    <s v="1HB02#Box1#InB"/>
    <n v="0"/>
    <n v="0"/>
    <n v="0"/>
  </r>
  <r>
    <n v="155"/>
    <x v="41"/>
    <s v="10-11/A-B"/>
    <x v="7"/>
    <s v="H-BRACE"/>
    <s v="No"/>
    <s v="10_11_A_B"/>
    <x v="1"/>
    <n v="1"/>
    <s v=""/>
    <x v="3"/>
    <x v="1"/>
    <s v="1HB03#Box1#InB"/>
    <s v="1HB03#Box1#InB"/>
    <n v="0"/>
    <n v="0"/>
    <n v="0"/>
  </r>
  <r>
    <n v="156"/>
    <x v="41"/>
    <s v="10-11/A-B"/>
    <x v="7"/>
    <s v="H-BRACE"/>
    <s v="No"/>
    <s v="10_11_A_B"/>
    <x v="1"/>
    <n v="1"/>
    <s v=""/>
    <x v="3"/>
    <x v="1"/>
    <s v="1HB03#Box1#InB"/>
    <s v="1HB03#Box1#InB"/>
    <n v="0"/>
    <n v="0"/>
    <n v="0"/>
  </r>
  <r>
    <n v="157"/>
    <x v="42"/>
    <s v="10-11/B&gt;"/>
    <x v="8"/>
    <s v="H-BRACE"/>
    <s v="Yes"/>
    <s v="10_11_B&gt;"/>
    <x v="1"/>
    <n v="1"/>
    <s v="O"/>
    <x v="2"/>
    <x v="2"/>
    <s v="1HB04#Box1#O"/>
    <s v="1HB04#Box1#O"/>
    <n v="0"/>
    <n v="0"/>
    <n v="0"/>
  </r>
  <r>
    <n v="158"/>
    <x v="43"/>
    <s v="11-12/A'-A"/>
    <x v="8"/>
    <s v="H-BRACE"/>
    <s v="No"/>
    <s v="11_12_A'_A"/>
    <x v="2"/>
    <n v="1"/>
    <s v=""/>
    <x v="0"/>
    <x v="0"/>
    <s v="1HB05#Box1_Box2_Box4_Box5#InBB"/>
    <s v="1HB05#Box1_Box2_Box4_Box5#InBB"/>
    <n v="0"/>
    <n v="0"/>
    <n v="0"/>
  </r>
  <r>
    <n v="159"/>
    <x v="43"/>
    <s v="10-11/A'-A"/>
    <x v="8"/>
    <s v="H-BRACE"/>
    <s v="No"/>
    <s v="10_11_A'_A"/>
    <x v="0"/>
    <n v="1"/>
    <s v=""/>
    <x v="0"/>
    <x v="0"/>
    <s v="1HB05#Box1_Box4#InBB"/>
    <s v="1HB05#Box1_Box4#InBB"/>
    <n v="0"/>
    <n v="0"/>
    <n v="0"/>
  </r>
  <r>
    <n v="162"/>
    <x v="44"/>
    <s v="10-11/B&gt;"/>
    <x v="8"/>
    <s v="H-BRACE"/>
    <s v="Yes"/>
    <s v="10_11_B&gt;"/>
    <x v="1"/>
    <n v="1"/>
    <s v="O"/>
    <x v="2"/>
    <x v="2"/>
    <s v="1HB06#Box1#O"/>
    <s v="1HB06#Box1#O"/>
    <n v="0"/>
    <n v="0"/>
    <n v="0"/>
  </r>
  <r>
    <n v="163"/>
    <x v="45"/>
    <s v="11-12/A-B"/>
    <x v="2"/>
    <s v="H-BRACE"/>
    <s v="Yes"/>
    <s v="11_12_A_B"/>
    <x v="3"/>
    <n v="1"/>
    <s v=""/>
    <x v="0"/>
    <x v="0"/>
    <s v="1HB07#Box1_Box2#InBB"/>
    <s v="1HB07#Box1_Box2#InBB"/>
    <n v="0"/>
    <n v="0"/>
    <n v="0"/>
  </r>
  <r>
    <n v="164"/>
    <x v="46"/>
    <s v="11-12/A-B"/>
    <x v="2"/>
    <s v="H-BRACE"/>
    <s v="Yes"/>
    <s v="11_12_A_B"/>
    <x v="3"/>
    <n v="1"/>
    <s v=""/>
    <x v="0"/>
    <x v="0"/>
    <s v="1HB08#Box1_Box2#InBB"/>
    <s v="1HB08#Box1_Box2#InBB"/>
    <n v="0"/>
    <n v="0"/>
    <n v="0"/>
  </r>
  <r>
    <n v="165"/>
    <x v="47"/>
    <s v="11-12/A-B"/>
    <x v="2"/>
    <s v="H-BRACE"/>
    <s v="Yes"/>
    <s v="11_12_A_B"/>
    <x v="3"/>
    <n v="1"/>
    <s v=""/>
    <x v="0"/>
    <x v="0"/>
    <s v="1HB09#Box1_Box2#InBB"/>
    <s v="1HB09#Box1_Box2#InBB"/>
    <n v="0"/>
    <n v="0"/>
    <n v="0"/>
  </r>
  <r>
    <n v="166"/>
    <x v="48"/>
    <s v="11-12/A-B"/>
    <x v="2"/>
    <s v="H-BRACE"/>
    <s v="Yes"/>
    <s v="11_12_A_B"/>
    <x v="3"/>
    <n v="1"/>
    <s v=""/>
    <x v="0"/>
    <x v="0"/>
    <s v="1HB10#Box1_Box2#InBB"/>
    <s v="1HB10#Box1_Box2#InBB"/>
    <n v="0"/>
    <n v="0"/>
    <n v="0"/>
  </r>
  <r>
    <n v="167"/>
    <x v="49"/>
    <s v="11-12/B&gt;"/>
    <x v="8"/>
    <s v="H-BRACE"/>
    <s v="Yes"/>
    <s v="11_12_B&gt;"/>
    <x v="3"/>
    <n v="1"/>
    <s v="O"/>
    <x v="2"/>
    <x v="2"/>
    <s v="1HB11#Box1_Box2#O"/>
    <s v="1HB11#Box1_Box2#O"/>
    <n v="0"/>
    <n v="0"/>
    <n v="0"/>
  </r>
  <r>
    <n v="181"/>
    <x v="50"/>
    <s v="10-11/B"/>
    <x v="1"/>
    <s v="STUB COLUMN"/>
    <s v="Yes"/>
    <s v="10_11_B"/>
    <x v="1"/>
    <n v="1"/>
    <s v=""/>
    <x v="3"/>
    <x v="4"/>
    <s v="1SC01#Box1#InB"/>
    <s v="1SC01#Box1#10_11_B"/>
    <n v="0"/>
    <n v="0"/>
    <n v="0"/>
  </r>
  <r>
    <n v="182"/>
    <x v="51"/>
    <s v="10-11/B&gt;"/>
    <x v="1"/>
    <s v="STUB COLUMN"/>
    <s v="Yes"/>
    <s v="10_11_B&gt;"/>
    <x v="1"/>
    <n v="1"/>
    <s v="O"/>
    <x v="2"/>
    <x v="2"/>
    <s v="1SC02#Box1#O"/>
    <s v="1SC02#Box1#O"/>
    <n v="0"/>
    <n v="0"/>
    <n v="0"/>
  </r>
  <r>
    <n v="183"/>
    <x v="52"/>
    <s v="10-11/B"/>
    <x v="1"/>
    <s v="STUB COLUMN"/>
    <s v="Yes"/>
    <s v="10_11_B"/>
    <x v="1"/>
    <n v="1"/>
    <s v=""/>
    <x v="3"/>
    <x v="4"/>
    <s v="1SC03#Box1#InB"/>
    <s v="1SC03#Box1#10_11_B"/>
    <n v="0"/>
    <n v="0"/>
    <n v="0"/>
  </r>
  <r>
    <n v="184"/>
    <x v="53"/>
    <s v="10-11/B&gt;"/>
    <x v="1"/>
    <s v="STUB COLUMN"/>
    <s v="Yes"/>
    <s v="10_11_B&gt;"/>
    <x v="1"/>
    <n v="1"/>
    <s v="O"/>
    <x v="2"/>
    <x v="2"/>
    <s v="1SC04#Box1#O"/>
    <s v="1SC04#Box1#O"/>
    <n v="0"/>
    <n v="0"/>
    <n v="0"/>
  </r>
  <r>
    <n v="185"/>
    <x v="54"/>
    <s v="10-11/A'-A"/>
    <x v="9"/>
    <s v="STUB COLUMN"/>
    <s v="Yes"/>
    <s v="10_11_A'_A"/>
    <x v="0"/>
    <n v="1"/>
    <s v=""/>
    <x v="0"/>
    <x v="0"/>
    <s v="1SC05#Box1_Box4#InBB"/>
    <s v="1SC05#Box1_Box4#InBB"/>
    <n v="0"/>
    <n v="0"/>
    <n v="0"/>
  </r>
  <r>
    <n v="186"/>
    <x v="55"/>
    <s v="11/B&gt;"/>
    <x v="10"/>
    <s v="STUB COLUMN"/>
    <s v="Yes"/>
    <s v="11_B&gt;"/>
    <x v="1"/>
    <n v="1"/>
    <s v="O"/>
    <x v="2"/>
    <x v="2"/>
    <s v="1SC06#Box1#O"/>
    <s v="1SC06#Box1#O"/>
    <n v="0"/>
    <n v="0"/>
    <n v="0"/>
  </r>
  <r>
    <n v="197"/>
    <x v="56"/>
    <s v="10/A-B"/>
    <x v="11"/>
    <s v="BEAM"/>
    <s v="Yes"/>
    <s v="10_A_B"/>
    <x v="1"/>
    <n v="1"/>
    <s v=""/>
    <x v="1"/>
    <x v="1"/>
    <s v="2BE01#Box1#10_A_B"/>
    <s v="2BE01#Box1#InB"/>
    <n v="0"/>
    <n v="0"/>
    <n v="0"/>
  </r>
  <r>
    <n v="198"/>
    <x v="57"/>
    <s v="10-11/A-B"/>
    <x v="11"/>
    <s v="BEAM"/>
    <s v="Yes"/>
    <s v="10_11_A_B"/>
    <x v="1"/>
    <n v="1"/>
    <s v=""/>
    <x v="3"/>
    <x v="1"/>
    <s v="2BE02#Box1#InB"/>
    <s v="2BE02#Box1#InB"/>
    <n v="0"/>
    <n v="0"/>
    <n v="0"/>
  </r>
  <r>
    <n v="200"/>
    <x v="58"/>
    <s v="10-11/B"/>
    <x v="11"/>
    <s v="BEAM"/>
    <s v="Yes"/>
    <s v="10_11_B"/>
    <x v="1"/>
    <n v="1"/>
    <s v=""/>
    <x v="3"/>
    <x v="4"/>
    <s v="2BE04#Box1#InB"/>
    <s v="2BE04#Box1#10_11_B"/>
    <n v="0"/>
    <n v="0"/>
    <n v="0"/>
  </r>
  <r>
    <n v="201"/>
    <x v="59"/>
    <s v="10-11/A-B"/>
    <x v="11"/>
    <s v="BEAM"/>
    <s v="Yes"/>
    <s v="10_11_A_B"/>
    <x v="1"/>
    <n v="1"/>
    <s v=""/>
    <x v="3"/>
    <x v="1"/>
    <s v="2BE05#Box1#InB"/>
    <s v="2BE05#Box1#InB"/>
    <n v="0"/>
    <n v="0"/>
    <n v="0"/>
  </r>
  <r>
    <n v="202"/>
    <x v="60"/>
    <s v="10-11/B"/>
    <x v="12"/>
    <s v="BEAM"/>
    <s v="Yes"/>
    <s v="10_11_B"/>
    <x v="1"/>
    <n v="1"/>
    <s v=""/>
    <x v="3"/>
    <x v="4"/>
    <s v="2BE06#Box1#InB"/>
    <s v="2BE06#Box1#10_11_B"/>
    <n v="0"/>
    <n v="0"/>
    <n v="0"/>
  </r>
  <r>
    <n v="203"/>
    <x v="61"/>
    <s v="10-11/A'-A"/>
    <x v="9"/>
    <s v="BEAM"/>
    <s v="Yes"/>
    <s v="10_11_A'_A"/>
    <x v="0"/>
    <n v="1"/>
    <s v=""/>
    <x v="0"/>
    <x v="0"/>
    <s v="2BE07#Box1_Box4#InBB"/>
    <s v="2BE07#Box1_Box4#InBB"/>
    <n v="0"/>
    <n v="0"/>
    <n v="0"/>
  </r>
  <r>
    <n v="204"/>
    <x v="62"/>
    <s v="10-11/A"/>
    <x v="9"/>
    <s v="BEAM"/>
    <s v="Yes"/>
    <s v="10_11_A"/>
    <x v="1"/>
    <n v="1"/>
    <s v=""/>
    <x v="3"/>
    <x v="3"/>
    <s v="2BE08#Box1#InB"/>
    <s v="2BE08#Box1#10_11_A"/>
    <n v="0"/>
    <n v="0"/>
    <n v="0"/>
  </r>
  <r>
    <n v="205"/>
    <x v="63"/>
    <s v="10-11/A'-A"/>
    <x v="9"/>
    <s v="BEAM"/>
    <s v="Yes"/>
    <s v="10_11_A'_A"/>
    <x v="0"/>
    <n v="1"/>
    <s v=""/>
    <x v="0"/>
    <x v="0"/>
    <s v="2BE09#Box1_Box4#InBB"/>
    <s v="2BE09#Box1_Box4#InBB"/>
    <n v="0"/>
    <n v="0"/>
    <n v="0"/>
  </r>
  <r>
    <n v="206"/>
    <x v="64"/>
    <s v="11/A'-A"/>
    <x v="9"/>
    <s v="BEAM"/>
    <s v="Yes"/>
    <s v="11_A'_A"/>
    <x v="0"/>
    <n v="1"/>
    <s v=""/>
    <x v="0"/>
    <x v="0"/>
    <s v="2BE10#Box1_Box4#InBB"/>
    <s v="2BE10#Box1_Box4#InBB"/>
    <n v="0"/>
    <n v="0"/>
    <n v="0"/>
  </r>
  <r>
    <n v="207"/>
    <x v="65"/>
    <s v="11/A-B"/>
    <x v="11"/>
    <s v="BEAM"/>
    <s v="Yes"/>
    <s v="11_A_B"/>
    <x v="1"/>
    <n v="1"/>
    <s v=""/>
    <x v="4"/>
    <x v="1"/>
    <s v="2BE11#Box1#11_A_B"/>
    <s v="2BE11#Box1#InB"/>
    <n v="0"/>
    <n v="0"/>
    <n v="0"/>
  </r>
  <r>
    <n v="208"/>
    <x v="66"/>
    <s v="11/B&gt;"/>
    <x v="9"/>
    <s v="BEAM"/>
    <s v="Yes"/>
    <s v="11_B&gt;"/>
    <x v="1"/>
    <n v="1"/>
    <s v="O"/>
    <x v="2"/>
    <x v="2"/>
    <s v="2BE12#Box1#O"/>
    <s v="2BE12#Box1#O"/>
    <n v="0"/>
    <n v="0"/>
    <n v="0"/>
  </r>
  <r>
    <n v="216"/>
    <x v="67"/>
    <s v="11-12/A-B"/>
    <x v="13"/>
    <s v="BEAM"/>
    <s v="No"/>
    <s v="11_12_A_B"/>
    <x v="3"/>
    <n v="1"/>
    <s v=""/>
    <x v="0"/>
    <x v="0"/>
    <s v="2BE14#Box1_Box2#InBB"/>
    <s v="2BE14#Box1_Box2#InBB"/>
    <n v="0"/>
    <n v="0"/>
    <n v="0"/>
  </r>
  <r>
    <n v="217"/>
    <x v="67"/>
    <s v="11-12/A-B"/>
    <x v="13"/>
    <s v="BEAM"/>
    <s v="No"/>
    <s v="11_12_A_B"/>
    <x v="3"/>
    <n v="1"/>
    <s v=""/>
    <x v="0"/>
    <x v="0"/>
    <s v="2BE14#Box1_Box2#InBB"/>
    <s v="2BE14#Box1_Box2#InBB"/>
    <n v="0"/>
    <n v="0"/>
    <n v="0"/>
  </r>
  <r>
    <n v="218"/>
    <x v="68"/>
    <s v="10-12/A'-A"/>
    <x v="9"/>
    <s v="BEAM"/>
    <s v="Yes"/>
    <s v="10_12_A'_A"/>
    <x v="2"/>
    <n v="1"/>
    <s v=""/>
    <x v="0"/>
    <x v="0"/>
    <s v="2BE15#Box1_Box2_Box4_Box5#InBB"/>
    <s v="2BE15#Box1_Box2_Box4_Box5#InBB"/>
    <n v="0"/>
    <n v="0"/>
    <n v="0"/>
  </r>
  <r>
    <n v="219"/>
    <x v="69"/>
    <s v="11-12/A"/>
    <x v="11"/>
    <s v="BEAM"/>
    <s v="Yes"/>
    <s v="11_12_A"/>
    <x v="3"/>
    <n v="1"/>
    <s v=""/>
    <x v="0"/>
    <x v="0"/>
    <s v="2BE16#Box1_Box2#InBB"/>
    <s v="2BE16#Box1_Box2#InBB"/>
    <n v="0"/>
    <n v="0"/>
    <n v="0"/>
  </r>
  <r>
    <n v="220"/>
    <x v="70"/>
    <s v="11-12/A"/>
    <x v="9"/>
    <s v="BEAM"/>
    <s v="Yes"/>
    <s v="11_12_A"/>
    <x v="3"/>
    <n v="1"/>
    <s v=""/>
    <x v="0"/>
    <x v="0"/>
    <s v="2BE17#Box1_Box2#InBB"/>
    <s v="2BE17#Box1_Box2#InBB"/>
    <n v="0"/>
    <n v="0"/>
    <n v="0"/>
  </r>
  <r>
    <n v="221"/>
    <x v="71"/>
    <s v="11-12/A-B"/>
    <x v="11"/>
    <s v="BEAM"/>
    <s v="Yes"/>
    <s v="11_12_A_B"/>
    <x v="3"/>
    <n v="1"/>
    <s v=""/>
    <x v="0"/>
    <x v="0"/>
    <s v="2BE18#Box1_Box2#InBB"/>
    <s v="2BE18#Box1_Box2#InBB"/>
    <n v="0"/>
    <n v="0"/>
    <n v="0"/>
  </r>
  <r>
    <n v="222"/>
    <x v="72"/>
    <s v="11-12/B"/>
    <x v="11"/>
    <s v="BEAM"/>
    <s v="Yes"/>
    <s v="11_12_B"/>
    <x v="3"/>
    <n v="1"/>
    <s v=""/>
    <x v="0"/>
    <x v="0"/>
    <s v="2BE19#Box1_Box2#InBB"/>
    <s v="2BE19#Box1_Box2#InBB"/>
    <n v="0"/>
    <n v="0"/>
    <n v="0"/>
  </r>
  <r>
    <n v="223"/>
    <x v="73"/>
    <s v="11-12/B"/>
    <x v="9"/>
    <s v="BEAM"/>
    <s v="Yes"/>
    <s v="11_12_B"/>
    <x v="3"/>
    <n v="1"/>
    <s v=""/>
    <x v="0"/>
    <x v="0"/>
    <s v="2BE20#Box1_Box2#InBB"/>
    <s v="2BE20#Box1_Box2#InBB"/>
    <n v="0"/>
    <n v="0"/>
    <n v="0"/>
  </r>
  <r>
    <n v="224"/>
    <x v="74"/>
    <s v="11-12/B&gt;"/>
    <x v="9"/>
    <s v="BEAM"/>
    <s v="Yes"/>
    <s v="11_12_B&gt;"/>
    <x v="3"/>
    <n v="1"/>
    <s v="O"/>
    <x v="2"/>
    <x v="2"/>
    <s v="2BE21#Box1_Box2#O"/>
    <s v="2BE21#Box1_Box2#O"/>
    <n v="0"/>
    <n v="0"/>
    <n v="0"/>
  </r>
  <r>
    <n v="226"/>
    <x v="75"/>
    <s v="11-12/A-B"/>
    <x v="9"/>
    <s v="BEAM"/>
    <s v="Yes"/>
    <s v="11_12_A_B"/>
    <x v="3"/>
    <n v="1"/>
    <s v=""/>
    <x v="0"/>
    <x v="0"/>
    <s v="2BE23#Box1_Box2#InBB"/>
    <s v="2BE23#Box1_Box2#InBB"/>
    <n v="0"/>
    <n v="0"/>
    <n v="0"/>
  </r>
  <r>
    <n v="273"/>
    <x v="76"/>
    <s v="11-12/A'-A"/>
    <x v="9"/>
    <s v="BEAM"/>
    <s v="No"/>
    <s v="11_12_A'_A"/>
    <x v="2"/>
    <n v="1"/>
    <s v=""/>
    <x v="0"/>
    <x v="0"/>
    <s v="2BE55#Box1_Box2_Box4_Box5#InBB"/>
    <s v="2BE55#Box1_Box2_Box4_Box5#InBB"/>
    <n v="0"/>
    <n v="0"/>
    <n v="0"/>
  </r>
  <r>
    <n v="274"/>
    <x v="76"/>
    <s v="11-12/A'-A"/>
    <x v="9"/>
    <s v="BEAM"/>
    <s v="No"/>
    <s v="11_12_A'_A"/>
    <x v="2"/>
    <n v="1"/>
    <s v=""/>
    <x v="0"/>
    <x v="0"/>
    <s v="2BE55#Box1_Box2_Box4_Box5#InBB"/>
    <s v="2BE55#Box1_Box2_Box4_Box5#InBB"/>
    <n v="0"/>
    <n v="0"/>
    <n v="0"/>
  </r>
  <r>
    <n v="275"/>
    <x v="76"/>
    <s v="11-12/A'-A"/>
    <x v="9"/>
    <s v="BEAM"/>
    <s v="No"/>
    <s v="11_12_A'_A"/>
    <x v="2"/>
    <n v="1"/>
    <s v=""/>
    <x v="0"/>
    <x v="0"/>
    <s v="2BE55#Box1_Box2_Box4_Box5#InBB"/>
    <s v="2BE55#Box1_Box2_Box4_Box5#InBB"/>
    <n v="0"/>
    <n v="0"/>
    <n v="0"/>
  </r>
  <r>
    <n v="276"/>
    <x v="76"/>
    <s v="11-12/A'-A"/>
    <x v="9"/>
    <s v="BEAM"/>
    <s v="No"/>
    <s v="11_12_A'_A"/>
    <x v="2"/>
    <n v="1"/>
    <s v=""/>
    <x v="0"/>
    <x v="0"/>
    <s v="2BE55#Box1_Box2_Box4_Box5#InBB"/>
    <s v="2BE55#Box1_Box2_Box4_Box5#InBB"/>
    <n v="0"/>
    <n v="0"/>
    <n v="0"/>
  </r>
  <r>
    <n v="277"/>
    <x v="76"/>
    <s v="11-12/A'-A"/>
    <x v="9"/>
    <s v="BEAM"/>
    <s v="No"/>
    <s v="11_12_A'_A"/>
    <x v="2"/>
    <n v="1"/>
    <s v=""/>
    <x v="0"/>
    <x v="0"/>
    <s v="2BE55#Box1_Box2_Box4_Box5#InBB"/>
    <s v="2BE55#Box1_Box2_Box4_Box5#InBB"/>
    <n v="0"/>
    <n v="0"/>
    <n v="0"/>
  </r>
  <r>
    <n v="281"/>
    <x v="77"/>
    <s v="14/A-B"/>
    <x v="11"/>
    <s v="BEAM"/>
    <s v="Yes"/>
    <s v="14_A_B"/>
    <x v="4"/>
    <n v="1"/>
    <s v=""/>
    <x v="0"/>
    <x v="0"/>
    <s v="2BE59#Box1_Box2_Box3#InBB"/>
    <s v="2BE59#Box1_Box2_Box3#InBB"/>
    <n v="0"/>
    <n v="0"/>
    <n v="0"/>
  </r>
  <r>
    <n v="282"/>
    <x v="78"/>
    <s v="14/B&gt;"/>
    <x v="14"/>
    <s v="BEAM"/>
    <s v="Yes"/>
    <s v="14_B&gt;"/>
    <x v="5"/>
    <n v="1"/>
    <s v="O"/>
    <x v="2"/>
    <x v="2"/>
    <s v="2BE60#Box1_Box2_Box3_Box6#O"/>
    <s v="2BE60#Box1_Box2_Box3_Box6#O"/>
    <n v="0"/>
    <n v="0"/>
    <n v="0"/>
  </r>
  <r>
    <n v="289"/>
    <x v="79"/>
    <s v="14/B&gt;"/>
    <x v="15"/>
    <s v="BEAM"/>
    <s v="Yes"/>
    <s v="14_B&gt;"/>
    <x v="5"/>
    <n v="1"/>
    <s v="O"/>
    <x v="2"/>
    <x v="2"/>
    <s v="2BE67#Box1_Box2_Box3_Box6#O"/>
    <s v="2BE67#Box1_Box2_Box3_Box6#O"/>
    <n v="0"/>
    <n v="0"/>
    <n v="0"/>
  </r>
  <r>
    <n v="290"/>
    <x v="80"/>
    <s v="10-11/A"/>
    <x v="11"/>
    <s v="BEAM"/>
    <s v="Yes"/>
    <s v="10_11_A"/>
    <x v="1"/>
    <n v="1"/>
    <s v=""/>
    <x v="3"/>
    <x v="3"/>
    <s v="2BE68#Box1#InB"/>
    <s v="2BE68#Box1#10_11_A"/>
    <n v="0"/>
    <n v="0"/>
    <n v="0"/>
  </r>
  <r>
    <n v="291"/>
    <x v="81"/>
    <s v="11-12/B&gt;"/>
    <x v="9"/>
    <s v="BEAM"/>
    <s v="Yes"/>
    <s v="11_12_B&gt;"/>
    <x v="3"/>
    <n v="1"/>
    <s v="O"/>
    <x v="2"/>
    <x v="2"/>
    <s v="2BE69#Box1_Box2#O"/>
    <s v="2BE69#Box1_Box2#O"/>
    <n v="0"/>
    <n v="0"/>
    <n v="0"/>
  </r>
  <r>
    <n v="294"/>
    <x v="82"/>
    <s v="10-11/A-B"/>
    <x v="16"/>
    <s v="HANGER"/>
    <s v="No"/>
    <s v="10_11_A_B"/>
    <x v="1"/>
    <n v="1"/>
    <s v=""/>
    <x v="3"/>
    <x v="1"/>
    <s v="2HA01#Box1#InB"/>
    <s v="2HA01#Box1#InB"/>
    <n v="0"/>
    <n v="0"/>
    <n v="0"/>
  </r>
  <r>
    <n v="295"/>
    <x v="82"/>
    <s v="10-11/A-B"/>
    <x v="16"/>
    <s v="HANGER"/>
    <s v="No"/>
    <s v="10_11_A_B"/>
    <x v="1"/>
    <n v="1"/>
    <s v=""/>
    <x v="3"/>
    <x v="1"/>
    <s v="2HA01#Box1#InB"/>
    <s v="2HA01#Box1#InB"/>
    <n v="0"/>
    <n v="0"/>
    <n v="0"/>
  </r>
  <r>
    <n v="296"/>
    <x v="83"/>
    <s v="10-11/A'-A"/>
    <x v="17"/>
    <s v="H-BRACE"/>
    <s v="Yes"/>
    <s v="10_11_A'_A"/>
    <x v="0"/>
    <n v="1"/>
    <s v=""/>
    <x v="0"/>
    <x v="0"/>
    <s v="2HB01#Box1_Box4#InBB"/>
    <s v="2HB01#Box1_Box4#InBB"/>
    <n v="0"/>
    <n v="0"/>
    <n v="0"/>
  </r>
  <r>
    <n v="297"/>
    <x v="84"/>
    <s v="10-11/A'-A"/>
    <x v="17"/>
    <s v="H-BRACE"/>
    <s v="Yes"/>
    <s v="10_11_A'_A"/>
    <x v="0"/>
    <n v="1"/>
    <s v=""/>
    <x v="0"/>
    <x v="0"/>
    <s v="2HB02#Box1_Box4#InBB"/>
    <s v="2HB02#Box1_Box4#InBB"/>
    <n v="0"/>
    <n v="0"/>
    <n v="0"/>
  </r>
  <r>
    <n v="300"/>
    <x v="85"/>
    <s v="11-12/A'-A"/>
    <x v="17"/>
    <s v="H-BRACE"/>
    <s v="No"/>
    <s v="11_12_A'_A"/>
    <x v="2"/>
    <n v="1"/>
    <s v=""/>
    <x v="0"/>
    <x v="0"/>
    <s v="2HB03#Box1_Box2_Box4_Box5#InBB"/>
    <s v="2HB03#Box1_Box2_Box4_Box5#InBB"/>
    <n v="0"/>
    <n v="0"/>
    <n v="0"/>
  </r>
  <r>
    <n v="301"/>
    <x v="85"/>
    <s v="11-12/A'-A"/>
    <x v="17"/>
    <s v="H-BRACE"/>
    <s v="No"/>
    <s v="11_12_A'_A"/>
    <x v="2"/>
    <n v="1"/>
    <s v=""/>
    <x v="0"/>
    <x v="0"/>
    <s v="2HB03#Box1_Box2_Box4_Box5#InBB"/>
    <s v="2HB03#Box1_Box2_Box4_Box5#InBB"/>
    <n v="0"/>
    <n v="0"/>
    <n v="0"/>
  </r>
  <r>
    <n v="302"/>
    <x v="86"/>
    <s v="11-12/B&gt;"/>
    <x v="17"/>
    <s v="H-BRACE"/>
    <s v="No"/>
    <s v="11_12_B&gt;"/>
    <x v="3"/>
    <n v="1"/>
    <s v="O"/>
    <x v="2"/>
    <x v="2"/>
    <s v="2HB04#Box1_Box2#O"/>
    <s v="2HB04#Box1_Box2#O"/>
    <n v="0"/>
    <n v="0"/>
    <n v="0"/>
  </r>
  <r>
    <n v="303"/>
    <x v="86"/>
    <s v="11-12/B&gt;"/>
    <x v="17"/>
    <s v="H-BRACE"/>
    <s v="No"/>
    <s v="11_12_B&gt;"/>
    <x v="3"/>
    <n v="1"/>
    <s v="O"/>
    <x v="2"/>
    <x v="2"/>
    <s v="2HB04#Box1_Box2#O"/>
    <s v="2HB04#Box1_Box2#O"/>
    <n v="0"/>
    <n v="0"/>
    <n v="0"/>
  </r>
  <r>
    <n v="304"/>
    <x v="87"/>
    <s v="11-12/A-B"/>
    <x v="13"/>
    <s v="H-BRACE"/>
    <s v="No"/>
    <s v="11_12_A_B"/>
    <x v="3"/>
    <n v="1"/>
    <s v=""/>
    <x v="0"/>
    <x v="0"/>
    <s v="2HB05#Box1_Box2#InBB"/>
    <s v="2HB05#Box1_Box2#InBB"/>
    <n v="0"/>
    <n v="0"/>
    <n v="0"/>
  </r>
  <r>
    <n v="305"/>
    <x v="87"/>
    <s v="11-12/A-B"/>
    <x v="13"/>
    <s v="H-BRACE"/>
    <s v="No"/>
    <s v="11_12_A_B"/>
    <x v="3"/>
    <n v="1"/>
    <s v=""/>
    <x v="0"/>
    <x v="0"/>
    <s v="2HB05#Box1_Box2#InBB"/>
    <s v="2HB05#Box1_Box2#InBB"/>
    <n v="0"/>
    <n v="0"/>
    <n v="0"/>
  </r>
  <r>
    <n v="306"/>
    <x v="87"/>
    <s v="11-12/A-B"/>
    <x v="13"/>
    <s v="H-BRACE"/>
    <s v="No"/>
    <s v="11_12_A_B"/>
    <x v="3"/>
    <n v="1"/>
    <s v=""/>
    <x v="0"/>
    <x v="0"/>
    <s v="2HB05#Box1_Box2#InBB"/>
    <s v="2HB05#Box1_Box2#InBB"/>
    <n v="0"/>
    <n v="0"/>
    <n v="0"/>
  </r>
  <r>
    <n v="307"/>
    <x v="87"/>
    <s v="11-12/A-B"/>
    <x v="13"/>
    <s v="H-BRACE"/>
    <s v="No"/>
    <s v="11_12_A_B"/>
    <x v="3"/>
    <n v="1"/>
    <s v=""/>
    <x v="0"/>
    <x v="0"/>
    <s v="2HB05#Box1_Box2#InBB"/>
    <s v="2HB05#Box1_Box2#InBB"/>
    <n v="0"/>
    <n v="0"/>
    <n v="0"/>
  </r>
  <r>
    <n v="344"/>
    <x v="88"/>
    <s v="10-11/A"/>
    <x v="9"/>
    <s v="STUB COLUMN"/>
    <s v="Yes"/>
    <s v="10_11_A"/>
    <x v="1"/>
    <n v="1"/>
    <s v=""/>
    <x v="3"/>
    <x v="3"/>
    <s v="2SC01#Box1#InB"/>
    <s v="2SC01#Box1#10_11_A"/>
    <n v="0"/>
    <n v="0"/>
    <n v="0"/>
  </r>
  <r>
    <n v="345"/>
    <x v="89"/>
    <s v="11/A'-A"/>
    <x v="18"/>
    <s v="STUB COLUMN"/>
    <s v="Yes"/>
    <s v="11_A'_A"/>
    <x v="0"/>
    <n v="1"/>
    <s v=""/>
    <x v="0"/>
    <x v="0"/>
    <s v="2SC02#Box1_Box4#InBB"/>
    <s v="2SC02#Box1_Box4#InBB"/>
    <n v="0"/>
    <n v="0"/>
    <n v="0"/>
  </r>
  <r>
    <n v="347"/>
    <x v="90"/>
    <s v="14/B&gt;"/>
    <x v="19"/>
    <s v="STUB COLUMN"/>
    <s v="Yes"/>
    <s v="14_B&gt;"/>
    <x v="5"/>
    <n v="1"/>
    <s v="O"/>
    <x v="2"/>
    <x v="2"/>
    <s v="2SC04#Box1_Box2_Box3_Box6#O"/>
    <s v="2SC04#Box1_Box2_Box3_Box6#O"/>
    <n v="0"/>
    <n v="0"/>
    <n v="0"/>
  </r>
  <r>
    <n v="349"/>
    <x v="91"/>
    <s v="10/A'-A"/>
    <x v="20"/>
    <s v="BEAM"/>
    <s v="Yes"/>
    <s v="10_A'_A"/>
    <x v="0"/>
    <n v="1"/>
    <s v=""/>
    <x v="0"/>
    <x v="0"/>
    <s v="3BE01#Box1_Box4#InBB"/>
    <s v="3BE01#Box1_Box4#InBB"/>
    <n v="0"/>
    <n v="0"/>
    <n v="0"/>
  </r>
  <r>
    <n v="350"/>
    <x v="92"/>
    <s v="10/A-B"/>
    <x v="21"/>
    <s v="BEAM"/>
    <s v="Yes"/>
    <s v="10_A_B"/>
    <x v="1"/>
    <n v="1"/>
    <s v=""/>
    <x v="1"/>
    <x v="1"/>
    <s v="3BE02#Box1#10_A_B"/>
    <s v="3BE02#Box1#InB"/>
    <n v="0"/>
    <n v="0"/>
    <n v="0"/>
  </r>
  <r>
    <n v="351"/>
    <x v="93"/>
    <s v="10/A-B"/>
    <x v="20"/>
    <s v="BEAM"/>
    <s v="Yes"/>
    <s v="10_A_B"/>
    <x v="1"/>
    <n v="1"/>
    <s v=""/>
    <x v="1"/>
    <x v="1"/>
    <s v="3BE03#Box1#10_A_B"/>
    <s v="3BE03#Box1#InB"/>
    <n v="0"/>
    <n v="0"/>
    <n v="0"/>
  </r>
  <r>
    <n v="352"/>
    <x v="94"/>
    <s v="10/B&gt;"/>
    <x v="22"/>
    <s v="BEAM"/>
    <s v="Yes"/>
    <s v="10_B&gt;"/>
    <x v="1"/>
    <n v="1"/>
    <s v="O"/>
    <x v="2"/>
    <x v="2"/>
    <s v="3BE04#Box1#O"/>
    <s v="3BE04#Box1#O"/>
    <n v="0"/>
    <n v="0"/>
    <n v="0"/>
  </r>
  <r>
    <n v="353"/>
    <x v="95"/>
    <s v="10/B&gt;"/>
    <x v="20"/>
    <s v="BEAM"/>
    <s v="Yes"/>
    <s v="10_B&gt;"/>
    <x v="1"/>
    <n v="1"/>
    <s v="O"/>
    <x v="2"/>
    <x v="2"/>
    <s v="3BE05#Box1#O"/>
    <s v="3BE05#Box1#O"/>
    <n v="0"/>
    <n v="0"/>
    <n v="0"/>
  </r>
  <r>
    <n v="354"/>
    <x v="96"/>
    <s v="10/B&gt;"/>
    <x v="21"/>
    <s v="BEAM"/>
    <s v="Yes"/>
    <s v="10_B&gt;"/>
    <x v="1"/>
    <n v="1"/>
    <s v="O"/>
    <x v="2"/>
    <x v="2"/>
    <s v="3BE06#Box1#O"/>
    <s v="3BE06#Box1#O"/>
    <n v="0"/>
    <n v="0"/>
    <n v="0"/>
  </r>
  <r>
    <n v="355"/>
    <x v="97"/>
    <s v="10-11/A'-A"/>
    <x v="20"/>
    <s v="BEAM"/>
    <s v="Yes"/>
    <s v="10_11_A'_A"/>
    <x v="0"/>
    <n v="1"/>
    <s v=""/>
    <x v="0"/>
    <x v="0"/>
    <s v="3BE07#Box1_Box4#InBB"/>
    <s v="3BE07#Box1_Box4#InBB"/>
    <n v="0"/>
    <n v="0"/>
    <n v="0"/>
  </r>
  <r>
    <n v="356"/>
    <x v="98"/>
    <s v="10-11/A'-A"/>
    <x v="20"/>
    <s v="BEAM"/>
    <s v="Yes"/>
    <s v="10_11_A'_A"/>
    <x v="0"/>
    <n v="1"/>
    <s v=""/>
    <x v="0"/>
    <x v="0"/>
    <s v="3BE08#Box1_Box4#InBB"/>
    <s v="3BE08#Box1_Box4#InBB"/>
    <n v="0"/>
    <n v="0"/>
    <n v="0"/>
  </r>
  <r>
    <n v="357"/>
    <x v="99"/>
    <s v="10-11/A-B"/>
    <x v="20"/>
    <s v="BEAM"/>
    <s v="No"/>
    <s v="10_11_A_B"/>
    <x v="1"/>
    <n v="1"/>
    <s v=""/>
    <x v="3"/>
    <x v="1"/>
    <s v="3BE09#Box1#InB"/>
    <s v="3BE09#Box1#InB"/>
    <n v="0"/>
    <n v="0"/>
    <n v="0"/>
  </r>
  <r>
    <n v="358"/>
    <x v="99"/>
    <s v="10-11/A-B"/>
    <x v="20"/>
    <s v="BEAM"/>
    <s v="No"/>
    <s v="10_11_A_B"/>
    <x v="1"/>
    <n v="1"/>
    <s v=""/>
    <x v="3"/>
    <x v="1"/>
    <s v="3BE09#Box1#InB"/>
    <s v="3BE09#Box1#InB"/>
    <n v="0"/>
    <n v="0"/>
    <n v="0"/>
  </r>
  <r>
    <n v="359"/>
    <x v="100"/>
    <s v="10-11/B&gt;"/>
    <x v="20"/>
    <s v="BEAM"/>
    <s v="No"/>
    <s v="10_11_B&gt;"/>
    <x v="1"/>
    <n v="1"/>
    <s v="O"/>
    <x v="2"/>
    <x v="2"/>
    <s v="3BE10#Box1#O"/>
    <s v="3BE10#Box1#O"/>
    <n v="0"/>
    <n v="0"/>
    <n v="0"/>
  </r>
  <r>
    <n v="360"/>
    <x v="100"/>
    <s v="10-11/B&gt;"/>
    <x v="20"/>
    <s v="BEAM"/>
    <s v="No"/>
    <s v="10_11_B&gt;"/>
    <x v="1"/>
    <n v="1"/>
    <s v="O"/>
    <x v="2"/>
    <x v="2"/>
    <s v="3BE10#Box1#O"/>
    <s v="3BE10#Box1#O"/>
    <n v="0"/>
    <n v="0"/>
    <n v="0"/>
  </r>
  <r>
    <n v="361"/>
    <x v="100"/>
    <s v="10-11/B&gt;"/>
    <x v="20"/>
    <s v="BEAM"/>
    <s v="No"/>
    <s v="10_11_B&gt;"/>
    <x v="1"/>
    <n v="1"/>
    <s v="O"/>
    <x v="2"/>
    <x v="2"/>
    <s v="3BE10#Box1#O"/>
    <s v="3BE10#Box1#O"/>
    <n v="0"/>
    <n v="0"/>
    <n v="0"/>
  </r>
  <r>
    <n v="362"/>
    <x v="100"/>
    <s v="10-11/B&gt;"/>
    <x v="20"/>
    <s v="BEAM"/>
    <s v="No"/>
    <s v="10_11_B&gt;"/>
    <x v="1"/>
    <n v="1"/>
    <s v="O"/>
    <x v="2"/>
    <x v="2"/>
    <s v="3BE10#Box1#O"/>
    <s v="3BE10#Box1#O"/>
    <n v="0"/>
    <n v="0"/>
    <n v="0"/>
  </r>
  <r>
    <n v="363"/>
    <x v="100"/>
    <s v="10-11/B&gt;"/>
    <x v="20"/>
    <s v="BEAM"/>
    <s v="No"/>
    <s v="10_11_B&gt;"/>
    <x v="1"/>
    <n v="1"/>
    <s v="O"/>
    <x v="2"/>
    <x v="2"/>
    <s v="3BE10#Box1#O"/>
    <s v="3BE10#Box1#O"/>
    <n v="0"/>
    <n v="0"/>
    <n v="0"/>
  </r>
  <r>
    <n v="365"/>
    <x v="101"/>
    <s v="10-11/A-B"/>
    <x v="20"/>
    <s v="BEAM"/>
    <s v="Yes"/>
    <s v="10_11_A_B"/>
    <x v="1"/>
    <n v="1"/>
    <s v=""/>
    <x v="3"/>
    <x v="1"/>
    <s v="3BE12#Box1#InB"/>
    <s v="3BE12#Box1#InB"/>
    <n v="0"/>
    <n v="0"/>
    <n v="0"/>
  </r>
  <r>
    <n v="366"/>
    <x v="102"/>
    <s v="10-11/A-B"/>
    <x v="20"/>
    <s v="BEAM"/>
    <s v="Yes"/>
    <s v="10_11_A_B"/>
    <x v="1"/>
    <n v="1"/>
    <s v=""/>
    <x v="3"/>
    <x v="1"/>
    <s v="3BE13#Box1#InB"/>
    <s v="3BE13#Box1#InB"/>
    <n v="0"/>
    <n v="0"/>
    <n v="0"/>
  </r>
  <r>
    <n v="367"/>
    <x v="103"/>
    <s v="10-11/A-B"/>
    <x v="20"/>
    <s v="BEAM"/>
    <s v="Yes"/>
    <s v="10_11_A_B"/>
    <x v="1"/>
    <n v="1"/>
    <s v=""/>
    <x v="3"/>
    <x v="1"/>
    <s v="3BE14#Box1#InB"/>
    <s v="3BE14#Box1#InB"/>
    <n v="0"/>
    <n v="0"/>
    <n v="0"/>
  </r>
  <r>
    <n v="368"/>
    <x v="104"/>
    <s v="10-11/A-B"/>
    <x v="20"/>
    <s v="BEAM"/>
    <s v="Yes"/>
    <s v="10_11_A_B"/>
    <x v="1"/>
    <n v="1"/>
    <s v=""/>
    <x v="3"/>
    <x v="1"/>
    <s v="3BE15#Box1#InB"/>
    <s v="3BE15#Box1#InB"/>
    <n v="0"/>
    <n v="0"/>
    <n v="0"/>
  </r>
  <r>
    <n v="369"/>
    <x v="105"/>
    <s v="10-11/A-B"/>
    <x v="20"/>
    <s v="BEAM"/>
    <s v="Yes"/>
    <s v="10_11_A_B"/>
    <x v="1"/>
    <n v="1"/>
    <s v=""/>
    <x v="3"/>
    <x v="1"/>
    <s v="3BE16#Box1#InB"/>
    <s v="3BE16#Box1#InB"/>
    <n v="0"/>
    <n v="0"/>
    <n v="0"/>
  </r>
  <r>
    <n v="370"/>
    <x v="106"/>
    <s v="10-11/A"/>
    <x v="20"/>
    <s v="BEAM"/>
    <s v="Yes"/>
    <s v="10_11_A"/>
    <x v="1"/>
    <n v="1"/>
    <s v=""/>
    <x v="3"/>
    <x v="3"/>
    <s v="3BE17#Box1#InB"/>
    <s v="3BE17#Box1#10_11_A"/>
    <n v="0"/>
    <n v="0"/>
    <n v="0"/>
  </r>
  <r>
    <n v="371"/>
    <x v="107"/>
    <s v="10-11/B"/>
    <x v="20"/>
    <s v="BEAM"/>
    <s v="Yes"/>
    <s v="10_11_B"/>
    <x v="1"/>
    <n v="1"/>
    <s v=""/>
    <x v="3"/>
    <x v="4"/>
    <s v="3BE18#Box1#InB"/>
    <s v="3BE18#Box1#10_11_B"/>
    <n v="0"/>
    <n v="0"/>
    <n v="0"/>
  </r>
  <r>
    <n v="372"/>
    <x v="108"/>
    <s v="10-11/A'-A"/>
    <x v="20"/>
    <s v="BEAM"/>
    <s v="Yes"/>
    <s v="10_11_A'_A"/>
    <x v="0"/>
    <n v="1"/>
    <s v=""/>
    <x v="0"/>
    <x v="0"/>
    <s v="3BE19#Box1_Box4#InBB"/>
    <s v="3BE19#Box1_Box4#InBB"/>
    <n v="0"/>
    <n v="0"/>
    <n v="0"/>
  </r>
  <r>
    <n v="373"/>
    <x v="109"/>
    <s v="10-11/A-B"/>
    <x v="20"/>
    <s v="BEAM"/>
    <s v="Yes"/>
    <s v="10_11_A_B"/>
    <x v="1"/>
    <n v="1"/>
    <s v=""/>
    <x v="3"/>
    <x v="1"/>
    <s v="3BE20#Box1#InB"/>
    <s v="3BE20#Box1#InB"/>
    <n v="0"/>
    <n v="0"/>
    <n v="0"/>
  </r>
  <r>
    <n v="374"/>
    <x v="110"/>
    <s v="10-11/B&gt;"/>
    <x v="20"/>
    <s v="BEAM"/>
    <s v="Yes"/>
    <s v="10_11_B&gt;"/>
    <x v="1"/>
    <n v="1"/>
    <s v="O"/>
    <x v="2"/>
    <x v="2"/>
    <s v="3BE21#Box1#O"/>
    <s v="3BE21#Box1#O"/>
    <n v="0"/>
    <n v="0"/>
    <n v="0"/>
  </r>
  <r>
    <n v="375"/>
    <x v="111"/>
    <s v="10-11/A-B"/>
    <x v="23"/>
    <s v="BEAM"/>
    <s v="Yes"/>
    <s v="10_11_A_B"/>
    <x v="1"/>
    <n v="1"/>
    <s v=""/>
    <x v="3"/>
    <x v="1"/>
    <s v="3BE22#Box1#InB"/>
    <s v="3BE22#Box1#InB"/>
    <n v="0"/>
    <n v="0"/>
    <n v="0"/>
  </r>
  <r>
    <n v="376"/>
    <x v="112"/>
    <s v="10-11/B&gt;"/>
    <x v="20"/>
    <s v="BEAM"/>
    <s v="Yes"/>
    <s v="10_11_B&gt;"/>
    <x v="1"/>
    <n v="1"/>
    <s v="O"/>
    <x v="2"/>
    <x v="2"/>
    <s v="3BE23#Box1#O"/>
    <s v="3BE23#Box1#O"/>
    <n v="0"/>
    <n v="0"/>
    <n v="0"/>
  </r>
  <r>
    <n v="377"/>
    <x v="113"/>
    <s v="10-11/B&gt;"/>
    <x v="20"/>
    <s v="BEAM"/>
    <s v="Yes"/>
    <s v="10_11_B&gt;"/>
    <x v="1"/>
    <n v="1"/>
    <s v="O"/>
    <x v="2"/>
    <x v="2"/>
    <s v="3BE24#Box1#O"/>
    <s v="3BE24#Box1#O"/>
    <n v="0"/>
    <n v="0"/>
    <n v="0"/>
  </r>
  <r>
    <n v="378"/>
    <x v="114"/>
    <s v="11/A'-A"/>
    <x v="20"/>
    <s v="BEAM"/>
    <s v="Yes"/>
    <s v="11_A'_A"/>
    <x v="0"/>
    <n v="1"/>
    <s v=""/>
    <x v="0"/>
    <x v="0"/>
    <s v="3BE25#Box1_Box4#InBB"/>
    <s v="3BE25#Box1_Box4#InBB"/>
    <n v="0"/>
    <n v="0"/>
    <n v="0"/>
  </r>
  <r>
    <n v="379"/>
    <x v="115"/>
    <s v="11/A-B"/>
    <x v="20"/>
    <s v="BEAM"/>
    <s v="Yes"/>
    <s v="11_A_B"/>
    <x v="1"/>
    <n v="1"/>
    <s v=""/>
    <x v="4"/>
    <x v="1"/>
    <s v="3BE26#Box1#11_A_B"/>
    <s v="3BE26#Box1#InB"/>
    <n v="0"/>
    <n v="0"/>
    <n v="0"/>
  </r>
  <r>
    <n v="380"/>
    <x v="116"/>
    <s v="11/B&gt;"/>
    <x v="20"/>
    <s v="BEAM"/>
    <s v="Yes"/>
    <s v="11_B&gt;"/>
    <x v="1"/>
    <n v="1"/>
    <s v="O"/>
    <x v="2"/>
    <x v="2"/>
    <s v="3BE27#Box1#O"/>
    <s v="3BE27#Box1#O"/>
    <n v="0"/>
    <n v="0"/>
    <n v="0"/>
  </r>
  <r>
    <n v="381"/>
    <x v="117"/>
    <s v="11-12/B&gt;"/>
    <x v="20"/>
    <s v="BEAM"/>
    <s v="Yes"/>
    <s v="11_12_B&gt;"/>
    <x v="3"/>
    <n v="1"/>
    <s v="O"/>
    <x v="2"/>
    <x v="2"/>
    <s v="3BE28#Box1_Box2#O"/>
    <s v="3BE28#Box1_Box2#O"/>
    <n v="0"/>
    <n v="0"/>
    <n v="0"/>
  </r>
  <r>
    <n v="382"/>
    <x v="118"/>
    <s v="11-12/A'-A"/>
    <x v="20"/>
    <s v="BEAM"/>
    <s v="Yes"/>
    <s v="11_12_A'_A"/>
    <x v="2"/>
    <n v="1"/>
    <s v=""/>
    <x v="0"/>
    <x v="0"/>
    <s v="3BE29#Box1_Box2_Box4_Box5#InBB"/>
    <s v="3BE29#Box1_Box2_Box4_Box5#InBB"/>
    <n v="0"/>
    <n v="0"/>
    <n v="0"/>
  </r>
  <r>
    <n v="383"/>
    <x v="119"/>
    <s v="11-12/A-B"/>
    <x v="23"/>
    <s v="BEAM"/>
    <s v="No"/>
    <s v="11_12_A_B"/>
    <x v="3"/>
    <n v="1"/>
    <s v=""/>
    <x v="0"/>
    <x v="0"/>
    <s v="3BE30#Box1_Box2#InBB"/>
    <s v="3BE30#Box1_Box2#InBB"/>
    <n v="0"/>
    <n v="0"/>
    <n v="0"/>
  </r>
  <r>
    <n v="384"/>
    <x v="119"/>
    <s v="11-12/A-B"/>
    <x v="23"/>
    <s v="BEAM"/>
    <s v="No"/>
    <s v="11_12_A_B"/>
    <x v="3"/>
    <n v="1"/>
    <s v=""/>
    <x v="0"/>
    <x v="0"/>
    <s v="3BE30#Box1_Box2#InBB"/>
    <s v="3BE30#Box1_Box2#InBB"/>
    <n v="0"/>
    <n v="0"/>
    <n v="0"/>
  </r>
  <r>
    <n v="385"/>
    <x v="120"/>
    <s v="11-12/A'-A"/>
    <x v="20"/>
    <s v="BEAM"/>
    <s v="No"/>
    <s v="11_12_A'_A"/>
    <x v="2"/>
    <n v="1"/>
    <s v=""/>
    <x v="0"/>
    <x v="0"/>
    <s v="3BE31#Box1_Box2_Box4_Box5#InBB"/>
    <s v="3BE31#Box1_Box2_Box4_Box5#InBB"/>
    <n v="0"/>
    <n v="0"/>
    <n v="0"/>
  </r>
  <r>
    <n v="386"/>
    <x v="120"/>
    <s v="11-12/A'-A"/>
    <x v="20"/>
    <s v="BEAM"/>
    <s v="No"/>
    <s v="11_12_A'_A"/>
    <x v="2"/>
    <n v="1"/>
    <s v=""/>
    <x v="0"/>
    <x v="0"/>
    <s v="3BE31#Box1_Box2_Box4_Box5#InBB"/>
    <s v="3BE31#Box1_Box2_Box4_Box5#InBB"/>
    <n v="0"/>
    <n v="0"/>
    <n v="0"/>
  </r>
  <r>
    <n v="387"/>
    <x v="121"/>
    <s v="11-12/B&gt;"/>
    <x v="20"/>
    <s v="BEAM"/>
    <s v="Yes"/>
    <s v="11_12_B&gt;"/>
    <x v="3"/>
    <n v="1"/>
    <s v="O"/>
    <x v="2"/>
    <x v="2"/>
    <s v="3BE32#Box1_Box2#O"/>
    <s v="3BE32#Box1_Box2#O"/>
    <n v="0"/>
    <n v="0"/>
    <n v="0"/>
  </r>
  <r>
    <n v="388"/>
    <x v="122"/>
    <s v="11-12/A'-A"/>
    <x v="20"/>
    <s v="BEAM"/>
    <s v="Yes"/>
    <s v="11_12_A'_A"/>
    <x v="2"/>
    <n v="1"/>
    <s v=""/>
    <x v="0"/>
    <x v="0"/>
    <s v="3BE33#Box1_Box2_Box4_Box5#InBB"/>
    <s v="3BE33#Box1_Box2_Box4_Box5#InBB"/>
    <n v="0"/>
    <n v="0"/>
    <n v="0"/>
  </r>
  <r>
    <n v="389"/>
    <x v="123"/>
    <s v="11-12/A'-A"/>
    <x v="20"/>
    <s v="BEAM"/>
    <s v="Yes"/>
    <s v="11_12_A'_A"/>
    <x v="2"/>
    <n v="1"/>
    <s v=""/>
    <x v="0"/>
    <x v="0"/>
    <s v="3BE34#Box1_Box2_Box4_Box5#InBB"/>
    <s v="3BE34#Box1_Box2_Box4_Box5#InBB"/>
    <n v="0"/>
    <n v="0"/>
    <n v="0"/>
  </r>
  <r>
    <n v="390"/>
    <x v="124"/>
    <s v="11-12/A"/>
    <x v="20"/>
    <s v="BEAM"/>
    <s v="Yes"/>
    <s v="11_12_A"/>
    <x v="3"/>
    <n v="1"/>
    <s v=""/>
    <x v="0"/>
    <x v="0"/>
    <s v="3BE35#Box1_Box2#InBB"/>
    <s v="3BE35#Box1_Box2#InBB"/>
    <n v="0"/>
    <n v="0"/>
    <n v="0"/>
  </r>
  <r>
    <n v="391"/>
    <x v="125"/>
    <s v="11-12/A-B"/>
    <x v="20"/>
    <s v="BEAM"/>
    <s v="Yes"/>
    <s v="11_12_A_B"/>
    <x v="3"/>
    <n v="1"/>
    <s v=""/>
    <x v="0"/>
    <x v="0"/>
    <s v="3BE36#Box1_Box2#InBB"/>
    <s v="3BE36#Box1_Box2#InBB"/>
    <n v="0"/>
    <n v="0"/>
    <n v="0"/>
  </r>
  <r>
    <n v="392"/>
    <x v="126"/>
    <s v="11-12/B"/>
    <x v="20"/>
    <s v="BEAM"/>
    <s v="Yes"/>
    <s v="11_12_B"/>
    <x v="3"/>
    <n v="1"/>
    <s v=""/>
    <x v="0"/>
    <x v="0"/>
    <s v="3BE37#Box1_Box2#InBB"/>
    <s v="3BE37#Box1_Box2#InBB"/>
    <n v="0"/>
    <n v="0"/>
    <n v="0"/>
  </r>
  <r>
    <n v="393"/>
    <x v="127"/>
    <s v="11-12/B&gt;"/>
    <x v="20"/>
    <s v="BEAM"/>
    <s v="No"/>
    <s v="11_12_B&gt;"/>
    <x v="3"/>
    <n v="1"/>
    <s v="O"/>
    <x v="2"/>
    <x v="2"/>
    <s v="3BE38#Box1_Box2#O"/>
    <s v="3BE38#Box1_Box2#O"/>
    <n v="0"/>
    <n v="0"/>
    <n v="0"/>
  </r>
  <r>
    <n v="395"/>
    <x v="127"/>
    <s v="11-12/B&gt;"/>
    <x v="20"/>
    <s v="BEAM"/>
    <s v="No"/>
    <s v="11_12_B&gt;"/>
    <x v="3"/>
    <n v="1"/>
    <s v="O"/>
    <x v="2"/>
    <x v="2"/>
    <s v="3BE38#Box1_Box2#O"/>
    <s v="3BE38#Box1_Box2#O"/>
    <n v="0"/>
    <n v="0"/>
    <n v="0"/>
  </r>
  <r>
    <n v="397"/>
    <x v="128"/>
    <s v="11-12/B&gt;"/>
    <x v="20"/>
    <s v="BEAM"/>
    <s v="Yes"/>
    <s v="11_12_B&gt;"/>
    <x v="3"/>
    <n v="1"/>
    <s v="O"/>
    <x v="2"/>
    <x v="2"/>
    <s v="3BE39#Box1_Box2#O"/>
    <s v="3BE39#Box1_Box2#O"/>
    <n v="0"/>
    <n v="0"/>
    <n v="0"/>
  </r>
  <r>
    <n v="398"/>
    <x v="129"/>
    <s v="11-12/A'-A"/>
    <x v="20"/>
    <s v="BEAM"/>
    <s v="Yes"/>
    <s v="11_12_A'_A"/>
    <x v="2"/>
    <n v="1"/>
    <s v=""/>
    <x v="0"/>
    <x v="0"/>
    <s v="3BE40#Box1_Box2_Box4_Box5#InBB"/>
    <s v="3BE40#Box1_Box2_Box4_Box5#InBB"/>
    <n v="0"/>
    <n v="0"/>
    <n v="0"/>
  </r>
  <r>
    <n v="418"/>
    <x v="130"/>
    <s v="14/B&gt;"/>
    <x v="20"/>
    <s v="BEAM"/>
    <s v="Yes"/>
    <s v="14_B&gt;"/>
    <x v="5"/>
    <n v="1"/>
    <s v="O"/>
    <x v="2"/>
    <x v="2"/>
    <s v="3BE60#Box1_Box2_Box3_Box6#O"/>
    <s v="3BE60#Box1_Box2_Box3_Box6#O"/>
    <n v="0"/>
    <n v="0"/>
    <n v="0"/>
  </r>
  <r>
    <n v="428"/>
    <x v="131"/>
    <s v="10-11/A'-A"/>
    <x v="24"/>
    <s v="H-BRACE"/>
    <s v="Yes"/>
    <s v="10_11_A'_A"/>
    <x v="0"/>
    <n v="1"/>
    <s v=""/>
    <x v="0"/>
    <x v="0"/>
    <s v="3HB01#Box1_Box4#InBB"/>
    <s v="3HB01#Box1_Box4#InBB"/>
    <n v="0"/>
    <n v="0"/>
    <n v="0"/>
  </r>
  <r>
    <n v="429"/>
    <x v="132"/>
    <s v="10-11/A-B"/>
    <x v="24"/>
    <s v="H-BRACE"/>
    <s v="No"/>
    <s v="10_11_A_B"/>
    <x v="1"/>
    <n v="1"/>
    <s v=""/>
    <x v="3"/>
    <x v="1"/>
    <s v="3HB02#Box1#InB"/>
    <s v="3HB02#Box1#InB"/>
    <n v="0"/>
    <n v="0"/>
    <n v="0"/>
  </r>
  <r>
    <n v="430"/>
    <x v="132"/>
    <s v="10-11/A-B"/>
    <x v="24"/>
    <s v="H-BRACE"/>
    <s v="No"/>
    <s v="10_11_A_B"/>
    <x v="1"/>
    <n v="1"/>
    <s v=""/>
    <x v="3"/>
    <x v="1"/>
    <s v="3HB02#Box1#InB"/>
    <s v="3HB02#Box1#InB"/>
    <n v="0"/>
    <n v="0"/>
    <n v="0"/>
  </r>
  <r>
    <n v="431"/>
    <x v="132"/>
    <s v="10-11/A-B"/>
    <x v="24"/>
    <s v="H-BRACE"/>
    <s v="No"/>
    <s v="10_11_A_B"/>
    <x v="1"/>
    <n v="1"/>
    <s v=""/>
    <x v="3"/>
    <x v="1"/>
    <s v="3HB02#Box1#InB"/>
    <s v="3HB02#Box1#InB"/>
    <n v="0"/>
    <n v="0"/>
    <n v="0"/>
  </r>
  <r>
    <n v="432"/>
    <x v="132"/>
    <s v="10-11/A-B"/>
    <x v="24"/>
    <s v="H-BRACE"/>
    <s v="No"/>
    <s v="10_11_A_B"/>
    <x v="1"/>
    <n v="1"/>
    <s v=""/>
    <x v="3"/>
    <x v="1"/>
    <s v="3HB02#Box1#InB"/>
    <s v="3HB02#Box1#InB"/>
    <n v="0"/>
    <n v="0"/>
    <n v="0"/>
  </r>
  <r>
    <n v="433"/>
    <x v="133"/>
    <s v="10-11/B&gt;"/>
    <x v="24"/>
    <s v="H-BRACE"/>
    <s v="No"/>
    <s v="10_11_B&gt;"/>
    <x v="1"/>
    <n v="1"/>
    <s v="O"/>
    <x v="2"/>
    <x v="2"/>
    <s v="3HB03#Box1#O"/>
    <s v="3HB03#Box1#O"/>
    <n v="0"/>
    <n v="0"/>
    <n v="0"/>
  </r>
  <r>
    <n v="434"/>
    <x v="133"/>
    <s v="10-11/B&gt;"/>
    <x v="24"/>
    <s v="H-BRACE"/>
    <s v="No"/>
    <s v="10_11_B&gt;"/>
    <x v="1"/>
    <n v="1"/>
    <s v="O"/>
    <x v="2"/>
    <x v="2"/>
    <s v="3HB03#Box1#O"/>
    <s v="3HB03#Box1#O"/>
    <n v="0"/>
    <n v="0"/>
    <n v="0"/>
  </r>
  <r>
    <n v="435"/>
    <x v="134"/>
    <s v="10-11/A-B"/>
    <x v="24"/>
    <s v="H-BRACE"/>
    <s v="No"/>
    <s v="10_11_A_B"/>
    <x v="1"/>
    <n v="1"/>
    <s v=""/>
    <x v="3"/>
    <x v="1"/>
    <s v="3HB04#Box1#InB"/>
    <s v="3HB04#Box1#InB"/>
    <n v="0"/>
    <n v="0"/>
    <n v="0"/>
  </r>
  <r>
    <n v="436"/>
    <x v="134"/>
    <s v="10-11/A-B"/>
    <x v="24"/>
    <s v="H-BRACE"/>
    <s v="No"/>
    <s v="10_11_A_B"/>
    <x v="1"/>
    <n v="1"/>
    <s v=""/>
    <x v="3"/>
    <x v="1"/>
    <s v="3HB04#Box1#InB"/>
    <s v="3HB04#Box1#InB"/>
    <n v="0"/>
    <n v="0"/>
    <n v="0"/>
  </r>
  <r>
    <n v="437"/>
    <x v="134"/>
    <s v="10-11/A-B"/>
    <x v="24"/>
    <s v="H-BRACE"/>
    <s v="No"/>
    <s v="10_11_A_B"/>
    <x v="1"/>
    <n v="1"/>
    <s v=""/>
    <x v="3"/>
    <x v="1"/>
    <s v="3HB04#Box1#InB"/>
    <s v="3HB04#Box1#InB"/>
    <n v="0"/>
    <n v="0"/>
    <n v="0"/>
  </r>
  <r>
    <n v="438"/>
    <x v="134"/>
    <s v="10-11/A-B"/>
    <x v="24"/>
    <s v="H-BRACE"/>
    <s v="No"/>
    <s v="10_11_A_B"/>
    <x v="1"/>
    <n v="1"/>
    <s v=""/>
    <x v="3"/>
    <x v="1"/>
    <s v="3HB04#Box1#InB"/>
    <s v="3HB04#Box1#InB"/>
    <n v="0"/>
    <n v="0"/>
    <n v="0"/>
  </r>
  <r>
    <n v="439"/>
    <x v="135"/>
    <s v="10-11/B&gt;"/>
    <x v="24"/>
    <s v="H-BRACE"/>
    <s v="No"/>
    <s v="10_11_B&gt;"/>
    <x v="1"/>
    <n v="1"/>
    <s v="O"/>
    <x v="2"/>
    <x v="2"/>
    <s v="3HB05#Box1#O"/>
    <s v="3HB05#Box1#O"/>
    <n v="0"/>
    <n v="0"/>
    <n v="0"/>
  </r>
  <r>
    <n v="440"/>
    <x v="135"/>
    <s v="10-11/B&gt;"/>
    <x v="24"/>
    <s v="H-BRACE"/>
    <s v="No"/>
    <s v="10_11_B&gt;"/>
    <x v="1"/>
    <n v="1"/>
    <s v="O"/>
    <x v="2"/>
    <x v="2"/>
    <s v="3HB05#Box1#O"/>
    <s v="3HB05#Box1#O"/>
    <n v="0"/>
    <n v="0"/>
    <n v="0"/>
  </r>
  <r>
    <n v="441"/>
    <x v="136"/>
    <s v="10-11/A-B"/>
    <x v="23"/>
    <s v="H-BRACE"/>
    <s v="Yes"/>
    <s v="10_11_A_B"/>
    <x v="1"/>
    <n v="1"/>
    <s v=""/>
    <x v="3"/>
    <x v="1"/>
    <s v="3HB06#Box1#InB"/>
    <s v="3HB06#Box1#InB"/>
    <n v="0"/>
    <n v="0"/>
    <n v="0"/>
  </r>
  <r>
    <n v="442"/>
    <x v="137"/>
    <s v="10-11/B&gt;"/>
    <x v="24"/>
    <s v="H-BRACE"/>
    <s v="Yes"/>
    <s v="10_11_B&gt;"/>
    <x v="1"/>
    <n v="1"/>
    <s v="O"/>
    <x v="2"/>
    <x v="2"/>
    <s v="3HB07#Box1#O"/>
    <s v="3HB07#Box1#O"/>
    <n v="0"/>
    <n v="0"/>
    <n v="0"/>
  </r>
  <r>
    <n v="443"/>
    <x v="138"/>
    <s v="11-12/A'-A"/>
    <x v="24"/>
    <s v="H-BRACE"/>
    <s v="Yes"/>
    <s v="11_12_A'_A"/>
    <x v="2"/>
    <n v="1"/>
    <s v=""/>
    <x v="0"/>
    <x v="0"/>
    <s v="3HB08#Box1_Box2_Box4_Box5#InBB"/>
    <s v="3HB08#Box1_Box2_Box4_Box5#InBB"/>
    <n v="0"/>
    <n v="0"/>
    <n v="0"/>
  </r>
  <r>
    <n v="444"/>
    <x v="139"/>
    <s v="11-12/B&gt;"/>
    <x v="24"/>
    <s v="H-BRACE"/>
    <s v="Yes"/>
    <s v="11_12_B&gt;"/>
    <x v="3"/>
    <n v="1"/>
    <s v="O"/>
    <x v="2"/>
    <x v="2"/>
    <s v="3HB09#Box1_Box2#O"/>
    <s v="3HB09#Box1_Box2#O"/>
    <n v="0"/>
    <n v="0"/>
    <n v="0"/>
  </r>
  <r>
    <n v="445"/>
    <x v="140"/>
    <s v="11-12/A'-A"/>
    <x v="24"/>
    <s v="H-BRACE"/>
    <s v="Yes"/>
    <s v="11_12_A'_A"/>
    <x v="2"/>
    <n v="1"/>
    <s v=""/>
    <x v="0"/>
    <x v="0"/>
    <s v="3HB10#Box1_Box2_Box4_Box5#InBB"/>
    <s v="3HB10#Box1_Box2_Box4_Box5#InBB"/>
    <n v="0"/>
    <n v="0"/>
    <n v="0"/>
  </r>
  <r>
    <n v="446"/>
    <x v="141"/>
    <s v="11-12/A-B"/>
    <x v="23"/>
    <s v="H-BRACE"/>
    <s v="No"/>
    <s v="11_12_A_B"/>
    <x v="3"/>
    <n v="1"/>
    <s v=""/>
    <x v="0"/>
    <x v="0"/>
    <s v="3HB11#Box1_Box2#InBB"/>
    <s v="3HB11#Box1_Box2#InBB"/>
    <n v="0"/>
    <n v="0"/>
    <n v="0"/>
  </r>
  <r>
    <n v="447"/>
    <x v="141"/>
    <s v="11-12/A-B"/>
    <x v="23"/>
    <s v="H-BRACE"/>
    <s v="No"/>
    <s v="11_12_A_B"/>
    <x v="3"/>
    <n v="1"/>
    <s v=""/>
    <x v="0"/>
    <x v="0"/>
    <s v="3HB11#Box1_Box2#InBB"/>
    <s v="3HB11#Box1_Box2#InBB"/>
    <n v="0"/>
    <n v="0"/>
    <n v="0"/>
  </r>
  <r>
    <n v="448"/>
    <x v="141"/>
    <s v="11-12/A-B"/>
    <x v="23"/>
    <s v="H-BRACE"/>
    <s v="No"/>
    <s v="11_12_A_B"/>
    <x v="3"/>
    <n v="1"/>
    <s v=""/>
    <x v="0"/>
    <x v="0"/>
    <s v="3HB11#Box1_Box2#InBB"/>
    <s v="3HB11#Box1_Box2#InBB"/>
    <n v="0"/>
    <n v="0"/>
    <n v="0"/>
  </r>
  <r>
    <n v="449"/>
    <x v="141"/>
    <s v="11-12/A-B"/>
    <x v="23"/>
    <s v="H-BRACE"/>
    <s v="No"/>
    <s v="11_12_A_B"/>
    <x v="3"/>
    <n v="1"/>
    <s v=""/>
    <x v="0"/>
    <x v="0"/>
    <s v="3HB11#Box1_Box2#InBB"/>
    <s v="3HB11#Box1_Box2#InBB"/>
    <n v="0"/>
    <n v="0"/>
    <n v="0"/>
  </r>
  <r>
    <n v="451"/>
    <x v="142"/>
    <s v="11-12/B&gt;"/>
    <x v="24"/>
    <s v="H-BRACE"/>
    <s v="Yes"/>
    <s v="11_12_B&gt;"/>
    <x v="3"/>
    <n v="1"/>
    <s v="O"/>
    <x v="2"/>
    <x v="2"/>
    <s v="3HB12#Box1_Box2#O"/>
    <s v="3HB12#Box1_Box2#O"/>
    <n v="0"/>
    <n v="0"/>
    <n v="0"/>
  </r>
  <r>
    <n v="452"/>
    <x v="143"/>
    <s v="11-12/B&gt;"/>
    <x v="24"/>
    <s v="H-BRACE"/>
    <s v="Yes"/>
    <s v="11_12_B&gt;"/>
    <x v="3"/>
    <n v="1"/>
    <s v="O"/>
    <x v="2"/>
    <x v="2"/>
    <s v="3HB13#Box1_Box2#O"/>
    <s v="3HB13#Box1_Box2#O"/>
    <n v="0"/>
    <n v="0"/>
    <n v="0"/>
  </r>
  <r>
    <n v="453"/>
    <x v="144"/>
    <s v="11-12/A'-A"/>
    <x v="24"/>
    <s v="H-BRACE"/>
    <s v="Yes"/>
    <s v="11_12_A'_A"/>
    <x v="2"/>
    <n v="1"/>
    <s v=""/>
    <x v="0"/>
    <x v="0"/>
    <s v="3HB14#Box1_Box2_Box4_Box5#InBB"/>
    <s v="3HB14#Box1_Box2_Box4_Box5#InBB"/>
    <n v="0"/>
    <n v="0"/>
    <n v="0"/>
  </r>
  <r>
    <n v="454"/>
    <x v="145"/>
    <s v="11-12/A'-A"/>
    <x v="24"/>
    <s v="H-BRACE"/>
    <s v="Yes"/>
    <s v="11_12_A'_A"/>
    <x v="2"/>
    <n v="1"/>
    <s v=""/>
    <x v="0"/>
    <x v="0"/>
    <s v="3HB15#Box1_Box2_Box4_Box5#InBB"/>
    <s v="3HB15#Box1_Box2_Box4_Box5#InBB"/>
    <n v="0"/>
    <n v="0"/>
    <n v="0"/>
  </r>
  <r>
    <n v="455"/>
    <x v="146"/>
    <s v="11-12/A'-A"/>
    <x v="24"/>
    <s v="H-BRACE"/>
    <s v="Yes"/>
    <s v="11_12_A'_A"/>
    <x v="2"/>
    <n v="1"/>
    <s v=""/>
    <x v="0"/>
    <x v="0"/>
    <s v="3HB16#Box1_Box2_Box4_Box5#InBB"/>
    <s v="3HB16#Box1_Box2_Box4_Box5#InBB"/>
    <n v="0"/>
    <n v="0"/>
    <n v="0"/>
  </r>
  <r>
    <n v="456"/>
    <x v="147"/>
    <s v="11-12/A'-A"/>
    <x v="24"/>
    <s v="H-BRACE"/>
    <s v="Yes"/>
    <s v="11_12_A'_A"/>
    <x v="2"/>
    <n v="1"/>
    <s v=""/>
    <x v="0"/>
    <x v="0"/>
    <s v="3HB17#Box1_Box2_Box4_Box5#InBB"/>
    <s v="3HB17#Box1_Box2_Box4_Box5#InBB"/>
    <n v="0"/>
    <n v="0"/>
    <n v="0"/>
  </r>
  <r>
    <n v="463"/>
    <x v="148"/>
    <s v="10/A'-A"/>
    <x v="25"/>
    <s v="STUB COLUMN"/>
    <s v="Yes"/>
    <s v="10_A'_A"/>
    <x v="0"/>
    <n v="1"/>
    <s v=""/>
    <x v="0"/>
    <x v="0"/>
    <s v="3SC01#Box1_Box4#InBB"/>
    <s v="3SC01#Box1_Box4#InBB"/>
    <n v="0"/>
    <n v="0"/>
    <n v="0"/>
  </r>
  <r>
    <n v="464"/>
    <x v="149"/>
    <s v="10/A'-A"/>
    <x v="26"/>
    <s v="STUB COLUMN"/>
    <s v="Yes"/>
    <s v="10_A'_A"/>
    <x v="0"/>
    <n v="1"/>
    <s v=""/>
    <x v="0"/>
    <x v="0"/>
    <s v="3SC02#Box1_Box4#InBB"/>
    <s v="3SC02#Box1_Box4#InBB"/>
    <n v="0"/>
    <n v="0"/>
    <n v="0"/>
  </r>
  <r>
    <n v="465"/>
    <x v="150"/>
    <s v="10/B&gt;"/>
    <x v="25"/>
    <s v="STUB COLUMN"/>
    <s v="Yes"/>
    <s v="10_B&gt;"/>
    <x v="1"/>
    <n v="1"/>
    <s v="O"/>
    <x v="2"/>
    <x v="2"/>
    <s v="3SC03#Box1#O"/>
    <s v="3SC03#Box1#O"/>
    <n v="0"/>
    <n v="0"/>
    <n v="0"/>
  </r>
  <r>
    <n v="466"/>
    <x v="151"/>
    <s v="11/A'-A"/>
    <x v="27"/>
    <s v="STUB COLUMN"/>
    <s v="Yes"/>
    <s v="11_A'_A"/>
    <x v="0"/>
    <n v="1"/>
    <s v=""/>
    <x v="0"/>
    <x v="0"/>
    <s v="3SC04#Box1_Box4#InBB"/>
    <s v="3SC04#Box1_Box4#InBB"/>
    <n v="0"/>
    <n v="0"/>
    <n v="0"/>
  </r>
  <r>
    <n v="467"/>
    <x v="152"/>
    <s v="11/A-B"/>
    <x v="28"/>
    <s v="STUB COLUMN"/>
    <s v="Yes"/>
    <s v="11_A_B"/>
    <x v="1"/>
    <n v="1"/>
    <s v=""/>
    <x v="4"/>
    <x v="1"/>
    <s v="3SC05#Box1#11_A_B"/>
    <s v="3SC05#Box1#InB"/>
    <n v="0"/>
    <n v="0"/>
    <n v="0"/>
  </r>
  <r>
    <n v="468"/>
    <x v="153"/>
    <s v="11-12/B"/>
    <x v="29"/>
    <s v="STUB COLUMN"/>
    <s v="Yes"/>
    <s v="11_12_B"/>
    <x v="3"/>
    <n v="1"/>
    <s v=""/>
    <x v="0"/>
    <x v="0"/>
    <s v="3SC06#Box1_Box2#InBB"/>
    <s v="3SC06#Box1_Box2#InBB"/>
    <n v="0"/>
    <n v="0"/>
    <n v="0"/>
  </r>
  <r>
    <n v="477"/>
    <x v="154"/>
    <s v="14/B&gt;"/>
    <x v="30"/>
    <s v="STUB COLUMN"/>
    <s v="Yes"/>
    <s v="14_B&gt;"/>
    <x v="5"/>
    <n v="1"/>
    <s v="O"/>
    <x v="2"/>
    <x v="2"/>
    <s v="3SC15#Box1_Box2_Box3_Box6#O"/>
    <s v="3SC15#Box1_Box2_Box3_Box6#O"/>
    <n v="0"/>
    <n v="0"/>
    <n v="0"/>
  </r>
  <r>
    <n v="482"/>
    <x v="155"/>
    <s v="11/A-B"/>
    <x v="31"/>
    <s v="BEAM"/>
    <s v="Yes"/>
    <s v="11_A_B"/>
    <x v="1"/>
    <n v="1"/>
    <s v=""/>
    <x v="4"/>
    <x v="1"/>
    <s v="4BE02#Box1#11_A_B"/>
    <s v="4BE02#Box1#InB"/>
    <n v="0"/>
    <n v="0"/>
    <n v="0"/>
  </r>
  <r>
    <n v="483"/>
    <x v="156"/>
    <s v="11-12/A-B"/>
    <x v="31"/>
    <s v="BEAM"/>
    <s v="Yes"/>
    <s v="11_12_A_B"/>
    <x v="3"/>
    <n v="1"/>
    <s v=""/>
    <x v="0"/>
    <x v="0"/>
    <s v="4BE03#Box1_Box2#InBB"/>
    <s v="4BE03#Box1_Box2#InBB"/>
    <n v="0"/>
    <n v="0"/>
    <n v="0"/>
  </r>
  <r>
    <n v="484"/>
    <x v="157"/>
    <s v="11-12/A-B"/>
    <x v="31"/>
    <s v="BEAM"/>
    <s v="Yes"/>
    <s v="11_12_A_B"/>
    <x v="3"/>
    <n v="1"/>
    <s v=""/>
    <x v="0"/>
    <x v="0"/>
    <s v="4BE04#Box1_Box2#InBB"/>
    <s v="4BE04#Box1_Box2#InBB"/>
    <n v="0"/>
    <n v="0"/>
    <n v="0"/>
  </r>
  <r>
    <n v="485"/>
    <x v="158"/>
    <s v="11-12/A-B"/>
    <x v="31"/>
    <s v="BEAM"/>
    <s v="Yes"/>
    <s v="11_12_A_B"/>
    <x v="3"/>
    <n v="1"/>
    <s v=""/>
    <x v="0"/>
    <x v="0"/>
    <s v="4BE05#Box1_Box2#InBB"/>
    <s v="4BE05#Box1_Box2#InBB"/>
    <n v="0"/>
    <n v="0"/>
    <n v="0"/>
  </r>
  <r>
    <n v="486"/>
    <x v="159"/>
    <s v="11-12/A-B"/>
    <x v="31"/>
    <s v="BEAM"/>
    <s v="Yes"/>
    <s v="11_12_A_B"/>
    <x v="3"/>
    <n v="1"/>
    <s v=""/>
    <x v="0"/>
    <x v="0"/>
    <s v="4BE06#Box1_Box2#InBB"/>
    <s v="4BE06#Box1_Box2#InBB"/>
    <n v="0"/>
    <n v="0"/>
    <n v="0"/>
  </r>
  <r>
    <n v="487"/>
    <x v="160"/>
    <s v="11-12/B&gt;"/>
    <x v="29"/>
    <s v="BEAM"/>
    <s v="Yes"/>
    <s v="11_12_B&gt;"/>
    <x v="3"/>
    <n v="1"/>
    <s v="O"/>
    <x v="2"/>
    <x v="2"/>
    <s v="4BE07#Box1_Box2#O"/>
    <s v="4BE07#Box1_Box2#O"/>
    <n v="0"/>
    <n v="0"/>
    <n v="0"/>
  </r>
  <r>
    <n v="488"/>
    <x v="161"/>
    <s v="11-12/B"/>
    <x v="29"/>
    <s v="BEAM"/>
    <s v="Yes"/>
    <s v="11_12_B"/>
    <x v="3"/>
    <n v="1"/>
    <s v=""/>
    <x v="0"/>
    <x v="0"/>
    <s v="4BE08#Box1_Box2#InBB"/>
    <s v="4BE08#Box1_Box2#InBB"/>
    <n v="0"/>
    <n v="0"/>
    <n v="0"/>
  </r>
  <r>
    <n v="536"/>
    <x v="162"/>
    <s v="14/A-B"/>
    <x v="30"/>
    <s v="BEAM"/>
    <s v="Yes"/>
    <s v="14_A_B"/>
    <x v="4"/>
    <n v="1"/>
    <s v=""/>
    <x v="0"/>
    <x v="0"/>
    <s v="4BE54#Box1_Box2_Box3#InBB"/>
    <s v="4BE54#Box1_Box2_Box3#InBB"/>
    <n v="0"/>
    <n v="0"/>
    <n v="0"/>
  </r>
  <r>
    <n v="537"/>
    <x v="163"/>
    <s v="14/B&gt;"/>
    <x v="30"/>
    <s v="BEAM"/>
    <s v="Yes"/>
    <s v="14_B&gt;"/>
    <x v="5"/>
    <n v="1"/>
    <s v="O"/>
    <x v="2"/>
    <x v="2"/>
    <s v="4BE55#Box1_Box2_Box3_Box6#O"/>
    <s v="4BE55#Box1_Box2_Box3_Box6#O"/>
    <n v="0"/>
    <n v="0"/>
    <n v="0"/>
  </r>
  <r>
    <n v="561"/>
    <x v="164"/>
    <s v="11-12/B&gt;"/>
    <x v="29"/>
    <s v="FRAME"/>
    <s v="Yes"/>
    <s v="11_12_B&gt;"/>
    <x v="3"/>
    <n v="1"/>
    <s v="O"/>
    <x v="2"/>
    <x v="2"/>
    <s v="4FR05#Box1_Box2#O"/>
    <s v="4FR05#Box1_Box2#O"/>
    <n v="0"/>
    <n v="0"/>
    <n v="0"/>
  </r>
  <r>
    <n v="562"/>
    <x v="165"/>
    <s v="10-11/A"/>
    <x v="32"/>
    <s v="HANGER"/>
    <s v="Yes"/>
    <s v="10_11_A"/>
    <x v="1"/>
    <n v="1"/>
    <s v=""/>
    <x v="3"/>
    <x v="3"/>
    <s v="4HA01#Box1#InB"/>
    <s v="4HA01#Box1#10_11_A"/>
    <n v="0"/>
    <n v="0"/>
    <n v="0"/>
  </r>
  <r>
    <n v="563"/>
    <x v="166"/>
    <s v="10-11/A"/>
    <x v="33"/>
    <s v="HANGER"/>
    <s v="Yes"/>
    <s v="10_11_A"/>
    <x v="1"/>
    <n v="1"/>
    <s v=""/>
    <x v="3"/>
    <x v="3"/>
    <s v="4HA02#Box1#InB"/>
    <s v="4HA02#Box1#10_11_A"/>
    <n v="0"/>
    <n v="0"/>
    <n v="0"/>
  </r>
  <r>
    <n v="564"/>
    <x v="167"/>
    <s v="10-11/A"/>
    <x v="32"/>
    <s v="HANGER"/>
    <s v="Yes"/>
    <s v="10_11_A"/>
    <x v="1"/>
    <n v="1"/>
    <s v=""/>
    <x v="3"/>
    <x v="3"/>
    <s v="4HA03#Box1#InB"/>
    <s v="4HA03#Box1#10_11_A"/>
    <n v="0"/>
    <n v="0"/>
    <n v="0"/>
  </r>
  <r>
    <n v="565"/>
    <x v="168"/>
    <s v="11-12/A-B"/>
    <x v="34"/>
    <s v="H-BRACE"/>
    <s v="Yes"/>
    <s v="11_12_A_B"/>
    <x v="3"/>
    <n v="1"/>
    <s v=""/>
    <x v="0"/>
    <x v="0"/>
    <s v="4HB01#Box1_Box2#InBB"/>
    <s v="4HB01#Box1_Box2#InBB"/>
    <n v="0"/>
    <n v="0"/>
    <n v="0"/>
  </r>
  <r>
    <n v="624"/>
    <x v="169"/>
    <s v="11-12/B&gt;"/>
    <x v="25"/>
    <s v="BEAM"/>
    <s v="Yes"/>
    <s v="11_12_B&gt;"/>
    <x v="3"/>
    <n v="1"/>
    <s v="O"/>
    <x v="2"/>
    <x v="2"/>
    <s v="5BE01#Box1_Box2#O"/>
    <s v="5BE01#Box1_Box2#O"/>
    <n v="0"/>
    <n v="0"/>
    <n v="0"/>
  </r>
  <r>
    <n v="625"/>
    <x v="170"/>
    <s v="10/A'-A"/>
    <x v="25"/>
    <s v="BEAM"/>
    <s v="Yes"/>
    <s v="10_A'_A"/>
    <x v="0"/>
    <n v="1"/>
    <s v=""/>
    <x v="0"/>
    <x v="0"/>
    <s v="5BE02#Box1_Box4#InBB"/>
    <s v="5BE02#Box1_Box4#InBB"/>
    <n v="0"/>
    <n v="0"/>
    <n v="0"/>
  </r>
  <r>
    <n v="626"/>
    <x v="171"/>
    <s v="10/B&gt;"/>
    <x v="25"/>
    <s v="BEAM"/>
    <s v="Yes"/>
    <s v="10_B&gt;"/>
    <x v="1"/>
    <n v="1"/>
    <s v="O"/>
    <x v="2"/>
    <x v="2"/>
    <s v="5BE03#Box1#O"/>
    <s v="5BE03#Box1#O"/>
    <n v="0"/>
    <n v="0"/>
    <n v="0"/>
  </r>
  <r>
    <n v="627"/>
    <x v="172"/>
    <s v="10-11/B&gt;"/>
    <x v="25"/>
    <s v="BEAM"/>
    <s v="Yes"/>
    <s v="10_11_B&gt;"/>
    <x v="1"/>
    <n v="1"/>
    <s v="O"/>
    <x v="2"/>
    <x v="2"/>
    <s v="5BE04#Box1#O"/>
    <s v="5BE04#Box1#O"/>
    <n v="0"/>
    <n v="0"/>
    <n v="0"/>
  </r>
  <r>
    <n v="628"/>
    <x v="173"/>
    <s v="10-11/A'-A"/>
    <x v="25"/>
    <s v="BEAM"/>
    <s v="Yes"/>
    <s v="10_11_A'_A"/>
    <x v="0"/>
    <n v="1"/>
    <s v=""/>
    <x v="0"/>
    <x v="0"/>
    <s v="5BE05#Box1_Box4#InBB"/>
    <s v="5BE05#Box1_Box4#InBB"/>
    <n v="0"/>
    <n v="0"/>
    <n v="0"/>
  </r>
  <r>
    <n v="629"/>
    <x v="174"/>
    <s v="10-11/A-B"/>
    <x v="25"/>
    <s v="BEAM"/>
    <s v="No"/>
    <s v="10_11_A_B"/>
    <x v="1"/>
    <n v="1"/>
    <s v=""/>
    <x v="3"/>
    <x v="1"/>
    <s v="5BE06#Box1#InB"/>
    <s v="5BE06#Box1#InB"/>
    <n v="0"/>
    <n v="0"/>
    <n v="0"/>
  </r>
  <r>
    <n v="630"/>
    <x v="174"/>
    <s v="11-12/A-B"/>
    <x v="25"/>
    <s v="BEAM"/>
    <s v="No"/>
    <s v="11_12_A_B"/>
    <x v="3"/>
    <n v="1"/>
    <s v=""/>
    <x v="0"/>
    <x v="0"/>
    <s v="5BE06#Box1_Box2#InBB"/>
    <s v="5BE06#Box1_Box2#InBB"/>
    <n v="0"/>
    <n v="0"/>
    <n v="0"/>
  </r>
  <r>
    <n v="631"/>
    <x v="175"/>
    <s v="10-11/A'-A"/>
    <x v="25"/>
    <s v="BEAM"/>
    <s v="Yes"/>
    <s v="10_11_A'_A"/>
    <x v="0"/>
    <n v="1"/>
    <s v=""/>
    <x v="0"/>
    <x v="0"/>
    <s v="5BE07#Box1_Box4#InBB"/>
    <s v="5BE07#Box1_Box4#InBB"/>
    <n v="0"/>
    <n v="0"/>
    <n v="0"/>
  </r>
  <r>
    <n v="632"/>
    <x v="176"/>
    <s v="10-11/B&gt;"/>
    <x v="25"/>
    <s v="BEAM"/>
    <s v="Yes"/>
    <s v="10_11_B&gt;"/>
    <x v="1"/>
    <n v="1"/>
    <s v="O"/>
    <x v="2"/>
    <x v="2"/>
    <s v="5BE08#Box1#O"/>
    <s v="5BE08#Box1#O"/>
    <n v="0"/>
    <n v="0"/>
    <n v="0"/>
  </r>
  <r>
    <n v="633"/>
    <x v="177"/>
    <s v="10-11/B&gt;"/>
    <x v="25"/>
    <s v="BEAM"/>
    <s v="Yes"/>
    <s v="10_11_B&gt;"/>
    <x v="1"/>
    <n v="1"/>
    <s v="O"/>
    <x v="2"/>
    <x v="2"/>
    <s v="5BE09#Box1#O"/>
    <s v="5BE09#Box1#O"/>
    <n v="0"/>
    <n v="0"/>
    <n v="0"/>
  </r>
  <r>
    <n v="635"/>
    <x v="178"/>
    <s v="10-11/A"/>
    <x v="25"/>
    <s v="BEAM"/>
    <s v="Yes"/>
    <s v="10_11_A"/>
    <x v="1"/>
    <n v="1"/>
    <s v=""/>
    <x v="3"/>
    <x v="3"/>
    <s v="5BE11#Box1#InB"/>
    <s v="5BE11#Box1#10_11_A"/>
    <n v="0"/>
    <n v="0"/>
    <n v="0"/>
  </r>
  <r>
    <n v="636"/>
    <x v="179"/>
    <s v="10-11/B"/>
    <x v="25"/>
    <s v="BEAM"/>
    <s v="Yes"/>
    <s v="10_11_B"/>
    <x v="1"/>
    <n v="1"/>
    <s v=""/>
    <x v="3"/>
    <x v="4"/>
    <s v="5BE12#Box1#InB"/>
    <s v="5BE12#Box1#10_11_B"/>
    <n v="0"/>
    <n v="0"/>
    <n v="0"/>
  </r>
  <r>
    <n v="637"/>
    <x v="180"/>
    <s v="10-11/B&gt;"/>
    <x v="25"/>
    <s v="BEAM"/>
    <s v="Yes"/>
    <s v="10_11_B&gt;"/>
    <x v="1"/>
    <n v="1"/>
    <s v="O"/>
    <x v="2"/>
    <x v="2"/>
    <s v="5BE13#Box1#O"/>
    <s v="5BE13#Box1#O"/>
    <n v="0"/>
    <n v="0"/>
    <n v="0"/>
  </r>
  <r>
    <n v="638"/>
    <x v="181"/>
    <s v="10-11/B&gt;"/>
    <x v="25"/>
    <s v="BEAM"/>
    <s v="Yes"/>
    <s v="10_11_B&gt;"/>
    <x v="1"/>
    <n v="1"/>
    <s v="O"/>
    <x v="2"/>
    <x v="2"/>
    <s v="5BE14#Box1#O"/>
    <s v="5BE14#Box1#O"/>
    <n v="0"/>
    <n v="0"/>
    <n v="0"/>
  </r>
  <r>
    <n v="639"/>
    <x v="182"/>
    <s v="10-11/A'-A"/>
    <x v="25"/>
    <s v="BEAM"/>
    <s v="Yes"/>
    <s v="10_11_A'_A"/>
    <x v="0"/>
    <n v="1"/>
    <s v=""/>
    <x v="0"/>
    <x v="0"/>
    <s v="5BE15#Box1_Box4#InBB"/>
    <s v="5BE15#Box1_Box4#InBB"/>
    <n v="0"/>
    <n v="0"/>
    <n v="0"/>
  </r>
  <r>
    <n v="640"/>
    <x v="183"/>
    <s v="10-11/B&gt;"/>
    <x v="25"/>
    <s v="BEAM"/>
    <s v="Yes"/>
    <s v="10_11_B&gt;"/>
    <x v="1"/>
    <n v="1"/>
    <s v="O"/>
    <x v="2"/>
    <x v="2"/>
    <s v="5BE16#Box1#O"/>
    <s v="5BE16#Box1#O"/>
    <n v="0"/>
    <n v="0"/>
    <n v="0"/>
  </r>
  <r>
    <n v="641"/>
    <x v="184"/>
    <s v="10-11/B&gt;"/>
    <x v="25"/>
    <s v="BEAM"/>
    <s v="Yes"/>
    <s v="10_11_B&gt;"/>
    <x v="1"/>
    <n v="1"/>
    <s v="O"/>
    <x v="2"/>
    <x v="2"/>
    <s v="5BE17#Box1#O"/>
    <s v="5BE17#Box1#O"/>
    <n v="0"/>
    <n v="0"/>
    <n v="0"/>
  </r>
  <r>
    <n v="642"/>
    <x v="185"/>
    <s v="10-11/A'-A"/>
    <x v="25"/>
    <s v="BEAM"/>
    <s v="Yes"/>
    <s v="10_11_A'_A"/>
    <x v="0"/>
    <n v="1"/>
    <s v=""/>
    <x v="0"/>
    <x v="0"/>
    <s v="5BE18#Box1_Box4#InBB"/>
    <s v="5BE18#Box1_Box4#InBB"/>
    <n v="0"/>
    <n v="0"/>
    <n v="0"/>
  </r>
  <r>
    <n v="643"/>
    <x v="186"/>
    <s v="10-11/A'-A"/>
    <x v="25"/>
    <s v="BEAM"/>
    <s v="Yes"/>
    <s v="10_11_A'_A"/>
    <x v="0"/>
    <n v="1"/>
    <s v=""/>
    <x v="0"/>
    <x v="0"/>
    <s v="5BE19#Box1_Box4#InBB"/>
    <s v="5BE19#Box1_Box4#InBB"/>
    <n v="0"/>
    <n v="0"/>
    <n v="0"/>
  </r>
  <r>
    <n v="644"/>
    <x v="187"/>
    <s v="10-11/A'-A"/>
    <x v="25"/>
    <s v="BEAM"/>
    <s v="Yes"/>
    <s v="10_11_A'_A"/>
    <x v="0"/>
    <n v="1"/>
    <s v=""/>
    <x v="0"/>
    <x v="0"/>
    <s v="5BE20#Box1_Box4#InBB"/>
    <s v="5BE20#Box1_Box4#InBB"/>
    <n v="0"/>
    <n v="0"/>
    <n v="0"/>
  </r>
  <r>
    <n v="645"/>
    <x v="188"/>
    <s v="10-11/B&gt;"/>
    <x v="25"/>
    <s v="BEAM"/>
    <s v="Yes"/>
    <s v="10_11_B&gt;"/>
    <x v="1"/>
    <n v="1"/>
    <s v="O"/>
    <x v="2"/>
    <x v="2"/>
    <s v="5BE21#Box1#O"/>
    <s v="5BE21#Box1#O"/>
    <n v="0"/>
    <n v="0"/>
    <n v="0"/>
  </r>
  <r>
    <n v="646"/>
    <x v="189"/>
    <s v="11-12/A'-A"/>
    <x v="25"/>
    <s v="BEAM"/>
    <s v="No"/>
    <s v="11_12_A'_A"/>
    <x v="2"/>
    <n v="1"/>
    <s v=""/>
    <x v="0"/>
    <x v="0"/>
    <s v="5BE22#Box1_Box2_Box4_Box5#InBB"/>
    <s v="5BE22#Box1_Box2_Box4_Box5#InBB"/>
    <n v="0"/>
    <n v="0"/>
    <n v="0"/>
  </r>
  <r>
    <n v="647"/>
    <x v="189"/>
    <s v="11-12/A'-A"/>
    <x v="25"/>
    <s v="BEAM"/>
    <s v="No"/>
    <s v="11_12_A'_A"/>
    <x v="2"/>
    <n v="1"/>
    <s v=""/>
    <x v="0"/>
    <x v="0"/>
    <s v="5BE22#Box1_Box2_Box4_Box5#InBB"/>
    <s v="5BE22#Box1_Box2_Box4_Box5#InBB"/>
    <n v="0"/>
    <n v="0"/>
    <n v="0"/>
  </r>
  <r>
    <n v="648"/>
    <x v="190"/>
    <s v="10-11/A'-A"/>
    <x v="25"/>
    <s v="BEAM"/>
    <s v="Yes"/>
    <s v="10_11_A'_A"/>
    <x v="0"/>
    <n v="1"/>
    <s v=""/>
    <x v="0"/>
    <x v="0"/>
    <s v="5BE23#Box1_Box4#InBB"/>
    <s v="5BE23#Box1_Box4#InBB"/>
    <n v="0"/>
    <n v="0"/>
    <n v="0"/>
  </r>
  <r>
    <n v="649"/>
    <x v="191"/>
    <s v="10-11/B&gt;"/>
    <x v="25"/>
    <s v="BEAM"/>
    <s v="Yes"/>
    <s v="10_11_B&gt;"/>
    <x v="1"/>
    <n v="1"/>
    <s v="O"/>
    <x v="2"/>
    <x v="2"/>
    <s v="5BE24#Box1#O"/>
    <s v="5BE24#Box1#O"/>
    <n v="0"/>
    <n v="0"/>
    <n v="0"/>
  </r>
  <r>
    <n v="650"/>
    <x v="192"/>
    <s v="11/A'-A"/>
    <x v="25"/>
    <s v="BEAM"/>
    <s v="Yes"/>
    <s v="11_A'_A"/>
    <x v="0"/>
    <n v="1"/>
    <s v=""/>
    <x v="0"/>
    <x v="0"/>
    <s v="5BE25#Box1_Box4#InBB"/>
    <s v="5BE25#Box1_Box4#InBB"/>
    <n v="0"/>
    <n v="0"/>
    <n v="0"/>
  </r>
  <r>
    <n v="651"/>
    <x v="193"/>
    <s v="11/B&gt;"/>
    <x v="25"/>
    <s v="BEAM"/>
    <s v="Yes"/>
    <s v="11_B&gt;"/>
    <x v="1"/>
    <n v="1"/>
    <s v="O"/>
    <x v="2"/>
    <x v="2"/>
    <s v="5BE26#Box1#O"/>
    <s v="5BE26#Box1#O"/>
    <n v="0"/>
    <n v="0"/>
    <n v="0"/>
  </r>
  <r>
    <n v="652"/>
    <x v="194"/>
    <s v="11-12/B&gt;"/>
    <x v="25"/>
    <s v="BEAM"/>
    <s v="Yes"/>
    <s v="11_12_B&gt;"/>
    <x v="3"/>
    <n v="1"/>
    <s v="O"/>
    <x v="2"/>
    <x v="2"/>
    <s v="5BE27#Box1_Box2#O"/>
    <s v="5BE27#Box1_Box2#O"/>
    <n v="0"/>
    <n v="0"/>
    <n v="0"/>
  </r>
  <r>
    <n v="653"/>
    <x v="195"/>
    <s v="11-12/B&gt;"/>
    <x v="25"/>
    <s v="BEAM"/>
    <s v="Yes"/>
    <s v="11_12_B&gt;"/>
    <x v="3"/>
    <n v="1"/>
    <s v="O"/>
    <x v="2"/>
    <x v="2"/>
    <s v="5BE28#Box1_Box2#O"/>
    <s v="5BE28#Box1_Box2#O"/>
    <n v="0"/>
    <n v="0"/>
    <n v="0"/>
  </r>
  <r>
    <n v="654"/>
    <x v="196"/>
    <s v="11-12/A'-A"/>
    <x v="25"/>
    <s v="BEAM"/>
    <s v="Yes"/>
    <s v="11_12_A'_A"/>
    <x v="2"/>
    <n v="1"/>
    <s v=""/>
    <x v="0"/>
    <x v="0"/>
    <s v="5BE29#Box1_Box2_Box4_Box5#InBB"/>
    <s v="5BE29#Box1_Box2_Box4_Box5#InBB"/>
    <n v="0"/>
    <n v="0"/>
    <n v="0"/>
  </r>
  <r>
    <n v="655"/>
    <x v="197"/>
    <s v="11-12/B&gt;"/>
    <x v="25"/>
    <s v="BEAM"/>
    <s v="Yes"/>
    <s v="11_12_B&gt;"/>
    <x v="3"/>
    <n v="1"/>
    <s v="O"/>
    <x v="2"/>
    <x v="2"/>
    <s v="5BE30#Box1_Box2#O"/>
    <s v="5BE30#Box1_Box2#O"/>
    <n v="0"/>
    <n v="0"/>
    <n v="0"/>
  </r>
  <r>
    <n v="656"/>
    <x v="198"/>
    <s v="11-12/A'-A"/>
    <x v="25"/>
    <s v="BEAM"/>
    <s v="No"/>
    <s v="11_12_A'_A"/>
    <x v="2"/>
    <n v="1"/>
    <s v=""/>
    <x v="0"/>
    <x v="0"/>
    <s v="5BE31#Box1_Box2_Box4_Box5#InBB"/>
    <s v="5BE31#Box1_Box2_Box4_Box5#InBB"/>
    <n v="0"/>
    <n v="0"/>
    <n v="0"/>
  </r>
  <r>
    <n v="657"/>
    <x v="198"/>
    <s v="11-12/A'-A"/>
    <x v="25"/>
    <s v="BEAM"/>
    <s v="No"/>
    <s v="11_12_A'_A"/>
    <x v="2"/>
    <n v="1"/>
    <s v=""/>
    <x v="0"/>
    <x v="0"/>
    <s v="5BE31#Box1_Box2_Box4_Box5#InBB"/>
    <s v="5BE31#Box1_Box2_Box4_Box5#InBB"/>
    <n v="0"/>
    <n v="0"/>
    <n v="0"/>
  </r>
  <r>
    <n v="658"/>
    <x v="199"/>
    <s v="11-12/B&gt;"/>
    <x v="25"/>
    <s v="BEAM"/>
    <s v="Yes"/>
    <s v="11_12_B&gt;"/>
    <x v="3"/>
    <n v="1"/>
    <s v="O"/>
    <x v="2"/>
    <x v="2"/>
    <s v="5BE32#Box1_Box2#O"/>
    <s v="5BE32#Box1_Box2#O"/>
    <n v="0"/>
    <n v="0"/>
    <n v="0"/>
  </r>
  <r>
    <n v="659"/>
    <x v="200"/>
    <s v="11-12/B&gt;"/>
    <x v="25"/>
    <s v="BEAM"/>
    <s v="Yes"/>
    <s v="11_12_B&gt;"/>
    <x v="3"/>
    <n v="1"/>
    <s v="O"/>
    <x v="2"/>
    <x v="2"/>
    <s v="5BE33#Box1_Box2#O"/>
    <s v="5BE33#Box1_Box2#O"/>
    <n v="0"/>
    <n v="0"/>
    <n v="0"/>
  </r>
  <r>
    <n v="660"/>
    <x v="201"/>
    <s v="11-12/A'-A"/>
    <x v="25"/>
    <s v="BEAM"/>
    <s v="Yes"/>
    <s v="11_12_A'_A"/>
    <x v="2"/>
    <n v="1"/>
    <s v=""/>
    <x v="0"/>
    <x v="0"/>
    <s v="5BE34#Box1_Box2_Box4_Box5#InBB"/>
    <s v="5BE34#Box1_Box2_Box4_Box5#InBB"/>
    <n v="0"/>
    <n v="0"/>
    <n v="0"/>
  </r>
  <r>
    <n v="661"/>
    <x v="202"/>
    <s v="11-12/B&gt;"/>
    <x v="25"/>
    <s v="BEAM"/>
    <s v="Yes"/>
    <s v="11_12_B&gt;"/>
    <x v="3"/>
    <n v="1"/>
    <s v="O"/>
    <x v="2"/>
    <x v="2"/>
    <s v="5BE35#Box1_Box2#O"/>
    <s v="5BE35#Box1_Box2#O"/>
    <n v="0"/>
    <n v="0"/>
    <n v="0"/>
  </r>
  <r>
    <n v="662"/>
    <x v="203"/>
    <s v="11-12/A'-A"/>
    <x v="25"/>
    <s v="BEAM"/>
    <s v="Yes"/>
    <s v="11_12_A'_A"/>
    <x v="2"/>
    <n v="1"/>
    <s v=""/>
    <x v="0"/>
    <x v="0"/>
    <s v="5BE36#Box1_Box2_Box4_Box5#InBB"/>
    <s v="5BE36#Box1_Box2_Box4_Box5#InBB"/>
    <n v="0"/>
    <n v="0"/>
    <n v="0"/>
  </r>
  <r>
    <n v="663"/>
    <x v="204"/>
    <s v="11-12/B"/>
    <x v="25"/>
    <s v="BEAM"/>
    <s v="Yes"/>
    <s v="11_12_B"/>
    <x v="3"/>
    <n v="1"/>
    <s v=""/>
    <x v="0"/>
    <x v="0"/>
    <s v="5BE37#Box1_Box2#InBB"/>
    <s v="5BE37#Box1_Box2#InBB"/>
    <n v="0"/>
    <n v="0"/>
    <n v="0"/>
  </r>
  <r>
    <n v="664"/>
    <x v="205"/>
    <s v="11-12/A"/>
    <x v="25"/>
    <s v="BEAM"/>
    <s v="Yes"/>
    <s v="11_12_A"/>
    <x v="3"/>
    <n v="1"/>
    <s v=""/>
    <x v="0"/>
    <x v="0"/>
    <s v="5BE38#Box1_Box2#InBB"/>
    <s v="5BE38#Box1_Box2#InBB"/>
    <n v="0"/>
    <n v="0"/>
    <n v="0"/>
  </r>
  <r>
    <n v="665"/>
    <x v="206"/>
    <s v="11-12/B&gt;"/>
    <x v="25"/>
    <s v="BEAM"/>
    <s v="Yes"/>
    <s v="11_12_B&gt;"/>
    <x v="3"/>
    <n v="1"/>
    <s v="O"/>
    <x v="2"/>
    <x v="2"/>
    <s v="5BE39#Box1_Box2#O"/>
    <s v="5BE39#Box1_Box2#O"/>
    <n v="0"/>
    <n v="0"/>
    <n v="0"/>
  </r>
  <r>
    <n v="666"/>
    <x v="207"/>
    <s v="11-12/A'-A"/>
    <x v="25"/>
    <s v="BEAM"/>
    <s v="Yes"/>
    <s v="11_12_A'_A"/>
    <x v="2"/>
    <n v="1"/>
    <s v=""/>
    <x v="0"/>
    <x v="0"/>
    <s v="5BE40#Box1_Box2_Box4_Box5#InBB"/>
    <s v="5BE40#Box1_Box2_Box4_Box5#InBB"/>
    <n v="0"/>
    <n v="0"/>
    <n v="0"/>
  </r>
  <r>
    <n v="667"/>
    <x v="208"/>
    <s v="11-12/A'-A"/>
    <x v="25"/>
    <s v="BEAM"/>
    <s v="Yes"/>
    <s v="11_12_A'_A"/>
    <x v="2"/>
    <n v="1"/>
    <s v=""/>
    <x v="0"/>
    <x v="0"/>
    <s v="5BE41#Box1_Box2_Box4_Box5#InBB"/>
    <s v="5BE41#Box1_Box2_Box4_Box5#InBB"/>
    <n v="0"/>
    <n v="0"/>
    <n v="0"/>
  </r>
  <r>
    <n v="668"/>
    <x v="209"/>
    <s v="11-12/A'-A"/>
    <x v="25"/>
    <s v="BEAM"/>
    <s v="Yes"/>
    <s v="11_12_A'_A"/>
    <x v="2"/>
    <n v="1"/>
    <s v=""/>
    <x v="0"/>
    <x v="0"/>
    <s v="5BE42#Box1_Box2_Box4_Box5#InBB"/>
    <s v="5BE42#Box1_Box2_Box4_Box5#InBB"/>
    <n v="0"/>
    <n v="0"/>
    <n v="0"/>
  </r>
  <r>
    <n v="669"/>
    <x v="210"/>
    <s v="11-12/A'-A"/>
    <x v="25"/>
    <s v="BEAM"/>
    <s v="Yes"/>
    <s v="11_12_A'_A"/>
    <x v="2"/>
    <n v="1"/>
    <s v=""/>
    <x v="0"/>
    <x v="0"/>
    <s v="5BE43#Box1_Box2_Box4_Box5#InBB"/>
    <s v="5BE43#Box1_Box2_Box4_Box5#InBB"/>
    <n v="0"/>
    <n v="0"/>
    <n v="0"/>
  </r>
  <r>
    <n v="670"/>
    <x v="211"/>
    <s v="11-12/A'-A"/>
    <x v="25"/>
    <s v="BEAM"/>
    <s v="Yes"/>
    <s v="11_12_A'_A"/>
    <x v="2"/>
    <n v="1"/>
    <s v=""/>
    <x v="0"/>
    <x v="0"/>
    <s v="5BE44#Box1_Box2_Box4_Box5#InBB"/>
    <s v="5BE44#Box1_Box2_Box4_Box5#InBB"/>
    <n v="0"/>
    <n v="0"/>
    <n v="0"/>
  </r>
  <r>
    <n v="678"/>
    <x v="212"/>
    <s v="10-11/A'-A"/>
    <x v="25"/>
    <s v="BEAM"/>
    <s v="Yes"/>
    <s v="10_11_A'_A"/>
    <x v="0"/>
    <n v="1"/>
    <s v=""/>
    <x v="0"/>
    <x v="0"/>
    <s v="5BE52#Box1_Box4#InBB"/>
    <s v="5BE52#Box1_Box4#InBB"/>
    <n v="0"/>
    <n v="0"/>
    <n v="0"/>
  </r>
  <r>
    <n v="679"/>
    <x v="213"/>
    <s v="11-12/B&gt;"/>
    <x v="25"/>
    <s v="BEAM"/>
    <s v="Yes"/>
    <s v="11_12_B&gt;"/>
    <x v="3"/>
    <n v="1"/>
    <s v="O"/>
    <x v="2"/>
    <x v="2"/>
    <s v="5BE53#Box1_Box2#O"/>
    <s v="5BE53#Box1_Box2#O"/>
    <n v="0"/>
    <n v="0"/>
    <n v="0"/>
  </r>
  <r>
    <n v="682"/>
    <x v="214"/>
    <s v="10-11/B&gt;"/>
    <x v="35"/>
    <s v="H-BRACE"/>
    <s v="Yes"/>
    <s v="10_11_B&gt;"/>
    <x v="1"/>
    <n v="1"/>
    <s v="O"/>
    <x v="2"/>
    <x v="2"/>
    <s v="5HB01#Box1#O"/>
    <s v="5HB01#Box1#O"/>
    <n v="0"/>
    <n v="0"/>
    <n v="0"/>
  </r>
  <r>
    <n v="683"/>
    <x v="215"/>
    <s v="10-11/A'-A"/>
    <x v="35"/>
    <s v="H-BRACE"/>
    <s v="Yes"/>
    <s v="10_11_A'_A"/>
    <x v="0"/>
    <n v="1"/>
    <s v=""/>
    <x v="0"/>
    <x v="0"/>
    <s v="5HB02#Box1_Box4#InBB"/>
    <s v="5HB02#Box1_Box4#InBB"/>
    <n v="0"/>
    <n v="0"/>
    <n v="0"/>
  </r>
  <r>
    <n v="684"/>
    <x v="216"/>
    <s v="10-11/B&gt;"/>
    <x v="35"/>
    <s v="H-BRACE"/>
    <s v="Yes"/>
    <s v="10_11_B&gt;"/>
    <x v="1"/>
    <n v="1"/>
    <s v="O"/>
    <x v="2"/>
    <x v="2"/>
    <s v="5HB03#Box1#O"/>
    <s v="5HB03#Box1#O"/>
    <n v="0"/>
    <n v="0"/>
    <n v="0"/>
  </r>
  <r>
    <n v="685"/>
    <x v="217"/>
    <s v="10-11/A'-A"/>
    <x v="35"/>
    <s v="H-BRACE"/>
    <s v="Yes"/>
    <s v="10_11_A'_A"/>
    <x v="0"/>
    <n v="1"/>
    <s v=""/>
    <x v="0"/>
    <x v="0"/>
    <s v="5HB04#Box1_Box4#InBB"/>
    <s v="5HB04#Box1_Box4#InBB"/>
    <n v="0"/>
    <n v="0"/>
    <n v="0"/>
  </r>
  <r>
    <n v="686"/>
    <x v="218"/>
    <s v="11-12/A'-A"/>
    <x v="35"/>
    <s v="H-BRACE"/>
    <s v="Yes"/>
    <s v="11_12_A'_A"/>
    <x v="2"/>
    <n v="1"/>
    <s v=""/>
    <x v="0"/>
    <x v="0"/>
    <s v="5HB05#Box1_Box2_Box4_Box5#InBB"/>
    <s v="5HB05#Box1_Box2_Box4_Box5#InBB"/>
    <n v="0"/>
    <n v="0"/>
    <n v="0"/>
  </r>
  <r>
    <n v="687"/>
    <x v="219"/>
    <s v="11-12/A'-A"/>
    <x v="35"/>
    <s v="H-BRACE"/>
    <s v="Yes"/>
    <s v="11_12_A'_A"/>
    <x v="2"/>
    <n v="1"/>
    <s v=""/>
    <x v="0"/>
    <x v="0"/>
    <s v="5HB06#Box1_Box2_Box4_Box5#InBB"/>
    <s v="5HB06#Box1_Box2_Box4_Box5#InBB"/>
    <n v="0"/>
    <n v="0"/>
    <n v="0"/>
  </r>
  <r>
    <n v="688"/>
    <x v="220"/>
    <s v="11-12/A'-A"/>
    <x v="36"/>
    <s v="H-BRACE"/>
    <s v="Yes"/>
    <s v="11_12_A'_A"/>
    <x v="2"/>
    <n v="1"/>
    <s v=""/>
    <x v="0"/>
    <x v="0"/>
    <s v="5HB07#Box1_Box2_Box4_Box5#InBB"/>
    <s v="5HB07#Box1_Box2_Box4_Box5#InBB"/>
    <n v="0"/>
    <n v="0"/>
    <n v="0"/>
  </r>
  <r>
    <n v="689"/>
    <x v="221"/>
    <s v="10-11/A'-A"/>
    <x v="27"/>
    <s v="STUB COLUMN"/>
    <s v="Yes"/>
    <s v="10_11_A'_A"/>
    <x v="0"/>
    <n v="1"/>
    <s v=""/>
    <x v="0"/>
    <x v="0"/>
    <s v="5SC01#Box1_Box4#InBB"/>
    <s v="5SC01#Box1_Box4#InBB"/>
    <n v="0"/>
    <n v="0"/>
    <n v="0"/>
  </r>
  <r>
    <n v="690"/>
    <x v="222"/>
    <s v="10-11/B&gt;"/>
    <x v="27"/>
    <s v="STUB_COLUMN"/>
    <s v="Yes"/>
    <s v="10_11_B&gt;"/>
    <x v="1"/>
    <n v="1"/>
    <s v="O"/>
    <x v="2"/>
    <x v="2"/>
    <s v="5SC02#Box1#O"/>
    <s v="5SC02#Box1#O"/>
    <n v="0"/>
    <n v="0"/>
    <n v="0"/>
  </r>
  <r>
    <n v="691"/>
    <x v="223"/>
    <s v="11/B&gt;"/>
    <x v="27"/>
    <s v="STUB_COLUMN"/>
    <s v="Yes"/>
    <s v="11_B&gt;"/>
    <x v="1"/>
    <n v="1"/>
    <s v="O"/>
    <x v="2"/>
    <x v="2"/>
    <s v="5SC03#Box1#O"/>
    <s v="5SC03#Box1#O"/>
    <n v="0"/>
    <n v="0"/>
    <n v="0"/>
  </r>
  <r>
    <n v="692"/>
    <x v="224"/>
    <s v="10-11/A"/>
    <x v="27"/>
    <s v="BEAM"/>
    <s v="Yes"/>
    <s v="10_11_A"/>
    <x v="1"/>
    <n v="1"/>
    <s v=""/>
    <x v="3"/>
    <x v="3"/>
    <s v="6BE01#Box1#InB"/>
    <s v="6BE01#Box1#10_11_A"/>
    <n v="0"/>
    <n v="0"/>
    <n v="0"/>
  </r>
  <r>
    <n v="693"/>
    <x v="225"/>
    <s v="10-11/B&gt;"/>
    <x v="27"/>
    <s v="BEAM"/>
    <s v="Yes"/>
    <s v="10_11_B&gt;"/>
    <x v="1"/>
    <n v="1"/>
    <s v="O"/>
    <x v="2"/>
    <x v="2"/>
    <s v="6BE02#Box1#O"/>
    <s v="6BE02#Box1#O"/>
    <n v="0"/>
    <n v="0"/>
    <n v="0"/>
  </r>
  <r>
    <n v="694"/>
    <x v="226"/>
    <s v="10-11/A-B"/>
    <x v="27"/>
    <s v="BEAM"/>
    <s v="Yes"/>
    <s v="10_11_A_B"/>
    <x v="1"/>
    <n v="1"/>
    <s v=""/>
    <x v="3"/>
    <x v="1"/>
    <s v="6BE03#Box1#InB"/>
    <s v="6BE03#Box1#InB"/>
    <n v="0"/>
    <n v="0"/>
    <n v="0"/>
  </r>
  <r>
    <n v="695"/>
    <x v="227"/>
    <s v="10-11/B"/>
    <x v="27"/>
    <s v="BEAM"/>
    <s v="Yes"/>
    <s v="10_11_B"/>
    <x v="1"/>
    <n v="1"/>
    <s v=""/>
    <x v="3"/>
    <x v="4"/>
    <s v="6BE04#Box1#InB"/>
    <s v="6BE04#Box1#10_11_B"/>
    <n v="0"/>
    <n v="0"/>
    <n v="0"/>
  </r>
  <r>
    <n v="696"/>
    <x v="228"/>
    <s v="10-11/A-B"/>
    <x v="27"/>
    <s v="BEAM"/>
    <s v="Yes"/>
    <s v="10_11_A_B"/>
    <x v="1"/>
    <n v="1"/>
    <s v=""/>
    <x v="3"/>
    <x v="1"/>
    <s v="6BE05#Box1#InB"/>
    <s v="6BE05#Box1#InB"/>
    <n v="0"/>
    <n v="0"/>
    <n v="0"/>
  </r>
  <r>
    <n v="697"/>
    <x v="229"/>
    <s v="10-11/A-B"/>
    <x v="27"/>
    <s v="BEAM"/>
    <s v="Yes"/>
    <s v="10_11_A_B"/>
    <x v="1"/>
    <n v="1"/>
    <s v=""/>
    <x v="3"/>
    <x v="1"/>
    <s v="6BE06#Box1#InB"/>
    <s v="6BE06#Box1#InB"/>
    <n v="0"/>
    <n v="0"/>
    <n v="0"/>
  </r>
  <r>
    <n v="698"/>
    <x v="230"/>
    <s v="11-12/B&gt;"/>
    <x v="27"/>
    <s v="BEAM"/>
    <s v="Yes"/>
    <s v="11_12_B&gt;"/>
    <x v="3"/>
    <n v="1"/>
    <s v="O"/>
    <x v="2"/>
    <x v="2"/>
    <s v="6BE07#Box1_Box2#O"/>
    <s v="6BE07#Box1_Box2#O"/>
    <n v="0"/>
    <n v="0"/>
    <n v="0"/>
  </r>
  <r>
    <n v="699"/>
    <x v="231"/>
    <s v="10-11/A'-A"/>
    <x v="27"/>
    <s v="BEAM"/>
    <s v="Yes"/>
    <s v="10_11_A'_A"/>
    <x v="0"/>
    <n v="1"/>
    <s v=""/>
    <x v="0"/>
    <x v="0"/>
    <s v="6BE08#Box1_Box4#InBB"/>
    <s v="6BE08#Box1_Box4#InBB"/>
    <n v="0"/>
    <n v="0"/>
    <n v="0"/>
  </r>
  <r>
    <n v="700"/>
    <x v="232"/>
    <s v="10-11/A-B"/>
    <x v="27"/>
    <s v="BEAM"/>
    <s v="Yes"/>
    <s v="10_11_A_B"/>
    <x v="1"/>
    <n v="1"/>
    <s v=""/>
    <x v="3"/>
    <x v="1"/>
    <s v="6BE09#Box1#InB"/>
    <s v="6BE09#Box1#InB"/>
    <n v="0"/>
    <n v="0"/>
    <n v="0"/>
  </r>
  <r>
    <n v="701"/>
    <x v="233"/>
    <s v="10-11/B&gt;"/>
    <x v="27"/>
    <s v="BEAM"/>
    <s v="Yes"/>
    <s v="10_11_B&gt;"/>
    <x v="1"/>
    <n v="1"/>
    <s v="O"/>
    <x v="2"/>
    <x v="2"/>
    <s v="6BE10#Box1#O"/>
    <s v="6BE10#Box1#O"/>
    <n v="0"/>
    <n v="0"/>
    <n v="0"/>
  </r>
  <r>
    <n v="703"/>
    <x v="234"/>
    <s v="10-11/A-B"/>
    <x v="27"/>
    <s v="BEAM"/>
    <s v="Yes"/>
    <s v="10_11_A_B"/>
    <x v="1"/>
    <n v="1"/>
    <s v=""/>
    <x v="3"/>
    <x v="1"/>
    <s v="6BE12#Box1#InB"/>
    <s v="6BE12#Box1#InB"/>
    <n v="0"/>
    <n v="0"/>
    <n v="0"/>
  </r>
  <r>
    <n v="704"/>
    <x v="235"/>
    <s v="10-11/A-B"/>
    <x v="27"/>
    <s v="BEAM"/>
    <s v="Yes"/>
    <s v="10_11_A_B"/>
    <x v="1"/>
    <n v="1"/>
    <s v=""/>
    <x v="3"/>
    <x v="1"/>
    <s v="6BE13#Box1#InB"/>
    <s v="6BE13#Box1#InB"/>
    <n v="0"/>
    <n v="0"/>
    <n v="0"/>
  </r>
  <r>
    <n v="705"/>
    <x v="236"/>
    <s v="10-11/A-B"/>
    <x v="27"/>
    <s v="BEAM"/>
    <s v="Yes"/>
    <s v="10_11_A_B"/>
    <x v="1"/>
    <n v="1"/>
    <s v=""/>
    <x v="3"/>
    <x v="1"/>
    <s v="6BE14#Box1#InB"/>
    <s v="6BE14#Box1#InB"/>
    <n v="0"/>
    <n v="0"/>
    <n v="0"/>
  </r>
  <r>
    <n v="706"/>
    <x v="237"/>
    <s v="10-11/A-B"/>
    <x v="27"/>
    <s v="BEAM"/>
    <s v="Yes"/>
    <s v="10_11_A_B"/>
    <x v="1"/>
    <n v="1"/>
    <s v=""/>
    <x v="3"/>
    <x v="1"/>
    <s v="6BE15#Box1#InB"/>
    <s v="6BE15#Box1#InB"/>
    <n v="0"/>
    <n v="0"/>
    <n v="0"/>
  </r>
  <r>
    <n v="707"/>
    <x v="238"/>
    <s v="10-11/A-B"/>
    <x v="27"/>
    <s v="BEAM"/>
    <s v="Yes"/>
    <s v="10_11_A_B"/>
    <x v="1"/>
    <n v="1"/>
    <s v=""/>
    <x v="3"/>
    <x v="1"/>
    <s v="6BE16#Box1#InB"/>
    <s v="6BE16#Box1#InB"/>
    <n v="0"/>
    <n v="0"/>
    <n v="0"/>
  </r>
  <r>
    <n v="708"/>
    <x v="239"/>
    <s v="10-11/A-B"/>
    <x v="27"/>
    <s v="BEAM"/>
    <s v="Yes"/>
    <s v="10_11_A_B"/>
    <x v="1"/>
    <n v="1"/>
    <s v=""/>
    <x v="3"/>
    <x v="1"/>
    <s v="6BE17#Box1#InB"/>
    <s v="6BE17#Box1#InB"/>
    <n v="0"/>
    <n v="0"/>
    <n v="0"/>
  </r>
  <r>
    <n v="709"/>
    <x v="240"/>
    <s v="10-11/A'-A"/>
    <x v="27"/>
    <s v="BEAM"/>
    <s v="Yes"/>
    <s v="10_11_A'_A"/>
    <x v="0"/>
    <n v="1"/>
    <s v=""/>
    <x v="0"/>
    <x v="0"/>
    <s v="6BE18#Box1_Box4#InBB"/>
    <s v="6BE18#Box1_Box4#InBB"/>
    <n v="0"/>
    <n v="0"/>
    <n v="0"/>
  </r>
  <r>
    <n v="710"/>
    <x v="241"/>
    <s v="10-11/B&gt;"/>
    <x v="27"/>
    <s v="BEAM"/>
    <s v="Yes"/>
    <s v="10_11_B&gt;"/>
    <x v="1"/>
    <n v="1"/>
    <s v="O"/>
    <x v="2"/>
    <x v="2"/>
    <s v="6BE19#Box1#O"/>
    <s v="6BE19#Box1#O"/>
    <n v="0"/>
    <n v="0"/>
    <n v="0"/>
  </r>
  <r>
    <n v="711"/>
    <x v="242"/>
    <s v="10-11/B&gt;"/>
    <x v="27"/>
    <s v="BEAM"/>
    <s v="Yes"/>
    <s v="10_11_B&gt;"/>
    <x v="1"/>
    <n v="1"/>
    <s v="O"/>
    <x v="2"/>
    <x v="2"/>
    <s v="6BE20#Box1#O"/>
    <s v="6BE20#Box1#O"/>
    <n v="0"/>
    <n v="0"/>
    <n v="0"/>
  </r>
  <r>
    <n v="712"/>
    <x v="243"/>
    <s v="10-11/A'-A"/>
    <x v="27"/>
    <s v="BEAM"/>
    <s v="Yes"/>
    <s v="10_11_A'_A"/>
    <x v="0"/>
    <n v="1"/>
    <s v=""/>
    <x v="0"/>
    <x v="0"/>
    <s v="6BE21#Box1_Box4#InBB"/>
    <s v="6BE21#Box1_Box4#InBB"/>
    <n v="0"/>
    <n v="0"/>
    <n v="0"/>
  </r>
  <r>
    <n v="713"/>
    <x v="244"/>
    <s v="10-11/A-B"/>
    <x v="27"/>
    <s v="BEAM"/>
    <s v="Yes"/>
    <s v="10_11_A_B"/>
    <x v="1"/>
    <n v="1"/>
    <s v=""/>
    <x v="3"/>
    <x v="1"/>
    <s v="6BE22#Box1#InB"/>
    <s v="6BE22#Box1#InB"/>
    <n v="0"/>
    <n v="0"/>
    <n v="0"/>
  </r>
  <r>
    <n v="714"/>
    <x v="245"/>
    <s v="11/A-B"/>
    <x v="27"/>
    <s v="BEAM"/>
    <s v="Yes"/>
    <s v="11_A_B"/>
    <x v="1"/>
    <n v="1"/>
    <s v=""/>
    <x v="4"/>
    <x v="1"/>
    <s v="6BE23#Box1#11_A_B"/>
    <s v="6BE23#Box1#InB"/>
    <n v="0"/>
    <n v="0"/>
    <n v="0"/>
  </r>
  <r>
    <n v="715"/>
    <x v="246"/>
    <s v="11/A'-A"/>
    <x v="27"/>
    <s v="BEAM"/>
    <s v="Yes"/>
    <s v="11_A'_A"/>
    <x v="0"/>
    <n v="1"/>
    <s v=""/>
    <x v="0"/>
    <x v="0"/>
    <s v="6BE24#Box1_Box4#InBB"/>
    <s v="6BE24#Box1_Box4#InBB"/>
    <n v="0"/>
    <n v="0"/>
    <n v="0"/>
  </r>
  <r>
    <n v="716"/>
    <x v="247"/>
    <s v="11/A-B"/>
    <x v="27"/>
    <s v="BEAM"/>
    <s v="Yes"/>
    <s v="11_A_B"/>
    <x v="1"/>
    <n v="1"/>
    <s v=""/>
    <x v="4"/>
    <x v="1"/>
    <s v="6BE25#Box1#11_A_B"/>
    <s v="6BE25#Box1#InB"/>
    <n v="0"/>
    <n v="0"/>
    <n v="0"/>
  </r>
  <r>
    <n v="717"/>
    <x v="248"/>
    <s v="11/A-B"/>
    <x v="37"/>
    <s v="BEAM"/>
    <s v="Yes"/>
    <s v="11_A_B"/>
    <x v="1"/>
    <n v="1"/>
    <s v=""/>
    <x v="4"/>
    <x v="1"/>
    <s v="6BE26#Box1#11_A_B"/>
    <s v="6BE26#Box1#InB"/>
    <n v="0"/>
    <n v="0"/>
    <n v="0"/>
  </r>
  <r>
    <n v="718"/>
    <x v="249"/>
    <s v="11/B&gt;"/>
    <x v="27"/>
    <s v="BEAM"/>
    <s v="Yes"/>
    <s v="11_B&gt;"/>
    <x v="1"/>
    <n v="1"/>
    <s v="O"/>
    <x v="2"/>
    <x v="2"/>
    <s v="6BE27#Box1#O"/>
    <s v="6BE27#Box1#O"/>
    <n v="0"/>
    <n v="0"/>
    <n v="0"/>
  </r>
  <r>
    <n v="720"/>
    <x v="250"/>
    <s v="11-12/A'-A"/>
    <x v="27"/>
    <s v="BEAM"/>
    <s v="No"/>
    <s v="11_12_A'_A"/>
    <x v="2"/>
    <n v="1"/>
    <s v=""/>
    <x v="0"/>
    <x v="0"/>
    <s v="6BE29#Box1_Box2_Box4_Box5#InBB"/>
    <s v="6BE29#Box1_Box2_Box4_Box5#InBB"/>
    <n v="0"/>
    <n v="0"/>
    <n v="0"/>
  </r>
  <r>
    <n v="721"/>
    <x v="250"/>
    <s v="11-12/A'-A"/>
    <x v="27"/>
    <s v="BEAM"/>
    <s v="No"/>
    <s v="11_12_A'_A"/>
    <x v="2"/>
    <n v="1"/>
    <s v=""/>
    <x v="0"/>
    <x v="0"/>
    <s v="6BE29#Box1_Box2_Box4_Box5#InBB"/>
    <s v="6BE29#Box1_Box2_Box4_Box5#InBB"/>
    <n v="0"/>
    <n v="0"/>
    <n v="0"/>
  </r>
  <r>
    <n v="722"/>
    <x v="250"/>
    <s v="11-12/A'-A"/>
    <x v="27"/>
    <s v="BEAM"/>
    <s v="No"/>
    <s v="11_12_A'_A"/>
    <x v="2"/>
    <n v="1"/>
    <s v=""/>
    <x v="0"/>
    <x v="0"/>
    <s v="6BE29#Box1_Box2_Box4_Box5#InBB"/>
    <s v="6BE29#Box1_Box2_Box4_Box5#InBB"/>
    <n v="0"/>
    <n v="0"/>
    <n v="0"/>
  </r>
  <r>
    <n v="723"/>
    <x v="250"/>
    <s v="11-12/A'-A"/>
    <x v="27"/>
    <s v="BEAM"/>
    <s v="No"/>
    <s v="11_12_A'_A"/>
    <x v="2"/>
    <n v="1"/>
    <s v=""/>
    <x v="0"/>
    <x v="0"/>
    <s v="6BE29#Box1_Box2_Box4_Box5#InBB"/>
    <s v="6BE29#Box1_Box2_Box4_Box5#InBB"/>
    <n v="0"/>
    <n v="0"/>
    <n v="0"/>
  </r>
  <r>
    <n v="725"/>
    <x v="250"/>
    <s v="11-12/A'-A"/>
    <x v="27"/>
    <s v="BEAM"/>
    <s v="No"/>
    <s v="11_12_A'_A"/>
    <x v="2"/>
    <n v="1"/>
    <s v=""/>
    <x v="0"/>
    <x v="0"/>
    <s v="6BE29#Box1_Box2_Box4_Box5#InBB"/>
    <s v="6BE29#Box1_Box2_Box4_Box5#InBB"/>
    <n v="0"/>
    <n v="0"/>
    <n v="0"/>
  </r>
  <r>
    <n v="727"/>
    <x v="251"/>
    <s v="11-12/A-B"/>
    <x v="38"/>
    <s v="BEAM"/>
    <s v="No"/>
    <s v="11_12_A_B"/>
    <x v="3"/>
    <n v="1"/>
    <s v=""/>
    <x v="0"/>
    <x v="0"/>
    <s v="6BE30#Box1_Box2#InBB"/>
    <s v="6BE30#Box1_Box2#InBB"/>
    <n v="0"/>
    <n v="0"/>
    <n v="0"/>
  </r>
  <r>
    <n v="729"/>
    <x v="251"/>
    <s v="11-12/A-B"/>
    <x v="38"/>
    <s v="BEAM"/>
    <s v="No"/>
    <s v="11_12_A_B"/>
    <x v="3"/>
    <n v="1"/>
    <s v=""/>
    <x v="0"/>
    <x v="0"/>
    <s v="6BE30#Box1_Box2#InBB"/>
    <s v="6BE30#Box1_Box2#InBB"/>
    <n v="0"/>
    <n v="0"/>
    <n v="0"/>
  </r>
  <r>
    <n v="730"/>
    <x v="252"/>
    <s v="11-12/A-B"/>
    <x v="39"/>
    <s v="BEAM"/>
    <s v="Yes"/>
    <s v="11_12_A_B"/>
    <x v="3"/>
    <n v="1"/>
    <s v=""/>
    <x v="0"/>
    <x v="0"/>
    <s v="6BE31#Box1_Box2#InBB"/>
    <s v="6BE31#Box1_Box2#InBB"/>
    <n v="0"/>
    <n v="0"/>
    <n v="0"/>
  </r>
  <r>
    <n v="731"/>
    <x v="253"/>
    <s v="11-12/A'-A"/>
    <x v="27"/>
    <s v="BEAM"/>
    <s v="Yes"/>
    <s v="11_12_A'_A"/>
    <x v="2"/>
    <n v="1"/>
    <s v=""/>
    <x v="0"/>
    <x v="0"/>
    <s v="6BE32#Box1_Box2_Box4_Box5#InBB"/>
    <s v="6BE32#Box1_Box2_Box4_Box5#InBB"/>
    <n v="0"/>
    <n v="0"/>
    <n v="0"/>
  </r>
  <r>
    <n v="732"/>
    <x v="254"/>
    <s v="11-12/A-B"/>
    <x v="27"/>
    <s v="BEAM"/>
    <s v="Yes"/>
    <s v="11_12_A_B"/>
    <x v="3"/>
    <n v="1"/>
    <s v=""/>
    <x v="0"/>
    <x v="0"/>
    <s v="6BE33#Box1_Box2#InBB"/>
    <s v="6BE33#Box1_Box2#InBB"/>
    <n v="0"/>
    <n v="0"/>
    <n v="0"/>
  </r>
  <r>
    <n v="733"/>
    <x v="255"/>
    <s v="11-12/B"/>
    <x v="37"/>
    <s v="BEAM"/>
    <s v="Yes"/>
    <s v="11_12_B"/>
    <x v="3"/>
    <n v="1"/>
    <s v=""/>
    <x v="0"/>
    <x v="0"/>
    <s v="6BE34#Box1_Box2#InBB"/>
    <s v="6BE34#Box1_Box2#InBB"/>
    <n v="0"/>
    <n v="0"/>
    <n v="0"/>
  </r>
  <r>
    <n v="734"/>
    <x v="256"/>
    <s v="11-12/A"/>
    <x v="27"/>
    <s v="BEAM"/>
    <s v="Yes"/>
    <s v="11_12_A"/>
    <x v="3"/>
    <n v="1"/>
    <s v=""/>
    <x v="0"/>
    <x v="0"/>
    <s v="6BE35#Box1_Box2#InBB"/>
    <s v="6BE35#Box1_Box2#InBB"/>
    <n v="0"/>
    <n v="0"/>
    <n v="0"/>
  </r>
  <r>
    <n v="735"/>
    <x v="257"/>
    <s v="11-12/A"/>
    <x v="37"/>
    <s v="BEAM"/>
    <s v="Yes"/>
    <s v="11_12_A"/>
    <x v="3"/>
    <n v="1"/>
    <s v=""/>
    <x v="0"/>
    <x v="0"/>
    <s v="6BE36#Box1_Box2#InBB"/>
    <s v="6BE36#Box1_Box2#InBB"/>
    <n v="0"/>
    <n v="0"/>
    <n v="0"/>
  </r>
  <r>
    <n v="736"/>
    <x v="258"/>
    <s v="11-12/A-B"/>
    <x v="27"/>
    <s v="BEAM"/>
    <s v="Yes"/>
    <s v="11_12_A_B"/>
    <x v="3"/>
    <n v="1"/>
    <s v=""/>
    <x v="0"/>
    <x v="0"/>
    <s v="6BE37#Box1_Box2#InBB"/>
    <s v="6BE37#Box1_Box2#InBB"/>
    <n v="0"/>
    <n v="0"/>
    <n v="0"/>
  </r>
  <r>
    <n v="737"/>
    <x v="259"/>
    <s v="11-12/A-B"/>
    <x v="37"/>
    <s v="BEAM"/>
    <s v="Yes"/>
    <s v="11_12_A_B"/>
    <x v="3"/>
    <n v="1"/>
    <s v=""/>
    <x v="0"/>
    <x v="0"/>
    <s v="6BE38#Box1_Box2#InBB"/>
    <s v="6BE38#Box1_Box2#InBB"/>
    <n v="0"/>
    <n v="0"/>
    <n v="0"/>
  </r>
  <r>
    <n v="738"/>
    <x v="260"/>
    <s v="11-12/A'-A"/>
    <x v="27"/>
    <s v="BEAM"/>
    <s v="Yes"/>
    <s v="11_12_A'_A"/>
    <x v="2"/>
    <n v="1"/>
    <s v=""/>
    <x v="0"/>
    <x v="0"/>
    <s v="6BE39#Box1_Box2_Box4_Box5#InBB"/>
    <s v="6BE39#Box1_Box2_Box4_Box5#InBB"/>
    <n v="0"/>
    <n v="0"/>
    <n v="0"/>
  </r>
  <r>
    <n v="739"/>
    <x v="261"/>
    <s v="11-12/A-B"/>
    <x v="27"/>
    <s v="BEAM"/>
    <s v="Yes"/>
    <s v="11_12_A_B"/>
    <x v="3"/>
    <n v="1"/>
    <s v=""/>
    <x v="0"/>
    <x v="0"/>
    <s v="6BE40#Box1_Box2#InBB"/>
    <s v="6BE40#Box1_Box2#InBB"/>
    <n v="0"/>
    <n v="0"/>
    <n v="0"/>
  </r>
  <r>
    <n v="752"/>
    <x v="262"/>
    <s v="10/A-B"/>
    <x v="27"/>
    <s v="BEAM"/>
    <s v="Yes"/>
    <s v="10_A_B"/>
    <x v="1"/>
    <n v="1"/>
    <s v=""/>
    <x v="1"/>
    <x v="1"/>
    <s v="6BE52#Box1#10_A_B"/>
    <s v="6BE52#Box1#InB"/>
    <n v="0"/>
    <n v="0"/>
    <n v="0"/>
  </r>
  <r>
    <n v="753"/>
    <x v="263"/>
    <s v="10/A-B"/>
    <x v="37"/>
    <s v="BEAM"/>
    <s v="Yes"/>
    <s v="10_A_B"/>
    <x v="1"/>
    <n v="1"/>
    <s v=""/>
    <x v="1"/>
    <x v="1"/>
    <s v="6BE53#Box1#10_A_B"/>
    <s v="6BE53#Box1#InB"/>
    <n v="0"/>
    <n v="0"/>
    <n v="0"/>
  </r>
  <r>
    <n v="755"/>
    <x v="264"/>
    <s v="11-12/B"/>
    <x v="27"/>
    <s v="BEAM"/>
    <s v="Yes"/>
    <s v="11_12_B"/>
    <x v="3"/>
    <n v="1"/>
    <s v=""/>
    <x v="0"/>
    <x v="0"/>
    <s v="6BE55#Box1_Box2#InBB"/>
    <s v="6BE55#Box1_Box2#InBB"/>
    <n v="0"/>
    <n v="0"/>
    <n v="0"/>
  </r>
  <r>
    <n v="790"/>
    <x v="265"/>
    <s v="14/A-B"/>
    <x v="27"/>
    <s v="BEAM"/>
    <s v="Yes"/>
    <s v="14_A_B"/>
    <x v="4"/>
    <n v="1"/>
    <s v=""/>
    <x v="0"/>
    <x v="0"/>
    <s v="6BE84#Box1_Box2_Box3#InBB"/>
    <s v="6BE84#Box1_Box2_Box3#InBB"/>
    <n v="1"/>
    <n v="2026.83"/>
    <n v="0"/>
  </r>
  <r>
    <n v="791"/>
    <x v="266"/>
    <s v="14/A-B"/>
    <x v="37"/>
    <s v="BEAM"/>
    <s v="Yes"/>
    <s v="14_A_B"/>
    <x v="4"/>
    <n v="1"/>
    <s v=""/>
    <x v="0"/>
    <x v="0"/>
    <s v="6BE85#Box1_Box2_Box3#InBB"/>
    <s v="6BE85#Box1_Box2_Box3#InBB"/>
    <n v="0"/>
    <n v="0"/>
    <n v="0"/>
  </r>
  <r>
    <n v="792"/>
    <x v="267"/>
    <s v="14/B&gt;"/>
    <x v="37"/>
    <s v="BEAM"/>
    <s v="Yes"/>
    <s v="14_B&gt;"/>
    <x v="5"/>
    <n v="1"/>
    <s v="O"/>
    <x v="2"/>
    <x v="2"/>
    <s v="6BE86#Box1_Box2_Box3_Box6#O"/>
    <s v="6BE86#Box1_Box2_Box3_Box6#O"/>
    <n v="0"/>
    <n v="0"/>
    <n v="0"/>
  </r>
  <r>
    <n v="816"/>
    <x v="268"/>
    <s v="10-11/A'-A"/>
    <x v="27"/>
    <s v="BEAM"/>
    <s v="Yes"/>
    <s v="10_11_A'_A"/>
    <x v="0"/>
    <n v="1"/>
    <s v=""/>
    <x v="0"/>
    <x v="0"/>
    <s v="6BE108#Box1_Box4#InBB"/>
    <s v="6BE108#Box1_Box4#InBB"/>
    <n v="0"/>
    <n v="0"/>
    <n v="0"/>
  </r>
  <r>
    <n v="817"/>
    <x v="269"/>
    <s v="11/A-B"/>
    <x v="40"/>
    <s v="HANGER"/>
    <s v="Yes"/>
    <s v="11_A_B"/>
    <x v="1"/>
    <n v="1"/>
    <s v=""/>
    <x v="4"/>
    <x v="1"/>
    <s v="6HA01#Box1#11_A_B"/>
    <s v="6HA01#Box1#InB"/>
    <n v="0"/>
    <n v="0"/>
    <n v="0"/>
  </r>
  <r>
    <n v="818"/>
    <x v="270"/>
    <s v="11-12/A-B"/>
    <x v="41"/>
    <s v="HANGER"/>
    <s v="No"/>
    <s v="11_12_A_B"/>
    <x v="3"/>
    <n v="1"/>
    <s v=""/>
    <x v="0"/>
    <x v="0"/>
    <s v="6HA02#Box1_Box2#InBB"/>
    <s v="6HA02#Box1_Box2#InBB"/>
    <n v="0"/>
    <n v="0"/>
    <n v="0"/>
  </r>
  <r>
    <n v="819"/>
    <x v="270"/>
    <s v="11-12/A-B"/>
    <x v="41"/>
    <s v="HANGER"/>
    <s v="No"/>
    <s v="11_12_A_B"/>
    <x v="3"/>
    <n v="1"/>
    <s v=""/>
    <x v="0"/>
    <x v="0"/>
    <s v="6HA02#Box1_Box2#InBB"/>
    <s v="6HA02#Box1_Box2#InBB"/>
    <n v="0"/>
    <n v="0"/>
    <n v="0"/>
  </r>
  <r>
    <n v="820"/>
    <x v="271"/>
    <s v="10-11/A-B"/>
    <x v="42"/>
    <s v="H-BRACE"/>
    <s v="No"/>
    <s v="10_11_A_B"/>
    <x v="1"/>
    <n v="1"/>
    <s v=""/>
    <x v="3"/>
    <x v="1"/>
    <s v="6HB01#Box1#InB"/>
    <s v="6HB01#Box1#InB"/>
    <n v="0"/>
    <n v="0"/>
    <n v="0"/>
  </r>
  <r>
    <n v="821"/>
    <x v="271"/>
    <s v="10-11/A-B"/>
    <x v="42"/>
    <s v="H-BRACE"/>
    <s v="No"/>
    <s v="10_11_A_B"/>
    <x v="1"/>
    <n v="1"/>
    <s v=""/>
    <x v="3"/>
    <x v="1"/>
    <s v="6HB01#Box1#InB"/>
    <s v="6HB01#Box1#InB"/>
    <n v="0"/>
    <n v="0"/>
    <n v="0"/>
  </r>
  <r>
    <n v="822"/>
    <x v="271"/>
    <s v="10-11/A-B"/>
    <x v="42"/>
    <s v="H-BRACE"/>
    <s v="No"/>
    <s v="10_11_A_B"/>
    <x v="1"/>
    <n v="1"/>
    <s v=""/>
    <x v="3"/>
    <x v="1"/>
    <s v="6HB01#Box1#InB"/>
    <s v="6HB01#Box1#InB"/>
    <n v="0"/>
    <n v="0"/>
    <n v="0"/>
  </r>
  <r>
    <n v="823"/>
    <x v="271"/>
    <s v="10-11/A-B"/>
    <x v="42"/>
    <s v="H-BRACE"/>
    <s v="No"/>
    <s v="10_11_A_B"/>
    <x v="1"/>
    <n v="1"/>
    <s v=""/>
    <x v="3"/>
    <x v="1"/>
    <s v="6HB01#Box1#InB"/>
    <s v="6HB01#Box1#InB"/>
    <n v="0"/>
    <n v="0"/>
    <n v="0"/>
  </r>
  <r>
    <n v="824"/>
    <x v="272"/>
    <s v="10-11/A-B"/>
    <x v="42"/>
    <s v="H-BRACE"/>
    <s v="No"/>
    <s v="10_11_A_B"/>
    <x v="1"/>
    <n v="1"/>
    <s v=""/>
    <x v="3"/>
    <x v="1"/>
    <s v="6HB02#Box1#InB"/>
    <s v="6HB02#Box1#InB"/>
    <n v="0"/>
    <n v="0"/>
    <n v="0"/>
  </r>
  <r>
    <n v="825"/>
    <x v="272"/>
    <s v="10-11/A-B"/>
    <x v="42"/>
    <s v="H-BRACE"/>
    <s v="No"/>
    <s v="10_11_A_B"/>
    <x v="1"/>
    <n v="1"/>
    <s v=""/>
    <x v="3"/>
    <x v="1"/>
    <s v="6HB02#Box1#InB"/>
    <s v="6HB02#Box1#InB"/>
    <n v="0"/>
    <n v="0"/>
    <n v="0"/>
  </r>
  <r>
    <n v="826"/>
    <x v="273"/>
    <s v="10-11/A'-A"/>
    <x v="42"/>
    <s v="H-BRACE"/>
    <s v="Yes"/>
    <s v="10_11_A'_A"/>
    <x v="0"/>
    <n v="1"/>
    <s v=""/>
    <x v="0"/>
    <x v="0"/>
    <s v="6HB03#Box1_Box4#InBB"/>
    <s v="6HB03#Box1_Box4#InBB"/>
    <n v="0"/>
    <n v="0"/>
    <n v="0"/>
  </r>
  <r>
    <n v="827"/>
    <x v="274"/>
    <s v="10-11/B&gt;"/>
    <x v="42"/>
    <s v="H-BRACE"/>
    <s v="Yes"/>
    <s v="10_11_B&gt;"/>
    <x v="1"/>
    <n v="1"/>
    <s v="O"/>
    <x v="2"/>
    <x v="2"/>
    <s v="6HB04#Box1#O"/>
    <s v="6HB04#Box1#O"/>
    <n v="0"/>
    <n v="0"/>
    <n v="0"/>
  </r>
  <r>
    <n v="828"/>
    <x v="275"/>
    <s v="10-11/A-B"/>
    <x v="42"/>
    <s v="H-BRACE"/>
    <s v="No"/>
    <s v="10_11_A_B"/>
    <x v="1"/>
    <n v="1"/>
    <s v=""/>
    <x v="3"/>
    <x v="1"/>
    <s v="6HB05#Box1#InB"/>
    <s v="6HB05#Box1#InB"/>
    <n v="0"/>
    <n v="0"/>
    <n v="0"/>
  </r>
  <r>
    <n v="829"/>
    <x v="275"/>
    <s v="10-11/A-B"/>
    <x v="42"/>
    <s v="H-BRACE"/>
    <s v="No"/>
    <s v="10_11_A_B"/>
    <x v="1"/>
    <n v="1"/>
    <s v=""/>
    <x v="3"/>
    <x v="1"/>
    <s v="6HB05#Box1#InB"/>
    <s v="6HB05#Box1#InB"/>
    <n v="0"/>
    <n v="0"/>
    <n v="0"/>
  </r>
  <r>
    <n v="830"/>
    <x v="276"/>
    <s v="10-11/A'-A"/>
    <x v="42"/>
    <s v="H-BRACE"/>
    <s v="Yes"/>
    <s v="10_11_A'_A"/>
    <x v="0"/>
    <n v="1"/>
    <s v=""/>
    <x v="0"/>
    <x v="0"/>
    <s v="6HB06#Box1_Box4#InBB"/>
    <s v="6HB06#Box1_Box4#InBB"/>
    <n v="0"/>
    <n v="0"/>
    <n v="0"/>
  </r>
  <r>
    <n v="831"/>
    <x v="277"/>
    <s v="10-11/B&gt;"/>
    <x v="42"/>
    <s v="H-BRACE"/>
    <s v="Yes"/>
    <s v="10_11_B&gt;"/>
    <x v="1"/>
    <n v="1"/>
    <s v="O"/>
    <x v="2"/>
    <x v="2"/>
    <s v="6HB07#Box1#O"/>
    <s v="6HB07#Box1#O"/>
    <n v="0"/>
    <n v="0"/>
    <n v="0"/>
  </r>
  <r>
    <n v="832"/>
    <x v="278"/>
    <s v="11-12/A'-A"/>
    <x v="42"/>
    <s v="H-BRACE"/>
    <s v="Yes"/>
    <s v="11_12_A'_A"/>
    <x v="2"/>
    <n v="1"/>
    <s v=""/>
    <x v="0"/>
    <x v="0"/>
    <s v="6HB08#Box1_Box2_Box4_Box5#InBB"/>
    <s v="6HB08#Box1_Box2_Box4_Box5#InBB"/>
    <n v="0"/>
    <n v="0"/>
    <n v="0"/>
  </r>
  <r>
    <n v="833"/>
    <x v="279"/>
    <s v="11-12/A-B"/>
    <x v="38"/>
    <s v="H-BRACE"/>
    <s v="No"/>
    <s v="11_12_A_B"/>
    <x v="3"/>
    <n v="1"/>
    <s v=""/>
    <x v="0"/>
    <x v="0"/>
    <s v="6HB09#Box1_Box2#InBB"/>
    <s v="6HB09#Box1_Box2#InBB"/>
    <n v="0"/>
    <n v="0"/>
    <n v="0"/>
  </r>
  <r>
    <n v="834"/>
    <x v="279"/>
    <s v="11-12/A-B"/>
    <x v="38"/>
    <s v="H-BRACE"/>
    <s v="No"/>
    <s v="11_12_A_B"/>
    <x v="3"/>
    <n v="1"/>
    <s v=""/>
    <x v="0"/>
    <x v="0"/>
    <s v="6HB09#Box1_Box2#InBB"/>
    <s v="6HB09#Box1_Box2#InBB"/>
    <n v="0"/>
    <n v="0"/>
    <n v="0"/>
  </r>
  <r>
    <n v="835"/>
    <x v="279"/>
    <s v="11-12/A-B"/>
    <x v="38"/>
    <s v="H-BRACE"/>
    <s v="No"/>
    <s v="11_12_A_B"/>
    <x v="3"/>
    <n v="1"/>
    <s v=""/>
    <x v="0"/>
    <x v="0"/>
    <s v="6HB09#Box1_Box2#InBB"/>
    <s v="6HB09#Box1_Box2#InBB"/>
    <n v="0"/>
    <n v="0"/>
    <n v="0"/>
  </r>
  <r>
    <n v="836"/>
    <x v="280"/>
    <s v="11-12/A'-A"/>
    <x v="42"/>
    <s v="H-BRACE"/>
    <s v="Yes"/>
    <s v="11_12_A'_A"/>
    <x v="2"/>
    <n v="1"/>
    <s v=""/>
    <x v="0"/>
    <x v="0"/>
    <s v="6HB10#Box1_Box2_Box4_Box5#InBB"/>
    <s v="6HB10#Box1_Box2_Box4_Box5#InBB"/>
    <n v="0"/>
    <n v="0"/>
    <n v="0"/>
  </r>
  <r>
    <n v="837"/>
    <x v="281"/>
    <s v="11-12/A-B"/>
    <x v="39"/>
    <s v="H-BRACE"/>
    <s v="No"/>
    <s v="11_12_A_B"/>
    <x v="3"/>
    <n v="1"/>
    <s v=""/>
    <x v="0"/>
    <x v="0"/>
    <s v="6HB11#Box1_Box2#InBB"/>
    <s v="6HB11#Box1_Box2#InBB"/>
    <n v="0"/>
    <n v="0"/>
    <n v="0"/>
  </r>
  <r>
    <n v="838"/>
    <x v="281"/>
    <s v="11-12/A-B"/>
    <x v="39"/>
    <s v="H-BRACE"/>
    <s v="No"/>
    <s v="11_12_A_B"/>
    <x v="3"/>
    <n v="1"/>
    <s v=""/>
    <x v="0"/>
    <x v="0"/>
    <s v="6HB11#Box1_Box2#InBB"/>
    <s v="6HB11#Box1_Box2#InBB"/>
    <n v="0"/>
    <n v="0"/>
    <n v="0"/>
  </r>
  <r>
    <n v="839"/>
    <x v="282"/>
    <s v="11-12/A'-A"/>
    <x v="42"/>
    <s v="H-BRACE"/>
    <s v="No"/>
    <s v="11_12_A'_A"/>
    <x v="2"/>
    <n v="1"/>
    <s v=""/>
    <x v="0"/>
    <x v="0"/>
    <s v="6HB12#Box1_Box2_Box4_Box5#InBB"/>
    <s v="6HB12#Box1_Box2_Box4_Box5#InBB"/>
    <n v="0"/>
    <n v="0"/>
    <n v="0"/>
  </r>
  <r>
    <n v="840"/>
    <x v="282"/>
    <s v="11-12/A'-A"/>
    <x v="42"/>
    <s v="H-BRACE"/>
    <s v="No"/>
    <s v="11_12_A'_A"/>
    <x v="2"/>
    <n v="1"/>
    <s v=""/>
    <x v="0"/>
    <x v="0"/>
    <s v="6HB12#Box1_Box2_Box4_Box5#InBB"/>
    <s v="6HB12#Box1_Box2_Box4_Box5#InBB"/>
    <n v="0"/>
    <n v="0"/>
    <n v="0"/>
  </r>
  <r>
    <n v="841"/>
    <x v="282"/>
    <s v="11-12/A'-A"/>
    <x v="42"/>
    <s v="H-BRACE"/>
    <s v="No"/>
    <s v="11_12_A'_A"/>
    <x v="2"/>
    <n v="1"/>
    <s v=""/>
    <x v="0"/>
    <x v="0"/>
    <s v="6HB12#Box1_Box2_Box4_Box5#InBB"/>
    <s v="6HB12#Box1_Box2_Box4_Box5#InBB"/>
    <n v="0"/>
    <n v="0"/>
    <n v="0"/>
  </r>
  <r>
    <n v="842"/>
    <x v="283"/>
    <s v="11-12/A-B"/>
    <x v="39"/>
    <s v="H-BRACE"/>
    <s v="Yes"/>
    <s v="11_12_A_B"/>
    <x v="3"/>
    <n v="1"/>
    <s v=""/>
    <x v="0"/>
    <x v="0"/>
    <s v="6HB13#Box1_Box2#InBB"/>
    <s v="6HB13#Box1_Box2#InBB"/>
    <n v="0"/>
    <n v="0"/>
    <n v="0"/>
  </r>
  <r>
    <n v="843"/>
    <x v="284"/>
    <s v="11-12/A-B"/>
    <x v="39"/>
    <s v="H-BRACE"/>
    <s v="Yes"/>
    <s v="11_12_A_B"/>
    <x v="3"/>
    <n v="1"/>
    <s v=""/>
    <x v="0"/>
    <x v="0"/>
    <s v="6HB14#Box1_Box2#InBB"/>
    <s v="6HB14#Box1_Box2#InBB"/>
    <n v="0"/>
    <n v="0"/>
    <n v="0"/>
  </r>
  <r>
    <n v="844"/>
    <x v="285"/>
    <s v="11-12/A-B"/>
    <x v="38"/>
    <s v="H-BRACE"/>
    <s v="Yes"/>
    <s v="11_12_A_B"/>
    <x v="3"/>
    <n v="1"/>
    <s v=""/>
    <x v="0"/>
    <x v="0"/>
    <s v="6HB15#Box1_Box2#InBB"/>
    <s v="6HB15#Box1_Box2#InBB"/>
    <n v="0"/>
    <n v="0"/>
    <n v="0"/>
  </r>
  <r>
    <n v="845"/>
    <x v="286"/>
    <s v="11-12/A-B"/>
    <x v="39"/>
    <s v="H-BRACE"/>
    <s v="Yes"/>
    <s v="11_12_A_B"/>
    <x v="3"/>
    <n v="1"/>
    <s v=""/>
    <x v="0"/>
    <x v="0"/>
    <s v="6HB16#Box1_Box2#InBB"/>
    <s v="6HB16#Box1_Box2#InBB"/>
    <n v="0"/>
    <n v="0"/>
    <n v="0"/>
  </r>
  <r>
    <n v="846"/>
    <x v="287"/>
    <s v="11-12/A'-A"/>
    <x v="42"/>
    <s v="H-BRACE"/>
    <s v="Yes"/>
    <s v="11_12_A'_A"/>
    <x v="2"/>
    <n v="1"/>
    <s v=""/>
    <x v="0"/>
    <x v="0"/>
    <s v="6HB17#Box1_Box2_Box4_Box5#InBB"/>
    <s v="6HB17#Box1_Box2_Box4_Box5#InBB"/>
    <n v="0"/>
    <n v="0"/>
    <n v="0"/>
  </r>
  <r>
    <n v="890"/>
    <x v="288"/>
    <s v="10/A"/>
    <x v="43"/>
    <s v="COLUMN"/>
    <s v="Yes"/>
    <s v="10_A"/>
    <x v="1"/>
    <n v="1"/>
    <s v=""/>
    <x v="5"/>
    <x v="3"/>
    <s v="C01#Box1#10_B_A"/>
    <s v="C01#Box1#10_11_A"/>
    <n v="1"/>
    <n v="3187.51"/>
    <n v="0"/>
  </r>
  <r>
    <n v="891"/>
    <x v="289"/>
    <s v="10/A"/>
    <x v="44"/>
    <s v="COLUMN"/>
    <s v="Yes"/>
    <s v="10_A"/>
    <x v="1"/>
    <n v="1"/>
    <s v=""/>
    <x v="5"/>
    <x v="3"/>
    <s v="C02#Box1#10_B_A"/>
    <s v="C02#Box1#10_11_A"/>
    <n v="0"/>
    <n v="0"/>
    <n v="0"/>
  </r>
  <r>
    <n v="892"/>
    <x v="290"/>
    <s v="10/A"/>
    <x v="45"/>
    <s v="COLUMN"/>
    <s v="Yes"/>
    <s v="10_A"/>
    <x v="1"/>
    <n v="1"/>
    <s v=""/>
    <x v="5"/>
    <x v="3"/>
    <s v="C03#Box1#10_B_A"/>
    <s v="C03#Box1#10_11_A"/>
    <n v="1"/>
    <n v="2052.5700000000002"/>
    <n v="0"/>
  </r>
  <r>
    <n v="895"/>
    <x v="291"/>
    <s v="10/B"/>
    <x v="43"/>
    <s v="COLUMN"/>
    <s v="Yes"/>
    <s v="10_B"/>
    <x v="1"/>
    <n v="1"/>
    <s v=""/>
    <x v="5"/>
    <x v="4"/>
    <s v="C06#Box1#10_B_A"/>
    <s v="C06#Box1#10_11_B"/>
    <n v="1"/>
    <n v="3187.51"/>
    <n v="0"/>
  </r>
  <r>
    <n v="896"/>
    <x v="292"/>
    <s v="10/B"/>
    <x v="44"/>
    <s v="COLUMN"/>
    <s v="Yes"/>
    <s v="10_B"/>
    <x v="1"/>
    <n v="1"/>
    <s v=""/>
    <x v="5"/>
    <x v="4"/>
    <s v="C07#Box1#10_B_A"/>
    <s v="C07#Box1#10_11_B"/>
    <n v="0"/>
    <n v="0"/>
    <n v="0"/>
  </r>
  <r>
    <n v="897"/>
    <x v="293"/>
    <s v="10/B"/>
    <x v="45"/>
    <s v="COLUMN"/>
    <s v="Yes"/>
    <s v="10_B"/>
    <x v="1"/>
    <n v="1"/>
    <s v=""/>
    <x v="5"/>
    <x v="4"/>
    <s v="C08#Box1#10_B_A"/>
    <s v="C08#Box1#10_11_B"/>
    <n v="0"/>
    <n v="0"/>
    <n v="0"/>
  </r>
  <r>
    <n v="898"/>
    <x v="294"/>
    <s v="14/A"/>
    <x v="46"/>
    <s v="COLUMN"/>
    <s v="Yes"/>
    <s v="14_A"/>
    <x v="5"/>
    <n v="1"/>
    <s v=""/>
    <x v="0"/>
    <x v="0"/>
    <s v="C09#Box1_Box2_Box3_Box6#InBB"/>
    <s v="C09#Box1_Box2_Box3_Box6#InBB"/>
    <n v="1"/>
    <n v="3183.49"/>
    <n v="0"/>
  </r>
  <r>
    <n v="899"/>
    <x v="295"/>
    <s v="11/A"/>
    <x v="43"/>
    <s v="COLUMN"/>
    <s v="Yes"/>
    <s v="11_A"/>
    <x v="1"/>
    <n v="1"/>
    <s v=""/>
    <x v="6"/>
    <x v="3"/>
    <s v="C10#Box1#11_B_A"/>
    <s v="C10#Box1#10_11_A"/>
    <n v="1"/>
    <n v="4158.7"/>
    <n v="0"/>
  </r>
  <r>
    <n v="900"/>
    <x v="296"/>
    <s v="11/A"/>
    <x v="44"/>
    <s v="COLUMN"/>
    <s v="Yes"/>
    <s v="11_A"/>
    <x v="1"/>
    <n v="1"/>
    <s v=""/>
    <x v="6"/>
    <x v="3"/>
    <s v="C11#Box1#11_B_A"/>
    <s v="C11#Box1#10_11_A"/>
    <n v="1"/>
    <n v="2343.83"/>
    <n v="0"/>
  </r>
  <r>
    <n v="901"/>
    <x v="297"/>
    <s v="11/A"/>
    <x v="45"/>
    <s v="COLUMN"/>
    <s v="Yes"/>
    <s v="11_A"/>
    <x v="1"/>
    <n v="1"/>
    <s v=""/>
    <x v="6"/>
    <x v="3"/>
    <s v="C12#Box1#11_B_A"/>
    <s v="C12#Box1#10_11_A"/>
    <n v="1"/>
    <n v="1951.65"/>
    <n v="0"/>
  </r>
  <r>
    <n v="902"/>
    <x v="298"/>
    <s v="14/A"/>
    <x v="47"/>
    <s v="COLUMN"/>
    <s v="Yes"/>
    <s v="14_A"/>
    <x v="5"/>
    <n v="1"/>
    <s v=""/>
    <x v="0"/>
    <x v="0"/>
    <s v="C13#Box1_Box2_Box3_Box6#InBB"/>
    <s v="C13#Box1_Box2_Box3_Box6#InBB"/>
    <n v="0"/>
    <n v="0"/>
    <n v="0"/>
  </r>
  <r>
    <n v="903"/>
    <x v="299"/>
    <s v="11/B"/>
    <x v="43"/>
    <s v="COLUMN"/>
    <s v="Yes"/>
    <s v="11_B"/>
    <x v="1"/>
    <n v="1"/>
    <s v=""/>
    <x v="6"/>
    <x v="4"/>
    <s v="C14#Box1#11_B_A"/>
    <s v="C14#Box1#10_11_B"/>
    <n v="1"/>
    <n v="4202.7700000000004"/>
    <n v="0"/>
  </r>
  <r>
    <n v="904"/>
    <x v="300"/>
    <s v="11/B"/>
    <x v="48"/>
    <s v="COLUMN"/>
    <s v="Yes"/>
    <s v="11_B"/>
    <x v="1"/>
    <n v="1"/>
    <s v=""/>
    <x v="6"/>
    <x v="4"/>
    <s v="C15#Box1#11_B_A"/>
    <s v="C15#Box1#10_11_B"/>
    <n v="0"/>
    <n v="0"/>
    <n v="0"/>
  </r>
  <r>
    <n v="905"/>
    <x v="301"/>
    <s v="11/B"/>
    <x v="45"/>
    <s v="COLUMN"/>
    <s v="Yes"/>
    <s v="11_B"/>
    <x v="1"/>
    <n v="1"/>
    <s v=""/>
    <x v="6"/>
    <x v="4"/>
    <s v="C16#Box1#11_B_A"/>
    <s v="C16#Box1#10_11_B"/>
    <n v="0"/>
    <n v="0"/>
    <n v="0"/>
  </r>
  <r>
    <n v="906"/>
    <x v="302"/>
    <s v="14/B"/>
    <x v="46"/>
    <s v="COLUMN"/>
    <s v="Yes"/>
    <s v="14_B"/>
    <x v="5"/>
    <n v="1"/>
    <s v=""/>
    <x v="0"/>
    <x v="0"/>
    <s v="C17#Box1_Box2_Box3_Box6#InBB"/>
    <s v="C17#Box1_Box2_Box3_Box6#InBB"/>
    <n v="0"/>
    <n v="0"/>
    <n v="0"/>
  </r>
  <r>
    <n v="910"/>
    <x v="303"/>
    <s v="14/B"/>
    <x v="47"/>
    <s v="COLUMN"/>
    <s v="Yes"/>
    <s v="14_B"/>
    <x v="5"/>
    <n v="1"/>
    <s v=""/>
    <x v="0"/>
    <x v="0"/>
    <s v="C21#Box1_Box2_Box3_Box6#InBB"/>
    <s v="C21#Box1_Box2_Box3_Box6#InBB"/>
    <n v="0"/>
    <n v="0"/>
    <n v="0"/>
  </r>
  <r>
    <n v="926"/>
    <x v="304"/>
    <s v="14/A"/>
    <x v="49"/>
    <s v="COLUMN"/>
    <s v="Yes"/>
    <s v="14_A"/>
    <x v="5"/>
    <n v="1"/>
    <s v=""/>
    <x v="0"/>
    <x v="0"/>
    <s v="C37#Box1_Box2_Box3_Box6#InBB"/>
    <s v="C37#Box1_Box2_Box3_Box6#InBB"/>
    <n v="1"/>
    <n v="2625.03"/>
    <n v="0"/>
  </r>
  <r>
    <n v="927"/>
    <x v="305"/>
    <s v="14/B"/>
    <x v="49"/>
    <s v="COLUMN"/>
    <s v="Yes"/>
    <s v="14_B"/>
    <x v="5"/>
    <n v="1"/>
    <s v=""/>
    <x v="0"/>
    <x v="0"/>
    <s v="C38#Box1_Box2_Box3_Box6#InBB"/>
    <s v="C38#Box1_Box2_Box3_Box6#InBB"/>
    <n v="1"/>
    <n v="2613.58"/>
    <n v="0"/>
  </r>
  <r>
    <n v="928"/>
    <x v="306"/>
    <s v="10/B"/>
    <x v="50"/>
    <s v="SPLICE PLATE"/>
    <s v="No"/>
    <s v="10_B"/>
    <x v="1"/>
    <n v="1"/>
    <s v=""/>
    <x v="5"/>
    <x v="4"/>
    <s v="SF01#Box1#10_B_A"/>
    <s v="SF01#Box1#10_11_B"/>
    <n v="1"/>
    <n v="877.94"/>
    <n v="0"/>
  </r>
  <r>
    <n v="929"/>
    <x v="306"/>
    <s v="14/B"/>
    <x v="51"/>
    <s v="SPLICE PLATE"/>
    <s v="No"/>
    <s v="14_B"/>
    <x v="5"/>
    <n v="1"/>
    <s v=""/>
    <x v="0"/>
    <x v="0"/>
    <s v="SF01#Box1_Box2_Box3_Box6#InBB"/>
    <s v="SF01#Box1_Box2_Box3_Box6#InBB"/>
    <n v="1"/>
    <n v="877.94"/>
    <n v="0"/>
  </r>
  <r>
    <n v="931"/>
    <x v="306"/>
    <s v="10/B"/>
    <x v="50"/>
    <s v="SPLICE PLATE"/>
    <s v="No"/>
    <s v="10_B"/>
    <x v="1"/>
    <n v="1"/>
    <s v=""/>
    <x v="5"/>
    <x v="4"/>
    <s v="SF01#Box1#10_B_A"/>
    <s v="SF01#Box1#10_11_B"/>
    <n v="1"/>
    <n v="877.94"/>
    <n v="0"/>
  </r>
  <r>
    <n v="932"/>
    <x v="306"/>
    <s v="14/A"/>
    <x v="51"/>
    <s v="SPLICE PLATE"/>
    <s v="No"/>
    <s v="14_A"/>
    <x v="5"/>
    <n v="1"/>
    <s v=""/>
    <x v="0"/>
    <x v="0"/>
    <s v="SF01#Box1_Box2_Box3_Box6#InBB"/>
    <s v="SF01#Box1_Box2_Box3_Box6#InBB"/>
    <n v="1"/>
    <n v="877.94"/>
    <n v="0"/>
  </r>
  <r>
    <n v="934"/>
    <x v="306"/>
    <s v="14/A"/>
    <x v="51"/>
    <s v="SPLICE PLATE"/>
    <s v="No"/>
    <s v="14_A"/>
    <x v="5"/>
    <n v="1"/>
    <s v=""/>
    <x v="0"/>
    <x v="0"/>
    <s v="SF01#Box1_Box2_Box3_Box6#InBB"/>
    <s v="SF01#Box1_Box2_Box3_Box6#InBB"/>
    <n v="1"/>
    <n v="877.94"/>
    <n v="0"/>
  </r>
  <r>
    <n v="936"/>
    <x v="306"/>
    <s v="10/B"/>
    <x v="50"/>
    <s v="SPLICE PLATE"/>
    <s v="No"/>
    <s v="10_B"/>
    <x v="1"/>
    <n v="1"/>
    <s v=""/>
    <x v="5"/>
    <x v="4"/>
    <s v="SF01#Box1#10_B_A"/>
    <s v="SF01#Box1#10_11_B"/>
    <n v="1"/>
    <n v="877.94"/>
    <n v="0"/>
  </r>
  <r>
    <n v="939"/>
    <x v="306"/>
    <s v="10/B"/>
    <x v="50"/>
    <s v="SPLICE PLATE"/>
    <s v="No"/>
    <s v="10_B"/>
    <x v="1"/>
    <n v="1"/>
    <s v=""/>
    <x v="5"/>
    <x v="4"/>
    <s v="SF01#Box1#10_B_A"/>
    <s v="SF01#Box1#10_11_B"/>
    <n v="1"/>
    <n v="877.94"/>
    <n v="0"/>
  </r>
  <r>
    <n v="940"/>
    <x v="306"/>
    <s v="14/A"/>
    <x v="51"/>
    <s v="SPLICE PLATE"/>
    <s v="No"/>
    <s v="14_A"/>
    <x v="5"/>
    <n v="1"/>
    <s v=""/>
    <x v="0"/>
    <x v="0"/>
    <s v="SF01#Box1_Box2_Box3_Box6#InBB"/>
    <s v="SF01#Box1_Box2_Box3_Box6#InBB"/>
    <n v="1"/>
    <n v="877.94"/>
    <n v="0"/>
  </r>
  <r>
    <n v="941"/>
    <x v="306"/>
    <s v="14/B"/>
    <x v="51"/>
    <s v="SPLICE PLATE"/>
    <s v="No"/>
    <s v="14_B"/>
    <x v="5"/>
    <n v="1"/>
    <s v=""/>
    <x v="0"/>
    <x v="0"/>
    <s v="SF01#Box1_Box2_Box3_Box6#InBB"/>
    <s v="SF01#Box1_Box2_Box3_Box6#InBB"/>
    <n v="1"/>
    <n v="877.94"/>
    <n v="0"/>
  </r>
  <r>
    <n v="942"/>
    <x v="306"/>
    <s v="10/A"/>
    <x v="50"/>
    <s v="SPLICE PLATE"/>
    <s v="No"/>
    <s v="10_A"/>
    <x v="1"/>
    <n v="1"/>
    <s v=""/>
    <x v="5"/>
    <x v="3"/>
    <s v="SF01#Box1#10_B_A"/>
    <s v="SF01#Box1#10_11_A"/>
    <n v="1"/>
    <n v="877.94"/>
    <n v="0"/>
  </r>
  <r>
    <n v="944"/>
    <x v="306"/>
    <s v="14/B"/>
    <x v="51"/>
    <s v="SPLICE PLATE"/>
    <s v="No"/>
    <s v="14_B"/>
    <x v="5"/>
    <n v="1"/>
    <s v=""/>
    <x v="0"/>
    <x v="0"/>
    <s v="SF01#Box1_Box2_Box3_Box6#InBB"/>
    <s v="SF01#Box1_Box2_Box3_Box6#InBB"/>
    <n v="1"/>
    <n v="877.94"/>
    <n v="0"/>
  </r>
  <r>
    <n v="945"/>
    <x v="306"/>
    <s v="10/A"/>
    <x v="50"/>
    <s v="SPLICE PLATE"/>
    <s v="No"/>
    <s v="10_A"/>
    <x v="1"/>
    <n v="1"/>
    <s v=""/>
    <x v="5"/>
    <x v="3"/>
    <s v="SF01#Box1#10_B_A"/>
    <s v="SF01#Box1#10_11_A"/>
    <n v="1"/>
    <n v="877.94"/>
    <n v="0"/>
  </r>
  <r>
    <n v="946"/>
    <x v="306"/>
    <s v="14/B"/>
    <x v="51"/>
    <s v="SPLICE PLATE"/>
    <s v="No"/>
    <s v="14_B"/>
    <x v="5"/>
    <n v="1"/>
    <s v=""/>
    <x v="0"/>
    <x v="0"/>
    <s v="SF01#Box1_Box2_Box3_Box6#InBB"/>
    <s v="SF01#Box1_Box2_Box3_Box6#InBB"/>
    <n v="1"/>
    <n v="877.94"/>
    <n v="0"/>
  </r>
  <r>
    <n v="948"/>
    <x v="306"/>
    <s v="10/A"/>
    <x v="50"/>
    <s v="SPLICE PLATE"/>
    <s v="No"/>
    <s v="10_A"/>
    <x v="1"/>
    <n v="1"/>
    <s v=""/>
    <x v="5"/>
    <x v="3"/>
    <s v="SF01#Box1#10_B_A"/>
    <s v="SF01#Box1#10_11_A"/>
    <n v="1"/>
    <n v="877.94"/>
    <n v="0"/>
  </r>
  <r>
    <n v="949"/>
    <x v="306"/>
    <s v="14/A"/>
    <x v="51"/>
    <s v="SPLICE PLATE"/>
    <s v="No"/>
    <s v="14_A"/>
    <x v="5"/>
    <n v="1"/>
    <s v=""/>
    <x v="0"/>
    <x v="0"/>
    <s v="SF01#Box1_Box2_Box3_Box6#InBB"/>
    <s v="SF01#Box1_Box2_Box3_Box6#InBB"/>
    <n v="1"/>
    <n v="877.94"/>
    <n v="0"/>
  </r>
  <r>
    <n v="951"/>
    <x v="306"/>
    <s v="10/A"/>
    <x v="50"/>
    <s v="SPLICE PLATE"/>
    <s v="No"/>
    <s v="10_A"/>
    <x v="1"/>
    <n v="1"/>
    <s v=""/>
    <x v="5"/>
    <x v="3"/>
    <s v="SF01#Box1#10_B_A"/>
    <s v="SF01#Box1#10_11_A"/>
    <n v="1"/>
    <n v="877.94"/>
    <n v="0"/>
  </r>
  <r>
    <n v="952"/>
    <x v="307"/>
    <s v="11/A"/>
    <x v="52"/>
    <s v="SPLICE PLATE"/>
    <s v="No"/>
    <s v="11_A"/>
    <x v="1"/>
    <n v="1"/>
    <s v=""/>
    <x v="6"/>
    <x v="3"/>
    <s v="SF02#Box1#11_B_A"/>
    <s v="SF02#Box1#10_11_A"/>
    <n v="1"/>
    <n v="1440.79"/>
    <n v="0"/>
  </r>
  <r>
    <n v="953"/>
    <x v="307"/>
    <s v="11/A"/>
    <x v="52"/>
    <s v="SPLICE PLATE"/>
    <s v="No"/>
    <s v="11_A"/>
    <x v="1"/>
    <n v="1"/>
    <s v=""/>
    <x v="6"/>
    <x v="3"/>
    <s v="SF02#Box1#11_B_A"/>
    <s v="SF02#Box1#10_11_A"/>
    <n v="1"/>
    <n v="1440.79"/>
    <n v="0"/>
  </r>
  <r>
    <n v="956"/>
    <x v="307"/>
    <s v="11/B"/>
    <x v="52"/>
    <s v="SPLICE PLATE"/>
    <s v="No"/>
    <s v="11_B"/>
    <x v="1"/>
    <n v="1"/>
    <s v=""/>
    <x v="6"/>
    <x v="4"/>
    <s v="SF02#Box1#11_B_A"/>
    <s v="SF02#Box1#10_11_B"/>
    <n v="1"/>
    <n v="1440.79"/>
    <n v="0"/>
  </r>
  <r>
    <n v="958"/>
    <x v="307"/>
    <s v="11/A"/>
    <x v="52"/>
    <s v="SPLICE PLATE"/>
    <s v="No"/>
    <s v="11_A"/>
    <x v="1"/>
    <n v="1"/>
    <s v=""/>
    <x v="6"/>
    <x v="3"/>
    <s v="SF02#Box1#11_B_A"/>
    <s v="SF02#Box1#10_11_A"/>
    <n v="1"/>
    <n v="1440.79"/>
    <n v="0"/>
  </r>
  <r>
    <n v="959"/>
    <x v="307"/>
    <s v="11/A"/>
    <x v="52"/>
    <s v="SPLICE PLATE"/>
    <s v="No"/>
    <s v="11_A"/>
    <x v="1"/>
    <n v="1"/>
    <s v=""/>
    <x v="6"/>
    <x v="3"/>
    <s v="SF02#Box1#11_B_A"/>
    <s v="SF02#Box1#10_11_A"/>
    <n v="1"/>
    <n v="1440.79"/>
    <n v="0"/>
  </r>
  <r>
    <n v="961"/>
    <x v="307"/>
    <s v="11/B"/>
    <x v="52"/>
    <s v="SPLICE PLATE"/>
    <s v="No"/>
    <s v="11_B"/>
    <x v="1"/>
    <n v="1"/>
    <s v=""/>
    <x v="6"/>
    <x v="4"/>
    <s v="SF02#Box1#11_B_A"/>
    <s v="SF02#Box1#10_11_B"/>
    <n v="1"/>
    <n v="1440.79"/>
    <n v="0"/>
  </r>
  <r>
    <n v="964"/>
    <x v="307"/>
    <s v="11/B"/>
    <x v="52"/>
    <s v="SPLICE PLATE"/>
    <s v="No"/>
    <s v="11_B"/>
    <x v="1"/>
    <n v="1"/>
    <s v=""/>
    <x v="6"/>
    <x v="4"/>
    <s v="SF02#Box1#11_B_A"/>
    <s v="SF02#Box1#10_11_B"/>
    <n v="1"/>
    <n v="1440.79"/>
    <n v="0"/>
  </r>
  <r>
    <n v="967"/>
    <x v="307"/>
    <s v="11/B"/>
    <x v="52"/>
    <s v="SPLICE PLATE"/>
    <s v="No"/>
    <s v="11_B"/>
    <x v="1"/>
    <n v="1"/>
    <s v=""/>
    <x v="6"/>
    <x v="4"/>
    <s v="SF02#Box1#11_B_A"/>
    <s v="SF02#Box1#10_11_B"/>
    <n v="1"/>
    <n v="1440.79"/>
    <n v="0"/>
  </r>
  <r>
    <n v="970"/>
    <x v="307"/>
    <s v="11/A"/>
    <x v="53"/>
    <s v="SPLICE PLATE"/>
    <s v="No"/>
    <s v="11_A"/>
    <x v="1"/>
    <n v="1"/>
    <s v=""/>
    <x v="6"/>
    <x v="3"/>
    <s v="SF02#Box1#11_B_A"/>
    <s v="SF02#Box1#10_11_A"/>
    <n v="1"/>
    <n v="1440.79"/>
    <n v="0"/>
  </r>
  <r>
    <n v="973"/>
    <x v="307"/>
    <s v="11/A"/>
    <x v="53"/>
    <s v="SPLICE PLATE"/>
    <s v="No"/>
    <s v="11_A"/>
    <x v="1"/>
    <n v="1"/>
    <s v=""/>
    <x v="6"/>
    <x v="3"/>
    <s v="SF02#Box1#11_B_A"/>
    <s v="SF02#Box1#10_11_A"/>
    <n v="1"/>
    <n v="1440.79"/>
    <n v="0"/>
  </r>
  <r>
    <n v="976"/>
    <x v="307"/>
    <s v="11/A"/>
    <x v="53"/>
    <s v="SPLICE PLATE"/>
    <s v="No"/>
    <s v="11_A"/>
    <x v="1"/>
    <n v="1"/>
    <s v=""/>
    <x v="6"/>
    <x v="3"/>
    <s v="SF02#Box1#11_B_A"/>
    <s v="SF02#Box1#10_11_A"/>
    <n v="1"/>
    <n v="1440.79"/>
    <n v="0"/>
  </r>
  <r>
    <n v="979"/>
    <x v="307"/>
    <s v="11/A"/>
    <x v="53"/>
    <s v="SPLICE PLATE"/>
    <s v="No"/>
    <s v="11_A"/>
    <x v="1"/>
    <n v="1"/>
    <s v=""/>
    <x v="6"/>
    <x v="3"/>
    <s v="SF02#Box1#11_B_A"/>
    <s v="SF02#Box1#10_11_A"/>
    <n v="1"/>
    <n v="1440.79"/>
    <n v="0"/>
  </r>
  <r>
    <n v="982"/>
    <x v="307"/>
    <s v="10/B"/>
    <x v="52"/>
    <s v="SPLICE PLATE"/>
    <s v="No"/>
    <s v="10_B"/>
    <x v="1"/>
    <n v="1"/>
    <s v=""/>
    <x v="5"/>
    <x v="4"/>
    <s v="SF02#Box1#10_B_A"/>
    <s v="SF02#Box1#10_11_B"/>
    <n v="1"/>
    <n v="1440.79"/>
    <n v="0"/>
  </r>
  <r>
    <n v="984"/>
    <x v="307"/>
    <s v="14/A"/>
    <x v="54"/>
    <s v="SPLICE PLATE"/>
    <s v="No"/>
    <s v="14_A"/>
    <x v="5"/>
    <n v="1"/>
    <s v=""/>
    <x v="0"/>
    <x v="0"/>
    <s v="SF02#Box1_Box2_Box3_Box6#InBB"/>
    <s v="SF02#Box1_Box2_Box3_Box6#InBB"/>
    <n v="1"/>
    <n v="1440.79"/>
    <n v="0"/>
  </r>
  <r>
    <n v="985"/>
    <x v="307"/>
    <s v="10/B"/>
    <x v="52"/>
    <s v="SPLICE PLATE"/>
    <s v="No"/>
    <s v="10_B"/>
    <x v="1"/>
    <n v="1"/>
    <s v=""/>
    <x v="5"/>
    <x v="4"/>
    <s v="SF02#Box1#10_B_A"/>
    <s v="SF02#Box1#10_11_B"/>
    <n v="1"/>
    <n v="1440.79"/>
    <n v="0"/>
  </r>
  <r>
    <n v="987"/>
    <x v="307"/>
    <s v="14/A"/>
    <x v="54"/>
    <s v="SPLICE PLATE"/>
    <s v="No"/>
    <s v="14_A"/>
    <x v="5"/>
    <n v="1"/>
    <s v=""/>
    <x v="0"/>
    <x v="0"/>
    <s v="SF02#Box1_Box2_Box3_Box6#InBB"/>
    <s v="SF02#Box1_Box2_Box3_Box6#InBB"/>
    <n v="1"/>
    <n v="1440.79"/>
    <n v="0"/>
  </r>
  <r>
    <n v="988"/>
    <x v="307"/>
    <s v="10/B"/>
    <x v="52"/>
    <s v="SPLICE PLATE"/>
    <s v="No"/>
    <s v="10_B"/>
    <x v="1"/>
    <n v="1"/>
    <s v=""/>
    <x v="5"/>
    <x v="4"/>
    <s v="SF02#Box1#10_B_A"/>
    <s v="SF02#Box1#10_11_B"/>
    <n v="1"/>
    <n v="1440.79"/>
    <n v="0"/>
  </r>
  <r>
    <n v="989"/>
    <x v="307"/>
    <s v="14/A"/>
    <x v="54"/>
    <s v="SPLICE PLATE"/>
    <s v="No"/>
    <s v="14_A"/>
    <x v="5"/>
    <n v="1"/>
    <s v=""/>
    <x v="0"/>
    <x v="0"/>
    <s v="SF02#Box1_Box2_Box3_Box6#InBB"/>
    <s v="SF02#Box1_Box2_Box3_Box6#InBB"/>
    <n v="1"/>
    <n v="1440.79"/>
    <n v="0"/>
  </r>
  <r>
    <n v="990"/>
    <x v="307"/>
    <s v="11/B"/>
    <x v="55"/>
    <s v="SPLICE PLATE"/>
    <s v="No"/>
    <s v="11_B"/>
    <x v="1"/>
    <n v="1"/>
    <s v=""/>
    <x v="6"/>
    <x v="4"/>
    <s v="SF02#Box1#11_B_A"/>
    <s v="SF02#Box1#10_11_B"/>
    <n v="1"/>
    <n v="1440.79"/>
    <n v="0"/>
  </r>
  <r>
    <n v="991"/>
    <x v="307"/>
    <s v="10/B"/>
    <x v="52"/>
    <s v="SPLICE PLATE"/>
    <s v="No"/>
    <s v="10_B"/>
    <x v="1"/>
    <n v="1"/>
    <s v=""/>
    <x v="5"/>
    <x v="4"/>
    <s v="SF02#Box1#10_B_A"/>
    <s v="SF02#Box1#10_11_B"/>
    <n v="1"/>
    <n v="1440.79"/>
    <n v="0"/>
  </r>
  <r>
    <n v="992"/>
    <x v="307"/>
    <s v="14/A"/>
    <x v="54"/>
    <s v="SPLICE PLATE"/>
    <s v="No"/>
    <s v="14_A"/>
    <x v="5"/>
    <n v="1"/>
    <s v=""/>
    <x v="0"/>
    <x v="0"/>
    <s v="SF02#Box1_Box2_Box3_Box6#InBB"/>
    <s v="SF02#Box1_Box2_Box3_Box6#InBB"/>
    <n v="1"/>
    <n v="1440.79"/>
    <n v="0"/>
  </r>
  <r>
    <n v="993"/>
    <x v="307"/>
    <s v="14/B"/>
    <x v="54"/>
    <s v="SPLICE PLATE"/>
    <s v="No"/>
    <s v="14_B"/>
    <x v="5"/>
    <n v="1"/>
    <s v=""/>
    <x v="0"/>
    <x v="0"/>
    <s v="SF02#Box1_Box2_Box3_Box6#InBB"/>
    <s v="SF02#Box1_Box2_Box3_Box6#InBB"/>
    <n v="1"/>
    <n v="1440.79"/>
    <n v="0"/>
  </r>
  <r>
    <n v="994"/>
    <x v="307"/>
    <s v="10/A"/>
    <x v="52"/>
    <s v="SPLICE PLATE"/>
    <s v="No"/>
    <s v="10_A"/>
    <x v="1"/>
    <n v="1"/>
    <s v=""/>
    <x v="5"/>
    <x v="3"/>
    <s v="SF02#Box1#10_B_A"/>
    <s v="SF02#Box1#10_11_A"/>
    <n v="1"/>
    <n v="1440.79"/>
    <n v="0"/>
  </r>
  <r>
    <n v="995"/>
    <x v="307"/>
    <s v="11/B"/>
    <x v="55"/>
    <s v="SPLICE PLATE"/>
    <s v="No"/>
    <s v="11_B"/>
    <x v="1"/>
    <n v="1"/>
    <s v=""/>
    <x v="6"/>
    <x v="4"/>
    <s v="SF02#Box1#11_B_A"/>
    <s v="SF02#Box1#10_11_B"/>
    <n v="1"/>
    <n v="1440.79"/>
    <n v="0"/>
  </r>
  <r>
    <n v="996"/>
    <x v="307"/>
    <s v="14/B"/>
    <x v="54"/>
    <s v="SPLICE PLATE"/>
    <s v="No"/>
    <s v="14_B"/>
    <x v="5"/>
    <n v="1"/>
    <s v=""/>
    <x v="0"/>
    <x v="0"/>
    <s v="SF02#Box1_Box2_Box3_Box6#InBB"/>
    <s v="SF02#Box1_Box2_Box3_Box6#InBB"/>
    <n v="1"/>
    <n v="1440.79"/>
    <n v="0"/>
  </r>
  <r>
    <n v="997"/>
    <x v="307"/>
    <s v="10/A"/>
    <x v="52"/>
    <s v="SPLICE PLATE"/>
    <s v="No"/>
    <s v="10_A"/>
    <x v="1"/>
    <n v="1"/>
    <s v=""/>
    <x v="5"/>
    <x v="3"/>
    <s v="SF02#Box1#10_B_A"/>
    <s v="SF02#Box1#10_11_A"/>
    <n v="1"/>
    <n v="1440.79"/>
    <n v="0"/>
  </r>
  <r>
    <n v="998"/>
    <x v="307"/>
    <s v="14/B"/>
    <x v="54"/>
    <s v="SPLICE PLATE"/>
    <s v="No"/>
    <s v="14_B"/>
    <x v="5"/>
    <n v="1"/>
    <s v=""/>
    <x v="0"/>
    <x v="0"/>
    <s v="SF02#Box1_Box2_Box3_Box6#InBB"/>
    <s v="SF02#Box1_Box2_Box3_Box6#InBB"/>
    <n v="1"/>
    <n v="1440.79"/>
    <n v="0"/>
  </r>
  <r>
    <n v="999"/>
    <x v="307"/>
    <s v="11/B"/>
    <x v="55"/>
    <s v="SPLICE PLATE"/>
    <s v="No"/>
    <s v="11_B"/>
    <x v="1"/>
    <n v="1"/>
    <s v=""/>
    <x v="6"/>
    <x v="4"/>
    <s v="SF02#Box1#11_B_A"/>
    <s v="SF02#Box1#10_11_B"/>
    <n v="1"/>
    <n v="1440.79"/>
    <n v="0"/>
  </r>
  <r>
    <n v="1000"/>
    <x v="307"/>
    <s v="10/A"/>
    <x v="52"/>
    <s v="SPLICE PLATE"/>
    <s v="No"/>
    <s v="10_A"/>
    <x v="1"/>
    <n v="1"/>
    <s v=""/>
    <x v="5"/>
    <x v="3"/>
    <s v="SF02#Box1#10_B_A"/>
    <s v="SF02#Box1#10_11_A"/>
    <n v="1"/>
    <n v="1440.79"/>
    <n v="0"/>
  </r>
  <r>
    <n v="1001"/>
    <x v="307"/>
    <s v="14/B"/>
    <x v="54"/>
    <s v="SPLICE PLATE"/>
    <s v="No"/>
    <s v="14_B"/>
    <x v="5"/>
    <n v="1"/>
    <s v=""/>
    <x v="0"/>
    <x v="0"/>
    <s v="SF02#Box1_Box2_Box3_Box6#InBB"/>
    <s v="SF02#Box1_Box2_Box3_Box6#InBB"/>
    <n v="1"/>
    <n v="1440.79"/>
    <n v="0"/>
  </r>
  <r>
    <n v="1003"/>
    <x v="307"/>
    <s v="10/A"/>
    <x v="52"/>
    <s v="SPLICE PLATE"/>
    <s v="No"/>
    <s v="10_A"/>
    <x v="1"/>
    <n v="1"/>
    <s v=""/>
    <x v="5"/>
    <x v="3"/>
    <s v="SF02#Box1#10_B_A"/>
    <s v="SF02#Box1#10_11_A"/>
    <n v="1"/>
    <n v="1440.79"/>
    <n v="0"/>
  </r>
  <r>
    <n v="1004"/>
    <x v="307"/>
    <s v="11/B"/>
    <x v="55"/>
    <s v="SPLICE PLATE"/>
    <s v="No"/>
    <s v="11_B"/>
    <x v="1"/>
    <n v="1"/>
    <s v=""/>
    <x v="6"/>
    <x v="4"/>
    <s v="SF02#Box1#11_B_A"/>
    <s v="SF02#Box1#10_11_B"/>
    <n v="1"/>
    <n v="1440.79"/>
    <n v="0"/>
  </r>
  <r>
    <n v="1006"/>
    <x v="307"/>
    <s v="10/A"/>
    <x v="53"/>
    <s v="SPLICE PLATE"/>
    <s v="No"/>
    <s v="10_A"/>
    <x v="1"/>
    <n v="1"/>
    <s v=""/>
    <x v="5"/>
    <x v="3"/>
    <s v="SF02#Box1#10_B_A"/>
    <s v="SF02#Box1#10_11_A"/>
    <n v="1"/>
    <n v="1440.79"/>
    <n v="0"/>
  </r>
  <r>
    <n v="1009"/>
    <x v="307"/>
    <s v="10/A"/>
    <x v="53"/>
    <s v="SPLICE PLATE"/>
    <s v="No"/>
    <s v="10_A"/>
    <x v="1"/>
    <n v="1"/>
    <s v=""/>
    <x v="5"/>
    <x v="3"/>
    <s v="SF02#Box1#10_B_A"/>
    <s v="SF02#Box1#10_11_A"/>
    <n v="1"/>
    <n v="1440.79"/>
    <n v="0"/>
  </r>
  <r>
    <n v="1012"/>
    <x v="307"/>
    <s v="10/A"/>
    <x v="53"/>
    <s v="SPLICE PLATE"/>
    <s v="No"/>
    <s v="10_A"/>
    <x v="1"/>
    <n v="1"/>
    <s v=""/>
    <x v="5"/>
    <x v="3"/>
    <s v="SF02#Box1#10_B_A"/>
    <s v="SF02#Box1#10_11_A"/>
    <n v="1"/>
    <n v="1440.79"/>
    <n v="0"/>
  </r>
  <r>
    <n v="1015"/>
    <x v="307"/>
    <s v="10/A"/>
    <x v="53"/>
    <s v="SPLICE PLATE"/>
    <s v="No"/>
    <s v="10_A"/>
    <x v="1"/>
    <n v="1"/>
    <s v=""/>
    <x v="5"/>
    <x v="3"/>
    <s v="SF02#Box1#10_B_A"/>
    <s v="SF02#Box1#10_11_A"/>
    <n v="1"/>
    <n v="1440.79"/>
    <n v="0"/>
  </r>
  <r>
    <n v="1018"/>
    <x v="307"/>
    <s v="10/B"/>
    <x v="53"/>
    <s v="SPLICE PLATE"/>
    <s v="No"/>
    <s v="10_B"/>
    <x v="1"/>
    <n v="1"/>
    <s v=""/>
    <x v="5"/>
    <x v="4"/>
    <s v="SF02#Box1#10_B_A"/>
    <s v="SF02#Box1#10_11_B"/>
    <n v="1"/>
    <n v="1440.79"/>
    <n v="0"/>
  </r>
  <r>
    <n v="1021"/>
    <x v="307"/>
    <s v="10/B"/>
    <x v="53"/>
    <s v="SPLICE PLATE"/>
    <s v="No"/>
    <s v="10_B"/>
    <x v="1"/>
    <n v="1"/>
    <s v=""/>
    <x v="5"/>
    <x v="4"/>
    <s v="SF02#Box1#10_B_A"/>
    <s v="SF02#Box1#10_11_B"/>
    <n v="1"/>
    <n v="1440.79"/>
    <n v="0"/>
  </r>
  <r>
    <n v="1024"/>
    <x v="307"/>
    <s v="10/B"/>
    <x v="53"/>
    <s v="SPLICE PLATE"/>
    <s v="No"/>
    <s v="10_B"/>
    <x v="1"/>
    <n v="1"/>
    <s v=""/>
    <x v="5"/>
    <x v="4"/>
    <s v="SF02#Box1#10_B_A"/>
    <s v="SF02#Box1#10_11_B"/>
    <n v="1"/>
    <n v="1440.79"/>
    <n v="0"/>
  </r>
  <r>
    <n v="1027"/>
    <x v="307"/>
    <s v="10/B"/>
    <x v="53"/>
    <s v="SPLICE PLATE"/>
    <s v="No"/>
    <s v="10_B"/>
    <x v="1"/>
    <n v="1"/>
    <s v=""/>
    <x v="5"/>
    <x v="4"/>
    <s v="SF02#Box1#10_B_A"/>
    <s v="SF02#Box1#10_11_B"/>
    <n v="1"/>
    <n v="1440.79"/>
    <n v="0"/>
  </r>
  <r>
    <n v="1028"/>
    <x v="308"/>
    <s v="10/B"/>
    <x v="50"/>
    <s v="SPLICE PLATE"/>
    <s v="No"/>
    <s v="10_B"/>
    <x v="1"/>
    <n v="1"/>
    <s v=""/>
    <x v="5"/>
    <x v="4"/>
    <s v="SF03#Box1#10_B_A"/>
    <s v="SF03#Box1#10_11_B"/>
    <n v="1"/>
    <n v="1316.92"/>
    <n v="0"/>
  </r>
  <r>
    <n v="1031"/>
    <x v="308"/>
    <s v="10/B"/>
    <x v="50"/>
    <s v="SPLICE PLATE"/>
    <s v="No"/>
    <s v="10_B"/>
    <x v="1"/>
    <n v="1"/>
    <s v=""/>
    <x v="5"/>
    <x v="4"/>
    <s v="SF03#Box1#10_B_A"/>
    <s v="SF03#Box1#10_11_B"/>
    <n v="1"/>
    <n v="1316.92"/>
    <n v="0"/>
  </r>
  <r>
    <n v="1032"/>
    <x v="308"/>
    <s v="14/B"/>
    <x v="51"/>
    <s v="SPLICE PLATE"/>
    <s v="No"/>
    <s v="14_B"/>
    <x v="5"/>
    <n v="1"/>
    <s v=""/>
    <x v="0"/>
    <x v="0"/>
    <s v="SF03#Box1_Box2_Box3_Box6#InBB"/>
    <s v="SF03#Box1_Box2_Box3_Box6#InBB"/>
    <n v="1"/>
    <n v="1316.92"/>
    <n v="0"/>
  </r>
  <r>
    <n v="1035"/>
    <x v="308"/>
    <s v="14/A"/>
    <x v="51"/>
    <s v="SPLICE PLATE"/>
    <s v="No"/>
    <s v="14_A"/>
    <x v="5"/>
    <n v="1"/>
    <s v=""/>
    <x v="0"/>
    <x v="0"/>
    <s v="SF03#Box1_Box2_Box3_Box6#InBB"/>
    <s v="SF03#Box1_Box2_Box3_Box6#InBB"/>
    <n v="1"/>
    <n v="1316.92"/>
    <n v="0"/>
  </r>
  <r>
    <n v="1036"/>
    <x v="308"/>
    <s v="10/A"/>
    <x v="50"/>
    <s v="SPLICE PLATE"/>
    <s v="No"/>
    <s v="10_A"/>
    <x v="1"/>
    <n v="1"/>
    <s v=""/>
    <x v="5"/>
    <x v="3"/>
    <s v="SF03#Box1#10_B_A"/>
    <s v="SF03#Box1#10_11_A"/>
    <n v="1"/>
    <n v="1316.92"/>
    <n v="0"/>
  </r>
  <r>
    <n v="1037"/>
    <x v="308"/>
    <s v="14/A"/>
    <x v="51"/>
    <s v="SPLICE PLATE"/>
    <s v="No"/>
    <s v="14_A"/>
    <x v="5"/>
    <n v="1"/>
    <s v=""/>
    <x v="0"/>
    <x v="0"/>
    <s v="SF03#Box1_Box2_Box3_Box6#InBB"/>
    <s v="SF03#Box1_Box2_Box3_Box6#InBB"/>
    <n v="1"/>
    <n v="1316.92"/>
    <n v="0"/>
  </r>
  <r>
    <n v="1038"/>
    <x v="308"/>
    <s v="14/B"/>
    <x v="51"/>
    <s v="SPLICE PLATE"/>
    <s v="No"/>
    <s v="14_B"/>
    <x v="5"/>
    <n v="1"/>
    <s v=""/>
    <x v="0"/>
    <x v="0"/>
    <s v="SF03#Box1_Box2_Box3_Box6#InBB"/>
    <s v="SF03#Box1_Box2_Box3_Box6#InBB"/>
    <n v="1"/>
    <n v="1316.92"/>
    <n v="0"/>
  </r>
  <r>
    <n v="1039"/>
    <x v="308"/>
    <s v="10/A"/>
    <x v="50"/>
    <s v="SPLICE PLATE"/>
    <s v="No"/>
    <s v="10_A"/>
    <x v="1"/>
    <n v="1"/>
    <s v=""/>
    <x v="5"/>
    <x v="3"/>
    <s v="SF03#Box1#10_B_A"/>
    <s v="SF03#Box1#10_11_A"/>
    <n v="1"/>
    <n v="1316.92"/>
    <n v="0"/>
  </r>
  <r>
    <n v="1040"/>
    <x v="309"/>
    <s v="14/B"/>
    <x v="54"/>
    <s v="SPLICE PLATE"/>
    <s v="No"/>
    <s v="14_B"/>
    <x v="5"/>
    <n v="1"/>
    <s v=""/>
    <x v="0"/>
    <x v="0"/>
    <s v="SF04#Box1_Box2_Box3_Box6#InBB"/>
    <s v="SF04#Box1_Box2_Box3_Box6#InBB"/>
    <n v="1"/>
    <n v="2104.31"/>
    <n v="0"/>
  </r>
  <r>
    <n v="1041"/>
    <x v="309"/>
    <s v="11/B"/>
    <x v="52"/>
    <s v="SPLICE PLATE"/>
    <s v="No"/>
    <s v="11_B"/>
    <x v="1"/>
    <n v="1"/>
    <s v=""/>
    <x v="6"/>
    <x v="4"/>
    <s v="SF04#Box1#11_B_A"/>
    <s v="SF04#Box1#10_11_B"/>
    <n v="1"/>
    <n v="2104.31"/>
    <n v="0"/>
  </r>
  <r>
    <n v="1043"/>
    <x v="309"/>
    <s v="11/A"/>
    <x v="52"/>
    <s v="SPLICE PLATE"/>
    <s v="No"/>
    <s v="11_A"/>
    <x v="1"/>
    <n v="1"/>
    <s v=""/>
    <x v="6"/>
    <x v="3"/>
    <s v="SF04#Box1#11_B_A"/>
    <s v="SF04#Box1#10_11_A"/>
    <n v="1"/>
    <n v="2104.31"/>
    <n v="0"/>
  </r>
  <r>
    <n v="1044"/>
    <x v="309"/>
    <s v="11/B"/>
    <x v="52"/>
    <s v="SPLICE PLATE"/>
    <s v="No"/>
    <s v="11_B"/>
    <x v="1"/>
    <n v="1"/>
    <s v=""/>
    <x v="6"/>
    <x v="4"/>
    <s v="SF04#Box1#11_B_A"/>
    <s v="SF04#Box1#10_11_B"/>
    <n v="1"/>
    <n v="2104.31"/>
    <n v="0"/>
  </r>
  <r>
    <n v="1046"/>
    <x v="309"/>
    <s v="14/B"/>
    <x v="54"/>
    <s v="SPLICE PLATE"/>
    <s v="No"/>
    <s v="14_B"/>
    <x v="5"/>
    <n v="1"/>
    <s v=""/>
    <x v="0"/>
    <x v="0"/>
    <s v="SF04#Box1_Box2_Box3_Box6#InBB"/>
    <s v="SF04#Box1_Box2_Box3_Box6#InBB"/>
    <n v="1"/>
    <n v="2104.31"/>
    <n v="0"/>
  </r>
  <r>
    <n v="1047"/>
    <x v="309"/>
    <s v="11/A"/>
    <x v="52"/>
    <s v="SPLICE PLATE"/>
    <s v="No"/>
    <s v="11_A"/>
    <x v="1"/>
    <n v="1"/>
    <s v=""/>
    <x v="6"/>
    <x v="3"/>
    <s v="SF04#Box1#11_B_A"/>
    <s v="SF04#Box1#10_11_A"/>
    <n v="1"/>
    <n v="2104.31"/>
    <n v="0"/>
  </r>
  <r>
    <n v="1048"/>
    <x v="309"/>
    <s v="14/A"/>
    <x v="54"/>
    <s v="SPLICE PLATE"/>
    <s v="No"/>
    <s v="14_A"/>
    <x v="5"/>
    <n v="1"/>
    <s v=""/>
    <x v="0"/>
    <x v="0"/>
    <s v="SF04#Box1_Box2_Box3_Box6#InBB"/>
    <s v="SF04#Box1_Box2_Box3_Box6#InBB"/>
    <n v="1"/>
    <n v="2104.31"/>
    <n v="0"/>
  </r>
  <r>
    <n v="1049"/>
    <x v="309"/>
    <s v="11/A"/>
    <x v="53"/>
    <s v="SPLICE PLATE"/>
    <s v="No"/>
    <s v="11_A"/>
    <x v="1"/>
    <n v="1"/>
    <s v=""/>
    <x v="6"/>
    <x v="3"/>
    <s v="SF04#Box1#11_B_A"/>
    <s v="SF04#Box1#10_11_A"/>
    <n v="1"/>
    <n v="2104.31"/>
    <n v="0"/>
  </r>
  <r>
    <n v="1052"/>
    <x v="309"/>
    <s v="11/A"/>
    <x v="53"/>
    <s v="SPLICE PLATE"/>
    <s v="No"/>
    <s v="11_A"/>
    <x v="1"/>
    <n v="1"/>
    <s v=""/>
    <x v="6"/>
    <x v="3"/>
    <s v="SF04#Box1#11_B_A"/>
    <s v="SF04#Box1#10_11_A"/>
    <n v="1"/>
    <n v="2104.31"/>
    <n v="0"/>
  </r>
  <r>
    <n v="1054"/>
    <x v="309"/>
    <s v="14/A"/>
    <x v="54"/>
    <s v="SPLICE PLATE"/>
    <s v="No"/>
    <s v="14_A"/>
    <x v="5"/>
    <n v="1"/>
    <s v=""/>
    <x v="0"/>
    <x v="0"/>
    <s v="SF04#Box1_Box2_Box3_Box6#InBB"/>
    <s v="SF04#Box1_Box2_Box3_Box6#InBB"/>
    <n v="1"/>
    <n v="2104.31"/>
    <n v="0"/>
  </r>
  <r>
    <n v="1055"/>
    <x v="309"/>
    <s v="10/B"/>
    <x v="52"/>
    <s v="SPLICE PLATE"/>
    <s v="No"/>
    <s v="10_B"/>
    <x v="1"/>
    <n v="1"/>
    <s v=""/>
    <x v="5"/>
    <x v="4"/>
    <s v="SF04#Box1#10_B_A"/>
    <s v="SF04#Box1#10_11_B"/>
    <n v="1"/>
    <n v="2104.31"/>
    <n v="0"/>
  </r>
  <r>
    <n v="1058"/>
    <x v="309"/>
    <s v="10/B"/>
    <x v="52"/>
    <s v="SPLICE PLATE"/>
    <s v="No"/>
    <s v="10_B"/>
    <x v="1"/>
    <n v="1"/>
    <s v=""/>
    <x v="5"/>
    <x v="4"/>
    <s v="SF04#Box1#10_B_A"/>
    <s v="SF04#Box1#10_11_B"/>
    <n v="1"/>
    <n v="2104.31"/>
    <n v="0"/>
  </r>
  <r>
    <n v="1061"/>
    <x v="309"/>
    <s v="10/A"/>
    <x v="52"/>
    <s v="SPLICE PLATE"/>
    <s v="No"/>
    <s v="10_A"/>
    <x v="1"/>
    <n v="1"/>
    <s v=""/>
    <x v="5"/>
    <x v="3"/>
    <s v="SF04#Box1#10_B_A"/>
    <s v="SF04#Box1#10_11_A"/>
    <n v="1"/>
    <n v="2104.31"/>
    <n v="0"/>
  </r>
  <r>
    <n v="1064"/>
    <x v="309"/>
    <s v="10/A"/>
    <x v="52"/>
    <s v="SPLICE PLATE"/>
    <s v="No"/>
    <s v="10_A"/>
    <x v="1"/>
    <n v="1"/>
    <s v=""/>
    <x v="5"/>
    <x v="3"/>
    <s v="SF04#Box1#10_B_A"/>
    <s v="SF04#Box1#10_11_A"/>
    <n v="1"/>
    <n v="2104.31"/>
    <n v="0"/>
  </r>
  <r>
    <n v="1067"/>
    <x v="309"/>
    <s v="10/A"/>
    <x v="53"/>
    <s v="SPLICE PLATE"/>
    <s v="No"/>
    <s v="10_A"/>
    <x v="1"/>
    <n v="1"/>
    <s v=""/>
    <x v="5"/>
    <x v="3"/>
    <s v="SF04#Box1#10_B_A"/>
    <s v="SF04#Box1#10_11_A"/>
    <n v="1"/>
    <n v="2104.31"/>
    <n v="0"/>
  </r>
  <r>
    <n v="1068"/>
    <x v="309"/>
    <s v="11/B"/>
    <x v="55"/>
    <s v="SPLICE PLATE"/>
    <s v="No"/>
    <s v="11_B"/>
    <x v="1"/>
    <n v="1"/>
    <s v=""/>
    <x v="6"/>
    <x v="4"/>
    <s v="SF04#Box1#11_B_A"/>
    <s v="SF04#Box1#10_11_B"/>
    <n v="1"/>
    <n v="2104.31"/>
    <n v="0"/>
  </r>
  <r>
    <n v="1070"/>
    <x v="309"/>
    <s v="10/A"/>
    <x v="53"/>
    <s v="SPLICE PLATE"/>
    <s v="No"/>
    <s v="10_A"/>
    <x v="1"/>
    <n v="1"/>
    <s v=""/>
    <x v="5"/>
    <x v="3"/>
    <s v="SF04#Box1#10_B_A"/>
    <s v="SF04#Box1#10_11_A"/>
    <n v="1"/>
    <n v="2104.31"/>
    <n v="0"/>
  </r>
  <r>
    <n v="1073"/>
    <x v="309"/>
    <s v="10/B"/>
    <x v="53"/>
    <s v="SPLICE PLATE"/>
    <s v="No"/>
    <s v="10_B"/>
    <x v="1"/>
    <n v="1"/>
    <s v=""/>
    <x v="5"/>
    <x v="4"/>
    <s v="SF04#Box1#10_B_A"/>
    <s v="SF04#Box1#10_11_B"/>
    <n v="1"/>
    <n v="2104.31"/>
    <n v="0"/>
  </r>
  <r>
    <n v="1076"/>
    <x v="309"/>
    <s v="10/B"/>
    <x v="53"/>
    <s v="SPLICE PLATE"/>
    <s v="No"/>
    <s v="10_B"/>
    <x v="1"/>
    <n v="1"/>
    <s v=""/>
    <x v="5"/>
    <x v="4"/>
    <s v="SF04#Box1#10_B_A"/>
    <s v="SF04#Box1#10_11_B"/>
    <n v="1"/>
    <n v="2104.31"/>
    <n v="0"/>
  </r>
  <r>
    <n v="1077"/>
    <x v="310"/>
    <s v="11/B"/>
    <x v="56"/>
    <s v="SPLICE PLATE"/>
    <s v="No"/>
    <s v="11_B"/>
    <x v="1"/>
    <n v="1"/>
    <s v=""/>
    <x v="6"/>
    <x v="4"/>
    <s v="SF05#Box1#11_B_A"/>
    <s v="SF05#Box1#10_11_B"/>
    <n v="1"/>
    <n v="449.41"/>
    <n v="0"/>
  </r>
  <r>
    <n v="1078"/>
    <x v="310"/>
    <s v="11/B"/>
    <x v="56"/>
    <s v="SPLICE PLATE"/>
    <s v="No"/>
    <s v="11_B"/>
    <x v="1"/>
    <n v="1"/>
    <s v=""/>
    <x v="6"/>
    <x v="4"/>
    <s v="SF05#Box1#11_B_A"/>
    <s v="SF05#Box1#10_11_B"/>
    <n v="1"/>
    <n v="449.41"/>
    <n v="0"/>
  </r>
  <r>
    <n v="1079"/>
    <x v="310"/>
    <s v="11/A"/>
    <x v="56"/>
    <s v="SPLICE PLATE"/>
    <s v="No"/>
    <s v="11_A"/>
    <x v="1"/>
    <n v="1"/>
    <s v=""/>
    <x v="6"/>
    <x v="3"/>
    <s v="SF05#Box1#11_B_A"/>
    <s v="SF05#Box1#10_11_A"/>
    <n v="1"/>
    <n v="449.41"/>
    <n v="0"/>
  </r>
  <r>
    <n v="1080"/>
    <x v="310"/>
    <s v="11/A"/>
    <x v="56"/>
    <s v="SPLICE PLATE"/>
    <s v="No"/>
    <s v="11_A"/>
    <x v="1"/>
    <n v="1"/>
    <s v=""/>
    <x v="6"/>
    <x v="3"/>
    <s v="SF05#Box1#11_B_A"/>
    <s v="SF05#Box1#10_11_A"/>
    <n v="1"/>
    <n v="449.41"/>
    <n v="0"/>
  </r>
  <r>
    <n v="1081"/>
    <x v="310"/>
    <s v="11/B"/>
    <x v="56"/>
    <s v="SPLICE PLATE"/>
    <s v="No"/>
    <s v="11_B"/>
    <x v="1"/>
    <n v="1"/>
    <s v=""/>
    <x v="6"/>
    <x v="4"/>
    <s v="SF05#Box1#11_B_A"/>
    <s v="SF05#Box1#10_11_B"/>
    <n v="1"/>
    <n v="449.41"/>
    <n v="0"/>
  </r>
  <r>
    <n v="1082"/>
    <x v="310"/>
    <s v="11/B"/>
    <x v="56"/>
    <s v="SPLICE PLATE"/>
    <s v="No"/>
    <s v="11_B"/>
    <x v="1"/>
    <n v="1"/>
    <s v=""/>
    <x v="6"/>
    <x v="4"/>
    <s v="SF05#Box1#11_B_A"/>
    <s v="SF05#Box1#10_11_B"/>
    <n v="1"/>
    <n v="449.41"/>
    <n v="0"/>
  </r>
  <r>
    <n v="1083"/>
    <x v="310"/>
    <s v="11/A"/>
    <x v="56"/>
    <s v="SPLICE PLATE"/>
    <s v="No"/>
    <s v="11_A"/>
    <x v="1"/>
    <n v="1"/>
    <s v=""/>
    <x v="6"/>
    <x v="3"/>
    <s v="SF05#Box1#11_B_A"/>
    <s v="SF05#Box1#10_11_A"/>
    <n v="1"/>
    <n v="449.41"/>
    <n v="0"/>
  </r>
  <r>
    <n v="1084"/>
    <x v="310"/>
    <s v="11/A"/>
    <x v="56"/>
    <s v="SPLICE PLATE"/>
    <s v="No"/>
    <s v="11_A"/>
    <x v="1"/>
    <n v="1"/>
    <s v=""/>
    <x v="6"/>
    <x v="3"/>
    <s v="SF05#Box1#11_B_A"/>
    <s v="SF05#Box1#10_11_A"/>
    <n v="1"/>
    <n v="449.41"/>
    <n v="0"/>
  </r>
  <r>
    <n v="1085"/>
    <x v="311"/>
    <s v="11/B"/>
    <x v="56"/>
    <s v="SPLICE PLATE"/>
    <s v="No"/>
    <s v="11_B"/>
    <x v="1"/>
    <n v="1"/>
    <s v=""/>
    <x v="6"/>
    <x v="4"/>
    <s v="SF06#Box1#11_B_A"/>
    <s v="SF06#Box1#10_11_B"/>
    <n v="1"/>
    <n v="548.28"/>
    <n v="0"/>
  </r>
  <r>
    <n v="1086"/>
    <x v="311"/>
    <s v="11/B"/>
    <x v="56"/>
    <s v="SPLICE PLATE"/>
    <s v="No"/>
    <s v="11_B"/>
    <x v="1"/>
    <n v="1"/>
    <s v=""/>
    <x v="6"/>
    <x v="4"/>
    <s v="SF06#Box1#11_B_A"/>
    <s v="SF06#Box1#10_11_B"/>
    <n v="1"/>
    <n v="548.28"/>
    <n v="0"/>
  </r>
  <r>
    <n v="1087"/>
    <x v="311"/>
    <s v="11/A"/>
    <x v="56"/>
    <s v="SPLICE PLATE"/>
    <s v="No"/>
    <s v="11_A"/>
    <x v="1"/>
    <n v="1"/>
    <s v=""/>
    <x v="6"/>
    <x v="3"/>
    <s v="SF06#Box1#11_B_A"/>
    <s v="SF06#Box1#10_11_A"/>
    <n v="1"/>
    <n v="548.28"/>
    <n v="0"/>
  </r>
  <r>
    <n v="1088"/>
    <x v="311"/>
    <s v="11/A"/>
    <x v="56"/>
    <s v="SPLICE PLATE"/>
    <s v="No"/>
    <s v="11_A"/>
    <x v="1"/>
    <n v="1"/>
    <s v=""/>
    <x v="6"/>
    <x v="3"/>
    <s v="SF06#Box1#11_B_A"/>
    <s v="SF06#Box1#10_11_A"/>
    <n v="1"/>
    <n v="548.28"/>
    <n v="0"/>
  </r>
  <r>
    <n v="1127"/>
    <x v="312"/>
    <s v="10/B"/>
    <x v="50"/>
    <s v="SPLICE PLATE"/>
    <s v="No"/>
    <s v="10_B"/>
    <x v="1"/>
    <n v="1"/>
    <s v=""/>
    <x v="5"/>
    <x v="4"/>
    <s v="SF11#Box1#10_B_A"/>
    <s v="SF11#Box1#10_11_B"/>
    <n v="0"/>
    <n v="0"/>
    <n v="0"/>
  </r>
  <r>
    <n v="1128"/>
    <x v="312"/>
    <s v="10/B"/>
    <x v="50"/>
    <s v="SPLICE PLATE"/>
    <s v="No"/>
    <s v="10_B"/>
    <x v="1"/>
    <n v="1"/>
    <s v=""/>
    <x v="5"/>
    <x v="4"/>
    <s v="SF11#Box1#10_B_A"/>
    <s v="SF11#Box1#10_11_B"/>
    <n v="0"/>
    <n v="0"/>
    <n v="0"/>
  </r>
  <r>
    <n v="1129"/>
    <x v="313"/>
    <s v="11/B"/>
    <x v="55"/>
    <s v="SPLICE PLATE"/>
    <s v="Yes"/>
    <s v="11_B"/>
    <x v="1"/>
    <n v="1"/>
    <s v=""/>
    <x v="6"/>
    <x v="4"/>
    <s v="SF12#Box1#11_B_A"/>
    <s v="SF12#Box1#10_11_B"/>
    <n v="0"/>
    <n v="0"/>
    <n v="0"/>
  </r>
  <r>
    <n v="1130"/>
    <x v="314"/>
    <s v="14/A"/>
    <x v="51"/>
    <s v="SPLICE PLATE"/>
    <s v="No"/>
    <s v="14_A"/>
    <x v="5"/>
    <n v="1"/>
    <s v=""/>
    <x v="0"/>
    <x v="0"/>
    <s v="SF13#Box1_Box2_Box3_Box6#InBB"/>
    <s v="SF13#Box1_Box2_Box3_Box6#InBB"/>
    <n v="0"/>
    <n v="0"/>
    <n v="0"/>
  </r>
  <r>
    <n v="1131"/>
    <x v="314"/>
    <s v="14/B"/>
    <x v="51"/>
    <s v="SPLICE PLATE"/>
    <s v="No"/>
    <s v="14_B"/>
    <x v="5"/>
    <n v="1"/>
    <s v=""/>
    <x v="0"/>
    <x v="0"/>
    <s v="SF13#Box1_Box2_Box3_Box6#InBB"/>
    <s v="SF13#Box1_Box2_Box3_Box6#InBB"/>
    <n v="0"/>
    <n v="0"/>
    <n v="0"/>
  </r>
  <r>
    <n v="1132"/>
    <x v="314"/>
    <s v="10/A"/>
    <x v="50"/>
    <s v="SPLICE PLATE"/>
    <s v="No"/>
    <s v="10_A"/>
    <x v="1"/>
    <n v="1"/>
    <s v=""/>
    <x v="5"/>
    <x v="3"/>
    <s v="SF13#Box1#10_B_A"/>
    <s v="SF13#Box1#10_11_A"/>
    <n v="0"/>
    <n v="0"/>
    <n v="0"/>
  </r>
  <r>
    <n v="1134"/>
    <x v="314"/>
    <s v="14/A"/>
    <x v="51"/>
    <s v="SPLICE PLATE"/>
    <s v="No"/>
    <s v="14_A"/>
    <x v="5"/>
    <n v="1"/>
    <s v=""/>
    <x v="0"/>
    <x v="0"/>
    <s v="SF13#Box1_Box2_Box3_Box6#InBB"/>
    <s v="SF13#Box1_Box2_Box3_Box6#InBB"/>
    <n v="0"/>
    <n v="0"/>
    <n v="0"/>
  </r>
  <r>
    <n v="1135"/>
    <x v="314"/>
    <s v="14/B"/>
    <x v="51"/>
    <s v="SPLICE PLATE"/>
    <s v="No"/>
    <s v="14_B"/>
    <x v="5"/>
    <n v="1"/>
    <s v=""/>
    <x v="0"/>
    <x v="0"/>
    <s v="SF13#Box1_Box2_Box3_Box6#InBB"/>
    <s v="SF13#Box1_Box2_Box3_Box6#InBB"/>
    <n v="0"/>
    <n v="0"/>
    <n v="0"/>
  </r>
  <r>
    <n v="1137"/>
    <x v="314"/>
    <s v="10/A"/>
    <x v="50"/>
    <s v="SPLICE PLATE"/>
    <s v="No"/>
    <s v="10_A"/>
    <x v="1"/>
    <n v="1"/>
    <s v=""/>
    <x v="5"/>
    <x v="3"/>
    <s v="SF13#Box1#10_B_A"/>
    <s v="SF13#Box1#10_11_A"/>
    <n v="0"/>
    <n v="0"/>
    <n v="0"/>
  </r>
  <r>
    <n v="1138"/>
    <x v="315"/>
    <s v="10/B"/>
    <x v="57"/>
    <s v="SPLICE PLATE"/>
    <s v="No"/>
    <s v="10_B"/>
    <x v="1"/>
    <n v="1"/>
    <s v=""/>
    <x v="5"/>
    <x v="4"/>
    <s v="SW01#Box1#10_B_A"/>
    <s v="SW01#Box1#10_11_B"/>
    <n v="0"/>
    <n v="0"/>
    <n v="0"/>
  </r>
  <r>
    <n v="1141"/>
    <x v="315"/>
    <s v="10/B"/>
    <x v="57"/>
    <s v="SPLICE PLATE"/>
    <s v="No"/>
    <s v="10_B"/>
    <x v="1"/>
    <n v="1"/>
    <s v=""/>
    <x v="5"/>
    <x v="4"/>
    <s v="SW01#Box1#10_B_A"/>
    <s v="SW01#Box1#10_11_B"/>
    <n v="0"/>
    <n v="0"/>
    <n v="0"/>
  </r>
  <r>
    <n v="1142"/>
    <x v="315"/>
    <s v="14/B"/>
    <x v="58"/>
    <s v="SPLICE PLATE"/>
    <s v="No"/>
    <s v="14_B"/>
    <x v="5"/>
    <n v="1"/>
    <s v=""/>
    <x v="0"/>
    <x v="0"/>
    <s v="SW01#Box1_Box2_Box3_Box6#InBB"/>
    <s v="SW01#Box1_Box2_Box3_Box6#InBB"/>
    <n v="0"/>
    <n v="0"/>
    <n v="0"/>
  </r>
  <r>
    <n v="1145"/>
    <x v="315"/>
    <s v="14/A"/>
    <x v="58"/>
    <s v="SPLICE PLATE"/>
    <s v="No"/>
    <s v="14_A"/>
    <x v="5"/>
    <n v="1"/>
    <s v=""/>
    <x v="0"/>
    <x v="0"/>
    <s v="SW01#Box1_Box2_Box3_Box6#InBB"/>
    <s v="SW01#Box1_Box2_Box3_Box6#InBB"/>
    <n v="0"/>
    <n v="0"/>
    <n v="0"/>
  </r>
  <r>
    <n v="1146"/>
    <x v="315"/>
    <s v="10/A"/>
    <x v="57"/>
    <s v="SPLICE PLATE"/>
    <s v="No"/>
    <s v="10_A"/>
    <x v="1"/>
    <n v="1"/>
    <s v=""/>
    <x v="5"/>
    <x v="3"/>
    <s v="SW01#Box1#10_B_A"/>
    <s v="SW01#Box1#10_11_A"/>
    <n v="0"/>
    <n v="0"/>
    <n v="0"/>
  </r>
  <r>
    <n v="1147"/>
    <x v="315"/>
    <s v="14/A"/>
    <x v="58"/>
    <s v="SPLICE PLATE"/>
    <s v="No"/>
    <s v="14_A"/>
    <x v="5"/>
    <n v="1"/>
    <s v=""/>
    <x v="0"/>
    <x v="0"/>
    <s v="SW01#Box1_Box2_Box3_Box6#InBB"/>
    <s v="SW01#Box1_Box2_Box3_Box6#InBB"/>
    <n v="0"/>
    <n v="0"/>
    <n v="0"/>
  </r>
  <r>
    <n v="1148"/>
    <x v="315"/>
    <s v="14/B"/>
    <x v="58"/>
    <s v="SPLICE PLATE"/>
    <s v="No"/>
    <s v="14_B"/>
    <x v="5"/>
    <n v="1"/>
    <s v=""/>
    <x v="0"/>
    <x v="0"/>
    <s v="SW01#Box1_Box2_Box3_Box6#InBB"/>
    <s v="SW01#Box1_Box2_Box3_Box6#InBB"/>
    <n v="0"/>
    <n v="0"/>
    <n v="0"/>
  </r>
  <r>
    <n v="1149"/>
    <x v="315"/>
    <s v="10/A"/>
    <x v="57"/>
    <s v="SPLICE PLATE"/>
    <s v="No"/>
    <s v="10_A"/>
    <x v="1"/>
    <n v="1"/>
    <s v=""/>
    <x v="5"/>
    <x v="3"/>
    <s v="SW01#Box1#10_B_A"/>
    <s v="SW01#Box1#10_11_A"/>
    <n v="0"/>
    <n v="0"/>
    <n v="0"/>
  </r>
  <r>
    <n v="1150"/>
    <x v="316"/>
    <s v="14/A"/>
    <x v="59"/>
    <s v="SPLICE PLATE"/>
    <s v="No"/>
    <s v="14_A"/>
    <x v="5"/>
    <n v="1"/>
    <s v=""/>
    <x v="0"/>
    <x v="0"/>
    <s v="SW02#Box1_Box2_Box3_Box6#InBB"/>
    <s v="SW02#Box1_Box2_Box3_Box6#InBB"/>
    <n v="0"/>
    <n v="0"/>
    <n v="0"/>
  </r>
  <r>
    <n v="1152"/>
    <x v="316"/>
    <s v="11/B"/>
    <x v="60"/>
    <s v="SPLICE PLATE"/>
    <s v="No"/>
    <s v="11_B"/>
    <x v="1"/>
    <n v="1"/>
    <s v=""/>
    <x v="6"/>
    <x v="4"/>
    <s v="SW02#Box1#11_B_A"/>
    <s v="SW02#Box1#10_11_B"/>
    <n v="0"/>
    <n v="0"/>
    <n v="0"/>
  </r>
  <r>
    <n v="1153"/>
    <x v="316"/>
    <s v="11/B"/>
    <x v="61"/>
    <s v="SPLICE PLATE"/>
    <s v="No"/>
    <s v="11_B"/>
    <x v="1"/>
    <n v="1"/>
    <s v=""/>
    <x v="6"/>
    <x v="4"/>
    <s v="SW02#Box1#11_B_A"/>
    <s v="SW02#Box1#10_11_B"/>
    <n v="0"/>
    <n v="0"/>
    <n v="0"/>
  </r>
  <r>
    <n v="1155"/>
    <x v="316"/>
    <s v="11/A"/>
    <x v="60"/>
    <s v="SPLICE PLATE"/>
    <s v="No"/>
    <s v="11_A"/>
    <x v="1"/>
    <n v="1"/>
    <s v=""/>
    <x v="6"/>
    <x v="3"/>
    <s v="SW02#Box1#11_B_A"/>
    <s v="SW02#Box1#10_11_A"/>
    <n v="0"/>
    <n v="0"/>
    <n v="0"/>
  </r>
  <r>
    <n v="1156"/>
    <x v="316"/>
    <s v="11/A"/>
    <x v="60"/>
    <s v="SPLICE PLATE"/>
    <s v="No"/>
    <s v="11_A"/>
    <x v="1"/>
    <n v="1"/>
    <s v=""/>
    <x v="6"/>
    <x v="3"/>
    <s v="SW02#Box1#11_B_A"/>
    <s v="SW02#Box1#10_11_A"/>
    <n v="0"/>
    <n v="0"/>
    <n v="0"/>
  </r>
  <r>
    <n v="1157"/>
    <x v="316"/>
    <s v="11/B"/>
    <x v="60"/>
    <s v="SPLICE PLATE"/>
    <s v="No"/>
    <s v="11_B"/>
    <x v="1"/>
    <n v="1"/>
    <s v=""/>
    <x v="6"/>
    <x v="4"/>
    <s v="SW02#Box1#11_B_A"/>
    <s v="SW02#Box1#10_11_B"/>
    <n v="0"/>
    <n v="0"/>
    <n v="0"/>
  </r>
  <r>
    <n v="1158"/>
    <x v="316"/>
    <s v="14/B"/>
    <x v="59"/>
    <s v="SPLICE PLATE"/>
    <s v="No"/>
    <s v="14_B"/>
    <x v="5"/>
    <n v="1"/>
    <s v=""/>
    <x v="0"/>
    <x v="0"/>
    <s v="SW02#Box1_Box2_Box3_Box6#InBB"/>
    <s v="SW02#Box1_Box2_Box3_Box6#InBB"/>
    <n v="0"/>
    <n v="0"/>
    <n v="0"/>
  </r>
  <r>
    <n v="1160"/>
    <x v="316"/>
    <s v="11/A"/>
    <x v="62"/>
    <s v="SPLICE PLATE"/>
    <s v="No"/>
    <s v="11_A"/>
    <x v="1"/>
    <n v="1"/>
    <s v=""/>
    <x v="6"/>
    <x v="3"/>
    <s v="SW02#Box1#11_B_A"/>
    <s v="SW02#Box1#10_11_A"/>
    <n v="0"/>
    <n v="0"/>
    <n v="0"/>
  </r>
  <r>
    <n v="1161"/>
    <x v="316"/>
    <s v="14/B"/>
    <x v="59"/>
    <s v="SPLICE PLATE"/>
    <s v="No"/>
    <s v="14_B"/>
    <x v="5"/>
    <n v="1"/>
    <s v=""/>
    <x v="0"/>
    <x v="0"/>
    <s v="SW02#Box1_Box2_Box3_Box6#InBB"/>
    <s v="SW02#Box1_Box2_Box3_Box6#InBB"/>
    <n v="0"/>
    <n v="0"/>
    <n v="0"/>
  </r>
  <r>
    <n v="1163"/>
    <x v="316"/>
    <s v="11/A"/>
    <x v="62"/>
    <s v="SPLICE PLATE"/>
    <s v="No"/>
    <s v="11_A"/>
    <x v="1"/>
    <n v="1"/>
    <s v=""/>
    <x v="6"/>
    <x v="3"/>
    <s v="SW02#Box1#11_B_A"/>
    <s v="SW02#Box1#10_11_A"/>
    <n v="0"/>
    <n v="0"/>
    <n v="0"/>
  </r>
  <r>
    <n v="1164"/>
    <x v="316"/>
    <s v="11/B"/>
    <x v="61"/>
    <s v="SPLICE PLATE"/>
    <s v="No"/>
    <s v="11_B"/>
    <x v="1"/>
    <n v="1"/>
    <s v=""/>
    <x v="6"/>
    <x v="4"/>
    <s v="SW02#Box1#11_B_A"/>
    <s v="SW02#Box1#10_11_B"/>
    <n v="0"/>
    <n v="0"/>
    <n v="0"/>
  </r>
  <r>
    <n v="1166"/>
    <x v="316"/>
    <s v="10/B"/>
    <x v="60"/>
    <s v="SPLICE PLATE"/>
    <s v="No"/>
    <s v="10_B"/>
    <x v="1"/>
    <n v="1"/>
    <s v=""/>
    <x v="5"/>
    <x v="4"/>
    <s v="SW02#Box1#10_B_A"/>
    <s v="SW02#Box1#10_11_B"/>
    <n v="0"/>
    <n v="0"/>
    <n v="0"/>
  </r>
  <r>
    <n v="1169"/>
    <x v="316"/>
    <s v="10/B"/>
    <x v="60"/>
    <s v="SPLICE PLATE"/>
    <s v="No"/>
    <s v="10_B"/>
    <x v="1"/>
    <n v="1"/>
    <s v=""/>
    <x v="5"/>
    <x v="4"/>
    <s v="SW02#Box1#10_B_A"/>
    <s v="SW02#Box1#10_11_B"/>
    <n v="0"/>
    <n v="0"/>
    <n v="0"/>
  </r>
  <r>
    <n v="1172"/>
    <x v="316"/>
    <s v="10/A"/>
    <x v="60"/>
    <s v="SPLICE PLATE"/>
    <s v="No"/>
    <s v="10_A"/>
    <x v="1"/>
    <n v="1"/>
    <s v=""/>
    <x v="5"/>
    <x v="3"/>
    <s v="SW02#Box1#10_B_A"/>
    <s v="SW02#Box1#10_11_A"/>
    <n v="0"/>
    <n v="0"/>
    <n v="0"/>
  </r>
  <r>
    <n v="1175"/>
    <x v="316"/>
    <s v="10/A"/>
    <x v="60"/>
    <s v="SPLICE PLATE"/>
    <s v="No"/>
    <s v="10_A"/>
    <x v="1"/>
    <n v="1"/>
    <s v=""/>
    <x v="5"/>
    <x v="3"/>
    <s v="SW02#Box1#10_B_A"/>
    <s v="SW02#Box1#10_11_A"/>
    <n v="0"/>
    <n v="0"/>
    <n v="0"/>
  </r>
  <r>
    <n v="1178"/>
    <x v="316"/>
    <s v="10/A"/>
    <x v="62"/>
    <s v="SPLICE PLATE"/>
    <s v="No"/>
    <s v="10_A"/>
    <x v="1"/>
    <n v="1"/>
    <s v=""/>
    <x v="5"/>
    <x v="3"/>
    <s v="SW02#Box1#10_B_A"/>
    <s v="SW02#Box1#10_11_A"/>
    <n v="0"/>
    <n v="0"/>
    <n v="0"/>
  </r>
  <r>
    <n v="1181"/>
    <x v="316"/>
    <s v="10/A"/>
    <x v="62"/>
    <s v="SPLICE PLATE"/>
    <s v="No"/>
    <s v="10_A"/>
    <x v="1"/>
    <n v="1"/>
    <s v=""/>
    <x v="5"/>
    <x v="3"/>
    <s v="SW02#Box1#10_B_A"/>
    <s v="SW02#Box1#10_11_A"/>
    <n v="0"/>
    <n v="0"/>
    <n v="0"/>
  </r>
  <r>
    <n v="1183"/>
    <x v="316"/>
    <s v="14/A"/>
    <x v="59"/>
    <s v="SPLICE PLATE"/>
    <s v="No"/>
    <s v="14_A"/>
    <x v="5"/>
    <n v="1"/>
    <s v=""/>
    <x v="0"/>
    <x v="0"/>
    <s v="SW02#Box1_Box2_Box3_Box6#InBB"/>
    <s v="SW02#Box1_Box2_Box3_Box6#InBB"/>
    <n v="0"/>
    <n v="0"/>
    <n v="0"/>
  </r>
  <r>
    <n v="1184"/>
    <x v="316"/>
    <s v="10/B"/>
    <x v="62"/>
    <s v="SPLICE PLATE"/>
    <s v="No"/>
    <s v="10_B"/>
    <x v="1"/>
    <n v="1"/>
    <s v=""/>
    <x v="5"/>
    <x v="4"/>
    <s v="SW02#Box1#10_B_A"/>
    <s v="SW02#Box1#10_11_B"/>
    <n v="0"/>
    <n v="0"/>
    <n v="0"/>
  </r>
  <r>
    <n v="1187"/>
    <x v="316"/>
    <s v="10/B"/>
    <x v="62"/>
    <s v="SPLICE PLATE"/>
    <s v="No"/>
    <s v="10_B"/>
    <x v="1"/>
    <n v="1"/>
    <s v=""/>
    <x v="5"/>
    <x v="4"/>
    <s v="SW02#Box1#10_B_A"/>
    <s v="SW02#Box1#10_11_B"/>
    <n v="0"/>
    <n v="0"/>
    <n v="0"/>
  </r>
  <r>
    <n v="1190"/>
    <x v="317"/>
    <s v="11/A"/>
    <x v="57"/>
    <s v="SPLICE PLATE"/>
    <s v="No"/>
    <s v="11_A"/>
    <x v="1"/>
    <n v="1"/>
    <s v=""/>
    <x v="6"/>
    <x v="3"/>
    <s v="SW03#Box1#11_B_A"/>
    <s v="SW03#Box1#10_11_A"/>
    <n v="0"/>
    <n v="0"/>
    <n v="0"/>
  </r>
  <r>
    <n v="1191"/>
    <x v="317"/>
    <s v="11/B"/>
    <x v="57"/>
    <s v="SPLICE PLATE"/>
    <s v="No"/>
    <s v="11_B"/>
    <x v="1"/>
    <n v="1"/>
    <s v=""/>
    <x v="6"/>
    <x v="4"/>
    <s v="SW03#Box1#11_B_A"/>
    <s v="SW03#Box1#10_11_B"/>
    <n v="0"/>
    <n v="0"/>
    <n v="0"/>
  </r>
  <r>
    <n v="1194"/>
    <x v="317"/>
    <s v="11/B"/>
    <x v="57"/>
    <s v="SPLICE PLATE"/>
    <s v="No"/>
    <s v="11_B"/>
    <x v="1"/>
    <n v="1"/>
    <s v=""/>
    <x v="6"/>
    <x v="4"/>
    <s v="SW03#Box1#11_B_A"/>
    <s v="SW03#Box1#10_11_B"/>
    <n v="0"/>
    <n v="0"/>
    <n v="0"/>
  </r>
  <r>
    <n v="1195"/>
    <x v="317"/>
    <s v="11/A"/>
    <x v="57"/>
    <s v="SPLICE PLATE"/>
    <s v="No"/>
    <s v="11_A"/>
    <x v="1"/>
    <n v="1"/>
    <s v=""/>
    <x v="6"/>
    <x v="3"/>
    <s v="SW03#Box1#11_B_A"/>
    <s v="SW03#Box1#10_11_A"/>
    <n v="0"/>
    <n v="0"/>
    <n v="0"/>
  </r>
  <r>
    <n v="1204"/>
    <x v="318"/>
    <s v="10/B"/>
    <x v="57"/>
    <s v="SPLICE PLATE"/>
    <s v="No"/>
    <s v="10_B"/>
    <x v="1"/>
    <n v="1"/>
    <s v=""/>
    <x v="5"/>
    <x v="4"/>
    <s v="SW05#Box1#10_B_A"/>
    <s v="SW05#Box1#10_11_B"/>
    <n v="0"/>
    <n v="0"/>
    <n v="0"/>
  </r>
  <r>
    <n v="1207"/>
    <x v="318"/>
    <s v="10/B"/>
    <x v="57"/>
    <s v="SPLICE PLATE"/>
    <s v="No"/>
    <s v="10_B"/>
    <x v="1"/>
    <n v="1"/>
    <s v=""/>
    <x v="5"/>
    <x v="4"/>
    <s v="SW05#Box1#10_B_A"/>
    <s v="SW05#Box1#10_11_B"/>
    <n v="0"/>
    <n v="0"/>
    <n v="0"/>
  </r>
  <r>
    <n v="1208"/>
    <x v="318"/>
    <s v="14/B"/>
    <x v="58"/>
    <s v="SPLICE PLATE"/>
    <s v="No"/>
    <s v="14_B"/>
    <x v="5"/>
    <n v="1"/>
    <s v=""/>
    <x v="0"/>
    <x v="0"/>
    <s v="SW05#Box1_Box2_Box3_Box6#InBB"/>
    <s v="SW05#Box1_Box2_Box3_Box6#InBB"/>
    <n v="0"/>
    <n v="0"/>
    <n v="0"/>
  </r>
  <r>
    <n v="1211"/>
    <x v="318"/>
    <s v="14/A"/>
    <x v="58"/>
    <s v="SPLICE PLATE"/>
    <s v="No"/>
    <s v="14_A"/>
    <x v="5"/>
    <n v="1"/>
    <s v=""/>
    <x v="0"/>
    <x v="0"/>
    <s v="SW05#Box1_Box2_Box3_Box6#InBB"/>
    <s v="SW05#Box1_Box2_Box3_Box6#InBB"/>
    <n v="0"/>
    <n v="0"/>
    <n v="0"/>
  </r>
  <r>
    <n v="1212"/>
    <x v="318"/>
    <s v="10/A"/>
    <x v="57"/>
    <s v="SPLICE PLATE"/>
    <s v="No"/>
    <s v="10_A"/>
    <x v="1"/>
    <n v="1"/>
    <s v=""/>
    <x v="5"/>
    <x v="3"/>
    <s v="SW05#Box1#10_B_A"/>
    <s v="SW05#Box1#10_11_A"/>
    <n v="0"/>
    <n v="0"/>
    <n v="0"/>
  </r>
  <r>
    <n v="1213"/>
    <x v="318"/>
    <s v="14/A"/>
    <x v="58"/>
    <s v="SPLICE PLATE"/>
    <s v="No"/>
    <s v="14_A"/>
    <x v="5"/>
    <n v="1"/>
    <s v=""/>
    <x v="0"/>
    <x v="0"/>
    <s v="SW05#Box1_Box2_Box3_Box6#InBB"/>
    <s v="SW05#Box1_Box2_Box3_Box6#InBB"/>
    <n v="0"/>
    <n v="0"/>
    <n v="0"/>
  </r>
  <r>
    <n v="1214"/>
    <x v="318"/>
    <s v="14/B"/>
    <x v="58"/>
    <s v="SPLICE PLATE"/>
    <s v="No"/>
    <s v="14_B"/>
    <x v="5"/>
    <n v="1"/>
    <s v=""/>
    <x v="0"/>
    <x v="0"/>
    <s v="SW05#Box1_Box2_Box3_Box6#InBB"/>
    <s v="SW05#Box1_Box2_Box3_Box6#InBB"/>
    <n v="0"/>
    <n v="0"/>
    <n v="0"/>
  </r>
  <r>
    <n v="1215"/>
    <x v="318"/>
    <s v="10/A"/>
    <x v="57"/>
    <s v="SPLICE PLATE"/>
    <s v="No"/>
    <s v="10_A"/>
    <x v="1"/>
    <n v="1"/>
    <s v=""/>
    <x v="5"/>
    <x v="3"/>
    <s v="SW05#Box1#10_B_A"/>
    <s v="SW05#Box1#10_11_A"/>
    <n v="0"/>
    <n v="0"/>
    <n v="0"/>
  </r>
  <r>
    <n v="1216"/>
    <x v="319"/>
    <s v="11-12/B"/>
    <x v="63"/>
    <s v="V-BRACE"/>
    <s v="Yes"/>
    <s v="11_12_B"/>
    <x v="3"/>
    <n v="1"/>
    <s v=""/>
    <x v="0"/>
    <x v="0"/>
    <s v="VB01#Box1_Box2#InBB"/>
    <s v="VB01#Box1_Box2#InBB"/>
    <n v="0"/>
    <n v="0"/>
    <n v="0"/>
  </r>
  <r>
    <n v="1217"/>
    <x v="320"/>
    <s v="11-12/A"/>
    <x v="64"/>
    <s v="V-BRACE"/>
    <s v="Yes"/>
    <s v="11_12_A"/>
    <x v="3"/>
    <n v="1"/>
    <s v=""/>
    <x v="0"/>
    <x v="0"/>
    <s v="VB02#Box1_Box2#InBB"/>
    <s v="VB02#Box1_Box2#InBB"/>
    <n v="0"/>
    <n v="0"/>
    <n v="0"/>
  </r>
  <r>
    <n v="1218"/>
    <x v="321"/>
    <s v="11-12/A"/>
    <x v="65"/>
    <s v="V-BRACE"/>
    <s v="Yes"/>
    <s v="11_12_A"/>
    <x v="3"/>
    <n v="1"/>
    <s v=""/>
    <x v="0"/>
    <x v="0"/>
    <s v="VB03#Box1_Box2#InBB"/>
    <s v="VB03#Box1_Box2#InBB"/>
    <n v="0"/>
    <n v="0"/>
    <n v="0"/>
  </r>
  <r>
    <n v="1219"/>
    <x v="322"/>
    <s v="10/A'-A"/>
    <x v="66"/>
    <s v="V-BRACE"/>
    <s v="Yes"/>
    <s v="10_A'_A"/>
    <x v="0"/>
    <n v="1"/>
    <s v=""/>
    <x v="0"/>
    <x v="0"/>
    <s v="VB04#Box1_Box4#InBB"/>
    <s v="VB04#Box1_Box4#InBB"/>
    <n v="0"/>
    <n v="0"/>
    <n v="0"/>
  </r>
  <r>
    <n v="1220"/>
    <x v="323"/>
    <s v="10/B&gt;"/>
    <x v="67"/>
    <s v="V-BRACE"/>
    <s v="No"/>
    <s v="10_B&gt;"/>
    <x v="1"/>
    <n v="1"/>
    <s v="O"/>
    <x v="2"/>
    <x v="2"/>
    <s v="VB05#Box1#O"/>
    <s v="VB05#Box1#O"/>
    <n v="0"/>
    <n v="0"/>
    <n v="0"/>
  </r>
  <r>
    <n v="1221"/>
    <x v="323"/>
    <s v="10/A'-A"/>
    <x v="67"/>
    <s v="V-BRACE"/>
    <s v="No"/>
    <s v="10_A'_A"/>
    <x v="0"/>
    <n v="1"/>
    <s v=""/>
    <x v="0"/>
    <x v="0"/>
    <s v="VB05#Box1_Box4#InBB"/>
    <s v="VB05#Box1_Box4#InBB"/>
    <n v="0"/>
    <n v="0"/>
    <n v="0"/>
  </r>
  <r>
    <n v="1225"/>
    <x v="324"/>
    <s v="10/B&gt;"/>
    <x v="68"/>
    <s v="V-BRACE"/>
    <s v="Yes"/>
    <s v="10_B&gt;"/>
    <x v="1"/>
    <n v="1"/>
    <s v="O"/>
    <x v="2"/>
    <x v="2"/>
    <s v="VB07#Box1#O"/>
    <s v="VB07#Box1#O"/>
    <n v="0"/>
    <n v="0"/>
    <n v="0"/>
  </r>
  <r>
    <n v="1226"/>
    <x v="325"/>
    <s v="10-11/A-B"/>
    <x v="69"/>
    <s v="V-BRACE"/>
    <s v="Yes"/>
    <s v="10_11_A_B"/>
    <x v="1"/>
    <n v="1"/>
    <s v=""/>
    <x v="3"/>
    <x v="1"/>
    <s v="VB08#Box1#InB"/>
    <s v="VB08#Box1#InB"/>
    <n v="0"/>
    <n v="0"/>
    <n v="0"/>
  </r>
  <r>
    <n v="1227"/>
    <x v="326"/>
    <s v="10-11/A-B"/>
    <x v="70"/>
    <s v="V-BRACE"/>
    <s v="Yes"/>
    <s v="10_11_A_B"/>
    <x v="1"/>
    <n v="1"/>
    <s v=""/>
    <x v="3"/>
    <x v="1"/>
    <s v="VB09#Box1#InB"/>
    <s v="VB09#Box1#InB"/>
    <n v="0"/>
    <n v="0"/>
    <n v="0"/>
  </r>
  <r>
    <n v="1228"/>
    <x v="327"/>
    <s v="10-11/B&gt;"/>
    <x v="71"/>
    <s v="V-BRACE"/>
    <s v="No"/>
    <s v="10_11_B&gt;"/>
    <x v="1"/>
    <n v="1"/>
    <s v="O"/>
    <x v="2"/>
    <x v="2"/>
    <s v="VB10#Box1#O"/>
    <s v="VB10#Box1#O"/>
    <n v="0"/>
    <n v="0"/>
    <n v="0"/>
  </r>
  <r>
    <n v="1229"/>
    <x v="327"/>
    <s v="11-12/B&gt;"/>
    <x v="71"/>
    <s v="V-BRACE"/>
    <s v="No"/>
    <s v="11_12_B&gt;"/>
    <x v="3"/>
    <n v="1"/>
    <s v="O"/>
    <x v="2"/>
    <x v="2"/>
    <s v="VB10#Box1_Box2#O"/>
    <s v="VB10#Box1_Box2#O"/>
    <n v="0"/>
    <n v="0"/>
    <n v="0"/>
  </r>
  <r>
    <n v="1230"/>
    <x v="328"/>
    <s v="11/A'-A"/>
    <x v="72"/>
    <s v="V-BRACE"/>
    <s v="Yes"/>
    <s v="11_A'_A"/>
    <x v="0"/>
    <n v="1"/>
    <s v=""/>
    <x v="0"/>
    <x v="0"/>
    <s v="VB11#Box1_Box4#InBB"/>
    <s v="VB11#Box1_Box4#InBB"/>
    <n v="0"/>
    <n v="0"/>
    <n v="0"/>
  </r>
  <r>
    <n v="1231"/>
    <x v="329"/>
    <s v="11/A'-A"/>
    <x v="67"/>
    <s v="V-BRACE"/>
    <s v="Yes"/>
    <s v="11_A'_A"/>
    <x v="0"/>
    <n v="1"/>
    <s v=""/>
    <x v="0"/>
    <x v="0"/>
    <s v="VB12#Box1_Box4#InBB"/>
    <s v="VB12#Box1_Box4#InBB"/>
    <n v="0"/>
    <n v="0"/>
    <n v="0"/>
  </r>
  <r>
    <n v="1232"/>
    <x v="330"/>
    <s v="11/A'-A"/>
    <x v="73"/>
    <s v="V-BRACE"/>
    <s v="Yes"/>
    <s v="11_A'_A"/>
    <x v="0"/>
    <n v="1"/>
    <s v=""/>
    <x v="0"/>
    <x v="0"/>
    <s v="VB13#Box1_Box4#InBB"/>
    <s v="VB13#Box1_Box4#InBB"/>
    <n v="0"/>
    <n v="0"/>
    <n v="0"/>
  </r>
  <r>
    <n v="1233"/>
    <x v="331"/>
    <s v="11/A-B"/>
    <x v="74"/>
    <s v="V-BRACE"/>
    <s v="Yes"/>
    <s v="11_A_B"/>
    <x v="1"/>
    <n v="1"/>
    <s v=""/>
    <x v="4"/>
    <x v="1"/>
    <s v="VB14#Box1#11_A_B"/>
    <s v="VB14#Box1#InB"/>
    <n v="0"/>
    <n v="0"/>
    <n v="0"/>
  </r>
  <r>
    <n v="1234"/>
    <x v="332"/>
    <s v="11/B&gt;"/>
    <x v="75"/>
    <s v="V-BRACE"/>
    <s v="Yes"/>
    <s v="11_B&gt;"/>
    <x v="1"/>
    <n v="1"/>
    <s v="O"/>
    <x v="2"/>
    <x v="2"/>
    <s v="VB15#Box1#O"/>
    <s v="VB15#Box1#O"/>
    <n v="0"/>
    <n v="0"/>
    <n v="0"/>
  </r>
  <r>
    <n v="1235"/>
    <x v="333"/>
    <s v="11-12/B"/>
    <x v="76"/>
    <s v="V-BRACE"/>
    <s v="No"/>
    <s v="11_12_B"/>
    <x v="3"/>
    <n v="1"/>
    <s v=""/>
    <x v="0"/>
    <x v="0"/>
    <s v="VB16#Box1_Box2#InBB"/>
    <s v="VB16#Box1_Box2#InBB"/>
    <n v="0"/>
    <n v="0"/>
    <n v="0"/>
  </r>
  <r>
    <n v="1236"/>
    <x v="333"/>
    <s v="11-12/A"/>
    <x v="76"/>
    <s v="V-BRACE"/>
    <s v="No"/>
    <s v="11_12_A"/>
    <x v="3"/>
    <n v="1"/>
    <s v=""/>
    <x v="0"/>
    <x v="0"/>
    <s v="VB16#Box1_Box2#InBB"/>
    <s v="VB16#Box1_Box2#InBB"/>
    <n v="0"/>
    <n v="0"/>
    <n v="0"/>
  </r>
  <r>
    <n v="1237"/>
    <x v="334"/>
    <s v="11-12/A"/>
    <x v="65"/>
    <s v="V-BRACE"/>
    <s v="Yes"/>
    <s v="11_12_A"/>
    <x v="3"/>
    <n v="1"/>
    <s v=""/>
    <x v="0"/>
    <x v="0"/>
    <s v="VB17#Box1_Box2#InBB"/>
    <s v="VB17#Box1_Box2#InBB"/>
    <n v="0"/>
    <n v="0"/>
    <n v="0"/>
  </r>
  <r>
    <n v="1238"/>
    <x v="335"/>
    <s v="11-12/A"/>
    <x v="77"/>
    <s v="V-BRACE"/>
    <s v="No"/>
    <s v="11_12_A"/>
    <x v="3"/>
    <n v="1"/>
    <s v=""/>
    <x v="0"/>
    <x v="0"/>
    <s v="VB18#Box1_Box2#InBB"/>
    <s v="VB18#Box1_Box2#InBB"/>
    <n v="0"/>
    <n v="0"/>
    <n v="0"/>
  </r>
  <r>
    <n v="1239"/>
    <x v="335"/>
    <s v="11-12/B"/>
    <x v="77"/>
    <s v="V-BRACE"/>
    <s v="No"/>
    <s v="11_12_B"/>
    <x v="3"/>
    <n v="1"/>
    <s v=""/>
    <x v="0"/>
    <x v="0"/>
    <s v="VB18#Box1_Box2#InBB"/>
    <s v="VB18#Box1_Box2#InBB"/>
    <n v="0"/>
    <n v="0"/>
    <n v="0"/>
  </r>
  <r>
    <n v="1240"/>
    <x v="336"/>
    <s v="10-11/A-B"/>
    <x v="78"/>
    <s v="V-BRACE"/>
    <s v="Yes"/>
    <s v="10_11_A_B"/>
    <x v="1"/>
    <n v="1"/>
    <s v=""/>
    <x v="3"/>
    <x v="1"/>
    <s v="VB19#Box1#InB"/>
    <s v="VB19#Box1#InB"/>
    <n v="0"/>
    <n v="0"/>
    <n v="0"/>
  </r>
  <r>
    <n v="1241"/>
    <x v="337"/>
    <s v="11-12/B"/>
    <x v="65"/>
    <s v="V-BRACE"/>
    <s v="Yes"/>
    <s v="11_12_B"/>
    <x v="3"/>
    <n v="1"/>
    <s v=""/>
    <x v="0"/>
    <x v="0"/>
    <s v="VB20#Box1_Box2#InBB"/>
    <s v="VB20#Box1_Box2#InBB"/>
    <n v="0"/>
    <n v="0"/>
    <n v="0"/>
  </r>
  <r>
    <n v="1242"/>
    <x v="338"/>
    <s v="11-12/A"/>
    <x v="79"/>
    <s v="V-BRACE"/>
    <s v="No"/>
    <s v="11_12_A"/>
    <x v="3"/>
    <n v="1"/>
    <s v=""/>
    <x v="0"/>
    <x v="0"/>
    <s v="VB21#Box1_Box2#InBB"/>
    <s v="VB21#Box1_Box2#InBB"/>
    <n v="0"/>
    <n v="0"/>
    <n v="0"/>
  </r>
  <r>
    <n v="1243"/>
    <x v="338"/>
    <s v="11-12/A"/>
    <x v="79"/>
    <s v="V-BRACE"/>
    <s v="No"/>
    <s v="11_12_A"/>
    <x v="3"/>
    <n v="1"/>
    <s v=""/>
    <x v="0"/>
    <x v="0"/>
    <s v="VB21#Box1_Box2#InBB"/>
    <s v="VB21#Box1_Box2#InBB"/>
    <n v="0"/>
    <n v="0"/>
    <n v="0"/>
  </r>
  <r>
    <n v="1256"/>
    <x v="339"/>
    <s v="11-12/B"/>
    <x v="80"/>
    <s v="V-BRACE"/>
    <s v="Yes"/>
    <s v="11_12_B"/>
    <x v="3"/>
    <n v="1"/>
    <s v=""/>
    <x v="0"/>
    <x v="0"/>
    <s v="VB23#Box1_Box2#InBB"/>
    <s v="VB23#Box1_Box2#InBB"/>
    <n v="0"/>
    <n v="0"/>
    <n v="0"/>
  </r>
  <r>
    <n v="1257"/>
    <x v="340"/>
    <s v="11-12/A"/>
    <x v="81"/>
    <s v="V-BRACE"/>
    <s v="Yes"/>
    <s v="11_12_A"/>
    <x v="3"/>
    <n v="1"/>
    <s v=""/>
    <x v="0"/>
    <x v="0"/>
    <s v="VB24#Box1_Box2#InBB"/>
    <s v="VB24#Box1_Box2#InBB"/>
    <n v="0"/>
    <n v="0"/>
    <n v="0"/>
  </r>
  <r>
    <n v="1258"/>
    <x v="341"/>
    <s v="11-12/B"/>
    <x v="82"/>
    <s v="V-BRACE"/>
    <s v="No"/>
    <s v="11_12_B"/>
    <x v="3"/>
    <n v="1"/>
    <s v=""/>
    <x v="0"/>
    <x v="0"/>
    <s v="VB25#Box1_Box2#InBB"/>
    <s v="VB25#Box1_Box2#InBB"/>
    <n v="0"/>
    <n v="0"/>
    <n v="0"/>
  </r>
  <r>
    <n v="1259"/>
    <x v="341"/>
    <s v="11-12/A"/>
    <x v="83"/>
    <s v="V-BRACE"/>
    <s v="No"/>
    <s v="11_12_A"/>
    <x v="3"/>
    <n v="1"/>
    <s v=""/>
    <x v="0"/>
    <x v="0"/>
    <s v="VB25#Box1_Box2#InBB"/>
    <s v="VB25#Box1_Box2#InBB"/>
    <n v="0"/>
    <n v="0"/>
    <n v="0"/>
  </r>
  <r>
    <n v="1260"/>
    <x v="342"/>
    <s v="11-12/A'-A"/>
    <x v="75"/>
    <s v="V-BRACE"/>
    <s v="Yes"/>
    <s v="11_12_A'_A"/>
    <x v="2"/>
    <n v="1"/>
    <s v=""/>
    <x v="0"/>
    <x v="0"/>
    <s v="VB26#Box1_Box2_Box4_Box5#InBB"/>
    <s v="VB26#Box1_Box2_Box4_Box5#InBB"/>
    <n v="0"/>
    <n v="0"/>
    <n v="0"/>
  </r>
  <r>
    <n v="1261"/>
    <x v="343"/>
    <s v="11-12/B"/>
    <x v="84"/>
    <s v="V-BRACE"/>
    <s v="Yes"/>
    <s v="11_12_B"/>
    <x v="3"/>
    <n v="1"/>
    <s v=""/>
    <x v="0"/>
    <x v="0"/>
    <s v="VB27#Box1_Box2#InBB"/>
    <s v="VB27#Box1_Box2#InBB"/>
    <n v="0"/>
    <n v="0"/>
    <n v="0"/>
  </r>
  <r>
    <n v="1262"/>
    <x v="344"/>
    <s v="11-12/A"/>
    <x v="85"/>
    <s v="V-BRACE"/>
    <s v="Yes"/>
    <s v="11_12_A"/>
    <x v="3"/>
    <n v="1"/>
    <s v=""/>
    <x v="0"/>
    <x v="0"/>
    <s v="VB28#Box1_Box2#InBB"/>
    <s v="VB28#Box1_Box2#InBB"/>
    <n v="0"/>
    <n v="0"/>
    <n v="0"/>
  </r>
  <r>
    <n v="1263"/>
    <x v="345"/>
    <s v="11-12/B"/>
    <x v="86"/>
    <s v="V-BRACE"/>
    <s v="No"/>
    <s v="11_12_B"/>
    <x v="3"/>
    <n v="1"/>
    <s v=""/>
    <x v="0"/>
    <x v="0"/>
    <s v="VB29#Box1_Box2#InBB"/>
    <s v="VB29#Box1_Box2#InBB"/>
    <n v="0"/>
    <n v="0"/>
    <n v="0"/>
  </r>
  <r>
    <n v="1264"/>
    <x v="345"/>
    <s v="11-12/A"/>
    <x v="85"/>
    <s v="V-BRACE"/>
    <s v="No"/>
    <s v="11_12_A"/>
    <x v="3"/>
    <n v="1"/>
    <s v=""/>
    <x v="0"/>
    <x v="0"/>
    <s v="VB29#Box1_Box2#InBB"/>
    <s v="VB29#Box1_Box2#InBB"/>
    <n v="0"/>
    <n v="0"/>
    <n v="0"/>
  </r>
  <r>
    <n v="1265"/>
    <x v="346"/>
    <s v="11-12/A"/>
    <x v="87"/>
    <s v="V-BRACE"/>
    <s v="No"/>
    <s v="11_12_A"/>
    <x v="3"/>
    <n v="1"/>
    <s v=""/>
    <x v="0"/>
    <x v="0"/>
    <s v="VB30#Box1_Box2#InBB"/>
    <s v="VB30#Box1_Box2#InBB"/>
    <n v="0"/>
    <n v="0"/>
    <n v="0"/>
  </r>
  <r>
    <n v="1266"/>
    <x v="346"/>
    <s v="11-12/A"/>
    <x v="87"/>
    <s v="V-BRACE"/>
    <s v="No"/>
    <s v="11_12_A"/>
    <x v="3"/>
    <n v="1"/>
    <s v=""/>
    <x v="0"/>
    <x v="0"/>
    <s v="VB30#Box1_Box2#InBB"/>
    <s v="VB30#Box1_Box2#InBB"/>
    <n v="0"/>
    <n v="0"/>
    <n v="0"/>
  </r>
  <r>
    <n v="1267"/>
    <x v="347"/>
    <s v="11-12/B"/>
    <x v="85"/>
    <s v="V-BRACE"/>
    <s v="Yes"/>
    <s v="11_12_B"/>
    <x v="3"/>
    <n v="1"/>
    <s v=""/>
    <x v="0"/>
    <x v="0"/>
    <s v="VB31#Box1_Box2#InBB"/>
    <s v="VB31#Box1_Box2#InBB"/>
    <n v="0"/>
    <n v="0"/>
    <n v="0"/>
  </r>
  <r>
    <n v="1268"/>
    <x v="348"/>
    <s v="11-12/B"/>
    <x v="84"/>
    <s v="V-BRACE"/>
    <s v="Yes"/>
    <s v="11_12_B"/>
    <x v="3"/>
    <n v="1"/>
    <s v=""/>
    <x v="0"/>
    <x v="0"/>
    <s v="VB32#Box1_Box2#InBB"/>
    <s v="VB32#Box1_Box2#InBB"/>
    <n v="0"/>
    <n v="0"/>
    <n v="0"/>
  </r>
  <r>
    <n v="1269"/>
    <x v="349"/>
    <s v="11-12/A'-A"/>
    <x v="75"/>
    <s v="V-BRACE"/>
    <s v="Yes"/>
    <s v="11_12_A'_A"/>
    <x v="2"/>
    <n v="1"/>
    <s v=""/>
    <x v="0"/>
    <x v="0"/>
    <s v="VB33#Box1_Box2_Box4_Box5#InBB"/>
    <s v="VB33#Box1_Box2_Box4_Box5#InBB"/>
    <n v="0"/>
    <n v="0"/>
    <n v="0"/>
  </r>
  <r>
    <n v="1270"/>
    <x v="350"/>
    <s v="11-12/B"/>
    <x v="63"/>
    <s v="V-BRACE"/>
    <s v="Yes"/>
    <s v="11_12_B"/>
    <x v="3"/>
    <n v="1"/>
    <s v=""/>
    <x v="0"/>
    <x v="0"/>
    <s v="VB34#Box1_Box2#InBB"/>
    <s v="VB34#Box1_Box2#InBB"/>
    <n v="0"/>
    <n v="0"/>
    <n v="0"/>
  </r>
  <r>
    <n v="1271"/>
    <x v="351"/>
    <s v="11-12/A"/>
    <x v="83"/>
    <s v="V-BRACE"/>
    <s v="Yes"/>
    <s v="11_12_A"/>
    <x v="3"/>
    <n v="1"/>
    <s v=""/>
    <x v="0"/>
    <x v="0"/>
    <s v="VB35#Box1_Box2#InBB"/>
    <s v="VB35#Box1_Box2#InBB"/>
    <n v="0"/>
    <n v="0"/>
    <n v="0"/>
  </r>
  <r>
    <n v="1272"/>
    <x v="352"/>
    <s v="11-12/B"/>
    <x v="83"/>
    <s v="V-BRACE"/>
    <s v="Yes"/>
    <s v="11_12_B"/>
    <x v="3"/>
    <n v="1"/>
    <s v=""/>
    <x v="0"/>
    <x v="0"/>
    <s v="VB36#Box1_Box2#InBB"/>
    <s v="VB36#Box1_Box2#InBB"/>
    <n v="0"/>
    <n v="0"/>
    <n v="0"/>
  </r>
  <r>
    <n v="1273"/>
    <x v="353"/>
    <s v="11-12/A"/>
    <x v="88"/>
    <s v="V-BRACE"/>
    <s v="Yes"/>
    <s v="11_12_A"/>
    <x v="3"/>
    <n v="1"/>
    <s v=""/>
    <x v="0"/>
    <x v="0"/>
    <s v="VB37#Box1_Box2#InBB"/>
    <s v="VB37#Box1_Box2#InBB"/>
    <n v="0"/>
    <n v="0"/>
    <n v="0"/>
  </r>
  <r>
    <n v="1274"/>
    <x v="354"/>
    <s v="11-12/B"/>
    <x v="80"/>
    <s v="V-BRACE"/>
    <s v="Yes"/>
    <s v="11_12_B"/>
    <x v="3"/>
    <n v="1"/>
    <s v=""/>
    <x v="0"/>
    <x v="0"/>
    <s v="VB38#Box1_Box2#InBB"/>
    <s v="VB38#Box1_Box2#InBB"/>
    <n v="0"/>
    <n v="0"/>
    <n v="0"/>
  </r>
  <r>
    <n v="1275"/>
    <x v="355"/>
    <s v="11-12/B"/>
    <x v="65"/>
    <s v="V-BRACE"/>
    <s v="Yes"/>
    <s v="11_12_B"/>
    <x v="3"/>
    <n v="1"/>
    <s v=""/>
    <x v="0"/>
    <x v="0"/>
    <s v="VB39#Box1_Box2#InBB"/>
    <s v="VB39#Box1_Box2#InBB"/>
    <n v="0"/>
    <n v="0"/>
    <n v="0"/>
  </r>
  <r>
    <n v="1276"/>
    <x v="356"/>
    <s v="10-11/A'-A"/>
    <x v="89"/>
    <s v="V-BRACE"/>
    <s v="Yes"/>
    <s v="10_11_A'_A"/>
    <x v="0"/>
    <n v="1"/>
    <s v=""/>
    <x v="0"/>
    <x v="0"/>
    <s v="VB40#Box1_Box4#InBB"/>
    <s v="VB40#Box1_Box4#InBB"/>
    <n v="0"/>
    <n v="0"/>
    <n v="0"/>
  </r>
  <r>
    <n v="1277"/>
    <x v="357"/>
    <s v="11-12/A"/>
    <x v="90"/>
    <s v="V-BRACE"/>
    <s v="No"/>
    <s v="11_12_A"/>
    <x v="3"/>
    <n v="1"/>
    <s v=""/>
    <x v="0"/>
    <x v="0"/>
    <s v="VB41#Box1_Box2#InBB"/>
    <s v="VB41#Box1_Box2#InBB"/>
    <n v="0"/>
    <n v="0"/>
    <n v="0"/>
  </r>
  <r>
    <n v="1278"/>
    <x v="357"/>
    <s v="11-12/B"/>
    <x v="90"/>
    <s v="V-BRACE"/>
    <s v="No"/>
    <s v="11_12_B"/>
    <x v="3"/>
    <n v="1"/>
    <s v=""/>
    <x v="0"/>
    <x v="0"/>
    <s v="VB41#Box1_Box2#InBB"/>
    <s v="VB41#Box1_Box2#InBB"/>
    <n v="0"/>
    <n v="0"/>
    <n v="0"/>
  </r>
  <r>
    <n v="1279"/>
    <x v="358"/>
    <s v="11-12/B"/>
    <x v="76"/>
    <s v="V-BRACE"/>
    <s v="No"/>
    <s v="11_12_B"/>
    <x v="3"/>
    <n v="1"/>
    <s v=""/>
    <x v="0"/>
    <x v="0"/>
    <s v="VB42#Box1_Box2#InBB"/>
    <s v="VB42#Box1_Box2#InBB"/>
    <n v="0"/>
    <n v="0"/>
    <n v="0"/>
  </r>
  <r>
    <n v="1280"/>
    <x v="358"/>
    <s v="11-12/A"/>
    <x v="76"/>
    <s v="V-BRACE"/>
    <s v="No"/>
    <s v="11_12_A"/>
    <x v="3"/>
    <n v="1"/>
    <s v=""/>
    <x v="0"/>
    <x v="0"/>
    <s v="VB42#Box1_Box2#InBB"/>
    <s v="VB42#Box1_Box2#InBB"/>
    <n v="0"/>
    <n v="0"/>
    <n v="0"/>
  </r>
  <r>
    <n v="1286"/>
    <x v="359"/>
    <s v="11-12/A"/>
    <x v="64"/>
    <s v="V-BRACE"/>
    <s v="Yes"/>
    <s v="11_12_A"/>
    <x v="3"/>
    <n v="1"/>
    <s v=""/>
    <x v="0"/>
    <x v="0"/>
    <s v="VB47#Box1_Box2#InBB"/>
    <s v="VB47#Box1_Box2#InBB"/>
    <n v="0"/>
    <n v="0"/>
    <n v="0"/>
  </r>
  <r>
    <n v="1287"/>
    <x v="360"/>
    <s v="11/A-B"/>
    <x v="91"/>
    <s v="V-BRACE"/>
    <s v="No"/>
    <s v="11_A_B"/>
    <x v="1"/>
    <n v="1"/>
    <s v=""/>
    <x v="4"/>
    <x v="1"/>
    <s v="VB48#Box1#11_A_B"/>
    <s v="VB48#Box1#InB"/>
    <n v="0"/>
    <n v="0"/>
    <n v="0"/>
  </r>
  <r>
    <n v="1288"/>
    <x v="360"/>
    <s v="11/A-B"/>
    <x v="91"/>
    <s v="V-BRACE"/>
    <s v="No"/>
    <s v="11_A_B"/>
    <x v="1"/>
    <n v="1"/>
    <s v=""/>
    <x v="4"/>
    <x v="1"/>
    <s v="VB48#Box1#11_A_B"/>
    <s v="VB48#Box1#InB"/>
    <n v="0"/>
    <n v="0"/>
    <n v="0"/>
  </r>
  <r>
    <n v="1289"/>
    <x v="360"/>
    <s v="11-12/A-B"/>
    <x v="91"/>
    <s v="V-BRACE"/>
    <s v="No"/>
    <s v="11_12_A_B"/>
    <x v="3"/>
    <n v="1"/>
    <s v=""/>
    <x v="0"/>
    <x v="0"/>
    <s v="VB48#Box1_Box2#InBB"/>
    <s v="VB48#Box1_Box2#InBB"/>
    <n v="0"/>
    <n v="0"/>
    <n v="0"/>
  </r>
  <r>
    <n v="1290"/>
    <x v="360"/>
    <s v="11-12/A-B"/>
    <x v="91"/>
    <s v="V-BRACE"/>
    <s v="No"/>
    <s v="11_12_A_B"/>
    <x v="3"/>
    <n v="1"/>
    <s v=""/>
    <x v="0"/>
    <x v="0"/>
    <s v="VB48#Box1_Box2#InBB"/>
    <s v="VB48#Box1_Box2#InBB"/>
    <n v="0"/>
    <n v="0"/>
    <n v="0"/>
  </r>
  <r>
    <n v="1326"/>
    <x v="361"/>
    <s v="14/B&gt;"/>
    <x v="91"/>
    <s v="V-BRACE"/>
    <s v="Yes"/>
    <s v="14_B&gt;"/>
    <x v="5"/>
    <n v="1"/>
    <s v="O"/>
    <x v="2"/>
    <x v="2"/>
    <s v="VB77#Box1_Box2_Box3_Box6#O"/>
    <s v="VB77#Box1_Box2_Box3_Box6#O"/>
    <n v="0"/>
    <n v="0"/>
    <n v="0"/>
  </r>
  <r>
    <n v="1327"/>
    <x v="362"/>
    <s v="14/B&gt;"/>
    <x v="92"/>
    <s v="V-BRACE"/>
    <s v="Yes"/>
    <s v="14_B&gt;"/>
    <x v="5"/>
    <n v="1"/>
    <s v="O"/>
    <x v="2"/>
    <x v="2"/>
    <s v="VB78#Box1_Box2_Box3_Box6#O"/>
    <s v="VB78#Box1_Box2_Box3_Box6#O"/>
    <n v="0"/>
    <n v="0"/>
    <n v="0"/>
  </r>
  <r>
    <n v="1344"/>
    <x v="363"/>
    <s v="10-11/A'-A"/>
    <x v="89"/>
    <s v="V-BRACE"/>
    <s v="Yes"/>
    <s v="10_11_A'_A"/>
    <x v="0"/>
    <n v="1"/>
    <s v=""/>
    <x v="0"/>
    <x v="0"/>
    <s v="VB92#Box1_Box4#InBB"/>
    <s v="VB92#Box1_Box4#InBB"/>
    <n v="0"/>
    <n v="0"/>
    <n v="0"/>
  </r>
  <r>
    <n v="1345"/>
    <x v="364"/>
    <s v="10-11/A'-A"/>
    <x v="71"/>
    <s v="V-BRACE"/>
    <s v="Yes"/>
    <s v="10_11_A'_A"/>
    <x v="0"/>
    <n v="1"/>
    <s v=""/>
    <x v="0"/>
    <x v="0"/>
    <s v="VB93#Box1_Box4#InBB"/>
    <s v="VB93#Box1_Box4#InBB"/>
    <n v="0"/>
    <n v="0"/>
    <n v="0"/>
  </r>
  <r>
    <n v="1347"/>
    <x v="365"/>
    <s v="11-12/B&gt;"/>
    <x v="93"/>
    <s v="V-BRACE"/>
    <s v="Yes"/>
    <s v="11_12_B&gt;"/>
    <x v="3"/>
    <n v="1"/>
    <s v="O"/>
    <x v="2"/>
    <x v="2"/>
    <s v="VB95#Box1_Box2#O"/>
    <s v="VB95#Box1_Box2#O"/>
    <n v="0"/>
    <n v="0"/>
    <n v="0"/>
  </r>
  <r>
    <n v="1348"/>
    <x v="366"/>
    <s v="11-12/B&gt;"/>
    <x v="94"/>
    <s v="V-BRACE"/>
    <s v="Yes"/>
    <s v="11_12_B&gt;"/>
    <x v="3"/>
    <n v="1"/>
    <s v="O"/>
    <x v="2"/>
    <x v="2"/>
    <s v="VB96#Box1_Box2#O"/>
    <s v="VB96#Box1_Box2#O"/>
    <n v="0"/>
    <n v="0"/>
    <n v="0"/>
  </r>
  <r>
    <n v="1349"/>
    <x v="367"/>
    <s v="11-12/B&gt;"/>
    <x v="95"/>
    <s v="V-BRACE"/>
    <s v="Yes"/>
    <s v="11_12_B&gt;"/>
    <x v="3"/>
    <n v="1"/>
    <s v="O"/>
    <x v="2"/>
    <x v="2"/>
    <s v="VB97#Box1_Box2#O"/>
    <s v="VB97#Box1_Box2#O"/>
    <n v="0"/>
    <n v="0"/>
    <n v="0"/>
  </r>
  <r>
    <n v="1350"/>
    <x v="368"/>
    <s v="11-12/B&gt;"/>
    <x v="73"/>
    <s v="V-BRACE"/>
    <s v="Yes"/>
    <s v="11_12_B&gt;"/>
    <x v="3"/>
    <n v="1"/>
    <s v="O"/>
    <x v="2"/>
    <x v="2"/>
    <s v="VB98#Box1_Box2#O"/>
    <s v="VB98#Box1_Box2#O"/>
    <n v="0"/>
    <n v="0"/>
    <n v="0"/>
  </r>
  <r>
    <n v="1351"/>
    <x v="369"/>
    <s v="11-12/A'-A"/>
    <x v="96"/>
    <s v="V-BRACE"/>
    <s v="Yes"/>
    <s v="11_12_A'_A"/>
    <x v="2"/>
    <n v="1"/>
    <s v=""/>
    <x v="0"/>
    <x v="0"/>
    <s v="VB99#Box1_Box2_Box4_Box5#InBB"/>
    <s v="VB99#Box1_Box2_Box4_Box5#InBB"/>
    <n v="0"/>
    <n v="0"/>
    <n v="0"/>
  </r>
  <r>
    <n v="1357"/>
    <x v="370"/>
    <s v="10-11/A'-A"/>
    <x v="71"/>
    <s v="V-BRACE"/>
    <s v="Yes"/>
    <s v="10_11_A'_A"/>
    <x v="0"/>
    <n v="1"/>
    <s v=""/>
    <x v="0"/>
    <x v="0"/>
    <s v="VB103#Box1_Box4#InBB"/>
    <s v="VB103#Box1_Box4#InBB"/>
    <n v="0"/>
    <n v="0"/>
    <n v="0"/>
  </r>
  <r>
    <n v="1358"/>
    <x v="371"/>
    <s v="11-12/A'-A"/>
    <x v="71"/>
    <s v="V-BRACE"/>
    <s v="Yes"/>
    <s v="11_12_A'_A"/>
    <x v="2"/>
    <n v="1"/>
    <s v=""/>
    <x v="0"/>
    <x v="0"/>
    <s v="VB104#Box1_Box2_Box4_Box5#InBB"/>
    <s v="VB104#Box1_Box2_Box4_Box5#InBB"/>
    <n v="0"/>
    <n v="0"/>
    <n v="0"/>
  </r>
  <r>
    <n v="1359"/>
    <x v="372"/>
    <s v="11-12/A"/>
    <x v="84"/>
    <s v="V-BRACE"/>
    <s v="Yes"/>
    <s v="11_12_A"/>
    <x v="3"/>
    <n v="1"/>
    <s v=""/>
    <x v="0"/>
    <x v="0"/>
    <s v="VB105#Box1_Box2#InBB"/>
    <s v="VB105#Box1_Box2#InBB"/>
    <n v="0"/>
    <n v="0"/>
    <n v="0"/>
  </r>
  <r>
    <n v="1360"/>
    <x v="373"/>
    <s v="11-12/A"/>
    <x v="84"/>
    <s v="V-BRACE"/>
    <s v="Yes"/>
    <s v="11_12_A"/>
    <x v="3"/>
    <n v="1"/>
    <s v=""/>
    <x v="0"/>
    <x v="0"/>
    <s v="VB106#Box1_Box2#InBB"/>
    <s v="VB106#Box1_Box2#InBB"/>
    <n v="0"/>
    <n v="0"/>
    <n v="0"/>
  </r>
  <r>
    <n v="29"/>
    <x v="374"/>
    <s v="12/A-B"/>
    <x v="97"/>
    <s v="BEAM"/>
    <s v="No"/>
    <s v="12_A_B"/>
    <x v="6"/>
    <n v="2"/>
    <s v=""/>
    <x v="7"/>
    <x v="1"/>
    <s v="1BE17#Box2#12_A_B"/>
    <s v="1BE17#Box2#InB"/>
    <n v="0"/>
    <n v="0"/>
    <n v="0"/>
  </r>
  <r>
    <n v="30"/>
    <x v="374"/>
    <s v="13/A-B"/>
    <x v="97"/>
    <s v="BEAM"/>
    <s v="No"/>
    <s v="13_A_B"/>
    <x v="6"/>
    <n v="2"/>
    <s v=""/>
    <x v="8"/>
    <x v="1"/>
    <s v="1BE17#Box2#13_A_B"/>
    <s v="1BE17#Box2#InB"/>
    <n v="0"/>
    <n v="0"/>
    <n v="0"/>
  </r>
  <r>
    <n v="31"/>
    <x v="375"/>
    <s v="12/A-B"/>
    <x v="97"/>
    <s v="BEAM"/>
    <s v="Yes"/>
    <s v="12_A_B"/>
    <x v="6"/>
    <n v="2"/>
    <s v=""/>
    <x v="7"/>
    <x v="1"/>
    <s v="1BE18#Box2#12_A_B"/>
    <s v="1BE18#Box2#InB"/>
    <n v="0"/>
    <n v="0"/>
    <n v="0"/>
  </r>
  <r>
    <n v="58"/>
    <x v="376"/>
    <s v="12/A'-A"/>
    <x v="6"/>
    <s v="BEAM"/>
    <s v="Yes"/>
    <s v="12_A'_A"/>
    <x v="7"/>
    <n v="2"/>
    <s v=""/>
    <x v="0"/>
    <x v="0"/>
    <s v="1BE41#Box2_Box5#InBB"/>
    <s v="1BE41#Box2_Box5#InBB"/>
    <n v="0"/>
    <n v="0"/>
    <n v="0"/>
  </r>
  <r>
    <n v="59"/>
    <x v="377"/>
    <s v="12/A'-A"/>
    <x v="0"/>
    <s v="BEAM"/>
    <s v="Yes"/>
    <s v="12_A'_A"/>
    <x v="7"/>
    <n v="2"/>
    <s v=""/>
    <x v="0"/>
    <x v="0"/>
    <s v="1BE42#Box2_Box5#InBB"/>
    <s v="1BE42#Box2_Box5#InBB"/>
    <n v="0"/>
    <n v="0"/>
    <n v="0"/>
  </r>
  <r>
    <n v="60"/>
    <x v="378"/>
    <s v="13/A-B"/>
    <x v="97"/>
    <s v="BEAM"/>
    <s v="Yes"/>
    <s v="13_A_B"/>
    <x v="6"/>
    <n v="2"/>
    <s v=""/>
    <x v="8"/>
    <x v="1"/>
    <s v="1BE43#Box2#13_A_B"/>
    <s v="1BE43#Box2#InB"/>
    <n v="0"/>
    <n v="0"/>
    <n v="0"/>
  </r>
  <r>
    <n v="61"/>
    <x v="379"/>
    <s v="12/A-B"/>
    <x v="97"/>
    <s v="BEAM"/>
    <s v="No"/>
    <s v="12_A_B"/>
    <x v="6"/>
    <n v="2"/>
    <s v=""/>
    <x v="7"/>
    <x v="1"/>
    <s v="1BE44#Box2#12_A_B"/>
    <s v="1BE44#Box2#InB"/>
    <n v="0"/>
    <n v="0"/>
    <n v="0"/>
  </r>
  <r>
    <n v="62"/>
    <x v="379"/>
    <s v="12/A-B"/>
    <x v="97"/>
    <s v="BEAM"/>
    <s v="No"/>
    <s v="12_A_B"/>
    <x v="6"/>
    <n v="2"/>
    <s v=""/>
    <x v="7"/>
    <x v="1"/>
    <s v="1BE44#Box2#12_A_B"/>
    <s v="1BE44#Box2#InB"/>
    <n v="0"/>
    <n v="0"/>
    <n v="0"/>
  </r>
  <r>
    <n v="63"/>
    <x v="380"/>
    <s v="12/A-B"/>
    <x v="0"/>
    <s v="BEAM"/>
    <s v="Yes"/>
    <s v="12_A_B"/>
    <x v="6"/>
    <n v="2"/>
    <s v=""/>
    <x v="7"/>
    <x v="1"/>
    <s v="1BE45#Box2#12_A_B"/>
    <s v="1BE45#Box2#InB"/>
    <n v="0"/>
    <n v="0"/>
    <n v="0"/>
  </r>
  <r>
    <n v="64"/>
    <x v="381"/>
    <s v="12/B&gt;"/>
    <x v="0"/>
    <s v="BEAM"/>
    <s v="Yes"/>
    <s v="12_B&gt;"/>
    <x v="6"/>
    <n v="2"/>
    <s v="O"/>
    <x v="2"/>
    <x v="2"/>
    <s v="1BE46#Box2#O"/>
    <s v="1BE46#Box2#O"/>
    <n v="0"/>
    <n v="0"/>
    <n v="0"/>
  </r>
  <r>
    <n v="65"/>
    <x v="382"/>
    <s v="12-13/A-B"/>
    <x v="97"/>
    <s v="BEAM"/>
    <s v="Yes"/>
    <s v="12_13_A_B"/>
    <x v="6"/>
    <n v="2"/>
    <s v=""/>
    <x v="3"/>
    <x v="1"/>
    <s v="1BE47#Box2#InB"/>
    <s v="1BE47#Box2#InB"/>
    <n v="0"/>
    <n v="0"/>
    <n v="0"/>
  </r>
  <r>
    <n v="66"/>
    <x v="383"/>
    <s v="12-13/A-B"/>
    <x v="97"/>
    <s v="BEAM"/>
    <s v="No"/>
    <s v="12_13_A_B"/>
    <x v="6"/>
    <n v="2"/>
    <s v=""/>
    <x v="3"/>
    <x v="1"/>
    <s v="1BE48#Box2#InB"/>
    <s v="1BE48#Box2#InB"/>
    <n v="0"/>
    <n v="0"/>
    <n v="0"/>
  </r>
  <r>
    <n v="67"/>
    <x v="383"/>
    <s v="12-13/A-B"/>
    <x v="97"/>
    <s v="BEAM"/>
    <s v="No"/>
    <s v="12_13_A_B"/>
    <x v="6"/>
    <n v="2"/>
    <s v=""/>
    <x v="3"/>
    <x v="1"/>
    <s v="1BE48#Box2#InB"/>
    <s v="1BE48#Box2#InB"/>
    <n v="0"/>
    <n v="0"/>
    <n v="0"/>
  </r>
  <r>
    <n v="68"/>
    <x v="383"/>
    <s v="12-13/A-B"/>
    <x v="97"/>
    <s v="BEAM"/>
    <s v="No"/>
    <s v="12_13_A_B"/>
    <x v="6"/>
    <n v="2"/>
    <s v=""/>
    <x v="3"/>
    <x v="1"/>
    <s v="1BE48#Box2#InB"/>
    <s v="1BE48#Box2#InB"/>
    <n v="0"/>
    <n v="0"/>
    <n v="0"/>
  </r>
  <r>
    <n v="69"/>
    <x v="383"/>
    <s v="12-13/A-B"/>
    <x v="97"/>
    <s v="BEAM"/>
    <s v="No"/>
    <s v="12_13_A_B"/>
    <x v="6"/>
    <n v="2"/>
    <s v=""/>
    <x v="3"/>
    <x v="1"/>
    <s v="1BE48#Box2#InB"/>
    <s v="1BE48#Box2#InB"/>
    <n v="0"/>
    <n v="0"/>
    <n v="0"/>
  </r>
  <r>
    <n v="70"/>
    <x v="384"/>
    <s v="12-13/A-B"/>
    <x v="97"/>
    <s v="BEAM"/>
    <s v="Yes"/>
    <s v="12_13_A_B"/>
    <x v="6"/>
    <n v="2"/>
    <s v=""/>
    <x v="3"/>
    <x v="1"/>
    <s v="1BE49#Box2#InB"/>
    <s v="1BE49#Box2#InB"/>
    <n v="0"/>
    <n v="0"/>
    <n v="0"/>
  </r>
  <r>
    <n v="71"/>
    <x v="385"/>
    <s v="12-13/A-B"/>
    <x v="97"/>
    <s v="BEAM"/>
    <s v="Yes"/>
    <s v="12_13_A_B"/>
    <x v="6"/>
    <n v="2"/>
    <s v=""/>
    <x v="3"/>
    <x v="1"/>
    <s v="1BE50#Box2#InB"/>
    <s v="1BE50#Box2#InB"/>
    <n v="0"/>
    <n v="0"/>
    <n v="0"/>
  </r>
  <r>
    <n v="72"/>
    <x v="386"/>
    <s v="12-13/A-B"/>
    <x v="0"/>
    <s v="BEAM"/>
    <s v="No"/>
    <s v="12_13_A_B"/>
    <x v="6"/>
    <n v="2"/>
    <s v=""/>
    <x v="3"/>
    <x v="1"/>
    <s v="1BE51#Box2#InB"/>
    <s v="1BE51#Box2#InB"/>
    <n v="0"/>
    <n v="0"/>
    <n v="0"/>
  </r>
  <r>
    <n v="73"/>
    <x v="386"/>
    <s v="12-13/A-B"/>
    <x v="2"/>
    <s v="BEAM"/>
    <s v="No"/>
    <s v="12_13_A_B"/>
    <x v="6"/>
    <n v="2"/>
    <s v=""/>
    <x v="3"/>
    <x v="1"/>
    <s v="1BE51#Box2#InB"/>
    <s v="1BE51#Box2#InB"/>
    <n v="0"/>
    <n v="0"/>
    <n v="0"/>
  </r>
  <r>
    <n v="74"/>
    <x v="387"/>
    <s v="12-13/A-B"/>
    <x v="0"/>
    <s v="BEAM"/>
    <s v="Yes"/>
    <s v="12_13_A_B"/>
    <x v="6"/>
    <n v="2"/>
    <s v=""/>
    <x v="3"/>
    <x v="1"/>
    <s v="1BE52#Box2#InB"/>
    <s v="1BE52#Box2#InB"/>
    <n v="0"/>
    <n v="0"/>
    <n v="0"/>
  </r>
  <r>
    <n v="75"/>
    <x v="388"/>
    <s v="12-13/A"/>
    <x v="97"/>
    <s v="BEAM"/>
    <s v="Yes"/>
    <s v="12_13_A"/>
    <x v="6"/>
    <n v="2"/>
    <s v=""/>
    <x v="3"/>
    <x v="5"/>
    <s v="1BE53#Box2#InB"/>
    <s v="1BE53#Box2#12_13_A"/>
    <n v="0"/>
    <n v="0"/>
    <n v="0"/>
  </r>
  <r>
    <n v="76"/>
    <x v="389"/>
    <s v="12-13/B"/>
    <x v="97"/>
    <s v="BEAM"/>
    <s v="Yes"/>
    <s v="12_13_B"/>
    <x v="6"/>
    <n v="2"/>
    <s v=""/>
    <x v="3"/>
    <x v="6"/>
    <s v="1BE54#Box2#InB"/>
    <s v="1BE54#Box2#12_13_B"/>
    <n v="0"/>
    <n v="0"/>
    <n v="0"/>
  </r>
  <r>
    <n v="77"/>
    <x v="390"/>
    <s v="12-13/A'-A"/>
    <x v="6"/>
    <s v="BEAM"/>
    <s v="Yes"/>
    <s v="12_13_A'_A"/>
    <x v="7"/>
    <n v="2"/>
    <s v=""/>
    <x v="0"/>
    <x v="0"/>
    <s v="1BE55#Box2_Box5#InBB"/>
    <s v="1BE55#Box2_Box5#InBB"/>
    <n v="0"/>
    <n v="0"/>
    <n v="0"/>
  </r>
  <r>
    <n v="78"/>
    <x v="391"/>
    <s v="12-13/A"/>
    <x v="6"/>
    <s v="BEAM"/>
    <s v="Yes"/>
    <s v="12_13_A"/>
    <x v="6"/>
    <n v="2"/>
    <s v=""/>
    <x v="3"/>
    <x v="5"/>
    <s v="1BE56#Box2#InB"/>
    <s v="1BE56#Box2#12_13_A"/>
    <n v="0"/>
    <n v="0"/>
    <n v="0"/>
  </r>
  <r>
    <n v="79"/>
    <x v="392"/>
    <s v="12-13/B&gt;"/>
    <x v="0"/>
    <s v="BEAM"/>
    <s v="No"/>
    <s v="12_13_B&gt;"/>
    <x v="6"/>
    <n v="2"/>
    <s v="O"/>
    <x v="2"/>
    <x v="2"/>
    <s v="1BE57#Box2#O"/>
    <s v="1BE57#Box2#O"/>
    <n v="0"/>
    <n v="0"/>
    <n v="0"/>
  </r>
  <r>
    <n v="80"/>
    <x v="392"/>
    <s v="12-13/B&gt;"/>
    <x v="0"/>
    <s v="BEAM"/>
    <s v="No"/>
    <s v="12_13_B&gt;"/>
    <x v="6"/>
    <n v="2"/>
    <s v="O"/>
    <x v="2"/>
    <x v="2"/>
    <s v="1BE57#Box2#O"/>
    <s v="1BE57#Box2#O"/>
    <n v="0"/>
    <n v="0"/>
    <n v="0"/>
  </r>
  <r>
    <n v="81"/>
    <x v="392"/>
    <s v="12-13/B&gt;"/>
    <x v="0"/>
    <s v="BEAM"/>
    <s v="No"/>
    <s v="12_13_B&gt;"/>
    <x v="6"/>
    <n v="2"/>
    <s v="O"/>
    <x v="2"/>
    <x v="2"/>
    <s v="1BE57#Box2#O"/>
    <s v="1BE57#Box2#O"/>
    <n v="0"/>
    <n v="0"/>
    <n v="0"/>
  </r>
  <r>
    <n v="82"/>
    <x v="392"/>
    <s v="12-13/B&gt;"/>
    <x v="0"/>
    <s v="BEAM"/>
    <s v="No"/>
    <s v="12_13_B&gt;"/>
    <x v="6"/>
    <n v="2"/>
    <s v="O"/>
    <x v="2"/>
    <x v="2"/>
    <s v="1BE57#Box2#O"/>
    <s v="1BE57#Box2#O"/>
    <n v="0"/>
    <n v="0"/>
    <n v="0"/>
  </r>
  <r>
    <n v="83"/>
    <x v="393"/>
    <s v="12-13/A'-A"/>
    <x v="0"/>
    <s v="BEAM"/>
    <s v="No"/>
    <s v="12_13_A'_A"/>
    <x v="7"/>
    <n v="2"/>
    <s v=""/>
    <x v="0"/>
    <x v="0"/>
    <s v="1BE58#Box2_Box5#InBB"/>
    <s v="1BE58#Box2_Box5#InBB"/>
    <n v="0"/>
    <n v="0"/>
    <n v="0"/>
  </r>
  <r>
    <n v="84"/>
    <x v="393"/>
    <s v="12-13/A'-A"/>
    <x v="0"/>
    <s v="BEAM"/>
    <s v="No"/>
    <s v="12_13_A'_A"/>
    <x v="7"/>
    <n v="2"/>
    <s v=""/>
    <x v="0"/>
    <x v="0"/>
    <s v="1BE58#Box2_Box5#InBB"/>
    <s v="1BE58#Box2_Box5#InBB"/>
    <n v="0"/>
    <n v="0"/>
    <n v="0"/>
  </r>
  <r>
    <n v="85"/>
    <x v="393"/>
    <s v="12-13/A'-A"/>
    <x v="0"/>
    <s v="BEAM"/>
    <s v="No"/>
    <s v="12_13_A'_A"/>
    <x v="7"/>
    <n v="2"/>
    <s v=""/>
    <x v="0"/>
    <x v="0"/>
    <s v="1BE58#Box2_Box5#InBB"/>
    <s v="1BE58#Box2_Box5#InBB"/>
    <n v="0"/>
    <n v="0"/>
    <n v="0"/>
  </r>
  <r>
    <n v="86"/>
    <x v="393"/>
    <s v="12-13/A'-A"/>
    <x v="0"/>
    <s v="BEAM"/>
    <s v="No"/>
    <s v="12_13_A'_A"/>
    <x v="7"/>
    <n v="2"/>
    <s v=""/>
    <x v="0"/>
    <x v="0"/>
    <s v="1BE58#Box2_Box5#InBB"/>
    <s v="1BE58#Box2_Box5#InBB"/>
    <n v="0"/>
    <n v="0"/>
    <n v="0"/>
  </r>
  <r>
    <n v="87"/>
    <x v="393"/>
    <s v="12-13/A'-A"/>
    <x v="0"/>
    <s v="BEAM"/>
    <s v="No"/>
    <s v="12_13_A'_A"/>
    <x v="7"/>
    <n v="2"/>
    <s v=""/>
    <x v="0"/>
    <x v="0"/>
    <s v="1BE58#Box2_Box5#InBB"/>
    <s v="1BE58#Box2_Box5#InBB"/>
    <n v="0"/>
    <n v="0"/>
    <n v="0"/>
  </r>
  <r>
    <n v="88"/>
    <x v="394"/>
    <s v="12-13/B&gt;"/>
    <x v="0"/>
    <s v="BEAM"/>
    <s v="Yes"/>
    <s v="12_13_B&gt;"/>
    <x v="6"/>
    <n v="2"/>
    <s v="O"/>
    <x v="2"/>
    <x v="2"/>
    <s v="1BE59#Box2#O"/>
    <s v="1BE59#Box2#O"/>
    <n v="0"/>
    <n v="0"/>
    <n v="0"/>
  </r>
  <r>
    <n v="90"/>
    <x v="395"/>
    <s v="13/A-B"/>
    <x v="97"/>
    <s v="BEAM"/>
    <s v="No"/>
    <s v="13_A_B"/>
    <x v="6"/>
    <n v="2"/>
    <s v=""/>
    <x v="8"/>
    <x v="1"/>
    <s v="1BE61#Box2#13_A_B"/>
    <s v="1BE61#Box2#InB"/>
    <n v="0"/>
    <n v="0"/>
    <n v="0"/>
  </r>
  <r>
    <n v="91"/>
    <x v="395"/>
    <s v="13/A-B"/>
    <x v="97"/>
    <s v="BEAM"/>
    <s v="No"/>
    <s v="13_A_B"/>
    <x v="6"/>
    <n v="2"/>
    <s v=""/>
    <x v="8"/>
    <x v="1"/>
    <s v="1BE61#Box2#13_A_B"/>
    <s v="1BE61#Box2#InB"/>
    <n v="0"/>
    <n v="0"/>
    <n v="0"/>
  </r>
  <r>
    <n v="92"/>
    <x v="396"/>
    <s v="12-13/A-B"/>
    <x v="0"/>
    <s v="BEAM"/>
    <s v="Yes"/>
    <s v="12_13_A_B"/>
    <x v="6"/>
    <n v="2"/>
    <s v=""/>
    <x v="3"/>
    <x v="1"/>
    <s v="1BE62#Box2#InB"/>
    <s v="1BE62#Box2#InB"/>
    <n v="0"/>
    <n v="0"/>
    <n v="0"/>
  </r>
  <r>
    <n v="93"/>
    <x v="397"/>
    <s v="12-13/A-B"/>
    <x v="0"/>
    <s v="BEAM"/>
    <s v="Yes"/>
    <s v="12_13_A_B"/>
    <x v="6"/>
    <n v="2"/>
    <s v=""/>
    <x v="3"/>
    <x v="1"/>
    <s v="1BE63#Box2#InB"/>
    <s v="1BE63#Box2#InB"/>
    <n v="0"/>
    <n v="0"/>
    <n v="0"/>
  </r>
  <r>
    <n v="94"/>
    <x v="398"/>
    <s v="12-13/A-B"/>
    <x v="0"/>
    <s v="BEAM"/>
    <s v="Yes"/>
    <s v="12_13_A_B"/>
    <x v="6"/>
    <n v="2"/>
    <s v=""/>
    <x v="3"/>
    <x v="1"/>
    <s v="1BE64#Box2#InB"/>
    <s v="1BE64#Box2#InB"/>
    <n v="0"/>
    <n v="0"/>
    <n v="0"/>
  </r>
  <r>
    <n v="95"/>
    <x v="399"/>
    <s v="12-13/B&gt;"/>
    <x v="0"/>
    <s v="BEAM"/>
    <s v="Yes"/>
    <s v="12_13_B&gt;"/>
    <x v="6"/>
    <n v="2"/>
    <s v="O"/>
    <x v="2"/>
    <x v="2"/>
    <s v="1BE65#Box2#O"/>
    <s v="1BE65#Box2#O"/>
    <n v="0"/>
    <n v="0"/>
    <n v="0"/>
  </r>
  <r>
    <n v="96"/>
    <x v="400"/>
    <s v="12-13/A'-A"/>
    <x v="0"/>
    <s v="BEAM"/>
    <s v="Yes"/>
    <s v="12_13_A'_A"/>
    <x v="7"/>
    <n v="2"/>
    <s v=""/>
    <x v="0"/>
    <x v="0"/>
    <s v="1BE66#Box2_Box5#InBB"/>
    <s v="1BE66#Box2_Box5#InBB"/>
    <n v="0"/>
    <n v="0"/>
    <n v="0"/>
  </r>
  <r>
    <n v="97"/>
    <x v="401"/>
    <s v="12-13/A"/>
    <x v="0"/>
    <s v="BEAM"/>
    <s v="Yes"/>
    <s v="12_13_A"/>
    <x v="6"/>
    <n v="2"/>
    <s v=""/>
    <x v="3"/>
    <x v="5"/>
    <s v="1BE67#Box2#InB"/>
    <s v="1BE67#Box2#12_13_A"/>
    <n v="0"/>
    <n v="0"/>
    <n v="0"/>
  </r>
  <r>
    <n v="98"/>
    <x v="402"/>
    <s v="12-13/B"/>
    <x v="0"/>
    <s v="BEAM"/>
    <s v="Yes"/>
    <s v="12_13_B"/>
    <x v="6"/>
    <n v="2"/>
    <s v=""/>
    <x v="3"/>
    <x v="6"/>
    <s v="1BE68#Box2#InB"/>
    <s v="1BE68#Box2#12_13_B"/>
    <n v="0"/>
    <n v="0"/>
    <n v="0"/>
  </r>
  <r>
    <n v="99"/>
    <x v="403"/>
    <s v="12-13/B&gt;"/>
    <x v="0"/>
    <s v="BEAM"/>
    <s v="Yes"/>
    <s v="12_13_B&gt;"/>
    <x v="6"/>
    <n v="2"/>
    <s v="O"/>
    <x v="2"/>
    <x v="2"/>
    <s v="1BE69#Box2#O"/>
    <s v="1BE69#Box2#O"/>
    <n v="0"/>
    <n v="0"/>
    <n v="0"/>
  </r>
  <r>
    <n v="100"/>
    <x v="404"/>
    <s v="12-13/A-B"/>
    <x v="0"/>
    <s v="BEAM"/>
    <s v="No"/>
    <s v="12_13_A_B"/>
    <x v="6"/>
    <n v="2"/>
    <s v=""/>
    <x v="3"/>
    <x v="1"/>
    <s v="1BE70#Box2#InB"/>
    <s v="1BE70#Box2#InB"/>
    <n v="0"/>
    <n v="0"/>
    <n v="0"/>
  </r>
  <r>
    <n v="101"/>
    <x v="404"/>
    <s v="12-13/A-B"/>
    <x v="0"/>
    <s v="BEAM"/>
    <s v="No"/>
    <s v="12_13_A_B"/>
    <x v="6"/>
    <n v="2"/>
    <s v=""/>
    <x v="3"/>
    <x v="1"/>
    <s v="1BE70#Box2#InB"/>
    <s v="1BE70#Box2#InB"/>
    <n v="0"/>
    <n v="0"/>
    <n v="0"/>
  </r>
  <r>
    <n v="102"/>
    <x v="404"/>
    <s v="12-13/A-B"/>
    <x v="0"/>
    <s v="BEAM"/>
    <s v="No"/>
    <s v="12_13_A_B"/>
    <x v="6"/>
    <n v="2"/>
    <s v=""/>
    <x v="3"/>
    <x v="1"/>
    <s v="1BE70#Box2#InB"/>
    <s v="1BE70#Box2#InB"/>
    <n v="0"/>
    <n v="0"/>
    <n v="0"/>
  </r>
  <r>
    <n v="103"/>
    <x v="404"/>
    <s v="12-13/A-B"/>
    <x v="0"/>
    <s v="BEAM"/>
    <s v="No"/>
    <s v="12_13_A_B"/>
    <x v="6"/>
    <n v="2"/>
    <s v=""/>
    <x v="3"/>
    <x v="1"/>
    <s v="1BE70#Box2#InB"/>
    <s v="1BE70#Box2#InB"/>
    <n v="0"/>
    <n v="0"/>
    <n v="0"/>
  </r>
  <r>
    <n v="104"/>
    <x v="404"/>
    <s v="12-13/A-B"/>
    <x v="0"/>
    <s v="BEAM"/>
    <s v="No"/>
    <s v="12_13_A_B"/>
    <x v="6"/>
    <n v="2"/>
    <s v=""/>
    <x v="3"/>
    <x v="1"/>
    <s v="1BE70#Box2#InB"/>
    <s v="1BE70#Box2#InB"/>
    <n v="0"/>
    <n v="0"/>
    <n v="0"/>
  </r>
  <r>
    <n v="105"/>
    <x v="404"/>
    <s v="12-13/A-B"/>
    <x v="0"/>
    <s v="BEAM"/>
    <s v="No"/>
    <s v="12_13_A_B"/>
    <x v="6"/>
    <n v="2"/>
    <s v=""/>
    <x v="3"/>
    <x v="1"/>
    <s v="1BE70#Box2#InB"/>
    <s v="1BE70#Box2#InB"/>
    <n v="0"/>
    <n v="0"/>
    <n v="0"/>
  </r>
  <r>
    <n v="106"/>
    <x v="405"/>
    <s v="12-13/A-B"/>
    <x v="0"/>
    <s v="BEAM"/>
    <s v="Yes"/>
    <s v="12_13_A_B"/>
    <x v="6"/>
    <n v="2"/>
    <s v=""/>
    <x v="3"/>
    <x v="1"/>
    <s v="1BE71#Box2#InB"/>
    <s v="1BE71#Box2#InB"/>
    <n v="0"/>
    <n v="0"/>
    <n v="0"/>
  </r>
  <r>
    <n v="107"/>
    <x v="406"/>
    <s v="12-13/A-B"/>
    <x v="0"/>
    <s v="BEAM"/>
    <s v="Yes"/>
    <s v="12_13_A_B"/>
    <x v="6"/>
    <n v="2"/>
    <s v=""/>
    <x v="3"/>
    <x v="1"/>
    <s v="1BE72#Box2#InB"/>
    <s v="1BE72#Box2#InB"/>
    <n v="0"/>
    <n v="0"/>
    <n v="0"/>
  </r>
  <r>
    <n v="108"/>
    <x v="407"/>
    <s v="12-13/A-B"/>
    <x v="0"/>
    <s v="BEAM"/>
    <s v="Yes"/>
    <s v="12_13_A_B"/>
    <x v="6"/>
    <n v="2"/>
    <s v=""/>
    <x v="3"/>
    <x v="1"/>
    <s v="1BE73#Box2#InB"/>
    <s v="1BE73#Box2#InB"/>
    <n v="0"/>
    <n v="0"/>
    <n v="0"/>
  </r>
  <r>
    <n v="109"/>
    <x v="408"/>
    <s v="12-13/B&gt;"/>
    <x v="0"/>
    <s v="BEAM"/>
    <s v="Yes"/>
    <s v="12_13_B&gt;"/>
    <x v="6"/>
    <n v="2"/>
    <s v="O"/>
    <x v="2"/>
    <x v="2"/>
    <s v="1BE74#Box2#O"/>
    <s v="1BE74#Box2#O"/>
    <n v="0"/>
    <n v="0"/>
    <n v="0"/>
  </r>
  <r>
    <n v="110"/>
    <x v="409"/>
    <s v="12-13/A-B"/>
    <x v="0"/>
    <s v="BEAM"/>
    <s v="Yes"/>
    <s v="12_13_A_B"/>
    <x v="6"/>
    <n v="2"/>
    <s v=""/>
    <x v="3"/>
    <x v="1"/>
    <s v="1BE75#Box2#InB"/>
    <s v="1BE75#Box2#InB"/>
    <n v="0"/>
    <n v="0"/>
    <n v="0"/>
  </r>
  <r>
    <n v="111"/>
    <x v="410"/>
    <s v="12-13/A&quot;-A"/>
    <x v="0"/>
    <s v="BEAM"/>
    <s v="Yes"/>
    <s v="12_13_A&quot;_A"/>
    <x v="7"/>
    <n v="2"/>
    <s v=""/>
    <x v="0"/>
    <x v="0"/>
    <s v="1BE76#Box2_Box5#InBB"/>
    <s v="1BE76#Box2_Box5#InBB"/>
    <n v="0"/>
    <n v="0"/>
    <n v="0"/>
  </r>
  <r>
    <n v="112"/>
    <x v="411"/>
    <s v="12-13/A"/>
    <x v="97"/>
    <s v="BEAM"/>
    <s v="Yes"/>
    <s v="12_13_A"/>
    <x v="6"/>
    <n v="2"/>
    <s v=""/>
    <x v="3"/>
    <x v="5"/>
    <s v="1BE77#Box2#InB"/>
    <s v="1BE77#Box2#12_13_A"/>
    <n v="0"/>
    <n v="0"/>
    <n v="0"/>
  </r>
  <r>
    <n v="113"/>
    <x v="412"/>
    <s v="12-13/B"/>
    <x v="97"/>
    <s v="BEAM"/>
    <s v="Yes"/>
    <s v="12_13_B"/>
    <x v="6"/>
    <n v="2"/>
    <s v=""/>
    <x v="3"/>
    <x v="6"/>
    <s v="1BE78#Box2#InB"/>
    <s v="1BE78#Box2#12_13_B"/>
    <n v="0"/>
    <n v="0"/>
    <n v="0"/>
  </r>
  <r>
    <n v="114"/>
    <x v="413"/>
    <s v="12-13/A-B"/>
    <x v="0"/>
    <s v="BEAM"/>
    <s v="No"/>
    <s v="12_13_A_B"/>
    <x v="6"/>
    <n v="2"/>
    <s v=""/>
    <x v="3"/>
    <x v="1"/>
    <s v="1BE79#Box2#InB"/>
    <s v="1BE79#Box2#InB"/>
    <n v="0"/>
    <n v="0"/>
    <n v="0"/>
  </r>
  <r>
    <n v="115"/>
    <x v="413"/>
    <s v="12-13/A-B"/>
    <x v="0"/>
    <s v="BEAM"/>
    <s v="No"/>
    <s v="12_13_A_B"/>
    <x v="6"/>
    <n v="2"/>
    <s v=""/>
    <x v="3"/>
    <x v="1"/>
    <s v="1BE79#Box2#InB"/>
    <s v="1BE79#Box2#InB"/>
    <n v="0"/>
    <n v="0"/>
    <n v="0"/>
  </r>
  <r>
    <n v="116"/>
    <x v="413"/>
    <s v="12-13/A-B"/>
    <x v="0"/>
    <s v="BEAM"/>
    <s v="No"/>
    <s v="12_13_A_B"/>
    <x v="6"/>
    <n v="2"/>
    <s v=""/>
    <x v="3"/>
    <x v="1"/>
    <s v="1BE79#Box2#InB"/>
    <s v="1BE79#Box2#InB"/>
    <n v="0"/>
    <n v="0"/>
    <n v="0"/>
  </r>
  <r>
    <n v="117"/>
    <x v="414"/>
    <s v="12-13/A-B"/>
    <x v="97"/>
    <s v="BEAM"/>
    <s v="Yes"/>
    <s v="12_13_A_B"/>
    <x v="6"/>
    <n v="2"/>
    <s v=""/>
    <x v="3"/>
    <x v="1"/>
    <s v="1BE80#Box2#InB"/>
    <s v="1BE80#Box2#InB"/>
    <n v="0"/>
    <n v="0"/>
    <n v="0"/>
  </r>
  <r>
    <n v="118"/>
    <x v="415"/>
    <s v="12-13/A-B"/>
    <x v="97"/>
    <s v="BEAM"/>
    <s v="No"/>
    <s v="12_13_A_B"/>
    <x v="6"/>
    <n v="2"/>
    <s v=""/>
    <x v="3"/>
    <x v="1"/>
    <s v="1BE81#Box2#InB"/>
    <s v="1BE81#Box2#InB"/>
    <n v="0"/>
    <n v="0"/>
    <n v="0"/>
  </r>
  <r>
    <n v="119"/>
    <x v="415"/>
    <s v="12-13/A-B"/>
    <x v="97"/>
    <s v="BEAM"/>
    <s v="No"/>
    <s v="12_13_A_B"/>
    <x v="6"/>
    <n v="2"/>
    <s v=""/>
    <x v="3"/>
    <x v="1"/>
    <s v="1BE81#Box2#InB"/>
    <s v="1BE81#Box2#InB"/>
    <n v="0"/>
    <n v="0"/>
    <n v="0"/>
  </r>
  <r>
    <n v="120"/>
    <x v="415"/>
    <s v="12-13/A-B"/>
    <x v="97"/>
    <s v="BEAM"/>
    <s v="No"/>
    <s v="12_13_A_B"/>
    <x v="6"/>
    <n v="2"/>
    <s v=""/>
    <x v="3"/>
    <x v="1"/>
    <s v="1BE81#Box2#InB"/>
    <s v="1BE81#Box2#InB"/>
    <n v="0"/>
    <n v="0"/>
    <n v="0"/>
  </r>
  <r>
    <n v="121"/>
    <x v="415"/>
    <s v="12-13/A-B"/>
    <x v="97"/>
    <s v="BEAM"/>
    <s v="No"/>
    <s v="12_13_A_B"/>
    <x v="6"/>
    <n v="2"/>
    <s v=""/>
    <x v="3"/>
    <x v="1"/>
    <s v="1BE81#Box2#InB"/>
    <s v="1BE81#Box2#InB"/>
    <n v="0"/>
    <n v="0"/>
    <n v="0"/>
  </r>
  <r>
    <n v="122"/>
    <x v="416"/>
    <s v="12-13/A-B"/>
    <x v="97"/>
    <s v="BEAM"/>
    <s v="Yes"/>
    <s v="12_13_A_B"/>
    <x v="6"/>
    <n v="2"/>
    <s v=""/>
    <x v="3"/>
    <x v="1"/>
    <s v="1BE82#Box2#InB"/>
    <s v="1BE82#Box2#InB"/>
    <n v="0"/>
    <n v="0"/>
    <n v="0"/>
  </r>
  <r>
    <n v="123"/>
    <x v="417"/>
    <s v="12-13/A-B"/>
    <x v="97"/>
    <s v="BEAM"/>
    <s v="Yes"/>
    <s v="12_13_A_B"/>
    <x v="6"/>
    <n v="2"/>
    <s v=""/>
    <x v="3"/>
    <x v="1"/>
    <s v="1BE83#Box2#InB"/>
    <s v="1BE83#Box2#InB"/>
    <n v="0"/>
    <n v="0"/>
    <n v="0"/>
  </r>
  <r>
    <n v="125"/>
    <x v="418"/>
    <s v="13/A&quot;-A"/>
    <x v="0"/>
    <s v="BEAM"/>
    <s v="Yes"/>
    <s v="13_A&quot;_A"/>
    <x v="7"/>
    <n v="2"/>
    <s v=""/>
    <x v="0"/>
    <x v="0"/>
    <s v="1BE85#Box2_Box5#InBB"/>
    <s v="1BE85#Box2_Box5#InBB"/>
    <n v="0"/>
    <n v="0"/>
    <n v="0"/>
  </r>
  <r>
    <n v="126"/>
    <x v="419"/>
    <s v="13/A&quot;-A"/>
    <x v="98"/>
    <s v="BEAM"/>
    <s v="Yes"/>
    <s v="13_A&quot;_A"/>
    <x v="7"/>
    <n v="2"/>
    <s v=""/>
    <x v="0"/>
    <x v="0"/>
    <s v="1BE86#Box2_Box5#InBB"/>
    <s v="1BE86#Box2_Box5#InBB"/>
    <n v="0"/>
    <n v="0"/>
    <n v="0"/>
  </r>
  <r>
    <n v="127"/>
    <x v="420"/>
    <s v="13/A-B"/>
    <x v="0"/>
    <s v="BEAM"/>
    <s v="Yes"/>
    <s v="13_A_B"/>
    <x v="6"/>
    <n v="2"/>
    <s v=""/>
    <x v="8"/>
    <x v="1"/>
    <s v="1BE87#Box2#13_A_B"/>
    <s v="1BE87#Box2#InB"/>
    <n v="0"/>
    <n v="0"/>
    <n v="0"/>
  </r>
  <r>
    <n v="128"/>
    <x v="421"/>
    <s v="13/B&gt;"/>
    <x v="0"/>
    <s v="BEAM"/>
    <s v="Yes"/>
    <s v="13_B&gt;"/>
    <x v="6"/>
    <n v="2"/>
    <s v="O"/>
    <x v="2"/>
    <x v="2"/>
    <s v="1BE88#Box2#O"/>
    <s v="1BE88#Box2#O"/>
    <n v="0"/>
    <n v="0"/>
    <n v="0"/>
  </r>
  <r>
    <n v="129"/>
    <x v="422"/>
    <s v="13-14/A&quot;-A"/>
    <x v="0"/>
    <s v="BEAM"/>
    <s v="Yes"/>
    <s v="13_14_A&quot;_A"/>
    <x v="8"/>
    <n v="2"/>
    <s v=""/>
    <x v="0"/>
    <x v="0"/>
    <s v="1BE89#Box2_Box5_Box6#InBB"/>
    <s v="1BE89#Box2_Box5_Box6#InBB"/>
    <n v="0"/>
    <n v="0"/>
    <n v="0"/>
  </r>
  <r>
    <n v="130"/>
    <x v="423"/>
    <s v="13-14/A-B"/>
    <x v="2"/>
    <s v="BEAM"/>
    <s v="No"/>
    <s v="13_14_A_B"/>
    <x v="6"/>
    <n v="2"/>
    <s v=""/>
    <x v="3"/>
    <x v="1"/>
    <s v="1BE90#Box2#InB"/>
    <s v="1BE90#Box2#InB"/>
    <n v="0"/>
    <n v="0"/>
    <n v="0"/>
  </r>
  <r>
    <n v="131"/>
    <x v="423"/>
    <s v="13-14/A-B"/>
    <x v="2"/>
    <s v="BEAM"/>
    <s v="No"/>
    <s v="13_14_A_B"/>
    <x v="6"/>
    <n v="2"/>
    <s v=""/>
    <x v="3"/>
    <x v="1"/>
    <s v="1BE90#Box2#InB"/>
    <s v="1BE90#Box2#InB"/>
    <n v="0"/>
    <n v="0"/>
    <n v="0"/>
  </r>
  <r>
    <n v="135"/>
    <x v="424"/>
    <s v="13-14/A"/>
    <x v="99"/>
    <s v="BEAM"/>
    <s v="Yes"/>
    <s v="13_14_A"/>
    <x v="6"/>
    <n v="2"/>
    <s v=""/>
    <x v="3"/>
    <x v="7"/>
    <s v="1BE94#Box2#InB"/>
    <s v="1BE94#Box2#13_14_A"/>
    <n v="0"/>
    <n v="0"/>
    <n v="0"/>
  </r>
  <r>
    <n v="136"/>
    <x v="425"/>
    <s v="13-14/A"/>
    <x v="0"/>
    <s v="BEAM"/>
    <s v="Yes"/>
    <s v="13_14_A"/>
    <x v="6"/>
    <n v="2"/>
    <s v=""/>
    <x v="3"/>
    <x v="7"/>
    <s v="1BE95#Box2#InB"/>
    <s v="1BE95#Box2#13_14_A"/>
    <n v="0"/>
    <n v="0"/>
    <n v="0"/>
  </r>
  <r>
    <n v="137"/>
    <x v="426"/>
    <s v="13-14/A-B"/>
    <x v="0"/>
    <s v="BEAM"/>
    <s v="Yes"/>
    <s v="13_14_A_B"/>
    <x v="6"/>
    <n v="2"/>
    <s v=""/>
    <x v="3"/>
    <x v="1"/>
    <s v="1BE96#Box2#InB"/>
    <s v="1BE96#Box2#InB"/>
    <n v="0"/>
    <n v="0"/>
    <n v="0"/>
  </r>
  <r>
    <n v="138"/>
    <x v="427"/>
    <s v="13-14/B"/>
    <x v="0"/>
    <s v="BEAM"/>
    <s v="Yes"/>
    <s v="13_14_B"/>
    <x v="6"/>
    <n v="2"/>
    <s v=""/>
    <x v="3"/>
    <x v="8"/>
    <s v="1BE97#Box2#InB"/>
    <s v="1BE97#Box2#13_14_B"/>
    <n v="0"/>
    <n v="0"/>
    <n v="0"/>
  </r>
  <r>
    <n v="146"/>
    <x v="428"/>
    <s v="12-13/A-B"/>
    <x v="97"/>
    <s v="FRAME"/>
    <s v="Yes"/>
    <s v="12_13_A_B"/>
    <x v="6"/>
    <n v="2"/>
    <s v=""/>
    <x v="3"/>
    <x v="1"/>
    <s v="1FR03#Box2#InB"/>
    <s v="1FR03#Box2#InB"/>
    <n v="0"/>
    <n v="0"/>
    <n v="0"/>
  </r>
  <r>
    <n v="147"/>
    <x v="429"/>
    <s v="12-13/A-B"/>
    <x v="97"/>
    <s v="FRAME"/>
    <s v="Yes"/>
    <s v="12_13_A_B"/>
    <x v="6"/>
    <n v="2"/>
    <s v=""/>
    <x v="3"/>
    <x v="1"/>
    <s v="1FR04#Box2#InB"/>
    <s v="1FR04#Box2#InB"/>
    <n v="0"/>
    <n v="0"/>
    <n v="0"/>
  </r>
  <r>
    <n v="148"/>
    <x v="430"/>
    <s v="12-13/A'-A"/>
    <x v="6"/>
    <s v="HANGER"/>
    <s v="Yes"/>
    <s v="12_13_A'_A"/>
    <x v="7"/>
    <n v="2"/>
    <s v=""/>
    <x v="0"/>
    <x v="0"/>
    <s v="1HA01#Box2_Box5#InBB"/>
    <s v="1HA01#Box2_Box5#InBB"/>
    <n v="0"/>
    <n v="0"/>
    <n v="0"/>
  </r>
  <r>
    <n v="160"/>
    <x v="43"/>
    <s v="12-13/A'-A"/>
    <x v="8"/>
    <s v="H-BRACE"/>
    <s v="No"/>
    <s v="12_13_A'_A"/>
    <x v="7"/>
    <n v="2"/>
    <s v=""/>
    <x v="0"/>
    <x v="0"/>
    <s v="1HB05#Box2_Box5#InBB"/>
    <s v="1HB05#Box2_Box5#InBB"/>
    <n v="0"/>
    <n v="0"/>
    <n v="0"/>
  </r>
  <r>
    <n v="161"/>
    <x v="43"/>
    <s v="12-13/A'-A"/>
    <x v="8"/>
    <s v="H-BRACE"/>
    <s v="No"/>
    <s v="12_13_A'_A"/>
    <x v="7"/>
    <n v="2"/>
    <s v=""/>
    <x v="0"/>
    <x v="0"/>
    <s v="1HB05#Box2_Box5#InBB"/>
    <s v="1HB05#Box2_Box5#InBB"/>
    <n v="0"/>
    <n v="0"/>
    <n v="0"/>
  </r>
  <r>
    <n v="168"/>
    <x v="431"/>
    <s v="12-13/B&gt;"/>
    <x v="8"/>
    <s v="H-BRACE"/>
    <s v="Yes"/>
    <s v="12_13_B&gt;"/>
    <x v="6"/>
    <n v="2"/>
    <s v="O"/>
    <x v="2"/>
    <x v="2"/>
    <s v="1HB12#Box2#O"/>
    <s v="1HB12#Box2#O"/>
    <n v="0"/>
    <n v="0"/>
    <n v="0"/>
  </r>
  <r>
    <n v="169"/>
    <x v="432"/>
    <s v="12-13/A-B"/>
    <x v="100"/>
    <s v="H-BRACE"/>
    <s v="Yes"/>
    <s v="12_13_A_B"/>
    <x v="6"/>
    <n v="2"/>
    <s v=""/>
    <x v="3"/>
    <x v="1"/>
    <s v="1HB13#Box2#InB"/>
    <s v="1HB13#Box2#InB"/>
    <n v="0"/>
    <n v="0"/>
    <n v="0"/>
  </r>
  <r>
    <n v="170"/>
    <x v="433"/>
    <s v="12-13/A-B"/>
    <x v="100"/>
    <s v="H-BRACE"/>
    <s v="Yes"/>
    <s v="12_13_A_B"/>
    <x v="6"/>
    <n v="2"/>
    <s v=""/>
    <x v="3"/>
    <x v="1"/>
    <s v="1HB14#Box2#InB"/>
    <s v="1HB14#Box2#InB"/>
    <n v="0"/>
    <n v="0"/>
    <n v="0"/>
  </r>
  <r>
    <n v="171"/>
    <x v="434"/>
    <s v="12-13/A-B"/>
    <x v="100"/>
    <s v="H-BRACE"/>
    <s v="Yes"/>
    <s v="12_13_A_B"/>
    <x v="6"/>
    <n v="2"/>
    <s v=""/>
    <x v="3"/>
    <x v="1"/>
    <s v="1HB15#Box2#InB"/>
    <s v="1HB15#Box2#InB"/>
    <n v="0"/>
    <n v="0"/>
    <n v="0"/>
  </r>
  <r>
    <n v="172"/>
    <x v="435"/>
    <s v="12-13/A-B"/>
    <x v="100"/>
    <s v="H-BRACE"/>
    <s v="Yes"/>
    <s v="12_13_A_B"/>
    <x v="6"/>
    <n v="2"/>
    <s v=""/>
    <x v="3"/>
    <x v="1"/>
    <s v="1HB16#Box2#InB"/>
    <s v="1HB16#Box2#InB"/>
    <n v="0"/>
    <n v="0"/>
    <n v="0"/>
  </r>
  <r>
    <n v="173"/>
    <x v="436"/>
    <s v="12-13/B&gt;"/>
    <x v="8"/>
    <s v="H-BRACE"/>
    <s v="Yes"/>
    <s v="12_13_B&gt;"/>
    <x v="6"/>
    <n v="2"/>
    <s v="O"/>
    <x v="2"/>
    <x v="2"/>
    <s v="1HB17#Box2#O"/>
    <s v="1HB17#Box2#O"/>
    <n v="0"/>
    <n v="0"/>
    <n v="0"/>
  </r>
  <r>
    <n v="174"/>
    <x v="437"/>
    <s v="13-14/A'-A"/>
    <x v="8"/>
    <s v="H-BRACE"/>
    <s v="Yes"/>
    <s v="13_14_A'_A"/>
    <x v="8"/>
    <n v="2"/>
    <s v=""/>
    <x v="0"/>
    <x v="0"/>
    <s v="1HB18#Box2_Box5_Box6#InBB"/>
    <s v="1HB18#Box2_Box5_Box6#InBB"/>
    <n v="0"/>
    <n v="0"/>
    <n v="0"/>
  </r>
  <r>
    <n v="175"/>
    <x v="438"/>
    <s v="13-14/A'-A"/>
    <x v="8"/>
    <s v="H-BRACE"/>
    <s v="Yes"/>
    <s v="13_14_A'_A"/>
    <x v="8"/>
    <n v="2"/>
    <s v=""/>
    <x v="0"/>
    <x v="0"/>
    <s v="1HB19#Box2_Box5_Box6#InBB"/>
    <s v="1HB19#Box2_Box5_Box6#InBB"/>
    <n v="0"/>
    <n v="0"/>
    <n v="0"/>
  </r>
  <r>
    <n v="176"/>
    <x v="439"/>
    <s v="13-14/A'-A"/>
    <x v="8"/>
    <s v="H-BRACE"/>
    <s v="Yes"/>
    <s v="13_14_A'_A"/>
    <x v="8"/>
    <n v="2"/>
    <s v=""/>
    <x v="0"/>
    <x v="0"/>
    <s v="1HB20#Box2_Box5_Box6#InBB"/>
    <s v="1HB20#Box2_Box5_Box6#InBB"/>
    <n v="0"/>
    <n v="0"/>
    <n v="0"/>
  </r>
  <r>
    <n v="177"/>
    <x v="440"/>
    <s v="13-14/A-B"/>
    <x v="2"/>
    <s v="H-BRACE"/>
    <s v="Yes"/>
    <s v="13_14_A_B"/>
    <x v="6"/>
    <n v="2"/>
    <s v=""/>
    <x v="3"/>
    <x v="1"/>
    <s v="1HB21#Box2#InB"/>
    <s v="1HB21#Box2#InB"/>
    <n v="0"/>
    <n v="0"/>
    <n v="0"/>
  </r>
  <r>
    <n v="178"/>
    <x v="441"/>
    <s v="13-14/A-B"/>
    <x v="2"/>
    <s v="H-BRACE"/>
    <s v="Yes"/>
    <s v="13_14_A_B"/>
    <x v="6"/>
    <n v="2"/>
    <s v=""/>
    <x v="3"/>
    <x v="1"/>
    <s v="1HB22#Box2#InB"/>
    <s v="1HB22#Box2#InB"/>
    <n v="0"/>
    <n v="0"/>
    <n v="0"/>
  </r>
  <r>
    <n v="187"/>
    <x v="442"/>
    <s v="12/A'-A"/>
    <x v="101"/>
    <s v="STUB COLUMN"/>
    <s v="Yes"/>
    <s v="12_A'_A"/>
    <x v="7"/>
    <n v="2"/>
    <s v=""/>
    <x v="0"/>
    <x v="0"/>
    <s v="1SC07#Box2_Box5#InBB"/>
    <s v="1SC07#Box2_Box5#InBB"/>
    <n v="0"/>
    <n v="0"/>
    <n v="0"/>
  </r>
  <r>
    <n v="188"/>
    <x v="443"/>
    <s v="12/A'-A"/>
    <x v="18"/>
    <s v="STUB COLUMN"/>
    <s v="Yes"/>
    <s v="12_A'_A"/>
    <x v="7"/>
    <n v="2"/>
    <s v=""/>
    <x v="0"/>
    <x v="0"/>
    <s v="1SC08#Box2_Box5#InBB"/>
    <s v="1SC08#Box2_Box5#InBB"/>
    <n v="0"/>
    <n v="0"/>
    <n v="0"/>
  </r>
  <r>
    <n v="189"/>
    <x v="444"/>
    <s v="12/A-B"/>
    <x v="97"/>
    <s v="STUB COLUMN"/>
    <s v="Yes"/>
    <s v="12_A_B"/>
    <x v="6"/>
    <n v="2"/>
    <s v=""/>
    <x v="7"/>
    <x v="1"/>
    <s v="1SC09#Box2#12_A_B"/>
    <s v="1SC09#Box2#InB"/>
    <n v="0"/>
    <n v="0"/>
    <n v="0"/>
  </r>
  <r>
    <n v="190"/>
    <x v="445"/>
    <s v="12/A-B"/>
    <x v="97"/>
    <s v="STUB COLUMN"/>
    <s v="Yes"/>
    <s v="12_A_B"/>
    <x v="6"/>
    <n v="2"/>
    <s v=""/>
    <x v="7"/>
    <x v="1"/>
    <s v="1SC10#Box2#12_A_B"/>
    <s v="1SC10#Box2#InB"/>
    <n v="0"/>
    <n v="0"/>
    <n v="0"/>
  </r>
  <r>
    <n v="191"/>
    <x v="446"/>
    <s v="12/A-B"/>
    <x v="97"/>
    <s v="STUB COLUMN"/>
    <s v="Yes"/>
    <s v="12_A_B"/>
    <x v="6"/>
    <n v="2"/>
    <s v=""/>
    <x v="7"/>
    <x v="1"/>
    <s v="1SC11#Box2#12_A_B"/>
    <s v="1SC11#Box2#InB"/>
    <n v="0"/>
    <n v="0"/>
    <n v="0"/>
  </r>
  <r>
    <n v="192"/>
    <x v="447"/>
    <s v="12/B&gt;"/>
    <x v="102"/>
    <s v="STUB COLUMN"/>
    <s v="Yes"/>
    <s v="12_B&gt;"/>
    <x v="6"/>
    <n v="2"/>
    <s v="O"/>
    <x v="2"/>
    <x v="2"/>
    <s v="1SC12#Box2#O"/>
    <s v="1SC12#Box2#O"/>
    <n v="0"/>
    <n v="0"/>
    <n v="0"/>
  </r>
  <r>
    <n v="193"/>
    <x v="448"/>
    <s v="13/A-B"/>
    <x v="97"/>
    <s v="STUB COLUMN"/>
    <s v="No"/>
    <s v="13_A_B"/>
    <x v="6"/>
    <n v="2"/>
    <s v=""/>
    <x v="8"/>
    <x v="1"/>
    <s v="1SC13#Box2#13_A_B"/>
    <s v="1SC13#Box2#InB"/>
    <n v="0"/>
    <n v="0"/>
    <n v="0"/>
  </r>
  <r>
    <n v="194"/>
    <x v="448"/>
    <s v="13/A-B"/>
    <x v="97"/>
    <s v="STUB COLUMN"/>
    <s v="No"/>
    <s v="13_A_B"/>
    <x v="6"/>
    <n v="2"/>
    <s v=""/>
    <x v="8"/>
    <x v="1"/>
    <s v="1SC13#Box2#13_A_B"/>
    <s v="1SC13#Box2#InB"/>
    <n v="0"/>
    <n v="0"/>
    <n v="0"/>
  </r>
  <r>
    <n v="195"/>
    <x v="448"/>
    <s v="13/A-B"/>
    <x v="97"/>
    <s v="STUB COLUMN"/>
    <s v="No"/>
    <s v="13_A_B"/>
    <x v="6"/>
    <n v="2"/>
    <s v=""/>
    <x v="8"/>
    <x v="1"/>
    <s v="1SC13#Box2#13_A_B"/>
    <s v="1SC13#Box2#InB"/>
    <n v="0"/>
    <n v="0"/>
    <n v="0"/>
  </r>
  <r>
    <n v="196"/>
    <x v="449"/>
    <s v="13/B&gt;"/>
    <x v="103"/>
    <s v="STUB COLUMN"/>
    <s v="Yes"/>
    <s v="13_B&gt;"/>
    <x v="6"/>
    <n v="2"/>
    <s v="O"/>
    <x v="2"/>
    <x v="2"/>
    <s v="1SC14#Box2#O"/>
    <s v="1SC14#Box2#O"/>
    <n v="0"/>
    <n v="0"/>
    <n v="0"/>
  </r>
  <r>
    <n v="209"/>
    <x v="450"/>
    <s v="12-13/A-B"/>
    <x v="9"/>
    <s v="BEAM"/>
    <s v="No"/>
    <s v="12_13_A_B"/>
    <x v="6"/>
    <n v="2"/>
    <s v=""/>
    <x v="3"/>
    <x v="1"/>
    <s v="2BE13#Box2#InB"/>
    <s v="2BE13#Box2#InB"/>
    <n v="0"/>
    <n v="0"/>
    <n v="0"/>
  </r>
  <r>
    <n v="210"/>
    <x v="450"/>
    <s v="12-13/A-B"/>
    <x v="9"/>
    <s v="BEAM"/>
    <s v="No"/>
    <s v="12_13_A_B"/>
    <x v="6"/>
    <n v="2"/>
    <s v=""/>
    <x v="3"/>
    <x v="1"/>
    <s v="2BE13#Box2#InB"/>
    <s v="2BE13#Box2#InB"/>
    <n v="0"/>
    <n v="0"/>
    <n v="0"/>
  </r>
  <r>
    <n v="211"/>
    <x v="450"/>
    <s v="12-13/A-B"/>
    <x v="9"/>
    <s v="BEAM"/>
    <s v="No"/>
    <s v="12_13_A_B"/>
    <x v="6"/>
    <n v="2"/>
    <s v=""/>
    <x v="3"/>
    <x v="1"/>
    <s v="2BE13#Box2#InB"/>
    <s v="2BE13#Box2#InB"/>
    <n v="0"/>
    <n v="0"/>
    <n v="0"/>
  </r>
  <r>
    <n v="212"/>
    <x v="450"/>
    <s v="12-13/A-B"/>
    <x v="9"/>
    <s v="BEAM"/>
    <s v="No"/>
    <s v="12_13_A_B"/>
    <x v="6"/>
    <n v="2"/>
    <s v=""/>
    <x v="3"/>
    <x v="1"/>
    <s v="2BE13#Box2#InB"/>
    <s v="2BE13#Box2#InB"/>
    <n v="0"/>
    <n v="0"/>
    <n v="0"/>
  </r>
  <r>
    <n v="213"/>
    <x v="450"/>
    <s v="12-13/A-B"/>
    <x v="9"/>
    <s v="BEAM"/>
    <s v="No"/>
    <s v="12_13_A_B"/>
    <x v="6"/>
    <n v="2"/>
    <s v=""/>
    <x v="3"/>
    <x v="1"/>
    <s v="2BE13#Box2#InB"/>
    <s v="2BE13#Box2#InB"/>
    <n v="0"/>
    <n v="0"/>
    <n v="0"/>
  </r>
  <r>
    <n v="214"/>
    <x v="450"/>
    <s v="12-13/A-B"/>
    <x v="9"/>
    <s v="BEAM"/>
    <s v="No"/>
    <s v="12_13_A_B"/>
    <x v="6"/>
    <n v="2"/>
    <s v=""/>
    <x v="3"/>
    <x v="1"/>
    <s v="2BE13#Box2#InB"/>
    <s v="2BE13#Box2#InB"/>
    <n v="0"/>
    <n v="0"/>
    <n v="0"/>
  </r>
  <r>
    <n v="215"/>
    <x v="450"/>
    <s v="12-13/A-B"/>
    <x v="9"/>
    <s v="BEAM"/>
    <s v="No"/>
    <s v="12_13_A_B"/>
    <x v="6"/>
    <n v="2"/>
    <s v=""/>
    <x v="3"/>
    <x v="1"/>
    <s v="2BE13#Box2#InB"/>
    <s v="2BE13#Box2#InB"/>
    <n v="0"/>
    <n v="0"/>
    <n v="0"/>
  </r>
  <r>
    <n v="225"/>
    <x v="451"/>
    <s v="12-13/B&gt;"/>
    <x v="9"/>
    <s v="BEAM"/>
    <s v="Yes"/>
    <s v="12_13_B&gt;"/>
    <x v="6"/>
    <n v="2"/>
    <s v="O"/>
    <x v="2"/>
    <x v="2"/>
    <s v="2BE22#Box2#O"/>
    <s v="2BE22#Box2#O"/>
    <n v="0"/>
    <n v="0"/>
    <n v="0"/>
  </r>
  <r>
    <n v="227"/>
    <x v="452"/>
    <s v="12/A'-A"/>
    <x v="9"/>
    <s v="BEAM"/>
    <s v="Yes"/>
    <s v="12_A'_A"/>
    <x v="7"/>
    <n v="2"/>
    <s v=""/>
    <x v="0"/>
    <x v="0"/>
    <s v="2BE24#Box2_Box5#InBB"/>
    <s v="2BE24#Box2_Box5#InBB"/>
    <n v="0"/>
    <n v="0"/>
    <n v="0"/>
  </r>
  <r>
    <n v="228"/>
    <x v="453"/>
    <s v="12/A-B"/>
    <x v="11"/>
    <s v="BEAM"/>
    <s v="Yes"/>
    <s v="12_A_B"/>
    <x v="6"/>
    <n v="2"/>
    <s v=""/>
    <x v="7"/>
    <x v="1"/>
    <s v="2BE25#Box2#12_A_B"/>
    <s v="2BE25#Box2#InB"/>
    <n v="0"/>
    <n v="0"/>
    <n v="0"/>
  </r>
  <r>
    <n v="229"/>
    <x v="454"/>
    <s v="12/B&gt;"/>
    <x v="9"/>
    <s v="BEAM"/>
    <s v="Yes"/>
    <s v="12_B&gt;"/>
    <x v="6"/>
    <n v="2"/>
    <s v="O"/>
    <x v="2"/>
    <x v="2"/>
    <s v="2BE26#Box2#O"/>
    <s v="2BE26#Box2#O"/>
    <n v="0"/>
    <n v="0"/>
    <n v="0"/>
  </r>
  <r>
    <n v="230"/>
    <x v="455"/>
    <s v="12-13/A-B"/>
    <x v="9"/>
    <s v="BEAM"/>
    <s v="Yes"/>
    <s v="12_13_A_B"/>
    <x v="6"/>
    <n v="2"/>
    <s v=""/>
    <x v="3"/>
    <x v="1"/>
    <s v="2BE27#Box2#InB"/>
    <s v="2BE27#Box2#InB"/>
    <n v="0"/>
    <n v="0"/>
    <n v="0"/>
  </r>
  <r>
    <n v="231"/>
    <x v="456"/>
    <s v="12-13/A'-A"/>
    <x v="9"/>
    <s v="BEAM"/>
    <s v="No"/>
    <s v="12_13_A'_A"/>
    <x v="7"/>
    <n v="2"/>
    <s v=""/>
    <x v="0"/>
    <x v="0"/>
    <s v="2BE28#Box2_Box5#InBB"/>
    <s v="2BE28#Box2_Box5#InBB"/>
    <n v="0"/>
    <n v="0"/>
    <n v="0"/>
  </r>
  <r>
    <n v="232"/>
    <x v="456"/>
    <s v="12-13/A'-A"/>
    <x v="9"/>
    <s v="BEAM"/>
    <s v="No"/>
    <s v="12_13_A'_A"/>
    <x v="7"/>
    <n v="2"/>
    <s v=""/>
    <x v="0"/>
    <x v="0"/>
    <s v="2BE28#Box2_Box5#InBB"/>
    <s v="2BE28#Box2_Box5#InBB"/>
    <n v="0"/>
    <n v="0"/>
    <n v="0"/>
  </r>
  <r>
    <n v="233"/>
    <x v="456"/>
    <s v="12-13/A'-A"/>
    <x v="9"/>
    <s v="BEAM"/>
    <s v="No"/>
    <s v="12_13_A'_A"/>
    <x v="7"/>
    <n v="2"/>
    <s v=""/>
    <x v="0"/>
    <x v="0"/>
    <s v="2BE28#Box2_Box5#InBB"/>
    <s v="2BE28#Box2_Box5#InBB"/>
    <n v="0"/>
    <n v="0"/>
    <n v="0"/>
  </r>
  <r>
    <n v="234"/>
    <x v="456"/>
    <s v="12-13/A'-A"/>
    <x v="9"/>
    <s v="BEAM"/>
    <s v="No"/>
    <s v="12_13_A'_A"/>
    <x v="7"/>
    <n v="2"/>
    <s v=""/>
    <x v="0"/>
    <x v="0"/>
    <s v="2BE28#Box2_Box5#InBB"/>
    <s v="2BE28#Box2_Box5#InBB"/>
    <n v="0"/>
    <n v="0"/>
    <n v="0"/>
  </r>
  <r>
    <n v="235"/>
    <x v="456"/>
    <s v="12-13/A'-A"/>
    <x v="9"/>
    <s v="BEAM"/>
    <s v="No"/>
    <s v="12_13_A'_A"/>
    <x v="7"/>
    <n v="2"/>
    <s v=""/>
    <x v="0"/>
    <x v="0"/>
    <s v="2BE28#Box2_Box5#InBB"/>
    <s v="2BE28#Box2_Box5#InBB"/>
    <n v="0"/>
    <n v="0"/>
    <n v="0"/>
  </r>
  <r>
    <n v="236"/>
    <x v="457"/>
    <s v="12-13/B&gt;"/>
    <x v="9"/>
    <s v="BEAM"/>
    <s v="No"/>
    <s v="12_13_B&gt;"/>
    <x v="6"/>
    <n v="2"/>
    <s v="O"/>
    <x v="2"/>
    <x v="2"/>
    <s v="2BE29#Box2#O"/>
    <s v="2BE29#Box2#O"/>
    <n v="0"/>
    <n v="0"/>
    <n v="0"/>
  </r>
  <r>
    <n v="237"/>
    <x v="457"/>
    <s v="12-13/B&gt;"/>
    <x v="9"/>
    <s v="BEAM"/>
    <s v="No"/>
    <s v="12_13_B&gt;"/>
    <x v="6"/>
    <n v="2"/>
    <s v="O"/>
    <x v="2"/>
    <x v="2"/>
    <s v="2BE29#Box2#O"/>
    <s v="2BE29#Box2#O"/>
    <n v="0"/>
    <n v="0"/>
    <n v="0"/>
  </r>
  <r>
    <n v="238"/>
    <x v="457"/>
    <s v="12-13/B&gt;"/>
    <x v="9"/>
    <s v="BEAM"/>
    <s v="No"/>
    <s v="12_13_B&gt;"/>
    <x v="6"/>
    <n v="2"/>
    <s v="O"/>
    <x v="2"/>
    <x v="2"/>
    <s v="2BE29#Box2#O"/>
    <s v="2BE29#Box2#O"/>
    <n v="0"/>
    <n v="0"/>
    <n v="0"/>
  </r>
  <r>
    <n v="239"/>
    <x v="457"/>
    <s v="12-13/B&gt;"/>
    <x v="9"/>
    <s v="BEAM"/>
    <s v="No"/>
    <s v="12_13_B&gt;"/>
    <x v="6"/>
    <n v="2"/>
    <s v="O"/>
    <x v="2"/>
    <x v="2"/>
    <s v="2BE29#Box2#O"/>
    <s v="2BE29#Box2#O"/>
    <n v="0"/>
    <n v="0"/>
    <n v="0"/>
  </r>
  <r>
    <n v="240"/>
    <x v="457"/>
    <s v="12-13/B&gt;"/>
    <x v="9"/>
    <s v="BEAM"/>
    <s v="No"/>
    <s v="12_13_B&gt;"/>
    <x v="6"/>
    <n v="2"/>
    <s v="O"/>
    <x v="2"/>
    <x v="2"/>
    <s v="2BE29#Box2#O"/>
    <s v="2BE29#Box2#O"/>
    <n v="0"/>
    <n v="0"/>
    <n v="0"/>
  </r>
  <r>
    <n v="241"/>
    <x v="458"/>
    <s v="12-13/A-B"/>
    <x v="9"/>
    <s v="BEAM"/>
    <s v="Yes"/>
    <s v="12_13_A_B"/>
    <x v="6"/>
    <n v="2"/>
    <s v=""/>
    <x v="3"/>
    <x v="1"/>
    <s v="2BE30#Box2#InB"/>
    <s v="2BE30#Box2#InB"/>
    <n v="0"/>
    <n v="0"/>
    <n v="0"/>
  </r>
  <r>
    <n v="242"/>
    <x v="459"/>
    <s v="12-13/B&gt;"/>
    <x v="9"/>
    <s v="BEAM"/>
    <s v="Yes"/>
    <s v="12_13_B&gt;"/>
    <x v="6"/>
    <n v="2"/>
    <s v="O"/>
    <x v="2"/>
    <x v="2"/>
    <s v="2BE31#Box2#O"/>
    <s v="2BE31#Box2#O"/>
    <n v="0"/>
    <n v="0"/>
    <n v="0"/>
  </r>
  <r>
    <n v="243"/>
    <x v="460"/>
    <s v="12-13/A-B"/>
    <x v="9"/>
    <s v="BEAM"/>
    <s v="Yes"/>
    <s v="12_13_A_B"/>
    <x v="6"/>
    <n v="2"/>
    <s v=""/>
    <x v="3"/>
    <x v="1"/>
    <s v="2BE32#Box2#InB"/>
    <s v="2BE32#Box2#InB"/>
    <n v="0"/>
    <n v="0"/>
    <n v="0"/>
  </r>
  <r>
    <n v="244"/>
    <x v="461"/>
    <s v="12-13/A-B"/>
    <x v="9"/>
    <s v="BEAM"/>
    <s v="Yes"/>
    <s v="12_13_A_B"/>
    <x v="6"/>
    <n v="2"/>
    <s v=""/>
    <x v="3"/>
    <x v="1"/>
    <s v="2BE33#Box2#InB"/>
    <s v="2BE33#Box2#InB"/>
    <n v="0"/>
    <n v="0"/>
    <n v="0"/>
  </r>
  <r>
    <n v="245"/>
    <x v="462"/>
    <s v="12-13/A"/>
    <x v="9"/>
    <s v="BEAM"/>
    <s v="Yes"/>
    <s v="12_13_A"/>
    <x v="6"/>
    <n v="2"/>
    <s v=""/>
    <x v="3"/>
    <x v="5"/>
    <s v="2BE34#Box2#InB"/>
    <s v="2BE34#Box2#12_13_A"/>
    <n v="0"/>
    <n v="0"/>
    <n v="0"/>
  </r>
  <r>
    <n v="246"/>
    <x v="463"/>
    <s v="12-13/B"/>
    <x v="9"/>
    <s v="BEAM"/>
    <s v="Yes"/>
    <s v="12_13_B"/>
    <x v="6"/>
    <n v="2"/>
    <s v=""/>
    <x v="3"/>
    <x v="6"/>
    <s v="2BE35#Box2#InB"/>
    <s v="2BE35#Box2#12_13_B"/>
    <n v="0"/>
    <n v="0"/>
    <n v="0"/>
  </r>
  <r>
    <n v="247"/>
    <x v="464"/>
    <s v="12-13/B&gt;"/>
    <x v="9"/>
    <s v="BEAM"/>
    <s v="Yes"/>
    <s v="12_13_B&gt;"/>
    <x v="6"/>
    <n v="2"/>
    <s v="O"/>
    <x v="2"/>
    <x v="2"/>
    <s v="2BE36#Box2#O"/>
    <s v="2BE36#Box2#O"/>
    <n v="0"/>
    <n v="0"/>
    <n v="0"/>
  </r>
  <r>
    <n v="248"/>
    <x v="465"/>
    <s v="12-13/A'-A"/>
    <x v="9"/>
    <s v="BEAM"/>
    <s v="Yes"/>
    <s v="12_13_A'_A"/>
    <x v="7"/>
    <n v="2"/>
    <s v=""/>
    <x v="0"/>
    <x v="0"/>
    <s v="2BE37#Box2_Box5#InBB"/>
    <s v="2BE37#Box2_Box5#InBB"/>
    <n v="0"/>
    <n v="0"/>
    <n v="0"/>
  </r>
  <r>
    <n v="249"/>
    <x v="466"/>
    <s v="12-13/A-B"/>
    <x v="9"/>
    <s v="BEAM"/>
    <s v="Yes"/>
    <s v="12_13_A_B"/>
    <x v="6"/>
    <n v="2"/>
    <s v=""/>
    <x v="3"/>
    <x v="1"/>
    <s v="2BE38#Box2#InB"/>
    <s v="2BE38#Box2#InB"/>
    <n v="0"/>
    <n v="0"/>
    <n v="0"/>
  </r>
  <r>
    <n v="250"/>
    <x v="467"/>
    <s v="12-13/B&gt;"/>
    <x v="9"/>
    <s v="BEAM"/>
    <s v="Yes"/>
    <s v="12_13_B&gt;"/>
    <x v="6"/>
    <n v="2"/>
    <s v="O"/>
    <x v="2"/>
    <x v="2"/>
    <s v="2BE39#Box2#O"/>
    <s v="2BE39#Box2#O"/>
    <n v="0"/>
    <n v="0"/>
    <n v="0"/>
  </r>
  <r>
    <n v="251"/>
    <x v="468"/>
    <s v="12-13/A-B"/>
    <x v="9"/>
    <s v="BEAM"/>
    <s v="No"/>
    <s v="12_13_A_B"/>
    <x v="6"/>
    <n v="2"/>
    <s v=""/>
    <x v="3"/>
    <x v="1"/>
    <s v="2BE40#Box2#InB"/>
    <s v="2BE40#Box2#InB"/>
    <n v="0"/>
    <n v="0"/>
    <n v="0"/>
  </r>
  <r>
    <n v="252"/>
    <x v="468"/>
    <s v="12-13/A-B"/>
    <x v="9"/>
    <s v="BEAM"/>
    <s v="No"/>
    <s v="12_13_A_B"/>
    <x v="6"/>
    <n v="2"/>
    <s v=""/>
    <x v="3"/>
    <x v="1"/>
    <s v="2BE40#Box2#InB"/>
    <s v="2BE40#Box2#InB"/>
    <n v="0"/>
    <n v="0"/>
    <n v="0"/>
  </r>
  <r>
    <n v="253"/>
    <x v="468"/>
    <s v="12-13/A-B"/>
    <x v="9"/>
    <s v="BEAM"/>
    <s v="No"/>
    <s v="12_13_A_B"/>
    <x v="6"/>
    <n v="2"/>
    <s v=""/>
    <x v="3"/>
    <x v="1"/>
    <s v="2BE40#Box2#InB"/>
    <s v="2BE40#Box2#InB"/>
    <n v="0"/>
    <n v="0"/>
    <n v="0"/>
  </r>
  <r>
    <n v="254"/>
    <x v="468"/>
    <s v="12-13/A-B"/>
    <x v="9"/>
    <s v="BEAM"/>
    <s v="No"/>
    <s v="12_13_A_B"/>
    <x v="6"/>
    <n v="2"/>
    <s v=""/>
    <x v="3"/>
    <x v="1"/>
    <s v="2BE40#Box2#InB"/>
    <s v="2BE40#Box2#InB"/>
    <n v="0"/>
    <n v="0"/>
    <n v="0"/>
  </r>
  <r>
    <n v="255"/>
    <x v="468"/>
    <s v="12-13/A-B"/>
    <x v="9"/>
    <s v="BEAM"/>
    <s v="No"/>
    <s v="12_13_A_B"/>
    <x v="6"/>
    <n v="2"/>
    <s v=""/>
    <x v="3"/>
    <x v="1"/>
    <s v="2BE40#Box2#InB"/>
    <s v="2BE40#Box2#InB"/>
    <n v="0"/>
    <n v="0"/>
    <n v="0"/>
  </r>
  <r>
    <n v="256"/>
    <x v="468"/>
    <s v="12-13/A-B"/>
    <x v="9"/>
    <s v="BEAM"/>
    <s v="No"/>
    <s v="12_13_A_B"/>
    <x v="6"/>
    <n v="2"/>
    <s v=""/>
    <x v="3"/>
    <x v="1"/>
    <s v="2BE40#Box2#InB"/>
    <s v="2BE40#Box2#InB"/>
    <n v="0"/>
    <n v="0"/>
    <n v="0"/>
  </r>
  <r>
    <n v="257"/>
    <x v="468"/>
    <s v="12-13/A-B"/>
    <x v="9"/>
    <s v="BEAM"/>
    <s v="No"/>
    <s v="12_13_A_B"/>
    <x v="6"/>
    <n v="2"/>
    <s v=""/>
    <x v="3"/>
    <x v="1"/>
    <s v="2BE40#Box2#InB"/>
    <s v="2BE40#Box2#InB"/>
    <n v="0"/>
    <n v="0"/>
    <n v="0"/>
  </r>
  <r>
    <n v="258"/>
    <x v="469"/>
    <s v="12-13/A-B"/>
    <x v="9"/>
    <s v="BEAM"/>
    <s v="Yes"/>
    <s v="12_13_A_B"/>
    <x v="6"/>
    <n v="2"/>
    <s v=""/>
    <x v="3"/>
    <x v="1"/>
    <s v="2BE41#Box2#InB"/>
    <s v="2BE41#Box2#InB"/>
    <n v="0"/>
    <n v="0"/>
    <n v="0"/>
  </r>
  <r>
    <n v="259"/>
    <x v="470"/>
    <s v="13/A&quot;-A"/>
    <x v="9"/>
    <s v="BEAM"/>
    <s v="Yes"/>
    <s v="13_A&quot;_A"/>
    <x v="7"/>
    <n v="2"/>
    <s v=""/>
    <x v="0"/>
    <x v="0"/>
    <s v="2BE42#Box2_Box5#InBB"/>
    <s v="2BE42#Box2_Box5#InBB"/>
    <n v="0"/>
    <n v="0"/>
    <n v="0"/>
  </r>
  <r>
    <n v="260"/>
    <x v="471"/>
    <s v="13/A-B"/>
    <x v="11"/>
    <s v="BEAM"/>
    <s v="Yes"/>
    <s v="13_A_B"/>
    <x v="6"/>
    <n v="2"/>
    <s v=""/>
    <x v="8"/>
    <x v="1"/>
    <s v="2BE43#Box2#13_A_B"/>
    <s v="2BE43#Box2#InB"/>
    <n v="0"/>
    <n v="0"/>
    <n v="0"/>
  </r>
  <r>
    <n v="261"/>
    <x v="472"/>
    <s v="13/B&gt;"/>
    <x v="14"/>
    <s v="BEAM"/>
    <s v="Yes"/>
    <s v="13_B&gt;"/>
    <x v="6"/>
    <n v="2"/>
    <s v="O"/>
    <x v="2"/>
    <x v="2"/>
    <s v="2BE44#Box2#O"/>
    <s v="2BE44#Box2#O"/>
    <n v="0"/>
    <n v="0"/>
    <n v="0"/>
  </r>
  <r>
    <n v="262"/>
    <x v="473"/>
    <s v="13/B&gt;"/>
    <x v="9"/>
    <s v="BEAM"/>
    <s v="Yes"/>
    <s v="13_B&gt;"/>
    <x v="6"/>
    <n v="2"/>
    <s v="O"/>
    <x v="2"/>
    <x v="2"/>
    <s v="2BE45#Box2#O"/>
    <s v="2BE45#Box2#O"/>
    <n v="0"/>
    <n v="0"/>
    <n v="0"/>
  </r>
  <r>
    <n v="263"/>
    <x v="474"/>
    <s v="13-14/A&quot;-A"/>
    <x v="9"/>
    <s v="BEAM"/>
    <s v="Yes"/>
    <s v="13_14_A&quot;_A"/>
    <x v="8"/>
    <n v="2"/>
    <s v=""/>
    <x v="0"/>
    <x v="0"/>
    <s v="2BE46#Box2_Box5_Box6#InBB"/>
    <s v="2BE46#Box2_Box5_Box6#InBB"/>
    <n v="0"/>
    <n v="0"/>
    <n v="0"/>
  </r>
  <r>
    <n v="264"/>
    <x v="475"/>
    <s v="13-14/A-B"/>
    <x v="13"/>
    <s v="BEAM"/>
    <s v="No"/>
    <s v="13_14_A_B"/>
    <x v="6"/>
    <n v="2"/>
    <s v=""/>
    <x v="3"/>
    <x v="1"/>
    <s v="2BE47#Box2#InB"/>
    <s v="2BE47#Box2#InB"/>
    <n v="0"/>
    <n v="0"/>
    <n v="0"/>
  </r>
  <r>
    <n v="265"/>
    <x v="475"/>
    <s v="13-14/A-B"/>
    <x v="13"/>
    <s v="BEAM"/>
    <s v="No"/>
    <s v="13_14_A_B"/>
    <x v="6"/>
    <n v="2"/>
    <s v=""/>
    <x v="3"/>
    <x v="1"/>
    <s v="2BE47#Box2#InB"/>
    <s v="2BE47#Box2#InB"/>
    <n v="0"/>
    <n v="0"/>
    <n v="0"/>
  </r>
  <r>
    <n v="268"/>
    <x v="476"/>
    <s v="13-14/A-B"/>
    <x v="104"/>
    <s v="BEAM"/>
    <s v="Yes"/>
    <s v="13_14_A_B"/>
    <x v="6"/>
    <n v="2"/>
    <s v=""/>
    <x v="3"/>
    <x v="1"/>
    <s v="2BE50#Box2#InB"/>
    <s v="2BE50#Box2#InB"/>
    <n v="0"/>
    <n v="0"/>
    <n v="0"/>
  </r>
  <r>
    <n v="269"/>
    <x v="477"/>
    <s v="13-14/A-B"/>
    <x v="11"/>
    <s v="BEAM"/>
    <s v="Yes"/>
    <s v="13_14_A_B"/>
    <x v="6"/>
    <n v="2"/>
    <s v=""/>
    <x v="3"/>
    <x v="1"/>
    <s v="2BE51#Box2#InB"/>
    <s v="2BE51#Box2#InB"/>
    <n v="0"/>
    <n v="0"/>
    <n v="0"/>
  </r>
  <r>
    <n v="270"/>
    <x v="478"/>
    <s v="13-14/B&gt;"/>
    <x v="14"/>
    <s v="BEAM"/>
    <s v="Yes"/>
    <s v="13_14_B&gt;"/>
    <x v="6"/>
    <n v="2"/>
    <s v="O"/>
    <x v="2"/>
    <x v="2"/>
    <s v="2BE52#Box2#O"/>
    <s v="2BE52#Box2#O"/>
    <n v="0"/>
    <n v="0"/>
    <n v="0"/>
  </r>
  <r>
    <n v="271"/>
    <x v="479"/>
    <s v="13-14/B&gt;"/>
    <x v="14"/>
    <s v="BEAM"/>
    <s v="Yes"/>
    <s v="13_14_B&gt;"/>
    <x v="6"/>
    <n v="2"/>
    <s v="O"/>
    <x v="2"/>
    <x v="2"/>
    <s v="2BE53#Box2#O"/>
    <s v="2BE53#Box2#O"/>
    <n v="0"/>
    <n v="0"/>
    <n v="0"/>
  </r>
  <r>
    <n v="272"/>
    <x v="480"/>
    <s v="13-14/A"/>
    <x v="11"/>
    <s v="BEAM"/>
    <s v="Yes"/>
    <s v="13_14_A"/>
    <x v="6"/>
    <n v="2"/>
    <s v=""/>
    <x v="3"/>
    <x v="7"/>
    <s v="2BE54#Box2#InB"/>
    <s v="2BE54#Box2#13_14_A"/>
    <n v="0"/>
    <n v="0"/>
    <n v="0"/>
  </r>
  <r>
    <n v="278"/>
    <x v="481"/>
    <s v="13-14/B"/>
    <x v="11"/>
    <s v="BEAM"/>
    <s v="Yes"/>
    <s v="13_14_B"/>
    <x v="6"/>
    <n v="2"/>
    <s v=""/>
    <x v="3"/>
    <x v="8"/>
    <s v="2BE56#Box2#InB"/>
    <s v="2BE56#Box2#13_14_B"/>
    <n v="0"/>
    <n v="0"/>
    <n v="0"/>
  </r>
  <r>
    <n v="279"/>
    <x v="482"/>
    <s v="13-14/B"/>
    <x v="104"/>
    <s v="BEAM"/>
    <s v="Yes"/>
    <s v="13_14_B"/>
    <x v="6"/>
    <n v="2"/>
    <s v=""/>
    <x v="3"/>
    <x v="8"/>
    <s v="2BE57#Box2#InB"/>
    <s v="2BE57#Box2#13_14_B"/>
    <n v="0"/>
    <n v="0"/>
    <n v="0"/>
  </r>
  <r>
    <n v="293"/>
    <x v="483"/>
    <s v="13-14/A"/>
    <x v="9"/>
    <s v="BEAM"/>
    <s v="Yes"/>
    <s v="13_14_A"/>
    <x v="6"/>
    <n v="2"/>
    <s v=""/>
    <x v="3"/>
    <x v="7"/>
    <s v="2BE71#Box2#InB"/>
    <s v="2BE71#Box2#13_14_A"/>
    <n v="0"/>
    <n v="0"/>
    <n v="0"/>
  </r>
  <r>
    <n v="298"/>
    <x v="85"/>
    <s v="12-13/A'-A"/>
    <x v="17"/>
    <s v="H-BRACE"/>
    <s v="No"/>
    <s v="12_13_A'_A"/>
    <x v="7"/>
    <n v="2"/>
    <s v=""/>
    <x v="0"/>
    <x v="0"/>
    <s v="2HB03#Box2_Box5#InBB"/>
    <s v="2HB03#Box2_Box5#InBB"/>
    <n v="0"/>
    <n v="0"/>
    <n v="0"/>
  </r>
  <r>
    <n v="299"/>
    <x v="85"/>
    <s v="12-13/A'-A"/>
    <x v="17"/>
    <s v="H-BRACE"/>
    <s v="No"/>
    <s v="12_13_A'_A"/>
    <x v="7"/>
    <n v="2"/>
    <s v=""/>
    <x v="0"/>
    <x v="0"/>
    <s v="2HB03#Box2_Box5#InBB"/>
    <s v="2HB03#Box2_Box5#InBB"/>
    <n v="0"/>
    <n v="0"/>
    <n v="0"/>
  </r>
  <r>
    <n v="308"/>
    <x v="484"/>
    <s v="12-13/A-B"/>
    <x v="17"/>
    <s v="H-BRACE"/>
    <s v="Yes"/>
    <s v="12_13_A_B"/>
    <x v="6"/>
    <n v="2"/>
    <s v=""/>
    <x v="3"/>
    <x v="1"/>
    <s v="2HB06#Box2#InB"/>
    <s v="2HB06#Box2#InB"/>
    <n v="0"/>
    <n v="0"/>
    <n v="0"/>
  </r>
  <r>
    <n v="309"/>
    <x v="485"/>
    <s v="12-13/A-B"/>
    <x v="17"/>
    <s v="H-BRACE"/>
    <s v="No"/>
    <s v="12_13_A_B"/>
    <x v="6"/>
    <n v="2"/>
    <s v=""/>
    <x v="3"/>
    <x v="1"/>
    <s v="2HB07#Box2#InB"/>
    <s v="2HB07#Box2#InB"/>
    <n v="0"/>
    <n v="0"/>
    <n v="0"/>
  </r>
  <r>
    <n v="310"/>
    <x v="485"/>
    <s v="12-13/A-B"/>
    <x v="17"/>
    <s v="H-BRACE"/>
    <s v="No"/>
    <s v="12_13_A_B"/>
    <x v="6"/>
    <n v="2"/>
    <s v=""/>
    <x v="3"/>
    <x v="1"/>
    <s v="2HB07#Box2#InB"/>
    <s v="2HB07#Box2#InB"/>
    <n v="0"/>
    <n v="0"/>
    <n v="0"/>
  </r>
  <r>
    <n v="311"/>
    <x v="485"/>
    <s v="12-13/A-B"/>
    <x v="17"/>
    <s v="H-BRACE"/>
    <s v="No"/>
    <s v="12_13_A_B"/>
    <x v="6"/>
    <n v="2"/>
    <s v=""/>
    <x v="3"/>
    <x v="1"/>
    <s v="2HB07#Box2#InB"/>
    <s v="2HB07#Box2#InB"/>
    <n v="0"/>
    <n v="0"/>
    <n v="0"/>
  </r>
  <r>
    <n v="312"/>
    <x v="485"/>
    <s v="12-13/A-B"/>
    <x v="17"/>
    <s v="H-BRACE"/>
    <s v="No"/>
    <s v="12_13_A_B"/>
    <x v="6"/>
    <n v="2"/>
    <s v=""/>
    <x v="3"/>
    <x v="1"/>
    <s v="2HB07#Box2#InB"/>
    <s v="2HB07#Box2#InB"/>
    <n v="0"/>
    <n v="0"/>
    <n v="0"/>
  </r>
  <r>
    <n v="313"/>
    <x v="485"/>
    <s v="12-13/A-B"/>
    <x v="17"/>
    <s v="H-BRACE"/>
    <s v="No"/>
    <s v="12_13_A_B"/>
    <x v="6"/>
    <n v="2"/>
    <s v=""/>
    <x v="3"/>
    <x v="1"/>
    <s v="2HB07#Box2#InB"/>
    <s v="2HB07#Box2#InB"/>
    <n v="0"/>
    <n v="0"/>
    <n v="0"/>
  </r>
  <r>
    <n v="314"/>
    <x v="486"/>
    <s v="12-13/A-B"/>
    <x v="17"/>
    <s v="H-BRACE"/>
    <s v="Yes"/>
    <s v="12_13_A_B"/>
    <x v="6"/>
    <n v="2"/>
    <s v=""/>
    <x v="3"/>
    <x v="1"/>
    <s v="2HB08#Box2#InB"/>
    <s v="2HB08#Box2#InB"/>
    <n v="0"/>
    <n v="0"/>
    <n v="0"/>
  </r>
  <r>
    <n v="315"/>
    <x v="487"/>
    <s v="12-13/A-B"/>
    <x v="17"/>
    <s v="H-BRACE"/>
    <s v="Yes"/>
    <s v="12_13_A_B"/>
    <x v="6"/>
    <n v="2"/>
    <s v=""/>
    <x v="3"/>
    <x v="1"/>
    <s v="2HB09#Box2#InB"/>
    <s v="2HB09#Box2#InB"/>
    <n v="0"/>
    <n v="0"/>
    <n v="0"/>
  </r>
  <r>
    <n v="316"/>
    <x v="488"/>
    <s v="12-13/B&gt;"/>
    <x v="17"/>
    <s v="H-BRACE"/>
    <s v="Yes"/>
    <s v="12_13_B&gt;"/>
    <x v="6"/>
    <n v="2"/>
    <s v="O"/>
    <x v="2"/>
    <x v="2"/>
    <s v="2HB10#Box2#O"/>
    <s v="2HB10#Box2#O"/>
    <n v="0"/>
    <n v="0"/>
    <n v="0"/>
  </r>
  <r>
    <n v="317"/>
    <x v="489"/>
    <s v="12-13/A-B"/>
    <x v="17"/>
    <s v="H-BRACE"/>
    <s v="No"/>
    <s v="12_13_A_B"/>
    <x v="6"/>
    <n v="2"/>
    <s v=""/>
    <x v="3"/>
    <x v="1"/>
    <s v="2HB11#Box2#InB"/>
    <s v="2HB11#Box2#InB"/>
    <n v="0"/>
    <n v="0"/>
    <n v="0"/>
  </r>
  <r>
    <n v="318"/>
    <x v="489"/>
    <s v="12-13/A-B"/>
    <x v="17"/>
    <s v="H-BRACE"/>
    <s v="No"/>
    <s v="12_13_A_B"/>
    <x v="6"/>
    <n v="2"/>
    <s v=""/>
    <x v="3"/>
    <x v="1"/>
    <s v="2HB11#Box2#InB"/>
    <s v="2HB11#Box2#InB"/>
    <n v="0"/>
    <n v="0"/>
    <n v="0"/>
  </r>
  <r>
    <n v="319"/>
    <x v="490"/>
    <s v="12-13/A-B"/>
    <x v="17"/>
    <s v="H-BRACE"/>
    <s v="No"/>
    <s v="12_13_A_B"/>
    <x v="6"/>
    <n v="2"/>
    <s v=""/>
    <x v="3"/>
    <x v="1"/>
    <s v="2HB12#Box2#InB"/>
    <s v="2HB12#Box2#InB"/>
    <n v="0"/>
    <n v="0"/>
    <n v="0"/>
  </r>
  <r>
    <n v="320"/>
    <x v="490"/>
    <s v="12-13/A-B"/>
    <x v="17"/>
    <s v="H-BRACE"/>
    <s v="No"/>
    <s v="12_13_A_B"/>
    <x v="6"/>
    <n v="2"/>
    <s v=""/>
    <x v="3"/>
    <x v="1"/>
    <s v="2HB12#Box2#InB"/>
    <s v="2HB12#Box2#InB"/>
    <n v="0"/>
    <n v="0"/>
    <n v="0"/>
  </r>
  <r>
    <n v="321"/>
    <x v="491"/>
    <s v="12-13/A-B"/>
    <x v="17"/>
    <s v="H-BRACE"/>
    <s v="Yes"/>
    <s v="12_13_A_B"/>
    <x v="6"/>
    <n v="2"/>
    <s v=""/>
    <x v="3"/>
    <x v="1"/>
    <s v="2HB13#Box2#InB"/>
    <s v="2HB13#Box2#InB"/>
    <n v="0"/>
    <n v="0"/>
    <n v="0"/>
  </r>
  <r>
    <n v="322"/>
    <x v="492"/>
    <s v="12-13/A-B"/>
    <x v="17"/>
    <s v="H-BRACE"/>
    <s v="Yes"/>
    <s v="12_13_A_B"/>
    <x v="6"/>
    <n v="2"/>
    <s v=""/>
    <x v="3"/>
    <x v="1"/>
    <s v="2HB14#Box2#InB"/>
    <s v="2HB14#Box2#InB"/>
    <n v="0"/>
    <n v="0"/>
    <n v="0"/>
  </r>
  <r>
    <n v="323"/>
    <x v="493"/>
    <s v="12-13/A-B"/>
    <x v="17"/>
    <s v="H-BRACE"/>
    <s v="Yes"/>
    <s v="12_13_A_B"/>
    <x v="6"/>
    <n v="2"/>
    <s v=""/>
    <x v="3"/>
    <x v="1"/>
    <s v="2HB15#Box2#InB"/>
    <s v="2HB15#Box2#InB"/>
    <n v="0"/>
    <n v="0"/>
    <n v="0"/>
  </r>
  <r>
    <n v="324"/>
    <x v="494"/>
    <s v="12-13/A-B"/>
    <x v="17"/>
    <s v="H-BRACE"/>
    <s v="Yes"/>
    <s v="12_13_A_B"/>
    <x v="6"/>
    <n v="2"/>
    <s v=""/>
    <x v="3"/>
    <x v="1"/>
    <s v="2HB16#Box2#InB"/>
    <s v="2HB16#Box2#InB"/>
    <n v="0"/>
    <n v="0"/>
    <n v="0"/>
  </r>
  <r>
    <n v="325"/>
    <x v="495"/>
    <s v="12-13/A-B"/>
    <x v="17"/>
    <s v="H-BRACE"/>
    <s v="No"/>
    <s v="12_13_A_B"/>
    <x v="6"/>
    <n v="2"/>
    <s v=""/>
    <x v="3"/>
    <x v="1"/>
    <s v="2HB17#Box2#InB"/>
    <s v="2HB17#Box2#InB"/>
    <n v="0"/>
    <n v="0"/>
    <n v="0"/>
  </r>
  <r>
    <n v="326"/>
    <x v="495"/>
    <s v="12-13/A-B"/>
    <x v="17"/>
    <s v="H-BRACE"/>
    <s v="No"/>
    <s v="12_13_A_B"/>
    <x v="6"/>
    <n v="2"/>
    <s v=""/>
    <x v="3"/>
    <x v="1"/>
    <s v="2HB17#Box2#InB"/>
    <s v="2HB17#Box2#InB"/>
    <n v="0"/>
    <n v="0"/>
    <n v="0"/>
  </r>
  <r>
    <n v="327"/>
    <x v="495"/>
    <s v="12-13/A-B"/>
    <x v="17"/>
    <s v="H-BRACE"/>
    <s v="No"/>
    <s v="12_13_A_B"/>
    <x v="6"/>
    <n v="2"/>
    <s v=""/>
    <x v="3"/>
    <x v="1"/>
    <s v="2HB17#Box2#InB"/>
    <s v="2HB17#Box2#InB"/>
    <n v="0"/>
    <n v="0"/>
    <n v="0"/>
  </r>
  <r>
    <n v="328"/>
    <x v="496"/>
    <s v="12-13/A-B"/>
    <x v="17"/>
    <s v="H-BRACE"/>
    <s v="No"/>
    <s v="12_13_A_B"/>
    <x v="6"/>
    <n v="2"/>
    <s v=""/>
    <x v="3"/>
    <x v="1"/>
    <s v="2HB18#Box2#InB"/>
    <s v="2HB18#Box2#InB"/>
    <n v="0"/>
    <n v="0"/>
    <n v="0"/>
  </r>
  <r>
    <n v="329"/>
    <x v="496"/>
    <s v="12-13/A-B"/>
    <x v="17"/>
    <s v="H-BRACE"/>
    <s v="No"/>
    <s v="12_13_A_B"/>
    <x v="6"/>
    <n v="2"/>
    <s v=""/>
    <x v="3"/>
    <x v="1"/>
    <s v="2HB18#Box2#InB"/>
    <s v="2HB18#Box2#InB"/>
    <n v="0"/>
    <n v="0"/>
    <n v="0"/>
  </r>
  <r>
    <n v="330"/>
    <x v="496"/>
    <s v="12-13/A-B"/>
    <x v="17"/>
    <s v="H-BRACE"/>
    <s v="No"/>
    <s v="12_13_A_B"/>
    <x v="6"/>
    <n v="2"/>
    <s v=""/>
    <x v="3"/>
    <x v="1"/>
    <s v="2HB18#Box2#InB"/>
    <s v="2HB18#Box2#InB"/>
    <n v="0"/>
    <n v="0"/>
    <n v="0"/>
  </r>
  <r>
    <n v="331"/>
    <x v="497"/>
    <s v="12-13/A-B"/>
    <x v="17"/>
    <s v="H-BRACE"/>
    <s v="Yes"/>
    <s v="12_13_A_B"/>
    <x v="6"/>
    <n v="2"/>
    <s v=""/>
    <x v="3"/>
    <x v="1"/>
    <s v="2HB19#Box2#InB"/>
    <s v="2HB19#Box2#InB"/>
    <n v="0"/>
    <n v="0"/>
    <n v="0"/>
  </r>
  <r>
    <n v="332"/>
    <x v="498"/>
    <s v="13-14/A'-A"/>
    <x v="17"/>
    <s v="H-BRACE"/>
    <s v="Yes"/>
    <s v="13_14_A'_A"/>
    <x v="8"/>
    <n v="2"/>
    <s v=""/>
    <x v="0"/>
    <x v="0"/>
    <s v="2HB20#Box2_Box5_Box6#InBB"/>
    <s v="2HB20#Box2_Box5_Box6#InBB"/>
    <n v="0"/>
    <n v="0"/>
    <n v="0"/>
  </r>
  <r>
    <n v="333"/>
    <x v="499"/>
    <s v="13-14/A'-A"/>
    <x v="17"/>
    <s v="H-BRACE"/>
    <s v="Yes"/>
    <s v="13_14_A'_A"/>
    <x v="8"/>
    <n v="2"/>
    <s v=""/>
    <x v="0"/>
    <x v="0"/>
    <s v="2HB21#Box2_Box5_Box6#InBB"/>
    <s v="2HB21#Box2_Box5_Box6#InBB"/>
    <n v="0"/>
    <n v="0"/>
    <n v="0"/>
  </r>
  <r>
    <n v="334"/>
    <x v="500"/>
    <s v="13-14/A'-A"/>
    <x v="17"/>
    <s v="H-BRACE"/>
    <s v="Yes"/>
    <s v="13_14_A'_A"/>
    <x v="8"/>
    <n v="2"/>
    <s v=""/>
    <x v="0"/>
    <x v="0"/>
    <s v="2HB22#Box2_Box5_Box6#InBB"/>
    <s v="2HB22#Box2_Box5_Box6#InBB"/>
    <n v="0"/>
    <n v="0"/>
    <n v="0"/>
  </r>
  <r>
    <n v="335"/>
    <x v="501"/>
    <s v="13-14/A-B"/>
    <x v="13"/>
    <s v="H-BRACE"/>
    <s v="Yes"/>
    <s v="13_14_A_B"/>
    <x v="6"/>
    <n v="2"/>
    <s v=""/>
    <x v="3"/>
    <x v="1"/>
    <s v="2HB23#Box2#InB"/>
    <s v="2HB23#Box2#InB"/>
    <n v="0"/>
    <n v="0"/>
    <n v="0"/>
  </r>
  <r>
    <n v="336"/>
    <x v="502"/>
    <s v="13-14/A-B"/>
    <x v="105"/>
    <s v="H-BRACE"/>
    <s v="Yes"/>
    <s v="13_14_A_B"/>
    <x v="6"/>
    <n v="2"/>
    <s v=""/>
    <x v="3"/>
    <x v="1"/>
    <s v="2HB24#Box2#InB"/>
    <s v="2HB24#Box2#InB"/>
    <n v="0"/>
    <n v="0"/>
    <n v="0"/>
  </r>
  <r>
    <n v="337"/>
    <x v="503"/>
    <s v="13-14/A-B"/>
    <x v="13"/>
    <s v="H-BRACE"/>
    <s v="Yes"/>
    <s v="13_14_A_B"/>
    <x v="6"/>
    <n v="2"/>
    <s v=""/>
    <x v="3"/>
    <x v="1"/>
    <s v="2HB25#Box2#InB"/>
    <s v="2HB25#Box2#InB"/>
    <n v="0"/>
    <n v="0"/>
    <n v="0"/>
  </r>
  <r>
    <n v="339"/>
    <x v="504"/>
    <s v="13-14/A-B"/>
    <x v="105"/>
    <s v="H-BRACE"/>
    <s v="Yes"/>
    <s v="13_14_A_B"/>
    <x v="6"/>
    <n v="2"/>
    <s v=""/>
    <x v="3"/>
    <x v="1"/>
    <s v="2HB27#Box2#InB"/>
    <s v="2HB27#Box2#InB"/>
    <n v="0"/>
    <n v="0"/>
    <n v="0"/>
  </r>
  <r>
    <n v="341"/>
    <x v="505"/>
    <s v="13-14/B&gt;"/>
    <x v="106"/>
    <s v="H-BRACE"/>
    <s v="Yes"/>
    <s v="13_14_B&gt;"/>
    <x v="6"/>
    <n v="2"/>
    <s v="O"/>
    <x v="2"/>
    <x v="2"/>
    <s v="2HB29#Box2#O"/>
    <s v="2HB29#Box2#O"/>
    <n v="0"/>
    <n v="0"/>
    <n v="0"/>
  </r>
  <r>
    <n v="342"/>
    <x v="506"/>
    <s v="13-14/B&gt;"/>
    <x v="106"/>
    <s v="H-BRACE"/>
    <s v="Yes"/>
    <s v="13_14_B&gt;"/>
    <x v="6"/>
    <n v="2"/>
    <s v="O"/>
    <x v="2"/>
    <x v="2"/>
    <s v="2HB30#Box2#O"/>
    <s v="2HB30#Box2#O"/>
    <n v="0"/>
    <n v="0"/>
    <n v="0"/>
  </r>
  <r>
    <n v="346"/>
    <x v="507"/>
    <s v="13-14/A"/>
    <x v="107"/>
    <s v="STUB COLUMN"/>
    <s v="Yes"/>
    <s v="13_14_A"/>
    <x v="6"/>
    <n v="2"/>
    <s v=""/>
    <x v="3"/>
    <x v="7"/>
    <s v="2SC03#Box2#InB"/>
    <s v="2SC03#Box2#13_14_A"/>
    <n v="0"/>
    <n v="0"/>
    <n v="0"/>
  </r>
  <r>
    <n v="394"/>
    <x v="127"/>
    <s v="12-13/B&gt;"/>
    <x v="20"/>
    <s v="BEAM"/>
    <s v="No"/>
    <s v="12_13_B&gt;"/>
    <x v="6"/>
    <n v="2"/>
    <s v="O"/>
    <x v="2"/>
    <x v="2"/>
    <s v="3BE38#Box2#O"/>
    <s v="3BE38#Box2#O"/>
    <n v="0"/>
    <n v="0"/>
    <n v="0"/>
  </r>
  <r>
    <n v="396"/>
    <x v="127"/>
    <s v="13-14/B&gt;"/>
    <x v="20"/>
    <s v="BEAM"/>
    <s v="No"/>
    <s v="13_14_B&gt;"/>
    <x v="6"/>
    <n v="2"/>
    <s v="O"/>
    <x v="2"/>
    <x v="2"/>
    <s v="3BE38#Box2#O"/>
    <s v="3BE38#Box2#O"/>
    <n v="0"/>
    <n v="0"/>
    <n v="0"/>
  </r>
  <r>
    <n v="399"/>
    <x v="508"/>
    <s v="12/A'-A"/>
    <x v="20"/>
    <s v="BEAM"/>
    <s v="Yes"/>
    <s v="12_A'_A"/>
    <x v="7"/>
    <n v="2"/>
    <s v=""/>
    <x v="0"/>
    <x v="0"/>
    <s v="3BE41#Box2_Box5#InBB"/>
    <s v="3BE41#Box2_Box5#InBB"/>
    <n v="0"/>
    <n v="0"/>
    <n v="0"/>
  </r>
  <r>
    <n v="400"/>
    <x v="509"/>
    <s v="12/A-B"/>
    <x v="20"/>
    <s v="BEAM"/>
    <s v="Yes"/>
    <s v="12_A_B"/>
    <x v="6"/>
    <n v="2"/>
    <s v=""/>
    <x v="7"/>
    <x v="1"/>
    <s v="3BE42#Box2#12_A_B"/>
    <s v="3BE42#Box2#InB"/>
    <n v="0"/>
    <n v="0"/>
    <n v="0"/>
  </r>
  <r>
    <n v="401"/>
    <x v="510"/>
    <s v="12/B&gt;"/>
    <x v="20"/>
    <s v="BEAM"/>
    <s v="Yes"/>
    <s v="12_B&gt;"/>
    <x v="6"/>
    <n v="2"/>
    <s v="O"/>
    <x v="2"/>
    <x v="2"/>
    <s v="3BE43#Box2#O"/>
    <s v="3BE43#Box2#O"/>
    <n v="0"/>
    <n v="0"/>
    <n v="0"/>
  </r>
  <r>
    <n v="402"/>
    <x v="511"/>
    <s v="12-13/A-B"/>
    <x v="20"/>
    <s v="BEAM"/>
    <s v="Yes"/>
    <s v="12_13_A_B"/>
    <x v="6"/>
    <n v="2"/>
    <s v=""/>
    <x v="3"/>
    <x v="1"/>
    <s v="3BE44#Box2#InB"/>
    <s v="3BE44#Box2#InB"/>
    <n v="0"/>
    <n v="0"/>
    <n v="0"/>
  </r>
  <r>
    <n v="404"/>
    <x v="512"/>
    <s v="12-13/A-B"/>
    <x v="20"/>
    <s v="BEAM"/>
    <s v="Yes"/>
    <s v="12_13_A_B"/>
    <x v="6"/>
    <n v="2"/>
    <s v=""/>
    <x v="3"/>
    <x v="1"/>
    <s v="3BE46#Box2#InB"/>
    <s v="3BE46#Box2#InB"/>
    <n v="0"/>
    <n v="0"/>
    <n v="0"/>
  </r>
  <r>
    <n v="405"/>
    <x v="513"/>
    <s v="12-13/B&gt;"/>
    <x v="20"/>
    <s v="BEAM"/>
    <s v="Yes"/>
    <s v="12_13_B&gt;"/>
    <x v="6"/>
    <n v="2"/>
    <s v="O"/>
    <x v="2"/>
    <x v="2"/>
    <s v="3BE47#Box2#O"/>
    <s v="3BE47#Box2#O"/>
    <n v="0"/>
    <n v="0"/>
    <n v="0"/>
  </r>
  <r>
    <n v="406"/>
    <x v="514"/>
    <s v="12-13/A"/>
    <x v="20"/>
    <s v="BEAM"/>
    <s v="Yes"/>
    <s v="12_13_A"/>
    <x v="6"/>
    <n v="2"/>
    <s v=""/>
    <x v="3"/>
    <x v="5"/>
    <s v="3BE48#Box2#InB"/>
    <s v="3BE48#Box2#12_13_A"/>
    <n v="0"/>
    <n v="0"/>
    <n v="0"/>
  </r>
  <r>
    <n v="407"/>
    <x v="515"/>
    <s v="12-13/B"/>
    <x v="20"/>
    <s v="BEAM"/>
    <s v="Yes"/>
    <s v="12_13_B"/>
    <x v="6"/>
    <n v="2"/>
    <s v=""/>
    <x v="3"/>
    <x v="6"/>
    <s v="3BE49#Box2#InB"/>
    <s v="3BE49#Box2#12_13_B"/>
    <n v="0"/>
    <n v="0"/>
    <n v="0"/>
  </r>
  <r>
    <n v="408"/>
    <x v="516"/>
    <s v="12-13/A-B"/>
    <x v="20"/>
    <s v="BEAM"/>
    <s v="Yes"/>
    <s v="12_13_A_B"/>
    <x v="6"/>
    <n v="2"/>
    <s v=""/>
    <x v="3"/>
    <x v="1"/>
    <s v="3BE50#Box2#InB"/>
    <s v="3BE50#Box2#InB"/>
    <n v="0"/>
    <n v="0"/>
    <n v="0"/>
  </r>
  <r>
    <n v="409"/>
    <x v="517"/>
    <s v="13/A-B"/>
    <x v="20"/>
    <s v="BEAM"/>
    <s v="Yes"/>
    <s v="13_A_B"/>
    <x v="6"/>
    <n v="2"/>
    <s v=""/>
    <x v="8"/>
    <x v="1"/>
    <s v="3BE51#Box2#13_A_B"/>
    <s v="3BE51#Box2#InB"/>
    <n v="0"/>
    <n v="0"/>
    <n v="0"/>
  </r>
  <r>
    <n v="410"/>
    <x v="518"/>
    <s v="13/B&gt;"/>
    <x v="20"/>
    <s v="BEAM"/>
    <s v="Yes"/>
    <s v="13_B&gt;"/>
    <x v="6"/>
    <n v="2"/>
    <s v="O"/>
    <x v="2"/>
    <x v="2"/>
    <s v="3BE52#Box2#O"/>
    <s v="3BE52#Box2#O"/>
    <n v="0"/>
    <n v="0"/>
    <n v="0"/>
  </r>
  <r>
    <n v="411"/>
    <x v="519"/>
    <s v="13-14/A-B"/>
    <x v="20"/>
    <s v="BEAM"/>
    <s v="Yes"/>
    <s v="13_14_A_B"/>
    <x v="6"/>
    <n v="2"/>
    <s v=""/>
    <x v="3"/>
    <x v="1"/>
    <s v="3BE53#Box2#InB"/>
    <s v="3BE53#Box2#InB"/>
    <n v="0"/>
    <n v="0"/>
    <n v="0"/>
  </r>
  <r>
    <n v="413"/>
    <x v="520"/>
    <s v="13-14/A"/>
    <x v="20"/>
    <s v="BEAM"/>
    <s v="Yes"/>
    <s v="13_14_A"/>
    <x v="6"/>
    <n v="2"/>
    <s v=""/>
    <x v="3"/>
    <x v="7"/>
    <s v="3BE55#Box2#InB"/>
    <s v="3BE55#Box2#13_14_A"/>
    <n v="0"/>
    <n v="0"/>
    <n v="0"/>
  </r>
  <r>
    <n v="414"/>
    <x v="521"/>
    <s v="13-14/A-B"/>
    <x v="20"/>
    <s v="BEAM"/>
    <s v="Yes"/>
    <s v="13_14_A_B"/>
    <x v="6"/>
    <n v="2"/>
    <s v=""/>
    <x v="3"/>
    <x v="1"/>
    <s v="3BE56#Box2#InB"/>
    <s v="3BE56#Box2#InB"/>
    <n v="0"/>
    <n v="0"/>
    <n v="0"/>
  </r>
  <r>
    <n v="415"/>
    <x v="522"/>
    <s v="13-14/B"/>
    <x v="20"/>
    <s v="BEAM"/>
    <s v="Yes"/>
    <s v="13_14_B"/>
    <x v="6"/>
    <n v="2"/>
    <s v=""/>
    <x v="3"/>
    <x v="8"/>
    <s v="3BE57#Box2#InB"/>
    <s v="3BE57#Box2#13_14_B"/>
    <n v="0"/>
    <n v="0"/>
    <n v="0"/>
  </r>
  <r>
    <n v="416"/>
    <x v="523"/>
    <s v="13-14/B&gt;"/>
    <x v="20"/>
    <s v="BEAM"/>
    <s v="Yes"/>
    <s v="13_14_B&gt;"/>
    <x v="6"/>
    <n v="2"/>
    <s v="O"/>
    <x v="2"/>
    <x v="2"/>
    <s v="3BE58#Box2#O"/>
    <s v="3BE58#Box2#O"/>
    <n v="0"/>
    <n v="0"/>
    <n v="0"/>
  </r>
  <r>
    <n v="426"/>
    <x v="524"/>
    <s v="12-13/A-B"/>
    <x v="108"/>
    <s v="HANGER"/>
    <s v="Yes"/>
    <s v="12_13_A_B"/>
    <x v="6"/>
    <n v="2"/>
    <s v=""/>
    <x v="3"/>
    <x v="1"/>
    <s v="3HA01#Box2#InB"/>
    <s v="3HA01#Box2#InB"/>
    <n v="0"/>
    <n v="0"/>
    <n v="0"/>
  </r>
  <r>
    <n v="427"/>
    <x v="525"/>
    <s v="12-13/A-B"/>
    <x v="108"/>
    <s v="HANGER"/>
    <s v="Yes"/>
    <s v="12_13_A_B"/>
    <x v="6"/>
    <n v="2"/>
    <s v=""/>
    <x v="3"/>
    <x v="1"/>
    <s v="3HA02#Box2#InB"/>
    <s v="3HA02#Box2#InB"/>
    <n v="0"/>
    <n v="0"/>
    <n v="0"/>
  </r>
  <r>
    <n v="450"/>
    <x v="141"/>
    <s v="12-13/A-B"/>
    <x v="23"/>
    <s v="H-BRACE"/>
    <s v="No"/>
    <s v="12_13_A_B"/>
    <x v="6"/>
    <n v="2"/>
    <s v=""/>
    <x v="3"/>
    <x v="1"/>
    <s v="3HB11#Box2#InB"/>
    <s v="3HB11#Box2#InB"/>
    <n v="0"/>
    <n v="0"/>
    <n v="0"/>
  </r>
  <r>
    <n v="457"/>
    <x v="526"/>
    <s v="12-13/A-B"/>
    <x v="23"/>
    <s v="H-BRACE"/>
    <s v="No"/>
    <s v="12_13_A_B"/>
    <x v="6"/>
    <n v="2"/>
    <s v=""/>
    <x v="3"/>
    <x v="1"/>
    <s v="3HB18#Box2#InB"/>
    <s v="3HB18#Box2#InB"/>
    <n v="0"/>
    <n v="0"/>
    <n v="0"/>
  </r>
  <r>
    <n v="458"/>
    <x v="526"/>
    <s v="12-13/A-B"/>
    <x v="23"/>
    <s v="H-BRACE"/>
    <s v="No"/>
    <s v="12_13_A_B"/>
    <x v="6"/>
    <n v="2"/>
    <s v=""/>
    <x v="3"/>
    <x v="1"/>
    <s v="3HB18#Box2#InB"/>
    <s v="3HB18#Box2#InB"/>
    <n v="0"/>
    <n v="0"/>
    <n v="0"/>
  </r>
  <r>
    <n v="470"/>
    <x v="527"/>
    <s v="12/A'-A"/>
    <x v="27"/>
    <s v="STUB COLUMN"/>
    <s v="Yes"/>
    <s v="12_A'_A"/>
    <x v="7"/>
    <n v="2"/>
    <s v=""/>
    <x v="0"/>
    <x v="0"/>
    <s v="3SC08#Box2_Box5#InBB"/>
    <s v="3SC08#Box2_Box5#InBB"/>
    <n v="0"/>
    <n v="0"/>
    <n v="0"/>
  </r>
  <r>
    <n v="471"/>
    <x v="528"/>
    <s v="12/A-B"/>
    <x v="28"/>
    <s v="STUB COLUMN"/>
    <s v="Yes"/>
    <s v="12_A_B"/>
    <x v="6"/>
    <n v="2"/>
    <s v=""/>
    <x v="7"/>
    <x v="1"/>
    <s v="3SC09#Box2#12_A_B"/>
    <s v="3SC09#Box2#InB"/>
    <n v="0"/>
    <n v="0"/>
    <n v="0"/>
  </r>
  <r>
    <n v="472"/>
    <x v="529"/>
    <s v="12-13/B"/>
    <x v="109"/>
    <s v="STUB COLUMN"/>
    <s v="Yes"/>
    <s v="12_13_B"/>
    <x v="6"/>
    <n v="2"/>
    <s v=""/>
    <x v="3"/>
    <x v="6"/>
    <s v="3SC10#Box2#InB"/>
    <s v="3SC10#Box2#12_13_B"/>
    <n v="0"/>
    <n v="0"/>
    <n v="0"/>
  </r>
  <r>
    <n v="473"/>
    <x v="530"/>
    <s v="12-13/B&gt;"/>
    <x v="110"/>
    <s v="STUB COLUMN"/>
    <s v="Yes"/>
    <s v="12_13_B&gt;"/>
    <x v="6"/>
    <n v="2"/>
    <s v="O"/>
    <x v="2"/>
    <x v="2"/>
    <s v="3SC11#Box2#O"/>
    <s v="3SC11#Box2#O"/>
    <n v="0"/>
    <n v="0"/>
    <n v="0"/>
  </r>
  <r>
    <n v="474"/>
    <x v="531"/>
    <s v="12-13/A"/>
    <x v="111"/>
    <s v="STUB COLUMN"/>
    <s v="Yes"/>
    <s v="12_13_A"/>
    <x v="6"/>
    <n v="2"/>
    <s v=""/>
    <x v="3"/>
    <x v="5"/>
    <s v="3SC12#Box2#InB"/>
    <s v="3SC12#Box2#12_13_A"/>
    <n v="0"/>
    <n v="0"/>
    <n v="0"/>
  </r>
  <r>
    <n v="475"/>
    <x v="532"/>
    <s v="13/A-B"/>
    <x v="28"/>
    <s v="STUB COLUMN"/>
    <s v="Yes"/>
    <s v="13_A_B"/>
    <x v="6"/>
    <n v="2"/>
    <s v=""/>
    <x v="8"/>
    <x v="1"/>
    <s v="3SC13#Box2#13_A_B"/>
    <s v="3SC13#Box2#InB"/>
    <n v="0"/>
    <n v="0"/>
    <n v="0"/>
  </r>
  <r>
    <n v="476"/>
    <x v="533"/>
    <s v="13-14/A-B"/>
    <x v="30"/>
    <s v="STUB COLUMN"/>
    <s v="Yes"/>
    <s v="13_14_A_B"/>
    <x v="6"/>
    <n v="2"/>
    <s v=""/>
    <x v="3"/>
    <x v="1"/>
    <s v="3SC14#Box2#InB"/>
    <s v="3SC14#Box2#InB"/>
    <n v="0"/>
    <n v="0"/>
    <n v="0"/>
  </r>
  <r>
    <n v="490"/>
    <x v="534"/>
    <s v="12/A-B"/>
    <x v="31"/>
    <s v="BEAM"/>
    <s v="Yes"/>
    <s v="12_A_B"/>
    <x v="6"/>
    <n v="2"/>
    <s v=""/>
    <x v="7"/>
    <x v="1"/>
    <s v="4BE10#Box2#12_A_B"/>
    <s v="4BE10#Box2#InB"/>
    <n v="0"/>
    <n v="0"/>
    <n v="0"/>
  </r>
  <r>
    <n v="491"/>
    <x v="535"/>
    <s v="12/B&gt;"/>
    <x v="29"/>
    <s v="BEAM"/>
    <s v="Yes"/>
    <s v="12_B&gt;"/>
    <x v="6"/>
    <n v="2"/>
    <s v="O"/>
    <x v="2"/>
    <x v="2"/>
    <s v="4BE11#Box2#O"/>
    <s v="4BE11#Box2#O"/>
    <n v="0"/>
    <n v="0"/>
    <n v="0"/>
  </r>
  <r>
    <n v="492"/>
    <x v="536"/>
    <s v="13-14/A-B"/>
    <x v="30"/>
    <s v="BEAM"/>
    <s v="Yes"/>
    <s v="13_14_A_B"/>
    <x v="6"/>
    <n v="2"/>
    <s v=""/>
    <x v="3"/>
    <x v="1"/>
    <s v="4BE12#Box2#InB"/>
    <s v="4BE12#Box2#InB"/>
    <n v="0"/>
    <n v="0"/>
    <n v="0"/>
  </r>
  <r>
    <n v="494"/>
    <x v="537"/>
    <s v="12-13/B&gt;"/>
    <x v="28"/>
    <s v="BEAM"/>
    <s v="Yes"/>
    <s v="12_13_B&gt;"/>
    <x v="6"/>
    <n v="2"/>
    <s v="O"/>
    <x v="2"/>
    <x v="2"/>
    <s v="4BE14#Box2#O"/>
    <s v="4BE14#Box2#O"/>
    <n v="0"/>
    <n v="0"/>
    <n v="0"/>
  </r>
  <r>
    <n v="495"/>
    <x v="538"/>
    <s v="12-13/A"/>
    <x v="28"/>
    <s v="BEAM"/>
    <s v="Yes"/>
    <s v="12_13_A"/>
    <x v="6"/>
    <n v="2"/>
    <s v=""/>
    <x v="3"/>
    <x v="5"/>
    <s v="4BE15#Box2#InB"/>
    <s v="4BE15#Box2#12_13_A"/>
    <n v="0"/>
    <n v="0"/>
    <n v="0"/>
  </r>
  <r>
    <n v="496"/>
    <x v="539"/>
    <s v="12-13/B"/>
    <x v="28"/>
    <s v="BEAM"/>
    <s v="Yes"/>
    <s v="12_13_B"/>
    <x v="6"/>
    <n v="2"/>
    <s v=""/>
    <x v="3"/>
    <x v="6"/>
    <s v="4BE16#Box2#InB"/>
    <s v="4BE16#Box2#12_13_B"/>
    <n v="0"/>
    <n v="0"/>
    <n v="0"/>
  </r>
  <r>
    <n v="497"/>
    <x v="540"/>
    <s v="12-13/B&gt;"/>
    <x v="28"/>
    <s v="BEAM"/>
    <s v="Yes"/>
    <s v="12_13_B&gt;"/>
    <x v="6"/>
    <n v="2"/>
    <s v="O"/>
    <x v="2"/>
    <x v="2"/>
    <s v="4BE17#Box2#O"/>
    <s v="4BE17#Box2#O"/>
    <n v="0"/>
    <n v="0"/>
    <n v="0"/>
  </r>
  <r>
    <n v="500"/>
    <x v="541"/>
    <s v="12-13/B&gt;"/>
    <x v="28"/>
    <s v="BEAM"/>
    <s v="Yes"/>
    <s v="12_13_B&gt;"/>
    <x v="6"/>
    <n v="2"/>
    <s v="O"/>
    <x v="2"/>
    <x v="2"/>
    <s v="4BE20#Box2#O"/>
    <s v="4BE20#Box2#O"/>
    <n v="0"/>
    <n v="0"/>
    <n v="0"/>
  </r>
  <r>
    <n v="501"/>
    <x v="542"/>
    <s v="12-13/B"/>
    <x v="28"/>
    <s v="BEAM"/>
    <s v="Yes"/>
    <s v="12_13_B"/>
    <x v="6"/>
    <n v="2"/>
    <s v=""/>
    <x v="3"/>
    <x v="6"/>
    <s v="4BE21#Box2#InB"/>
    <s v="4BE21#Box2#12_13_B"/>
    <n v="0"/>
    <n v="0"/>
    <n v="0"/>
  </r>
  <r>
    <n v="502"/>
    <x v="543"/>
    <s v="12-13/B&gt;"/>
    <x v="29"/>
    <s v="BEAM"/>
    <s v="Yes"/>
    <s v="12_13_B&gt;"/>
    <x v="6"/>
    <n v="2"/>
    <s v="O"/>
    <x v="2"/>
    <x v="2"/>
    <s v="4BE22#Box2#O"/>
    <s v="4BE22#Box2#O"/>
    <n v="0"/>
    <n v="0"/>
    <n v="0"/>
  </r>
  <r>
    <n v="503"/>
    <x v="544"/>
    <s v="12-13/A-B"/>
    <x v="28"/>
    <s v="BEAM"/>
    <s v="Yes"/>
    <s v="12_13_A_B"/>
    <x v="6"/>
    <n v="2"/>
    <s v=""/>
    <x v="3"/>
    <x v="1"/>
    <s v="4BE23#Box2#InB"/>
    <s v="4BE23#Box2#InB"/>
    <n v="0"/>
    <n v="0"/>
    <n v="0"/>
  </r>
  <r>
    <n v="504"/>
    <x v="545"/>
    <s v="12-13/A-B"/>
    <x v="28"/>
    <s v="BEAM"/>
    <s v="Yes"/>
    <s v="12_13_A_B"/>
    <x v="6"/>
    <n v="2"/>
    <s v=""/>
    <x v="3"/>
    <x v="1"/>
    <s v="4BE24#Box2#InB"/>
    <s v="4BE24#Box2#InB"/>
    <n v="0"/>
    <n v="0"/>
    <n v="0"/>
  </r>
  <r>
    <n v="505"/>
    <x v="546"/>
    <s v="12-13/B"/>
    <x v="30"/>
    <s v="BEAM"/>
    <s v="Yes"/>
    <s v="12_13_B"/>
    <x v="6"/>
    <n v="2"/>
    <s v=""/>
    <x v="3"/>
    <x v="6"/>
    <s v="4BE25#Box2#InB"/>
    <s v="4BE25#Box2#12_13_B"/>
    <n v="0"/>
    <n v="0"/>
    <n v="0"/>
  </r>
  <r>
    <n v="506"/>
    <x v="547"/>
    <s v="12-13/A&quot;-A"/>
    <x v="30"/>
    <s v="BEAM"/>
    <s v="Yes"/>
    <s v="12_13_A&quot;_A"/>
    <x v="7"/>
    <n v="2"/>
    <s v=""/>
    <x v="0"/>
    <x v="0"/>
    <s v="4BE26#Box2_Box5#InBB"/>
    <s v="4BE26#Box2_Box5#InBB"/>
    <n v="0"/>
    <n v="0"/>
    <n v="0"/>
  </r>
  <r>
    <n v="507"/>
    <x v="548"/>
    <s v="12-13/A"/>
    <x v="30"/>
    <s v="BEAM"/>
    <s v="Yes"/>
    <s v="12_13_A"/>
    <x v="6"/>
    <n v="2"/>
    <s v=""/>
    <x v="3"/>
    <x v="5"/>
    <s v="4BE27#Box2#InB"/>
    <s v="4BE27#Box2#12_13_A"/>
    <n v="0"/>
    <n v="0"/>
    <n v="0"/>
  </r>
  <r>
    <n v="509"/>
    <x v="549"/>
    <s v="13/A&quot;-A"/>
    <x v="30"/>
    <s v="BEAM"/>
    <s v="Yes"/>
    <s v="13_A&quot;_A"/>
    <x v="7"/>
    <n v="2"/>
    <s v=""/>
    <x v="0"/>
    <x v="0"/>
    <s v="4BE29#Box2_Box5#InBB"/>
    <s v="4BE29#Box2_Box5#InBB"/>
    <n v="0"/>
    <n v="0"/>
    <n v="0"/>
  </r>
  <r>
    <n v="510"/>
    <x v="550"/>
    <s v="13/A-B"/>
    <x v="28"/>
    <s v="BEAM"/>
    <s v="Yes"/>
    <s v="13_A_B"/>
    <x v="6"/>
    <n v="2"/>
    <s v=""/>
    <x v="8"/>
    <x v="1"/>
    <s v="4BE30#Box2#13_A_B"/>
    <s v="4BE30#Box2#InB"/>
    <n v="0"/>
    <n v="0"/>
    <n v="0"/>
  </r>
  <r>
    <n v="511"/>
    <x v="551"/>
    <s v="13/A-B"/>
    <x v="28"/>
    <s v="BEAM"/>
    <s v="Yes"/>
    <s v="13_A_B"/>
    <x v="6"/>
    <n v="2"/>
    <s v=""/>
    <x v="8"/>
    <x v="1"/>
    <s v="4BE31#Box2#13_A_B"/>
    <s v="4BE31#Box2#InB"/>
    <n v="0"/>
    <n v="0"/>
    <n v="0"/>
  </r>
  <r>
    <n v="512"/>
    <x v="552"/>
    <s v="13/B&gt;"/>
    <x v="30"/>
    <s v="BEAM"/>
    <s v="Yes"/>
    <s v="13_B&gt;"/>
    <x v="6"/>
    <n v="2"/>
    <s v="O"/>
    <x v="2"/>
    <x v="2"/>
    <s v="4BE32#Box2#O"/>
    <s v="4BE32#Box2#O"/>
    <n v="0"/>
    <n v="0"/>
    <n v="0"/>
  </r>
  <r>
    <n v="513"/>
    <x v="553"/>
    <s v="13-14/A"/>
    <x v="28"/>
    <s v="BEAM"/>
    <s v="Yes"/>
    <s v="13_14_A"/>
    <x v="6"/>
    <n v="2"/>
    <s v=""/>
    <x v="3"/>
    <x v="7"/>
    <s v="4BE33#Box2#InB"/>
    <s v="4BE33#Box2#13_14_A"/>
    <n v="0"/>
    <n v="0"/>
    <n v="0"/>
  </r>
  <r>
    <n v="514"/>
    <x v="554"/>
    <s v="13-14/B"/>
    <x v="28"/>
    <s v="BEAM"/>
    <s v="Yes"/>
    <s v="13_14_B"/>
    <x v="6"/>
    <n v="2"/>
    <s v=""/>
    <x v="3"/>
    <x v="8"/>
    <s v="4BE34#Box2#InB"/>
    <s v="4BE34#Box2#13_14_B"/>
    <n v="0"/>
    <n v="0"/>
    <n v="0"/>
  </r>
  <r>
    <n v="515"/>
    <x v="555"/>
    <s v="13-14/A&quot;-A"/>
    <x v="30"/>
    <s v="BEAM"/>
    <s v="Yes"/>
    <s v="13_14_A&quot;_A"/>
    <x v="8"/>
    <n v="2"/>
    <s v=""/>
    <x v="0"/>
    <x v="0"/>
    <s v="4BE35#Box2_Box5_Box6#InBB"/>
    <s v="4BE35#Box2_Box5_Box6#InBB"/>
    <n v="0"/>
    <n v="0"/>
    <n v="0"/>
  </r>
  <r>
    <n v="518"/>
    <x v="556"/>
    <s v="13-14/A-B"/>
    <x v="30"/>
    <s v="BEAM"/>
    <s v="Yes"/>
    <s v="13_14_A_B"/>
    <x v="6"/>
    <n v="2"/>
    <s v=""/>
    <x v="3"/>
    <x v="1"/>
    <s v="4BE38#Box2#InB"/>
    <s v="4BE38#Box2#InB"/>
    <n v="0"/>
    <n v="0"/>
    <n v="0"/>
  </r>
  <r>
    <n v="519"/>
    <x v="557"/>
    <s v="13-14/A-B"/>
    <x v="30"/>
    <s v="BEAM"/>
    <s v="Yes"/>
    <s v="13_14_A_B"/>
    <x v="6"/>
    <n v="2"/>
    <s v=""/>
    <x v="3"/>
    <x v="1"/>
    <s v="4BE39#Box2#InB"/>
    <s v="4BE39#Box2#InB"/>
    <n v="0"/>
    <n v="0"/>
    <n v="0"/>
  </r>
  <r>
    <n v="520"/>
    <x v="558"/>
    <s v="13-14/B&gt;"/>
    <x v="30"/>
    <s v="BEAM"/>
    <s v="Yes"/>
    <s v="13_14_B&gt;"/>
    <x v="6"/>
    <n v="2"/>
    <s v="O"/>
    <x v="2"/>
    <x v="2"/>
    <s v="4BE40#Box2#O"/>
    <s v="4BE40#Box2#O"/>
    <n v="0"/>
    <n v="0"/>
    <n v="0"/>
  </r>
  <r>
    <n v="522"/>
    <x v="559"/>
    <s v="13-14/A"/>
    <x v="30"/>
    <s v="BEAM"/>
    <s v="Yes"/>
    <s v="13_14_A"/>
    <x v="6"/>
    <n v="2"/>
    <s v=""/>
    <x v="3"/>
    <x v="7"/>
    <s v="4BE42#Box2#InB"/>
    <s v="4BE42#Box2#13_14_A"/>
    <n v="0"/>
    <n v="0"/>
    <n v="0"/>
  </r>
  <r>
    <n v="523"/>
    <x v="560"/>
    <s v="13-14/B"/>
    <x v="30"/>
    <s v="BEAM"/>
    <s v="Yes"/>
    <s v="13_14_B"/>
    <x v="6"/>
    <n v="2"/>
    <s v=""/>
    <x v="3"/>
    <x v="8"/>
    <s v="4BE43#Box2#InB"/>
    <s v="4BE43#Box2#13_14_B"/>
    <n v="0"/>
    <n v="0"/>
    <n v="0"/>
  </r>
  <r>
    <n v="524"/>
    <x v="561"/>
    <s v="13-14/A-B"/>
    <x v="30"/>
    <s v="BEAM"/>
    <s v="Yes"/>
    <s v="13_14_A_B"/>
    <x v="6"/>
    <n v="2"/>
    <s v=""/>
    <x v="3"/>
    <x v="1"/>
    <s v="4BE44#Box2#InB"/>
    <s v="4BE44#Box2#InB"/>
    <n v="0"/>
    <n v="0"/>
    <n v="0"/>
  </r>
  <r>
    <n v="525"/>
    <x v="562"/>
    <s v="13-14/A-B"/>
    <x v="30"/>
    <s v="BEAM"/>
    <s v="Yes"/>
    <s v="13_14_A_B"/>
    <x v="6"/>
    <n v="2"/>
    <s v=""/>
    <x v="3"/>
    <x v="1"/>
    <s v="4BE45#Box2#InB"/>
    <s v="4BE45#Box2#InB"/>
    <n v="0"/>
    <n v="0"/>
    <n v="0"/>
  </r>
  <r>
    <n v="526"/>
    <x v="563"/>
    <s v="13-14/A-B"/>
    <x v="30"/>
    <s v="BEAM"/>
    <s v="Yes"/>
    <s v="13_14_A_B"/>
    <x v="6"/>
    <n v="2"/>
    <s v=""/>
    <x v="3"/>
    <x v="1"/>
    <s v="4BE46#Box2#InB"/>
    <s v="4BE46#Box2#InB"/>
    <n v="0"/>
    <n v="0"/>
    <n v="0"/>
  </r>
  <r>
    <n v="527"/>
    <x v="564"/>
    <s v="13-14/A-B"/>
    <x v="30"/>
    <s v="BEAM"/>
    <s v="Yes"/>
    <s v="13_14_A_B"/>
    <x v="6"/>
    <n v="2"/>
    <s v=""/>
    <x v="3"/>
    <x v="1"/>
    <s v="4BE47#Box2#InB"/>
    <s v="4BE47#Box2#InB"/>
    <n v="0"/>
    <n v="0"/>
    <n v="0"/>
  </r>
  <r>
    <n v="528"/>
    <x v="565"/>
    <s v="13-14/A'-A"/>
    <x v="30"/>
    <s v="BEAM"/>
    <s v="Yes"/>
    <s v="13_14_A'_A"/>
    <x v="8"/>
    <n v="2"/>
    <s v=""/>
    <x v="0"/>
    <x v="0"/>
    <s v="4BE48#Box2_Box5_Box6#InBB"/>
    <s v="4BE48#Box2_Box5_Box6#InBB"/>
    <n v="0"/>
    <n v="0"/>
    <n v="0"/>
  </r>
  <r>
    <n v="529"/>
    <x v="566"/>
    <s v="13-14/A-B"/>
    <x v="30"/>
    <s v="BEAM"/>
    <s v="Yes"/>
    <s v="13_14_A_B"/>
    <x v="6"/>
    <n v="2"/>
    <s v=""/>
    <x v="3"/>
    <x v="1"/>
    <s v="4BE49#Box2#InB"/>
    <s v="4BE49#Box2#InB"/>
    <n v="0"/>
    <n v="0"/>
    <n v="0"/>
  </r>
  <r>
    <n v="530"/>
    <x v="567"/>
    <s v="13-14/A-B"/>
    <x v="30"/>
    <s v="BEAM"/>
    <s v="Yes"/>
    <s v="13_14_A_B"/>
    <x v="6"/>
    <n v="2"/>
    <s v=""/>
    <x v="3"/>
    <x v="1"/>
    <s v="4BE50#Box2#InB"/>
    <s v="4BE50#Box2#InB"/>
    <n v="0"/>
    <n v="0"/>
    <n v="0"/>
  </r>
  <r>
    <n v="531"/>
    <x v="568"/>
    <s v="13-14/A-B"/>
    <x v="30"/>
    <s v="BEAM"/>
    <s v="No"/>
    <s v="13_14_A_B"/>
    <x v="6"/>
    <n v="2"/>
    <s v=""/>
    <x v="3"/>
    <x v="1"/>
    <s v="4BE51#Box2#InB"/>
    <s v="4BE51#Box2#InB"/>
    <n v="0"/>
    <n v="0"/>
    <n v="0"/>
  </r>
  <r>
    <n v="532"/>
    <x v="568"/>
    <s v="13-14/A-B"/>
    <x v="30"/>
    <s v="BEAM"/>
    <s v="No"/>
    <s v="13_14_A_B"/>
    <x v="6"/>
    <n v="2"/>
    <s v=""/>
    <x v="3"/>
    <x v="1"/>
    <s v="4BE51#Box2#InB"/>
    <s v="4BE51#Box2#InB"/>
    <n v="0"/>
    <n v="0"/>
    <n v="0"/>
  </r>
  <r>
    <n v="533"/>
    <x v="569"/>
    <s v="13-14/A-B"/>
    <x v="30"/>
    <s v="BEAM"/>
    <s v="No"/>
    <s v="13_14_A_B"/>
    <x v="6"/>
    <n v="2"/>
    <s v=""/>
    <x v="3"/>
    <x v="1"/>
    <s v="4BE52#Box2#InB"/>
    <s v="4BE52#Box2#InB"/>
    <n v="0"/>
    <n v="0"/>
    <n v="0"/>
  </r>
  <r>
    <n v="534"/>
    <x v="569"/>
    <s v="13-14/A-B"/>
    <x v="30"/>
    <s v="BEAM"/>
    <s v="No"/>
    <s v="13_14_A_B"/>
    <x v="6"/>
    <n v="2"/>
    <s v=""/>
    <x v="3"/>
    <x v="1"/>
    <s v="4BE52#Box2#InB"/>
    <s v="4BE52#Box2#InB"/>
    <n v="0"/>
    <n v="0"/>
    <n v="0"/>
  </r>
  <r>
    <n v="557"/>
    <x v="570"/>
    <s v="13-14/A-B"/>
    <x v="28"/>
    <s v="FRAME"/>
    <s v="Yes"/>
    <s v="13_14_A_B"/>
    <x v="6"/>
    <n v="2"/>
    <s v=""/>
    <x v="3"/>
    <x v="1"/>
    <s v="4FR01#Box2#InB"/>
    <s v="4FR01#Box2#InB"/>
    <n v="0"/>
    <n v="0"/>
    <n v="0"/>
  </r>
  <r>
    <n v="559"/>
    <x v="571"/>
    <s v="12-13/A-B"/>
    <x v="28"/>
    <s v="FRAME"/>
    <s v="Yes"/>
    <s v="12_13_A_B"/>
    <x v="6"/>
    <n v="2"/>
    <s v=""/>
    <x v="3"/>
    <x v="1"/>
    <s v="4FR03#Box2#InB"/>
    <s v="4FR03#Box2#InB"/>
    <n v="0"/>
    <n v="0"/>
    <n v="0"/>
  </r>
  <r>
    <n v="560"/>
    <x v="572"/>
    <s v="12-13/A-B"/>
    <x v="28"/>
    <s v="FRAME"/>
    <s v="Yes"/>
    <s v="12_13_A_B"/>
    <x v="6"/>
    <n v="2"/>
    <s v=""/>
    <x v="3"/>
    <x v="1"/>
    <s v="4FR04#Box2#InB"/>
    <s v="4FR04#Box2#InB"/>
    <n v="0"/>
    <n v="0"/>
    <n v="0"/>
  </r>
  <r>
    <n v="566"/>
    <x v="573"/>
    <s v="12-13/B&gt;"/>
    <x v="112"/>
    <s v="H-BRACE"/>
    <s v="Yes"/>
    <s v="12_13_B&gt;"/>
    <x v="6"/>
    <n v="2"/>
    <s v="O"/>
    <x v="2"/>
    <x v="2"/>
    <s v="4HB02#Box2#O"/>
    <s v="4HB02#Box2#O"/>
    <n v="0"/>
    <n v="0"/>
    <n v="0"/>
  </r>
  <r>
    <n v="567"/>
    <x v="574"/>
    <s v="12-13/A-B"/>
    <x v="112"/>
    <s v="H-BRACE"/>
    <s v="Yes"/>
    <s v="12_13_A_B"/>
    <x v="6"/>
    <n v="2"/>
    <s v=""/>
    <x v="3"/>
    <x v="1"/>
    <s v="4HB03#Box2#InB"/>
    <s v="4HB03#Box2#InB"/>
    <n v="0"/>
    <n v="0"/>
    <n v="0"/>
  </r>
  <r>
    <n v="568"/>
    <x v="575"/>
    <s v="12-13/A-B"/>
    <x v="112"/>
    <s v="H-BRACE"/>
    <s v="No"/>
    <s v="12_13_A_B"/>
    <x v="6"/>
    <n v="2"/>
    <s v=""/>
    <x v="3"/>
    <x v="1"/>
    <s v="4HB04#Box2#InB"/>
    <s v="4HB04#Box2#InB"/>
    <n v="0"/>
    <n v="0"/>
    <n v="0"/>
  </r>
  <r>
    <n v="569"/>
    <x v="575"/>
    <s v="12-13/A-B"/>
    <x v="112"/>
    <s v="H-BRACE"/>
    <s v="No"/>
    <s v="12_13_A_B"/>
    <x v="6"/>
    <n v="2"/>
    <s v=""/>
    <x v="3"/>
    <x v="1"/>
    <s v="4HB04#Box2#InB"/>
    <s v="4HB04#Box2#InB"/>
    <n v="0"/>
    <n v="0"/>
    <n v="0"/>
  </r>
  <r>
    <n v="570"/>
    <x v="576"/>
    <s v="12-13/A-B"/>
    <x v="112"/>
    <s v="H-BRACE"/>
    <s v="Yes"/>
    <s v="12_13_A_B"/>
    <x v="6"/>
    <n v="2"/>
    <s v=""/>
    <x v="3"/>
    <x v="1"/>
    <s v="4HB05#Box2#InB"/>
    <s v="4HB05#Box2#InB"/>
    <n v="0"/>
    <n v="0"/>
    <n v="0"/>
  </r>
  <r>
    <n v="571"/>
    <x v="577"/>
    <s v="12-13/A-B"/>
    <x v="112"/>
    <s v="H-BRACE"/>
    <s v="Yes"/>
    <s v="12_13_A_B"/>
    <x v="6"/>
    <n v="2"/>
    <s v=""/>
    <x v="3"/>
    <x v="1"/>
    <s v="4HB06#Box2#InB"/>
    <s v="4HB06#Box2#InB"/>
    <n v="0"/>
    <n v="0"/>
    <n v="0"/>
  </r>
  <r>
    <n v="572"/>
    <x v="578"/>
    <s v="12-13/A-B"/>
    <x v="112"/>
    <s v="H-BRACE"/>
    <s v="Yes"/>
    <s v="12_13_A_B"/>
    <x v="6"/>
    <n v="2"/>
    <s v=""/>
    <x v="3"/>
    <x v="1"/>
    <s v="4HB07#Box2#InB"/>
    <s v="4HB07#Box2#InB"/>
    <n v="0"/>
    <n v="0"/>
    <n v="0"/>
  </r>
  <r>
    <n v="573"/>
    <x v="579"/>
    <s v="12-13/A-B"/>
    <x v="112"/>
    <s v="H-BRACE"/>
    <s v="Yes"/>
    <s v="12_13_A_B"/>
    <x v="6"/>
    <n v="2"/>
    <s v=""/>
    <x v="3"/>
    <x v="1"/>
    <s v="4HB08#Box2#InB"/>
    <s v="4HB08#Box2#InB"/>
    <n v="0"/>
    <n v="0"/>
    <n v="0"/>
  </r>
  <r>
    <n v="574"/>
    <x v="580"/>
    <s v="12-13/A-B"/>
    <x v="112"/>
    <s v="H-BRACE"/>
    <s v="No"/>
    <s v="12_13_A_B"/>
    <x v="6"/>
    <n v="2"/>
    <s v=""/>
    <x v="3"/>
    <x v="1"/>
    <s v="4HB09#Box2#InB"/>
    <s v="4HB09#Box2#InB"/>
    <n v="0"/>
    <n v="0"/>
    <n v="0"/>
  </r>
  <r>
    <n v="575"/>
    <x v="580"/>
    <s v="12-13/A-B"/>
    <x v="112"/>
    <s v="H-BRACE"/>
    <s v="No"/>
    <s v="12_13_A_B"/>
    <x v="6"/>
    <n v="2"/>
    <s v=""/>
    <x v="3"/>
    <x v="1"/>
    <s v="4HB09#Box2#InB"/>
    <s v="4HB09#Box2#InB"/>
    <n v="0"/>
    <n v="0"/>
    <n v="0"/>
  </r>
  <r>
    <n v="576"/>
    <x v="581"/>
    <s v="12-13/A-B"/>
    <x v="112"/>
    <s v="H-BRACE"/>
    <s v="Yes"/>
    <s v="12_13_A_B"/>
    <x v="6"/>
    <n v="2"/>
    <s v=""/>
    <x v="3"/>
    <x v="1"/>
    <s v="4HB10#Box2#InB"/>
    <s v="4HB10#Box2#InB"/>
    <n v="0"/>
    <n v="0"/>
    <n v="0"/>
  </r>
  <r>
    <n v="577"/>
    <x v="582"/>
    <s v="12-13/A'-A"/>
    <x v="113"/>
    <s v="H-BRACE"/>
    <s v="Yes"/>
    <s v="12_13_A'_A"/>
    <x v="7"/>
    <n v="2"/>
    <s v=""/>
    <x v="0"/>
    <x v="0"/>
    <s v="4HB11#Box2_Box5#InBB"/>
    <s v="4HB11#Box2_Box5#InBB"/>
    <n v="0"/>
    <n v="0"/>
    <n v="0"/>
  </r>
  <r>
    <n v="578"/>
    <x v="583"/>
    <s v="12-13/A'-A"/>
    <x v="113"/>
    <s v="H-BRACE"/>
    <s v="Yes"/>
    <s v="12_13_A'_A"/>
    <x v="7"/>
    <n v="2"/>
    <s v=""/>
    <x v="0"/>
    <x v="0"/>
    <s v="4HB12#Box2_Box5#InBB"/>
    <s v="4HB12#Box2_Box5#InBB"/>
    <n v="0"/>
    <n v="0"/>
    <n v="0"/>
  </r>
  <r>
    <n v="579"/>
    <x v="584"/>
    <s v="12-13/A'-A"/>
    <x v="113"/>
    <s v="H-BRACE"/>
    <s v="Yes"/>
    <s v="12_13_A'_A"/>
    <x v="7"/>
    <n v="2"/>
    <s v=""/>
    <x v="0"/>
    <x v="0"/>
    <s v="4HB13#Box2_Box5#InBB"/>
    <s v="4HB13#Box2_Box5#InBB"/>
    <n v="0"/>
    <n v="0"/>
    <n v="0"/>
  </r>
  <r>
    <n v="580"/>
    <x v="585"/>
    <s v="13-14/B&gt;"/>
    <x v="113"/>
    <s v="H-BRACE"/>
    <s v="Yes"/>
    <s v="13_14_B&gt;"/>
    <x v="6"/>
    <n v="2"/>
    <s v="O"/>
    <x v="2"/>
    <x v="2"/>
    <s v="4HB14#Box2#O"/>
    <s v="4HB14#Box2#O"/>
    <n v="0"/>
    <n v="0"/>
    <n v="0"/>
  </r>
  <r>
    <n v="581"/>
    <x v="586"/>
    <s v="13-14/A&quot;-A"/>
    <x v="113"/>
    <s v="H-BRACE"/>
    <s v="Yes"/>
    <s v="13_14_A&quot;_A"/>
    <x v="8"/>
    <n v="2"/>
    <s v=""/>
    <x v="0"/>
    <x v="0"/>
    <s v="4HB15#Box2_Box5_Box6#InBB"/>
    <s v="4HB15#Box2_Box5_Box6#InBB"/>
    <n v="0"/>
    <n v="0"/>
    <n v="0"/>
  </r>
  <r>
    <n v="582"/>
    <x v="587"/>
    <s v="13-14/A'-A"/>
    <x v="113"/>
    <s v="H-BRACE"/>
    <s v="Yes"/>
    <s v="13_14_A'_A"/>
    <x v="8"/>
    <n v="2"/>
    <s v=""/>
    <x v="0"/>
    <x v="0"/>
    <s v="4HB16#Box2_Box5_Box6#InBB"/>
    <s v="4HB16#Box2_Box5_Box6#InBB"/>
    <n v="0"/>
    <n v="0"/>
    <n v="0"/>
  </r>
  <r>
    <n v="583"/>
    <x v="588"/>
    <s v="13-14/A-B"/>
    <x v="112"/>
    <s v="H-BRACE"/>
    <s v="Yes"/>
    <s v="13_14_A_B"/>
    <x v="6"/>
    <n v="2"/>
    <s v=""/>
    <x v="3"/>
    <x v="1"/>
    <s v="4HB17#Box2#InB"/>
    <s v="4HB17#Box2#InB"/>
    <n v="0"/>
    <n v="0"/>
    <n v="0"/>
  </r>
  <r>
    <n v="584"/>
    <x v="589"/>
    <s v="13-14/A-B"/>
    <x v="112"/>
    <s v="H-BRACE"/>
    <s v="Yes"/>
    <s v="13_14_A_B"/>
    <x v="6"/>
    <n v="2"/>
    <s v=""/>
    <x v="3"/>
    <x v="1"/>
    <s v="4HB18#Box2#InB"/>
    <s v="4HB18#Box2#InB"/>
    <n v="0"/>
    <n v="0"/>
    <n v="0"/>
  </r>
  <r>
    <n v="585"/>
    <x v="590"/>
    <s v="13-14/A-B"/>
    <x v="112"/>
    <s v="H-BRACE"/>
    <s v="Yes"/>
    <s v="13_14_A_B"/>
    <x v="6"/>
    <n v="2"/>
    <s v=""/>
    <x v="3"/>
    <x v="1"/>
    <s v="4HB19#Box2#InB"/>
    <s v="4HB19#Box2#InB"/>
    <n v="0"/>
    <n v="0"/>
    <n v="0"/>
  </r>
  <r>
    <n v="586"/>
    <x v="591"/>
    <s v="13-14/A-B"/>
    <x v="112"/>
    <s v="H-BRACE"/>
    <s v="No"/>
    <s v="13_14_A_B"/>
    <x v="6"/>
    <n v="2"/>
    <s v=""/>
    <x v="3"/>
    <x v="1"/>
    <s v="4HB20#Box2#InB"/>
    <s v="4HB20#Box2#InB"/>
    <n v="0"/>
    <n v="0"/>
    <n v="0"/>
  </r>
  <r>
    <n v="587"/>
    <x v="591"/>
    <s v="13-14/A-B"/>
    <x v="112"/>
    <s v="H-BRACE"/>
    <s v="No"/>
    <s v="13_14_A_B"/>
    <x v="6"/>
    <n v="2"/>
    <s v=""/>
    <x v="3"/>
    <x v="1"/>
    <s v="4HB20#Box2#InB"/>
    <s v="4HB20#Box2#InB"/>
    <n v="0"/>
    <n v="0"/>
    <n v="0"/>
  </r>
  <r>
    <n v="588"/>
    <x v="592"/>
    <s v="13-14/A-B"/>
    <x v="112"/>
    <s v="H-BRACE"/>
    <s v="Yes"/>
    <s v="13_14_A_B"/>
    <x v="6"/>
    <n v="2"/>
    <s v=""/>
    <x v="3"/>
    <x v="1"/>
    <s v="4HB21#Box2#InB"/>
    <s v="4HB21#Box2#InB"/>
    <n v="0"/>
    <n v="0"/>
    <n v="0"/>
  </r>
  <r>
    <n v="589"/>
    <x v="593"/>
    <s v="13-14/A'-A"/>
    <x v="113"/>
    <s v="H-BRACE"/>
    <s v="Yes"/>
    <s v="13_14_A'_A"/>
    <x v="8"/>
    <n v="2"/>
    <s v=""/>
    <x v="0"/>
    <x v="0"/>
    <s v="4HB22#Box2_Box5_Box6#InBB"/>
    <s v="4HB22#Box2_Box5_Box6#InBB"/>
    <n v="0"/>
    <n v="0"/>
    <n v="0"/>
  </r>
  <r>
    <n v="590"/>
    <x v="594"/>
    <s v="13-14/B&gt;"/>
    <x v="113"/>
    <s v="H-BRACE"/>
    <s v="Yes"/>
    <s v="13_14_B&gt;"/>
    <x v="6"/>
    <n v="2"/>
    <s v="O"/>
    <x v="2"/>
    <x v="2"/>
    <s v="4HB23#Box2#O"/>
    <s v="4HB23#Box2#O"/>
    <n v="0"/>
    <n v="0"/>
    <n v="0"/>
  </r>
  <r>
    <n v="591"/>
    <x v="595"/>
    <s v="13-14/B&gt;"/>
    <x v="113"/>
    <s v="H-BRACE"/>
    <s v="Yes"/>
    <s v="13_14_B&gt;"/>
    <x v="6"/>
    <n v="2"/>
    <s v="O"/>
    <x v="2"/>
    <x v="2"/>
    <s v="4HB24#Box2#O"/>
    <s v="4HB24#Box2#O"/>
    <n v="0"/>
    <n v="0"/>
    <n v="0"/>
  </r>
  <r>
    <n v="592"/>
    <x v="596"/>
    <s v="13-14/A'-A"/>
    <x v="113"/>
    <s v="H-BRACE"/>
    <s v="Yes"/>
    <s v="13_14_A'_A"/>
    <x v="8"/>
    <n v="2"/>
    <s v=""/>
    <x v="0"/>
    <x v="0"/>
    <s v="4HB25#Box2_Box5_Box6#InBB"/>
    <s v="4HB25#Box2_Box5_Box6#InBB"/>
    <n v="0"/>
    <n v="0"/>
    <n v="0"/>
  </r>
  <r>
    <n v="593"/>
    <x v="597"/>
    <s v="13-14/A-B"/>
    <x v="113"/>
    <s v="H-BRACE"/>
    <s v="No"/>
    <s v="13_14_A_B"/>
    <x v="6"/>
    <n v="2"/>
    <s v=""/>
    <x v="3"/>
    <x v="1"/>
    <s v="4HB26#Box2#InB"/>
    <s v="4HB26#Box2#InB"/>
    <n v="0"/>
    <n v="0"/>
    <n v="0"/>
  </r>
  <r>
    <n v="594"/>
    <x v="597"/>
    <s v="13-14/A-B"/>
    <x v="113"/>
    <s v="H-BRACE"/>
    <s v="No"/>
    <s v="13_14_A_B"/>
    <x v="6"/>
    <n v="2"/>
    <s v=""/>
    <x v="3"/>
    <x v="1"/>
    <s v="4HB26#Box2#InB"/>
    <s v="4HB26#Box2#InB"/>
    <n v="0"/>
    <n v="0"/>
    <n v="0"/>
  </r>
  <r>
    <n v="595"/>
    <x v="598"/>
    <s v="13-14/B&gt;"/>
    <x v="113"/>
    <s v="H-BRACE"/>
    <s v="No"/>
    <s v="13_14_B&gt;"/>
    <x v="6"/>
    <n v="2"/>
    <s v="O"/>
    <x v="2"/>
    <x v="2"/>
    <s v="4HB27#Box2#O"/>
    <s v="4HB27#Box2#O"/>
    <n v="0"/>
    <n v="0"/>
    <n v="0"/>
  </r>
  <r>
    <n v="596"/>
    <x v="598"/>
    <s v="13-14/B&gt;"/>
    <x v="113"/>
    <s v="H-BRACE"/>
    <s v="No"/>
    <s v="13_14_B&gt;"/>
    <x v="6"/>
    <n v="2"/>
    <s v="O"/>
    <x v="2"/>
    <x v="2"/>
    <s v="4HB27#Box2#O"/>
    <s v="4HB27#Box2#O"/>
    <n v="0"/>
    <n v="0"/>
    <n v="0"/>
  </r>
  <r>
    <n v="597"/>
    <x v="599"/>
    <s v="13-14/A-B"/>
    <x v="113"/>
    <s v="H-BRACE"/>
    <s v="Yes"/>
    <s v="13_14_A_B"/>
    <x v="6"/>
    <n v="2"/>
    <s v=""/>
    <x v="3"/>
    <x v="1"/>
    <s v="4HB28#Box2#InB"/>
    <s v="4HB28#Box2#InB"/>
    <n v="0"/>
    <n v="0"/>
    <n v="0"/>
  </r>
  <r>
    <n v="598"/>
    <x v="600"/>
    <s v="13-14/A-B"/>
    <x v="113"/>
    <s v="H-BRACE"/>
    <s v="Yes"/>
    <s v="13_14_A_B"/>
    <x v="6"/>
    <n v="2"/>
    <s v=""/>
    <x v="3"/>
    <x v="1"/>
    <s v="4HB29#Box2#InB"/>
    <s v="4HB29#Box2#InB"/>
    <n v="0"/>
    <n v="0"/>
    <n v="0"/>
  </r>
  <r>
    <n v="599"/>
    <x v="601"/>
    <s v="13-14/A-B"/>
    <x v="113"/>
    <s v="H-BRACE"/>
    <s v="Yes"/>
    <s v="13_14_A_B"/>
    <x v="6"/>
    <n v="2"/>
    <s v=""/>
    <x v="3"/>
    <x v="1"/>
    <s v="4HB30#Box2#InB"/>
    <s v="4HB30#Box2#InB"/>
    <n v="0"/>
    <n v="0"/>
    <n v="0"/>
  </r>
  <r>
    <n v="600"/>
    <x v="602"/>
    <s v="13-14/A'-A"/>
    <x v="113"/>
    <s v="H-BRACE"/>
    <s v="Yes"/>
    <s v="13_14_A'_A"/>
    <x v="8"/>
    <n v="2"/>
    <s v=""/>
    <x v="0"/>
    <x v="0"/>
    <s v="4HB31#Box2_Box5_Box6#InBB"/>
    <s v="4HB31#Box2_Box5_Box6#InBB"/>
    <n v="0"/>
    <n v="0"/>
    <n v="0"/>
  </r>
  <r>
    <n v="601"/>
    <x v="603"/>
    <s v="13-14/B&gt;"/>
    <x v="113"/>
    <s v="H-BRACE"/>
    <s v="Yes"/>
    <s v="13_14_B&gt;"/>
    <x v="6"/>
    <n v="2"/>
    <s v="O"/>
    <x v="2"/>
    <x v="2"/>
    <s v="4HB32#Box2#O"/>
    <s v="4HB32#Box2#O"/>
    <n v="0"/>
    <n v="0"/>
    <n v="0"/>
  </r>
  <r>
    <n v="602"/>
    <x v="604"/>
    <s v="13-14/A'-A"/>
    <x v="113"/>
    <s v="H-BRACE"/>
    <s v="Yes"/>
    <s v="13_14_A'_A"/>
    <x v="8"/>
    <n v="2"/>
    <s v=""/>
    <x v="0"/>
    <x v="0"/>
    <s v="4HB33#Box2_Box5_Box6#InBB"/>
    <s v="4HB33#Box2_Box5_Box6#InBB"/>
    <n v="0"/>
    <n v="0"/>
    <n v="0"/>
  </r>
  <r>
    <n v="614"/>
    <x v="605"/>
    <s v="13-14/A-B"/>
    <x v="112"/>
    <s v="H-BRACE"/>
    <s v="Yes"/>
    <s v="13_14_A_B"/>
    <x v="6"/>
    <n v="2"/>
    <s v=""/>
    <x v="3"/>
    <x v="1"/>
    <s v="4HB45#Box2#InB"/>
    <s v="4HB45#Box2#InB"/>
    <n v="0"/>
    <n v="0"/>
    <n v="0"/>
  </r>
  <r>
    <n v="616"/>
    <x v="606"/>
    <s v="13-14/A'-A"/>
    <x v="113"/>
    <s v="H-BRACE"/>
    <s v="Yes"/>
    <s v="13_14_A'_A"/>
    <x v="8"/>
    <n v="2"/>
    <s v=""/>
    <x v="0"/>
    <x v="0"/>
    <s v="4HB47#Box2_Box5_Box6#InBB"/>
    <s v="4HB47#Box2_Box5_Box6#InBB"/>
    <n v="0"/>
    <n v="0"/>
    <n v="0"/>
  </r>
  <r>
    <n v="617"/>
    <x v="607"/>
    <s v="13-14/A'-A"/>
    <x v="113"/>
    <s v="H-BRACE"/>
    <s v="Yes"/>
    <s v="13_14_A'_A"/>
    <x v="8"/>
    <n v="2"/>
    <s v=""/>
    <x v="0"/>
    <x v="0"/>
    <s v="4HB48#Box2_Box5_Box6#InBB"/>
    <s v="4HB48#Box2_Box5_Box6#InBB"/>
    <n v="0"/>
    <n v="0"/>
    <n v="0"/>
  </r>
  <r>
    <n v="619"/>
    <x v="608"/>
    <s v="12-13/A-B"/>
    <x v="112"/>
    <s v="H-BRACE"/>
    <s v="Yes"/>
    <s v="12_13_A_B"/>
    <x v="6"/>
    <n v="2"/>
    <s v=""/>
    <x v="3"/>
    <x v="1"/>
    <s v="4HB50#Box2#InB"/>
    <s v="4HB50#Box2#InB"/>
    <n v="0"/>
    <n v="0"/>
    <n v="0"/>
  </r>
  <r>
    <n v="620"/>
    <x v="609"/>
    <s v="13-14/A'-A"/>
    <x v="113"/>
    <s v="H-BRACE"/>
    <s v="Yes"/>
    <s v="13_14_A'_A"/>
    <x v="8"/>
    <n v="2"/>
    <s v=""/>
    <x v="0"/>
    <x v="0"/>
    <s v="4HB51#Box2_Box5_Box6#InBB"/>
    <s v="4HB51#Box2_Box5_Box6#InBB"/>
    <n v="0"/>
    <n v="0"/>
    <n v="0"/>
  </r>
  <r>
    <n v="621"/>
    <x v="610"/>
    <s v="13-14/A-B"/>
    <x v="113"/>
    <s v="H-BRACE"/>
    <s v="No"/>
    <s v="13_14_A_B"/>
    <x v="6"/>
    <n v="2"/>
    <s v=""/>
    <x v="3"/>
    <x v="1"/>
    <s v="4HB52#Box2#InB"/>
    <s v="4HB52#Box2#InB"/>
    <n v="0"/>
    <n v="0"/>
    <n v="0"/>
  </r>
  <r>
    <n v="622"/>
    <x v="610"/>
    <s v="13-14/A-B"/>
    <x v="113"/>
    <s v="H-BRACE"/>
    <s v="No"/>
    <s v="13_14_A_B"/>
    <x v="6"/>
    <n v="2"/>
    <s v=""/>
    <x v="3"/>
    <x v="1"/>
    <s v="4HB52#Box2#InB"/>
    <s v="4HB52#Box2#InB"/>
    <n v="0"/>
    <n v="0"/>
    <n v="0"/>
  </r>
  <r>
    <n v="634"/>
    <x v="611"/>
    <s v="12/B&gt;"/>
    <x v="114"/>
    <s v="BEAM"/>
    <s v="Yes"/>
    <s v="12_B&gt;"/>
    <x v="6"/>
    <n v="2"/>
    <s v="O"/>
    <x v="2"/>
    <x v="2"/>
    <s v="5BE10#Box2#O"/>
    <s v="5BE10#Box2#O"/>
    <n v="0"/>
    <n v="0"/>
    <n v="0"/>
  </r>
  <r>
    <n v="671"/>
    <x v="612"/>
    <s v="12/A'-A"/>
    <x v="25"/>
    <s v="BEAM"/>
    <s v="Yes"/>
    <s v="12_A'_A"/>
    <x v="7"/>
    <n v="2"/>
    <s v=""/>
    <x v="0"/>
    <x v="0"/>
    <s v="5BE45#Box2_Box5#InBB"/>
    <s v="5BE45#Box2_Box5#InBB"/>
    <n v="0"/>
    <n v="0"/>
    <n v="0"/>
  </r>
  <r>
    <n v="672"/>
    <x v="613"/>
    <s v="12/B&gt;"/>
    <x v="102"/>
    <s v="BEAM"/>
    <s v="Yes"/>
    <s v="12_B&gt;"/>
    <x v="6"/>
    <n v="2"/>
    <s v="O"/>
    <x v="2"/>
    <x v="2"/>
    <s v="5BE46#Box2#O"/>
    <s v="5BE46#Box2#O"/>
    <n v="0"/>
    <n v="0"/>
    <n v="0"/>
  </r>
  <r>
    <n v="673"/>
    <x v="614"/>
    <s v="13/B&gt;"/>
    <x v="114"/>
    <s v="BEAM"/>
    <s v="Yes"/>
    <s v="13_B&gt;"/>
    <x v="6"/>
    <n v="2"/>
    <s v="O"/>
    <x v="2"/>
    <x v="2"/>
    <s v="5BE47#Box2#O"/>
    <s v="5BE47#Box2#O"/>
    <n v="0"/>
    <n v="0"/>
    <n v="0"/>
  </r>
  <r>
    <n v="674"/>
    <x v="615"/>
    <s v="12-13/A"/>
    <x v="25"/>
    <s v="BEAM"/>
    <s v="Yes"/>
    <s v="12_13_A"/>
    <x v="6"/>
    <n v="2"/>
    <s v=""/>
    <x v="3"/>
    <x v="5"/>
    <s v="5BE48#Box2#InB"/>
    <s v="5BE48#Box2#12_13_A"/>
    <n v="0"/>
    <n v="0"/>
    <n v="0"/>
  </r>
  <r>
    <n v="675"/>
    <x v="616"/>
    <s v="12-13/B&gt;"/>
    <x v="114"/>
    <s v="BEAM"/>
    <s v="Yes"/>
    <s v="12_13_B&gt;"/>
    <x v="6"/>
    <n v="2"/>
    <s v="O"/>
    <x v="2"/>
    <x v="2"/>
    <s v="5BE49#Box2#O"/>
    <s v="5BE49#Box2#O"/>
    <n v="0"/>
    <n v="0"/>
    <n v="0"/>
  </r>
  <r>
    <n v="676"/>
    <x v="617"/>
    <s v="12-13/B&gt;"/>
    <x v="25"/>
    <s v="BEAM"/>
    <s v="Yes"/>
    <s v="12_13_B&gt;"/>
    <x v="6"/>
    <n v="2"/>
    <s v="O"/>
    <x v="2"/>
    <x v="2"/>
    <s v="5BE50#Box2#O"/>
    <s v="5BE50#Box2#O"/>
    <n v="0"/>
    <n v="0"/>
    <n v="0"/>
  </r>
  <r>
    <n v="677"/>
    <x v="618"/>
    <s v="13/B&gt;"/>
    <x v="103"/>
    <s v="BEAM"/>
    <s v="Yes"/>
    <s v="13_B&gt;"/>
    <x v="6"/>
    <n v="2"/>
    <s v="O"/>
    <x v="2"/>
    <x v="2"/>
    <s v="5BE51#Box2#O"/>
    <s v="5BE51#Box2#O"/>
    <n v="0"/>
    <n v="0"/>
    <n v="0"/>
  </r>
  <r>
    <n v="680"/>
    <x v="619"/>
    <s v="12/B&gt;"/>
    <x v="115"/>
    <s v="HANGER"/>
    <s v="Yes"/>
    <s v="12_B&gt;"/>
    <x v="6"/>
    <n v="2"/>
    <s v="O"/>
    <x v="2"/>
    <x v="2"/>
    <s v="5HA01#Box2#O"/>
    <s v="5HA01#Box2#O"/>
    <n v="0"/>
    <n v="0"/>
    <n v="0"/>
  </r>
  <r>
    <n v="681"/>
    <x v="620"/>
    <s v="13/B&gt;"/>
    <x v="116"/>
    <s v="HANGER"/>
    <s v="Yes"/>
    <s v="13_B&gt;"/>
    <x v="6"/>
    <n v="2"/>
    <s v="O"/>
    <x v="2"/>
    <x v="2"/>
    <s v="5HA02#Box2#O"/>
    <s v="5HA02#Box2#O"/>
    <n v="0"/>
    <n v="0"/>
    <n v="0"/>
  </r>
  <r>
    <n v="724"/>
    <x v="250"/>
    <s v="12-13/A'-A"/>
    <x v="27"/>
    <s v="BEAM"/>
    <s v="No"/>
    <s v="12_13_A'_A"/>
    <x v="7"/>
    <n v="2"/>
    <s v=""/>
    <x v="0"/>
    <x v="0"/>
    <s v="6BE29#Box2_Box5#InBB"/>
    <s v="6BE29#Box2_Box5#InBB"/>
    <n v="0"/>
    <n v="0"/>
    <n v="0"/>
  </r>
  <r>
    <n v="726"/>
    <x v="251"/>
    <s v="12-13/A-B"/>
    <x v="38"/>
    <s v="BEAM"/>
    <s v="No"/>
    <s v="12_13_A_B"/>
    <x v="6"/>
    <n v="2"/>
    <s v=""/>
    <x v="3"/>
    <x v="1"/>
    <s v="6BE30#Box2#InB"/>
    <s v="6BE30#Box2#InB"/>
    <n v="0"/>
    <n v="0"/>
    <n v="0"/>
  </r>
  <r>
    <n v="728"/>
    <x v="251"/>
    <s v="12-13/A-B"/>
    <x v="38"/>
    <s v="BEAM"/>
    <s v="No"/>
    <s v="12_13_A_B"/>
    <x v="6"/>
    <n v="2"/>
    <s v=""/>
    <x v="3"/>
    <x v="1"/>
    <s v="6BE30#Box2#InB"/>
    <s v="6BE30#Box2#InB"/>
    <n v="0"/>
    <n v="0"/>
    <n v="0"/>
  </r>
  <r>
    <n v="740"/>
    <x v="621"/>
    <s v="12/A'-A"/>
    <x v="27"/>
    <s v="BEAM"/>
    <s v="Yes"/>
    <s v="12_A'_A"/>
    <x v="7"/>
    <n v="2"/>
    <s v=""/>
    <x v="0"/>
    <x v="0"/>
    <s v="6BE41#Box2_Box5#InBB"/>
    <s v="6BE41#Box2_Box5#InBB"/>
    <n v="0"/>
    <n v="0"/>
    <n v="0"/>
  </r>
  <r>
    <n v="741"/>
    <x v="622"/>
    <s v="12/A-B"/>
    <x v="27"/>
    <s v="BEAM"/>
    <s v="Yes"/>
    <s v="12_A_B"/>
    <x v="6"/>
    <n v="2"/>
    <s v=""/>
    <x v="7"/>
    <x v="1"/>
    <s v="6BE42#Box2#12_A_B"/>
    <s v="6BE42#Box2#InB"/>
    <n v="0"/>
    <n v="0"/>
    <n v="0"/>
  </r>
  <r>
    <n v="742"/>
    <x v="623"/>
    <s v="12/A-B"/>
    <x v="37"/>
    <s v="BEAM"/>
    <s v="Yes"/>
    <s v="12_A_B"/>
    <x v="6"/>
    <n v="2"/>
    <s v=""/>
    <x v="7"/>
    <x v="1"/>
    <s v="6BE43#Box2#12_A_B"/>
    <s v="6BE43#Box2#InB"/>
    <n v="0"/>
    <n v="0"/>
    <n v="0"/>
  </r>
  <r>
    <n v="743"/>
    <x v="624"/>
    <s v="12-13/A-B"/>
    <x v="39"/>
    <s v="BEAM"/>
    <s v="No"/>
    <s v="12_13_A_B"/>
    <x v="6"/>
    <n v="2"/>
    <s v=""/>
    <x v="3"/>
    <x v="1"/>
    <s v="6BE44#Box2#InB"/>
    <s v="6BE44#Box2#InB"/>
    <n v="0"/>
    <n v="0"/>
    <n v="0"/>
  </r>
  <r>
    <n v="744"/>
    <x v="624"/>
    <s v="12-13/A-B"/>
    <x v="39"/>
    <s v="BEAM"/>
    <s v="No"/>
    <s v="12_13_A_B"/>
    <x v="6"/>
    <n v="2"/>
    <s v=""/>
    <x v="3"/>
    <x v="1"/>
    <s v="6BE44#Box2#InB"/>
    <s v="6BE44#Box2#InB"/>
    <n v="0"/>
    <n v="0"/>
    <n v="0"/>
  </r>
  <r>
    <n v="745"/>
    <x v="625"/>
    <s v="12-13/A'-A"/>
    <x v="27"/>
    <s v="BEAM"/>
    <s v="Yes"/>
    <s v="12_13_A'_A"/>
    <x v="7"/>
    <n v="2"/>
    <s v=""/>
    <x v="0"/>
    <x v="0"/>
    <s v="6BE45#Box2_Box5#InBB"/>
    <s v="6BE45#Box2_Box5#InBB"/>
    <n v="0"/>
    <n v="0"/>
    <n v="0"/>
  </r>
  <r>
    <n v="746"/>
    <x v="626"/>
    <s v="12-13/A"/>
    <x v="27"/>
    <s v="BEAM"/>
    <s v="Yes"/>
    <s v="12_13_A"/>
    <x v="6"/>
    <n v="2"/>
    <s v=""/>
    <x v="3"/>
    <x v="5"/>
    <s v="6BE46#Box2#InB"/>
    <s v="6BE46#Box2#12_13_A"/>
    <n v="0"/>
    <n v="0"/>
    <n v="0"/>
  </r>
  <r>
    <n v="747"/>
    <x v="627"/>
    <s v="12-13/A"/>
    <x v="37"/>
    <s v="BEAM"/>
    <s v="Yes"/>
    <s v="12_13_A"/>
    <x v="6"/>
    <n v="2"/>
    <s v=""/>
    <x v="3"/>
    <x v="5"/>
    <s v="6BE47#Box2#InB"/>
    <s v="6BE47#Box2#12_13_A"/>
    <n v="0"/>
    <n v="0"/>
    <n v="0"/>
  </r>
  <r>
    <n v="748"/>
    <x v="628"/>
    <s v="12-13/A-B"/>
    <x v="27"/>
    <s v="BEAM"/>
    <s v="Yes"/>
    <s v="12_13_A_B"/>
    <x v="6"/>
    <n v="2"/>
    <s v=""/>
    <x v="3"/>
    <x v="1"/>
    <s v="6BE48#Box2#InB"/>
    <s v="6BE48#Box2#InB"/>
    <n v="0"/>
    <n v="0"/>
    <n v="0"/>
  </r>
  <r>
    <n v="749"/>
    <x v="629"/>
    <s v="12-13/A-B"/>
    <x v="37"/>
    <s v="BEAM"/>
    <s v="Yes"/>
    <s v="12_13_A_B"/>
    <x v="6"/>
    <n v="2"/>
    <s v=""/>
    <x v="3"/>
    <x v="1"/>
    <s v="6BE49#Box2#InB"/>
    <s v="6BE49#Box2#InB"/>
    <n v="0"/>
    <n v="0"/>
    <n v="0"/>
  </r>
  <r>
    <n v="750"/>
    <x v="630"/>
    <s v="12-13/B"/>
    <x v="27"/>
    <s v="BEAM"/>
    <s v="Yes"/>
    <s v="12_13_B"/>
    <x v="6"/>
    <n v="2"/>
    <s v=""/>
    <x v="3"/>
    <x v="6"/>
    <s v="6BE50#Box2#InB"/>
    <s v="6BE50#Box2#12_13_B"/>
    <n v="0"/>
    <n v="0"/>
    <n v="0"/>
  </r>
  <r>
    <n v="751"/>
    <x v="631"/>
    <s v="12-13/B"/>
    <x v="37"/>
    <s v="BEAM"/>
    <s v="Yes"/>
    <s v="12_13_B"/>
    <x v="6"/>
    <n v="2"/>
    <s v=""/>
    <x v="3"/>
    <x v="6"/>
    <s v="6BE51#Box2#InB"/>
    <s v="6BE51#Box2#12_13_B"/>
    <n v="0"/>
    <n v="0"/>
    <n v="0"/>
  </r>
  <r>
    <n v="754"/>
    <x v="632"/>
    <s v="13/A&quot;-A"/>
    <x v="27"/>
    <s v="BEAM"/>
    <s v="Yes"/>
    <s v="13_A&quot;_A"/>
    <x v="7"/>
    <n v="2"/>
    <s v=""/>
    <x v="0"/>
    <x v="0"/>
    <s v="6BE54#Box2_Box5#InBB"/>
    <s v="6BE54#Box2_Box5#InBB"/>
    <n v="0"/>
    <n v="0"/>
    <n v="0"/>
  </r>
  <r>
    <n v="756"/>
    <x v="633"/>
    <s v="13/A-B"/>
    <x v="27"/>
    <s v="BEAM"/>
    <s v="Yes"/>
    <s v="13_A_B"/>
    <x v="6"/>
    <n v="2"/>
    <s v=""/>
    <x v="8"/>
    <x v="1"/>
    <s v="6BE56#Box2#13_A_B"/>
    <s v="6BE56#Box2#InB"/>
    <n v="0"/>
    <n v="0"/>
    <n v="0"/>
  </r>
  <r>
    <n v="757"/>
    <x v="634"/>
    <s v="13/A-B"/>
    <x v="37"/>
    <s v="BEAM"/>
    <s v="Yes"/>
    <s v="13_A_B"/>
    <x v="6"/>
    <n v="2"/>
    <s v=""/>
    <x v="8"/>
    <x v="1"/>
    <s v="6BE57#Box2#13_A_B"/>
    <s v="6BE57#Box2#InB"/>
    <n v="0"/>
    <n v="0"/>
    <n v="0"/>
  </r>
  <r>
    <n v="758"/>
    <x v="635"/>
    <s v="13/B&gt;"/>
    <x v="37"/>
    <s v="BEAM"/>
    <s v="Yes"/>
    <s v="13_B&gt;"/>
    <x v="6"/>
    <n v="2"/>
    <s v="O"/>
    <x v="2"/>
    <x v="2"/>
    <s v="6BE58#Box2#O"/>
    <s v="6BE58#Box2#O"/>
    <n v="0"/>
    <n v="0"/>
    <n v="0"/>
  </r>
  <r>
    <n v="759"/>
    <x v="636"/>
    <s v="13-14/A-B"/>
    <x v="37"/>
    <s v="BEAM"/>
    <s v="Yes"/>
    <s v="13_14_A_B"/>
    <x v="6"/>
    <n v="2"/>
    <s v=""/>
    <x v="3"/>
    <x v="1"/>
    <s v="6BE59#Box2#InB"/>
    <s v="6BE59#Box2#InB"/>
    <n v="0"/>
    <n v="0"/>
    <n v="0"/>
  </r>
  <r>
    <n v="760"/>
    <x v="637"/>
    <s v="13-14/B&gt;"/>
    <x v="37"/>
    <s v="BEAM"/>
    <s v="No"/>
    <s v="13_14_B&gt;"/>
    <x v="6"/>
    <n v="2"/>
    <s v="O"/>
    <x v="2"/>
    <x v="2"/>
    <s v="6BE60#Box2#O"/>
    <s v="6BE60#Box2#O"/>
    <n v="0"/>
    <n v="0"/>
    <n v="0"/>
  </r>
  <r>
    <n v="761"/>
    <x v="637"/>
    <s v="13-14/B&gt;"/>
    <x v="37"/>
    <s v="BEAM"/>
    <s v="No"/>
    <s v="13_14_B&gt;"/>
    <x v="6"/>
    <n v="2"/>
    <s v="O"/>
    <x v="2"/>
    <x v="2"/>
    <s v="6BE60#Box2#O"/>
    <s v="6BE60#Box2#O"/>
    <n v="0"/>
    <n v="0"/>
    <n v="0"/>
  </r>
  <r>
    <n v="762"/>
    <x v="637"/>
    <s v="13-14/B&gt;"/>
    <x v="37"/>
    <s v="BEAM"/>
    <s v="No"/>
    <s v="13_14_B&gt;"/>
    <x v="6"/>
    <n v="2"/>
    <s v="O"/>
    <x v="2"/>
    <x v="2"/>
    <s v="6BE60#Box2#O"/>
    <s v="6BE60#Box2#O"/>
    <n v="0"/>
    <n v="0"/>
    <n v="0"/>
  </r>
  <r>
    <n v="763"/>
    <x v="637"/>
    <s v="13-14/B&gt;"/>
    <x v="37"/>
    <s v="BEAM"/>
    <s v="No"/>
    <s v="13_14_B&gt;"/>
    <x v="6"/>
    <n v="2"/>
    <s v="O"/>
    <x v="2"/>
    <x v="2"/>
    <s v="6BE60#Box2#O"/>
    <s v="6BE60#Box2#O"/>
    <n v="0"/>
    <n v="0"/>
    <n v="0"/>
  </r>
  <r>
    <n v="764"/>
    <x v="638"/>
    <s v="13-14/A&quot;-A"/>
    <x v="27"/>
    <s v="BEAM"/>
    <s v="Yes"/>
    <s v="13_14_A&quot;_A"/>
    <x v="8"/>
    <n v="2"/>
    <s v=""/>
    <x v="0"/>
    <x v="0"/>
    <s v="6BE61#Box2_Box5_Box6#InBB"/>
    <s v="6BE61#Box2_Box5_Box6#InBB"/>
    <n v="0"/>
    <n v="0"/>
    <n v="0"/>
  </r>
  <r>
    <n v="765"/>
    <x v="639"/>
    <s v="13-14/A'-A"/>
    <x v="37"/>
    <s v="BEAM"/>
    <s v="Yes"/>
    <s v="13_14_A'_A"/>
    <x v="8"/>
    <n v="2"/>
    <s v=""/>
    <x v="0"/>
    <x v="0"/>
    <s v="6BE62#Box2_Box5_Box6#InBB"/>
    <s v="6BE62#Box2_Box5_Box6#InBB"/>
    <n v="0"/>
    <n v="0"/>
    <n v="0"/>
  </r>
  <r>
    <n v="766"/>
    <x v="640"/>
    <s v="13-14/A-B"/>
    <x v="39"/>
    <s v="BEAM"/>
    <s v="Yes"/>
    <s v="13_14_A_B"/>
    <x v="6"/>
    <n v="2"/>
    <s v=""/>
    <x v="3"/>
    <x v="1"/>
    <s v="6BE63#Box2#InB"/>
    <s v="6BE63#Box2#InB"/>
    <n v="0"/>
    <n v="0"/>
    <n v="0"/>
  </r>
  <r>
    <n v="767"/>
    <x v="641"/>
    <s v="13-14/A'-A"/>
    <x v="37"/>
    <s v="BEAM"/>
    <s v="No"/>
    <s v="13_14_A'_A"/>
    <x v="8"/>
    <n v="2"/>
    <s v=""/>
    <x v="0"/>
    <x v="0"/>
    <s v="6BE64#Box2_Box5_Box6#InBB"/>
    <s v="6BE64#Box2_Box5_Box6#InBB"/>
    <n v="0"/>
    <n v="0"/>
    <n v="0"/>
  </r>
  <r>
    <n v="768"/>
    <x v="641"/>
    <s v="13-14/A'-A"/>
    <x v="37"/>
    <s v="BEAM"/>
    <s v="No"/>
    <s v="13_14_A'_A"/>
    <x v="8"/>
    <n v="2"/>
    <s v=""/>
    <x v="0"/>
    <x v="0"/>
    <s v="6BE64#Box2_Box5_Box6#InBB"/>
    <s v="6BE64#Box2_Box5_Box6#InBB"/>
    <n v="0"/>
    <n v="0"/>
    <n v="0"/>
  </r>
  <r>
    <n v="769"/>
    <x v="642"/>
    <s v="13-14/A-B"/>
    <x v="37"/>
    <s v="BEAM"/>
    <s v="Yes"/>
    <s v="13_14_A_B"/>
    <x v="6"/>
    <n v="2"/>
    <s v=""/>
    <x v="3"/>
    <x v="1"/>
    <s v="6BE65#Box2#InB"/>
    <s v="6BE65#Box2#InB"/>
    <n v="0"/>
    <n v="0"/>
    <n v="0"/>
  </r>
  <r>
    <n v="770"/>
    <x v="643"/>
    <s v="13-14/A-B"/>
    <x v="37"/>
    <s v="BEAM"/>
    <s v="No"/>
    <s v="13_14_A_B"/>
    <x v="6"/>
    <n v="2"/>
    <s v=""/>
    <x v="3"/>
    <x v="1"/>
    <s v="6BE66#Box2#InB"/>
    <s v="6BE66#Box2#InB"/>
    <n v="0"/>
    <n v="0"/>
    <n v="0"/>
  </r>
  <r>
    <n v="771"/>
    <x v="643"/>
    <s v="13-14/A-B"/>
    <x v="37"/>
    <s v="BEAM"/>
    <s v="No"/>
    <s v="13_14_A_B"/>
    <x v="6"/>
    <n v="2"/>
    <s v=""/>
    <x v="3"/>
    <x v="1"/>
    <s v="6BE66#Box2#InB"/>
    <s v="6BE66#Box2#InB"/>
    <n v="0"/>
    <n v="0"/>
    <n v="0"/>
  </r>
  <r>
    <n v="772"/>
    <x v="643"/>
    <s v="13-14/A-B"/>
    <x v="37"/>
    <s v="BEAM"/>
    <s v="No"/>
    <s v="13_14_A_B"/>
    <x v="6"/>
    <n v="2"/>
    <s v=""/>
    <x v="3"/>
    <x v="1"/>
    <s v="6BE66#Box2#InB"/>
    <s v="6BE66#Box2#InB"/>
    <n v="0"/>
    <n v="0"/>
    <n v="0"/>
  </r>
  <r>
    <n v="773"/>
    <x v="644"/>
    <s v="13-14/A-B"/>
    <x v="37"/>
    <s v="BEAM"/>
    <s v="Yes"/>
    <s v="13_14_A_B"/>
    <x v="6"/>
    <n v="2"/>
    <s v=""/>
    <x v="3"/>
    <x v="1"/>
    <s v="6BE67#Box2#InB"/>
    <s v="6BE67#Box2#InB"/>
    <n v="0"/>
    <n v="0"/>
    <n v="0"/>
  </r>
  <r>
    <n v="774"/>
    <x v="645"/>
    <s v="13-14/A-B"/>
    <x v="37"/>
    <s v="BEAM"/>
    <s v="Yes"/>
    <s v="13_14_A_B"/>
    <x v="6"/>
    <n v="2"/>
    <s v=""/>
    <x v="3"/>
    <x v="1"/>
    <s v="6BE68#Box2#InB"/>
    <s v="6BE68#Box2#InB"/>
    <n v="0"/>
    <n v="0"/>
    <n v="0"/>
  </r>
  <r>
    <n v="775"/>
    <x v="646"/>
    <s v="13-14/A-B"/>
    <x v="37"/>
    <s v="BEAM"/>
    <s v="Yes"/>
    <s v="13_14_A_B"/>
    <x v="6"/>
    <n v="2"/>
    <s v=""/>
    <x v="3"/>
    <x v="1"/>
    <s v="6BE69#Box2#InB"/>
    <s v="6BE69#Box2#InB"/>
    <n v="0"/>
    <n v="0"/>
    <n v="0"/>
  </r>
  <r>
    <n v="778"/>
    <x v="647"/>
    <s v="13-14/A"/>
    <x v="27"/>
    <s v="BEAM"/>
    <s v="Yes"/>
    <s v="13_14_A"/>
    <x v="6"/>
    <n v="2"/>
    <s v=""/>
    <x v="3"/>
    <x v="7"/>
    <s v="6BE72#Box2#InB"/>
    <s v="6BE72#Box2#13_14_A"/>
    <n v="0"/>
    <n v="0"/>
    <n v="0"/>
  </r>
  <r>
    <n v="779"/>
    <x v="648"/>
    <s v="13-14/A"/>
    <x v="37"/>
    <s v="BEAM"/>
    <s v="Yes"/>
    <s v="13_14_A"/>
    <x v="6"/>
    <n v="2"/>
    <s v=""/>
    <x v="3"/>
    <x v="7"/>
    <s v="6BE73#Box2#InB"/>
    <s v="6BE73#Box2#13_14_A"/>
    <n v="0"/>
    <n v="0"/>
    <n v="0"/>
  </r>
  <r>
    <n v="780"/>
    <x v="649"/>
    <s v="13-14/B"/>
    <x v="27"/>
    <s v="BEAM"/>
    <s v="Yes"/>
    <s v="13_14_B"/>
    <x v="6"/>
    <n v="2"/>
    <s v=""/>
    <x v="3"/>
    <x v="8"/>
    <s v="6BE74#Box2#InB"/>
    <s v="6BE74#Box2#13_14_B"/>
    <n v="0"/>
    <n v="0"/>
    <n v="0"/>
  </r>
  <r>
    <n v="781"/>
    <x v="650"/>
    <s v="13-14/B"/>
    <x v="37"/>
    <s v="BEAM"/>
    <s v="Yes"/>
    <s v="13_14_B"/>
    <x v="6"/>
    <n v="2"/>
    <s v=""/>
    <x v="3"/>
    <x v="8"/>
    <s v="6BE75#Box2#InB"/>
    <s v="6BE75#Box2#13_14_B"/>
    <n v="0"/>
    <n v="0"/>
    <n v="0"/>
  </r>
  <r>
    <n v="782"/>
    <x v="651"/>
    <s v="13-14/B&gt;"/>
    <x v="37"/>
    <s v="BEAM"/>
    <s v="Yes"/>
    <s v="13_14_B&gt;"/>
    <x v="6"/>
    <n v="2"/>
    <s v="O"/>
    <x v="2"/>
    <x v="2"/>
    <s v="6BE76#Box2#O"/>
    <s v="6BE76#Box2#O"/>
    <n v="0"/>
    <n v="0"/>
    <n v="0"/>
  </r>
  <r>
    <n v="783"/>
    <x v="652"/>
    <s v="13-14/A'-A"/>
    <x v="37"/>
    <s v="BEAM"/>
    <s v="Yes"/>
    <s v="13_14_A'_A"/>
    <x v="8"/>
    <n v="2"/>
    <s v=""/>
    <x v="0"/>
    <x v="0"/>
    <s v="6BE77#Box2_Box5_Box6#InBB"/>
    <s v="6BE77#Box2_Box5_Box6#InBB"/>
    <n v="0"/>
    <n v="0"/>
    <n v="0"/>
  </r>
  <r>
    <n v="784"/>
    <x v="653"/>
    <s v="13-14/A-B"/>
    <x v="37"/>
    <s v="BEAM"/>
    <s v="Yes"/>
    <s v="13_14_A_B"/>
    <x v="6"/>
    <n v="2"/>
    <s v=""/>
    <x v="3"/>
    <x v="1"/>
    <s v="6BE78#Box2#InB"/>
    <s v="6BE78#Box2#InB"/>
    <n v="0"/>
    <n v="0"/>
    <n v="0"/>
  </r>
  <r>
    <n v="785"/>
    <x v="654"/>
    <s v="13-14/A-B"/>
    <x v="27"/>
    <s v="BEAM"/>
    <s v="Yes"/>
    <s v="13_14_A_B"/>
    <x v="6"/>
    <n v="2"/>
    <s v=""/>
    <x v="3"/>
    <x v="1"/>
    <s v="6BE79#Box2#InB"/>
    <s v="6BE79#Box2#InB"/>
    <n v="0"/>
    <n v="0"/>
    <n v="0"/>
  </r>
  <r>
    <n v="786"/>
    <x v="655"/>
    <s v="13-14/A-B"/>
    <x v="37"/>
    <s v="BEAM"/>
    <s v="Yes"/>
    <s v="13_14_A_B"/>
    <x v="6"/>
    <n v="2"/>
    <s v=""/>
    <x v="3"/>
    <x v="1"/>
    <s v="6BE80#Box2#InB"/>
    <s v="6BE80#Box2#InB"/>
    <n v="0"/>
    <n v="0"/>
    <n v="0"/>
  </r>
  <r>
    <n v="787"/>
    <x v="656"/>
    <s v="13-14/A-B"/>
    <x v="39"/>
    <s v="BEAM"/>
    <s v="Yes"/>
    <s v="13_14_A_B"/>
    <x v="6"/>
    <n v="2"/>
    <s v=""/>
    <x v="3"/>
    <x v="1"/>
    <s v="6BE81#Box2#InB"/>
    <s v="6BE81#Box2#InB"/>
    <n v="0"/>
    <n v="0"/>
    <n v="0"/>
  </r>
  <r>
    <n v="788"/>
    <x v="657"/>
    <s v="13-14/A&quot;-A"/>
    <x v="37"/>
    <s v="BEAM"/>
    <s v="Yes"/>
    <s v="13_14_A&quot;_A"/>
    <x v="8"/>
    <n v="2"/>
    <s v=""/>
    <x v="0"/>
    <x v="0"/>
    <s v="6BE82#Box2_Box5_Box6#InBB"/>
    <s v="6BE82#Box2_Box5_Box6#InBB"/>
    <n v="0"/>
    <n v="0"/>
    <n v="0"/>
  </r>
  <r>
    <n v="847"/>
    <x v="658"/>
    <s v="12-13/A-B"/>
    <x v="39"/>
    <s v="H-BRACE"/>
    <s v="No"/>
    <s v="12_13_A_B"/>
    <x v="6"/>
    <n v="2"/>
    <s v=""/>
    <x v="3"/>
    <x v="1"/>
    <s v="6HB18#Box2#InB"/>
    <s v="6HB18#Box2#InB"/>
    <n v="0"/>
    <n v="0"/>
    <n v="0"/>
  </r>
  <r>
    <n v="848"/>
    <x v="658"/>
    <s v="12-13/A-B"/>
    <x v="39"/>
    <s v="H-BRACE"/>
    <s v="No"/>
    <s v="12_13_A_B"/>
    <x v="6"/>
    <n v="2"/>
    <s v=""/>
    <x v="3"/>
    <x v="1"/>
    <s v="6HB18#Box2#InB"/>
    <s v="6HB18#Box2#InB"/>
    <n v="0"/>
    <n v="0"/>
    <n v="0"/>
  </r>
  <r>
    <n v="849"/>
    <x v="659"/>
    <s v="12-13/A-B"/>
    <x v="38"/>
    <s v="H-BRACE"/>
    <s v="Yes"/>
    <s v="12_13_A_B"/>
    <x v="6"/>
    <n v="2"/>
    <s v=""/>
    <x v="3"/>
    <x v="1"/>
    <s v="6HB19#Box2#InB"/>
    <s v="6HB19#Box2#InB"/>
    <n v="0"/>
    <n v="0"/>
    <n v="0"/>
  </r>
  <r>
    <n v="850"/>
    <x v="660"/>
    <s v="13-14/B&gt;"/>
    <x v="117"/>
    <s v="H-BRACE"/>
    <s v="Yes"/>
    <s v="13_14_B&gt;"/>
    <x v="6"/>
    <n v="2"/>
    <s v="O"/>
    <x v="2"/>
    <x v="2"/>
    <s v="6HB20#Box2#O"/>
    <s v="6HB20#Box2#O"/>
    <n v="0"/>
    <n v="0"/>
    <n v="0"/>
  </r>
  <r>
    <n v="851"/>
    <x v="661"/>
    <s v="13-14/A'-A"/>
    <x v="42"/>
    <s v="H-BRACE"/>
    <s v="Yes"/>
    <s v="13_14_A'_A"/>
    <x v="8"/>
    <n v="2"/>
    <s v=""/>
    <x v="0"/>
    <x v="0"/>
    <s v="6HB21#Box2_Box5_Box6#InBB"/>
    <s v="6HB21#Box2_Box5_Box6#InBB"/>
    <n v="0"/>
    <n v="0"/>
    <n v="0"/>
  </r>
  <r>
    <n v="852"/>
    <x v="662"/>
    <s v="13-14/A'-A"/>
    <x v="42"/>
    <s v="H-BRACE"/>
    <s v="Yes"/>
    <s v="13_14_A'_A"/>
    <x v="8"/>
    <n v="2"/>
    <s v=""/>
    <x v="0"/>
    <x v="0"/>
    <s v="6HB22#Box2_Box5_Box6#InBB"/>
    <s v="6HB22#Box2_Box5_Box6#InBB"/>
    <n v="0"/>
    <n v="0"/>
    <n v="0"/>
  </r>
  <r>
    <n v="853"/>
    <x v="663"/>
    <s v="13-14/A'-A"/>
    <x v="42"/>
    <s v="H-BRACE"/>
    <s v="Yes"/>
    <s v="13_14_A'_A"/>
    <x v="8"/>
    <n v="2"/>
    <s v=""/>
    <x v="0"/>
    <x v="0"/>
    <s v="6HB23#Box2_Box5_Box6#InBB"/>
    <s v="6HB23#Box2_Box5_Box6#InBB"/>
    <n v="0"/>
    <n v="0"/>
    <n v="0"/>
  </r>
  <r>
    <n v="854"/>
    <x v="664"/>
    <s v="13-14/B&gt;"/>
    <x v="117"/>
    <s v="H-BRACE"/>
    <s v="Yes"/>
    <s v="13_14_B&gt;"/>
    <x v="6"/>
    <n v="2"/>
    <s v="O"/>
    <x v="2"/>
    <x v="2"/>
    <s v="6HB24#Box2#O"/>
    <s v="6HB24#Box2#O"/>
    <n v="0"/>
    <n v="0"/>
    <n v="0"/>
  </r>
  <r>
    <n v="855"/>
    <x v="665"/>
    <s v="13-14/A-B"/>
    <x v="117"/>
    <s v="H-BRACE"/>
    <s v="No"/>
    <s v="13_14_A_B"/>
    <x v="6"/>
    <n v="2"/>
    <s v=""/>
    <x v="3"/>
    <x v="1"/>
    <s v="6HB25#Box2#InB"/>
    <s v="6HB25#Box2#InB"/>
    <n v="0"/>
    <n v="0"/>
    <n v="0"/>
  </r>
  <r>
    <n v="856"/>
    <x v="665"/>
    <s v="13-14/A-B"/>
    <x v="117"/>
    <s v="H-BRACE"/>
    <s v="No"/>
    <s v="13_14_A_B"/>
    <x v="6"/>
    <n v="2"/>
    <s v=""/>
    <x v="3"/>
    <x v="1"/>
    <s v="6HB25#Box2#InB"/>
    <s v="6HB25#Box2#InB"/>
    <n v="0"/>
    <n v="0"/>
    <n v="0"/>
  </r>
  <r>
    <n v="857"/>
    <x v="666"/>
    <s v="13-14/A-B"/>
    <x v="117"/>
    <s v="H-BRACE"/>
    <s v="Yes"/>
    <s v="13_14_A_B"/>
    <x v="6"/>
    <n v="2"/>
    <s v=""/>
    <x v="3"/>
    <x v="1"/>
    <s v="6HB26#Box2#InB"/>
    <s v="6HB26#Box2#InB"/>
    <n v="0"/>
    <n v="0"/>
    <n v="0"/>
  </r>
  <r>
    <n v="858"/>
    <x v="667"/>
    <s v="13-14/A-B"/>
    <x v="117"/>
    <s v="H-BRACE"/>
    <s v="Yes"/>
    <s v="13_14_A_B"/>
    <x v="6"/>
    <n v="2"/>
    <s v=""/>
    <x v="3"/>
    <x v="1"/>
    <s v="6HB27#Box2#InB"/>
    <s v="6HB27#Box2#InB"/>
    <n v="0"/>
    <n v="0"/>
    <n v="0"/>
  </r>
  <r>
    <n v="859"/>
    <x v="668"/>
    <s v="13-14/A'-A"/>
    <x v="117"/>
    <s v="H-BRACE"/>
    <s v="Yes"/>
    <s v="13_14_A'_A"/>
    <x v="8"/>
    <n v="2"/>
    <s v=""/>
    <x v="0"/>
    <x v="0"/>
    <s v="6HB28#Box2_Box5_Box6#InBB"/>
    <s v="6HB28#Box2_Box5_Box6#InBB"/>
    <n v="0"/>
    <n v="0"/>
    <n v="0"/>
  </r>
  <r>
    <n v="860"/>
    <x v="669"/>
    <s v="13-14/A'-A"/>
    <x v="117"/>
    <s v="H-BRACE"/>
    <s v="Yes"/>
    <s v="13_14_A'_A"/>
    <x v="8"/>
    <n v="2"/>
    <s v=""/>
    <x v="0"/>
    <x v="0"/>
    <s v="6HB29#Box2_Box5_Box6#InBB"/>
    <s v="6HB29#Box2_Box5_Box6#InBB"/>
    <n v="0"/>
    <n v="0"/>
    <n v="0"/>
  </r>
  <r>
    <n v="861"/>
    <x v="670"/>
    <s v="13-14/A-B"/>
    <x v="117"/>
    <s v="H-BRACE"/>
    <s v="Yes"/>
    <s v="13_14_A_B"/>
    <x v="6"/>
    <n v="2"/>
    <s v=""/>
    <x v="3"/>
    <x v="1"/>
    <s v="6HB30#Box2#InB"/>
    <s v="6HB30#Box2#InB"/>
    <n v="0"/>
    <n v="0"/>
    <n v="0"/>
  </r>
  <r>
    <n v="862"/>
    <x v="671"/>
    <s v="13-14/A-B"/>
    <x v="117"/>
    <s v="H-BRACE"/>
    <s v="Yes"/>
    <s v="13_14_A_B"/>
    <x v="6"/>
    <n v="2"/>
    <s v=""/>
    <x v="3"/>
    <x v="1"/>
    <s v="6HB31#Box2#InB"/>
    <s v="6HB31#Box2#InB"/>
    <n v="0"/>
    <n v="0"/>
    <n v="0"/>
  </r>
  <r>
    <n v="863"/>
    <x v="672"/>
    <s v="13-14/A-B"/>
    <x v="117"/>
    <s v="H-BRACE"/>
    <s v="Yes"/>
    <s v="13_14_A_B"/>
    <x v="6"/>
    <n v="2"/>
    <s v=""/>
    <x v="3"/>
    <x v="1"/>
    <s v="6HB32#Box2#InB"/>
    <s v="6HB32#Box2#InB"/>
    <n v="0"/>
    <n v="0"/>
    <n v="0"/>
  </r>
  <r>
    <n v="864"/>
    <x v="673"/>
    <s v="13-14/A-B"/>
    <x v="117"/>
    <s v="H-BRACE"/>
    <s v="Yes"/>
    <s v="13_14_A_B"/>
    <x v="6"/>
    <n v="2"/>
    <s v=""/>
    <x v="3"/>
    <x v="1"/>
    <s v="6HB33#Box2#InB"/>
    <s v="6HB33#Box2#InB"/>
    <n v="0"/>
    <n v="0"/>
    <n v="0"/>
  </r>
  <r>
    <n v="865"/>
    <x v="674"/>
    <s v="13-14/B&gt;"/>
    <x v="117"/>
    <s v="H-BRACE"/>
    <s v="Yes"/>
    <s v="13_14_B&gt;"/>
    <x v="6"/>
    <n v="2"/>
    <s v="O"/>
    <x v="2"/>
    <x v="2"/>
    <s v="6HB34#Box2#O"/>
    <s v="6HB34#Box2#O"/>
    <n v="0"/>
    <n v="0"/>
    <n v="0"/>
  </r>
  <r>
    <n v="866"/>
    <x v="675"/>
    <s v="13-14/A'-A"/>
    <x v="117"/>
    <s v="H-BRACE"/>
    <s v="Yes"/>
    <s v="13_14_A'_A"/>
    <x v="8"/>
    <n v="2"/>
    <s v=""/>
    <x v="0"/>
    <x v="0"/>
    <s v="6HB35#Box2_Box5_Box6#InBB"/>
    <s v="6HB35#Box2_Box5_Box6#InBB"/>
    <n v="0"/>
    <n v="0"/>
    <n v="0"/>
  </r>
  <r>
    <n v="867"/>
    <x v="676"/>
    <s v="13-14/B&gt;"/>
    <x v="117"/>
    <s v="H-BRACE"/>
    <s v="Yes"/>
    <s v="13_14_B&gt;"/>
    <x v="6"/>
    <n v="2"/>
    <s v="O"/>
    <x v="2"/>
    <x v="2"/>
    <s v="6HB36#Box2#O"/>
    <s v="6HB36#Box2#O"/>
    <n v="0"/>
    <n v="0"/>
    <n v="0"/>
  </r>
  <r>
    <n v="868"/>
    <x v="677"/>
    <s v="13-14/A-B"/>
    <x v="39"/>
    <s v="H-BRACE"/>
    <s v="Yes"/>
    <s v="13_14_A_B"/>
    <x v="6"/>
    <n v="2"/>
    <s v=""/>
    <x v="3"/>
    <x v="1"/>
    <s v="6HB37#Box2#InB"/>
    <s v="6HB37#Box2#InB"/>
    <n v="0"/>
    <n v="0"/>
    <n v="0"/>
  </r>
  <r>
    <n v="869"/>
    <x v="678"/>
    <s v="13-14/A-B"/>
    <x v="39"/>
    <s v="H-BRACE"/>
    <s v="Yes"/>
    <s v="13_14_A_B"/>
    <x v="6"/>
    <n v="2"/>
    <s v=""/>
    <x v="3"/>
    <x v="1"/>
    <s v="6HB38#Box2#InB"/>
    <s v="6HB38#Box2#InB"/>
    <n v="0"/>
    <n v="0"/>
    <n v="0"/>
  </r>
  <r>
    <n v="870"/>
    <x v="679"/>
    <s v="13-14/A'-A"/>
    <x v="117"/>
    <s v="H-BRACE"/>
    <s v="Yes"/>
    <s v="13_14_A'_A"/>
    <x v="8"/>
    <n v="2"/>
    <s v=""/>
    <x v="0"/>
    <x v="0"/>
    <s v="6HB39#Box2_Box5_Box6#InBB"/>
    <s v="6HB39#Box2_Box5_Box6#InBB"/>
    <n v="0"/>
    <n v="0"/>
    <n v="0"/>
  </r>
  <r>
    <n v="871"/>
    <x v="680"/>
    <s v="13-14/A'-A"/>
    <x v="117"/>
    <s v="H-BRACE"/>
    <s v="Yes"/>
    <s v="13_14_A'_A"/>
    <x v="8"/>
    <n v="2"/>
    <s v=""/>
    <x v="0"/>
    <x v="0"/>
    <s v="6HB40#Box2_Box5_Box6#InBB"/>
    <s v="6HB40#Box2_Box5_Box6#InBB"/>
    <n v="0"/>
    <n v="0"/>
    <n v="0"/>
  </r>
  <r>
    <n v="872"/>
    <x v="681"/>
    <s v="13-14/B&gt;"/>
    <x v="117"/>
    <s v="H-BRACE"/>
    <s v="Yes"/>
    <s v="13_14_B&gt;"/>
    <x v="6"/>
    <n v="2"/>
    <s v="O"/>
    <x v="2"/>
    <x v="2"/>
    <s v="6HB41#Box2#O"/>
    <s v="6HB41#Box2#O"/>
    <n v="0"/>
    <n v="0"/>
    <n v="0"/>
  </r>
  <r>
    <n v="873"/>
    <x v="682"/>
    <s v="13-14/A&quot;-A"/>
    <x v="117"/>
    <s v="H-BRACE"/>
    <s v="Yes"/>
    <s v="13_14_A&quot;_A"/>
    <x v="8"/>
    <n v="2"/>
    <s v=""/>
    <x v="0"/>
    <x v="0"/>
    <s v="6HB42#Box2_Box5_Box6#InBB"/>
    <s v="6HB42#Box2_Box5_Box6#InBB"/>
    <n v="0"/>
    <n v="0"/>
    <n v="0"/>
  </r>
  <r>
    <n v="874"/>
    <x v="683"/>
    <s v="13-14/A'-A"/>
    <x v="117"/>
    <s v="H-BRACE"/>
    <s v="Yes"/>
    <s v="13_14_A'_A"/>
    <x v="8"/>
    <n v="2"/>
    <s v=""/>
    <x v="0"/>
    <x v="0"/>
    <s v="6HB43#Box2_Box5_Box6#InBB"/>
    <s v="6HB43#Box2_Box5_Box6#InBB"/>
    <n v="0"/>
    <n v="0"/>
    <n v="0"/>
  </r>
  <r>
    <n v="875"/>
    <x v="684"/>
    <s v="13-14/A'-A"/>
    <x v="117"/>
    <s v="H-BRACE"/>
    <s v="Yes"/>
    <s v="13_14_A'_A"/>
    <x v="8"/>
    <n v="2"/>
    <s v=""/>
    <x v="0"/>
    <x v="0"/>
    <s v="6HB44#Box2_Box5_Box6#InBB"/>
    <s v="6HB44#Box2_Box5_Box6#InBB"/>
    <n v="0"/>
    <n v="0"/>
    <n v="0"/>
  </r>
  <r>
    <n v="888"/>
    <x v="685"/>
    <s v="13-14/A'-A"/>
    <x v="37"/>
    <s v="STUB COLUMN"/>
    <s v="Yes"/>
    <s v="13_14_A'_A"/>
    <x v="8"/>
    <n v="2"/>
    <s v=""/>
    <x v="0"/>
    <x v="0"/>
    <s v="6SC01#Box2_Box5_Box6#InBB"/>
    <s v="6SC01#Box2_Box5_Box6#InBB"/>
    <n v="0"/>
    <n v="0"/>
    <n v="0"/>
  </r>
  <r>
    <n v="889"/>
    <x v="686"/>
    <s v="13-14/A"/>
    <x v="118"/>
    <s v="STUB COLUMN"/>
    <s v="Yes"/>
    <s v="13_14_A"/>
    <x v="6"/>
    <n v="2"/>
    <s v=""/>
    <x v="3"/>
    <x v="7"/>
    <s v="6SC02#Box2#InB"/>
    <s v="6SC02#Box2#13_14_A"/>
    <n v="0"/>
    <n v="0"/>
    <n v="0"/>
  </r>
  <r>
    <n v="907"/>
    <x v="687"/>
    <s v="12/A"/>
    <x v="119"/>
    <s v="COLUMN"/>
    <s v="Yes"/>
    <s v="12_A"/>
    <x v="6"/>
    <n v="2"/>
    <s v=""/>
    <x v="9"/>
    <x v="5"/>
    <s v="C18#Box2#12_B_A"/>
    <s v="C18#Box2#12_13_A"/>
    <n v="0"/>
    <n v="0"/>
    <n v="0"/>
  </r>
  <r>
    <n v="908"/>
    <x v="688"/>
    <s v="12/A"/>
    <x v="44"/>
    <s v="COLUMN"/>
    <s v="Yes"/>
    <s v="12_A"/>
    <x v="6"/>
    <n v="2"/>
    <s v=""/>
    <x v="9"/>
    <x v="5"/>
    <s v="C19#Box2#12_B_A"/>
    <s v="C19#Box2#12_13_A"/>
    <n v="0"/>
    <n v="0"/>
    <n v="0"/>
  </r>
  <r>
    <n v="909"/>
    <x v="689"/>
    <s v="12/A"/>
    <x v="120"/>
    <s v="COLUMN"/>
    <s v="Yes"/>
    <s v="12_A"/>
    <x v="6"/>
    <n v="2"/>
    <s v=""/>
    <x v="9"/>
    <x v="5"/>
    <s v="C20#Box2#12_B_A"/>
    <s v="C20#Box2#12_13_A"/>
    <n v="0"/>
    <n v="0"/>
    <n v="0"/>
  </r>
  <r>
    <n v="911"/>
    <x v="690"/>
    <s v="12/B"/>
    <x v="119"/>
    <s v="COLUMN"/>
    <s v="Yes"/>
    <s v="12_B"/>
    <x v="6"/>
    <n v="2"/>
    <s v=""/>
    <x v="9"/>
    <x v="6"/>
    <s v="C22#Box2#12_B_A"/>
    <s v="C22#Box2#12_13_B"/>
    <n v="0"/>
    <n v="0"/>
    <n v="0"/>
  </r>
  <r>
    <n v="912"/>
    <x v="691"/>
    <s v="12/B"/>
    <x v="121"/>
    <s v="COLUMN"/>
    <s v="Yes"/>
    <s v="12_B"/>
    <x v="6"/>
    <n v="2"/>
    <s v=""/>
    <x v="9"/>
    <x v="6"/>
    <s v="C23#Box2#12_B_A"/>
    <s v="C23#Box2#12_13_B"/>
    <n v="0"/>
    <n v="0"/>
    <n v="0"/>
  </r>
  <r>
    <n v="918"/>
    <x v="692"/>
    <s v="13/A"/>
    <x v="122"/>
    <s v="COLUMN"/>
    <s v="Yes"/>
    <s v="13_A"/>
    <x v="6"/>
    <n v="2"/>
    <s v=""/>
    <x v="10"/>
    <x v="5"/>
    <s v="C29#Box2#13_B_A"/>
    <s v="C29#Box2#12_13_A"/>
    <n v="0"/>
    <n v="0"/>
    <n v="0"/>
  </r>
  <r>
    <n v="919"/>
    <x v="693"/>
    <s v="13/A"/>
    <x v="123"/>
    <s v="COLUMN"/>
    <s v="Yes"/>
    <s v="13_A"/>
    <x v="6"/>
    <n v="2"/>
    <s v=""/>
    <x v="10"/>
    <x v="5"/>
    <s v="C30#Box2#13_B_A"/>
    <s v="C30#Box2#12_13_A"/>
    <n v="0"/>
    <n v="0"/>
    <n v="0"/>
  </r>
  <r>
    <n v="921"/>
    <x v="694"/>
    <s v="13/B"/>
    <x v="122"/>
    <s v="COLUMN"/>
    <s v="Yes"/>
    <s v="13_B"/>
    <x v="6"/>
    <n v="2"/>
    <s v=""/>
    <x v="10"/>
    <x v="6"/>
    <s v="C32#Box2#13_B_A"/>
    <s v="C32#Box2#12_13_B"/>
    <n v="0"/>
    <n v="0"/>
    <n v="0"/>
  </r>
  <r>
    <n v="922"/>
    <x v="695"/>
    <s v="13/B"/>
    <x v="121"/>
    <s v="COLUMN"/>
    <s v="Yes"/>
    <s v="13_B"/>
    <x v="6"/>
    <n v="2"/>
    <s v=""/>
    <x v="10"/>
    <x v="6"/>
    <s v="C33#Box2#13_B_A"/>
    <s v="C33#Box2#12_13_B"/>
    <n v="0"/>
    <n v="0"/>
    <n v="0"/>
  </r>
  <r>
    <n v="924"/>
    <x v="696"/>
    <s v="13/A"/>
    <x v="49"/>
    <s v="COLUMN"/>
    <s v="Yes"/>
    <s v="13_A"/>
    <x v="6"/>
    <n v="2"/>
    <s v=""/>
    <x v="10"/>
    <x v="5"/>
    <s v="C35#Box2#13_B_A"/>
    <s v="C35#Box2#12_13_A"/>
    <n v="1"/>
    <n v="2423.25"/>
    <n v="0"/>
  </r>
  <r>
    <n v="930"/>
    <x v="306"/>
    <s v="13/A"/>
    <x v="124"/>
    <s v="SPLICE PLATE"/>
    <s v="No"/>
    <s v="13_A"/>
    <x v="6"/>
    <n v="2"/>
    <s v=""/>
    <x v="10"/>
    <x v="5"/>
    <s v="SF01#Box2#13_B_A"/>
    <s v="SF01#Box2#12_13_A"/>
    <n v="1"/>
    <n v="877.94"/>
    <n v="0"/>
  </r>
  <r>
    <n v="933"/>
    <x v="306"/>
    <s v="13/A"/>
    <x v="124"/>
    <s v="SPLICE PLATE"/>
    <s v="No"/>
    <s v="13_A"/>
    <x v="6"/>
    <n v="2"/>
    <s v=""/>
    <x v="10"/>
    <x v="5"/>
    <s v="SF01#Box2#13_B_A"/>
    <s v="SF01#Box2#12_13_A"/>
    <n v="1"/>
    <n v="877.94"/>
    <n v="0"/>
  </r>
  <r>
    <n v="935"/>
    <x v="306"/>
    <s v="13/A"/>
    <x v="124"/>
    <s v="SPLICE PLATE"/>
    <s v="No"/>
    <s v="13_A"/>
    <x v="6"/>
    <n v="2"/>
    <s v=""/>
    <x v="10"/>
    <x v="5"/>
    <s v="SF01#Box2#13_B_A"/>
    <s v="SF01#Box2#12_13_A"/>
    <n v="1"/>
    <n v="877.94"/>
    <n v="0"/>
  </r>
  <r>
    <n v="937"/>
    <x v="306"/>
    <s v="13/B"/>
    <x v="124"/>
    <s v="SPLICE PLATE"/>
    <s v="No"/>
    <s v="13_B"/>
    <x v="6"/>
    <n v="2"/>
    <s v=""/>
    <x v="10"/>
    <x v="6"/>
    <s v="SF01#Box2#13_B_A"/>
    <s v="SF01#Box2#12_13_B"/>
    <n v="1"/>
    <n v="877.94"/>
    <n v="0"/>
  </r>
  <r>
    <n v="938"/>
    <x v="306"/>
    <s v="13/A"/>
    <x v="124"/>
    <s v="SPLICE PLATE"/>
    <s v="No"/>
    <s v="13_A"/>
    <x v="6"/>
    <n v="2"/>
    <s v=""/>
    <x v="10"/>
    <x v="5"/>
    <s v="SF01#Box2#13_B_A"/>
    <s v="SF01#Box2#12_13_A"/>
    <n v="1"/>
    <n v="877.94"/>
    <n v="0"/>
  </r>
  <r>
    <n v="943"/>
    <x v="306"/>
    <s v="13/B"/>
    <x v="124"/>
    <s v="SPLICE PLATE"/>
    <s v="No"/>
    <s v="13_B"/>
    <x v="6"/>
    <n v="2"/>
    <s v=""/>
    <x v="10"/>
    <x v="6"/>
    <s v="SF01#Box2#13_B_A"/>
    <s v="SF01#Box2#12_13_B"/>
    <n v="1"/>
    <n v="877.94"/>
    <n v="0"/>
  </r>
  <r>
    <n v="947"/>
    <x v="306"/>
    <s v="13/B"/>
    <x v="124"/>
    <s v="SPLICE PLATE"/>
    <s v="No"/>
    <s v="13_B"/>
    <x v="6"/>
    <n v="2"/>
    <s v=""/>
    <x v="10"/>
    <x v="6"/>
    <s v="SF01#Box2#13_B_A"/>
    <s v="SF01#Box2#12_13_B"/>
    <n v="1"/>
    <n v="877.94"/>
    <n v="0"/>
  </r>
  <r>
    <n v="950"/>
    <x v="306"/>
    <s v="13/B"/>
    <x v="124"/>
    <s v="SPLICE PLATE"/>
    <s v="No"/>
    <s v="13_B"/>
    <x v="6"/>
    <n v="2"/>
    <s v=""/>
    <x v="10"/>
    <x v="6"/>
    <s v="SF01#Box2#13_B_A"/>
    <s v="SF01#Box2#12_13_B"/>
    <n v="1"/>
    <n v="877.94"/>
    <n v="0"/>
  </r>
  <r>
    <n v="954"/>
    <x v="307"/>
    <s v="12/A"/>
    <x v="53"/>
    <s v="SPLICE PLATE"/>
    <s v="No"/>
    <s v="12_A"/>
    <x v="6"/>
    <n v="2"/>
    <s v=""/>
    <x v="9"/>
    <x v="5"/>
    <s v="SF02#Box2#12_B_A"/>
    <s v="SF02#Box2#12_13_A"/>
    <n v="1"/>
    <n v="1440.79"/>
    <n v="0"/>
  </r>
  <r>
    <n v="955"/>
    <x v="307"/>
    <s v="12/A"/>
    <x v="53"/>
    <s v="SPLICE PLATE"/>
    <s v="No"/>
    <s v="12_A"/>
    <x v="6"/>
    <n v="2"/>
    <s v=""/>
    <x v="9"/>
    <x v="5"/>
    <s v="SF02#Box2#12_B_A"/>
    <s v="SF02#Box2#12_13_A"/>
    <n v="1"/>
    <n v="1440.79"/>
    <n v="0"/>
  </r>
  <r>
    <n v="957"/>
    <x v="307"/>
    <s v="12/A"/>
    <x v="53"/>
    <s v="SPLICE PLATE"/>
    <s v="No"/>
    <s v="12_A"/>
    <x v="6"/>
    <n v="2"/>
    <s v=""/>
    <x v="9"/>
    <x v="5"/>
    <s v="SF02#Box2#12_B_A"/>
    <s v="SF02#Box2#12_13_A"/>
    <n v="1"/>
    <n v="1440.79"/>
    <n v="0"/>
  </r>
  <r>
    <n v="960"/>
    <x v="307"/>
    <s v="12/A"/>
    <x v="53"/>
    <s v="SPLICE PLATE"/>
    <s v="No"/>
    <s v="12_A"/>
    <x v="6"/>
    <n v="2"/>
    <s v=""/>
    <x v="9"/>
    <x v="5"/>
    <s v="SF02#Box2#12_B_A"/>
    <s v="SF02#Box2#12_13_A"/>
    <n v="1"/>
    <n v="1440.79"/>
    <n v="0"/>
  </r>
  <r>
    <n v="962"/>
    <x v="307"/>
    <s v="12/B"/>
    <x v="125"/>
    <s v="SPLICE PLATE"/>
    <s v="No"/>
    <s v="12_B"/>
    <x v="6"/>
    <n v="2"/>
    <s v=""/>
    <x v="9"/>
    <x v="6"/>
    <s v="SF02#Box2#12_B_A"/>
    <s v="SF02#Box2#12_13_B"/>
    <n v="1"/>
    <n v="1440.79"/>
    <n v="0"/>
  </r>
  <r>
    <n v="963"/>
    <x v="307"/>
    <s v="12/B"/>
    <x v="125"/>
    <s v="SPLICE PLATE"/>
    <s v="No"/>
    <s v="12_B"/>
    <x v="6"/>
    <n v="2"/>
    <s v=""/>
    <x v="9"/>
    <x v="6"/>
    <s v="SF02#Box2#12_B_A"/>
    <s v="SF02#Box2#12_13_B"/>
    <n v="1"/>
    <n v="1440.79"/>
    <n v="0"/>
  </r>
  <r>
    <n v="965"/>
    <x v="307"/>
    <s v="12/B"/>
    <x v="125"/>
    <s v="SPLICE PLATE"/>
    <s v="No"/>
    <s v="12_B"/>
    <x v="6"/>
    <n v="2"/>
    <s v=""/>
    <x v="9"/>
    <x v="6"/>
    <s v="SF02#Box2#12_B_A"/>
    <s v="SF02#Box2#12_13_B"/>
    <n v="1"/>
    <n v="1440.79"/>
    <n v="0"/>
  </r>
  <r>
    <n v="966"/>
    <x v="307"/>
    <s v="12/B"/>
    <x v="125"/>
    <s v="SPLICE PLATE"/>
    <s v="No"/>
    <s v="12_B"/>
    <x v="6"/>
    <n v="2"/>
    <s v=""/>
    <x v="9"/>
    <x v="6"/>
    <s v="SF02#Box2#12_B_A"/>
    <s v="SF02#Box2#12_13_B"/>
    <n v="1"/>
    <n v="1440.79"/>
    <n v="0"/>
  </r>
  <r>
    <n v="968"/>
    <x v="307"/>
    <s v="12/A"/>
    <x v="126"/>
    <s v="SPLICE PLATE"/>
    <s v="No"/>
    <s v="12_A"/>
    <x v="6"/>
    <n v="2"/>
    <s v=""/>
    <x v="9"/>
    <x v="5"/>
    <s v="SF02#Box2#12_B_A"/>
    <s v="SF02#Box2#12_13_A"/>
    <n v="1"/>
    <n v="1440.79"/>
    <n v="0"/>
  </r>
  <r>
    <n v="969"/>
    <x v="307"/>
    <s v="12/A"/>
    <x v="126"/>
    <s v="SPLICE PLATE"/>
    <s v="No"/>
    <s v="12_A"/>
    <x v="6"/>
    <n v="2"/>
    <s v=""/>
    <x v="9"/>
    <x v="5"/>
    <s v="SF02#Box2#12_B_A"/>
    <s v="SF02#Box2#12_13_A"/>
    <n v="1"/>
    <n v="1440.79"/>
    <n v="0"/>
  </r>
  <r>
    <n v="971"/>
    <x v="307"/>
    <s v="12/A"/>
    <x v="126"/>
    <s v="SPLICE PLATE"/>
    <s v="No"/>
    <s v="12_A"/>
    <x v="6"/>
    <n v="2"/>
    <s v=""/>
    <x v="9"/>
    <x v="5"/>
    <s v="SF02#Box2#12_B_A"/>
    <s v="SF02#Box2#12_13_A"/>
    <n v="1"/>
    <n v="1440.79"/>
    <n v="0"/>
  </r>
  <r>
    <n v="972"/>
    <x v="307"/>
    <s v="13/A"/>
    <x v="127"/>
    <s v="SPLICE PLATE"/>
    <s v="No"/>
    <s v="13_A"/>
    <x v="6"/>
    <n v="2"/>
    <s v=""/>
    <x v="10"/>
    <x v="5"/>
    <s v="SF02#Box2#13_B_A"/>
    <s v="SF02#Box2#12_13_A"/>
    <n v="1"/>
    <n v="1440.79"/>
    <n v="0"/>
  </r>
  <r>
    <n v="974"/>
    <x v="307"/>
    <s v="12/A"/>
    <x v="126"/>
    <s v="SPLICE PLATE"/>
    <s v="No"/>
    <s v="12_A"/>
    <x v="6"/>
    <n v="2"/>
    <s v=""/>
    <x v="9"/>
    <x v="5"/>
    <s v="SF02#Box2#12_B_A"/>
    <s v="SF02#Box2#12_13_A"/>
    <n v="1"/>
    <n v="1440.79"/>
    <n v="0"/>
  </r>
  <r>
    <n v="975"/>
    <x v="307"/>
    <s v="13/B"/>
    <x v="125"/>
    <s v="SPLICE PLATE"/>
    <s v="No"/>
    <s v="13_B"/>
    <x v="6"/>
    <n v="2"/>
    <s v=""/>
    <x v="10"/>
    <x v="6"/>
    <s v="SF02#Box2#13_B_A"/>
    <s v="SF02#Box2#12_13_B"/>
    <n v="1"/>
    <n v="1440.79"/>
    <n v="0"/>
  </r>
  <r>
    <n v="977"/>
    <x v="307"/>
    <s v="13/A"/>
    <x v="127"/>
    <s v="SPLICE PLATE"/>
    <s v="No"/>
    <s v="13_A"/>
    <x v="6"/>
    <n v="2"/>
    <s v=""/>
    <x v="10"/>
    <x v="5"/>
    <s v="SF02#Box2#13_B_A"/>
    <s v="SF02#Box2#12_13_A"/>
    <n v="1"/>
    <n v="1440.79"/>
    <n v="0"/>
  </r>
  <r>
    <n v="978"/>
    <x v="307"/>
    <s v="13/B"/>
    <x v="125"/>
    <s v="SPLICE PLATE"/>
    <s v="No"/>
    <s v="13_B"/>
    <x v="6"/>
    <n v="2"/>
    <s v=""/>
    <x v="10"/>
    <x v="6"/>
    <s v="SF02#Box2#13_B_A"/>
    <s v="SF02#Box2#12_13_B"/>
    <n v="1"/>
    <n v="1440.79"/>
    <n v="0"/>
  </r>
  <r>
    <n v="980"/>
    <x v="307"/>
    <s v="13/B"/>
    <x v="125"/>
    <s v="SPLICE PLATE"/>
    <s v="No"/>
    <s v="13_B"/>
    <x v="6"/>
    <n v="2"/>
    <s v=""/>
    <x v="10"/>
    <x v="6"/>
    <s v="SF02#Box2#13_B_A"/>
    <s v="SF02#Box2#12_13_B"/>
    <n v="1"/>
    <n v="1440.79"/>
    <n v="0"/>
  </r>
  <r>
    <n v="981"/>
    <x v="307"/>
    <s v="13/A"/>
    <x v="127"/>
    <s v="SPLICE PLATE"/>
    <s v="No"/>
    <s v="13_A"/>
    <x v="6"/>
    <n v="2"/>
    <s v=""/>
    <x v="10"/>
    <x v="5"/>
    <s v="SF02#Box2#13_B_A"/>
    <s v="SF02#Box2#12_13_A"/>
    <n v="1"/>
    <n v="1440.79"/>
    <n v="0"/>
  </r>
  <r>
    <n v="983"/>
    <x v="307"/>
    <s v="13/B"/>
    <x v="125"/>
    <s v="SPLICE PLATE"/>
    <s v="No"/>
    <s v="13_B"/>
    <x v="6"/>
    <n v="2"/>
    <s v=""/>
    <x v="10"/>
    <x v="6"/>
    <s v="SF02#Box2#13_B_A"/>
    <s v="SF02#Box2#12_13_B"/>
    <n v="1"/>
    <n v="1440.79"/>
    <n v="0"/>
  </r>
  <r>
    <n v="986"/>
    <x v="307"/>
    <s v="13/A"/>
    <x v="127"/>
    <s v="SPLICE PLATE"/>
    <s v="No"/>
    <s v="13_A"/>
    <x v="6"/>
    <n v="2"/>
    <s v=""/>
    <x v="10"/>
    <x v="5"/>
    <s v="SF02#Box2#13_B_A"/>
    <s v="SF02#Box2#12_13_A"/>
    <n v="1"/>
    <n v="1440.79"/>
    <n v="0"/>
  </r>
  <r>
    <n v="1029"/>
    <x v="308"/>
    <s v="13/A"/>
    <x v="124"/>
    <s v="SPLICE PLATE"/>
    <s v="No"/>
    <s v="13_A"/>
    <x v="6"/>
    <n v="2"/>
    <s v=""/>
    <x v="10"/>
    <x v="5"/>
    <s v="SF03#Box2#13_B_A"/>
    <s v="SF03#Box2#12_13_A"/>
    <n v="1"/>
    <n v="1316.92"/>
    <n v="0"/>
  </r>
  <r>
    <n v="1030"/>
    <x v="308"/>
    <s v="13/B"/>
    <x v="124"/>
    <s v="SPLICE PLATE"/>
    <s v="No"/>
    <s v="13_B"/>
    <x v="6"/>
    <n v="2"/>
    <s v=""/>
    <x v="10"/>
    <x v="6"/>
    <s v="SF03#Box2#13_B_A"/>
    <s v="SF03#Box2#12_13_B"/>
    <n v="1"/>
    <n v="1316.92"/>
    <n v="0"/>
  </r>
  <r>
    <n v="1033"/>
    <x v="308"/>
    <s v="13/B"/>
    <x v="124"/>
    <s v="SPLICE PLATE"/>
    <s v="No"/>
    <s v="13_B"/>
    <x v="6"/>
    <n v="2"/>
    <s v=""/>
    <x v="10"/>
    <x v="6"/>
    <s v="SF03#Box2#13_B_A"/>
    <s v="SF03#Box2#12_13_B"/>
    <n v="1"/>
    <n v="1316.92"/>
    <n v="0"/>
  </r>
  <r>
    <n v="1034"/>
    <x v="308"/>
    <s v="13/A"/>
    <x v="124"/>
    <s v="SPLICE PLATE"/>
    <s v="No"/>
    <s v="13_A"/>
    <x v="6"/>
    <n v="2"/>
    <s v=""/>
    <x v="10"/>
    <x v="5"/>
    <s v="SF03#Box2#13_B_A"/>
    <s v="SF03#Box2#12_13_A"/>
    <n v="1"/>
    <n v="1316.92"/>
    <n v="0"/>
  </r>
  <r>
    <n v="1051"/>
    <x v="309"/>
    <s v="12/A"/>
    <x v="53"/>
    <s v="SPLICE PLATE"/>
    <s v="No"/>
    <s v="12_A"/>
    <x v="6"/>
    <n v="2"/>
    <s v=""/>
    <x v="9"/>
    <x v="5"/>
    <s v="SF04#Box2#12_B_A"/>
    <s v="SF04#Box2#12_13_A"/>
    <n v="1"/>
    <n v="2104.31"/>
    <n v="0"/>
  </r>
  <r>
    <n v="1057"/>
    <x v="309"/>
    <s v="12/A"/>
    <x v="53"/>
    <s v="SPLICE PLATE"/>
    <s v="No"/>
    <s v="12_A"/>
    <x v="6"/>
    <n v="2"/>
    <s v=""/>
    <x v="9"/>
    <x v="5"/>
    <s v="SF04#Box2#12_B_A"/>
    <s v="SF04#Box2#12_13_A"/>
    <n v="1"/>
    <n v="2104.31"/>
    <n v="0"/>
  </r>
  <r>
    <n v="1060"/>
    <x v="309"/>
    <s v="13/B"/>
    <x v="125"/>
    <s v="SPLICE PLATE"/>
    <s v="No"/>
    <s v="13_B"/>
    <x v="6"/>
    <n v="2"/>
    <s v=""/>
    <x v="10"/>
    <x v="6"/>
    <s v="SF04#Box2#13_B_A"/>
    <s v="SF04#Box2#12_13_B"/>
    <n v="1"/>
    <n v="2104.31"/>
    <n v="0"/>
  </r>
  <r>
    <n v="1063"/>
    <x v="309"/>
    <s v="12/B"/>
    <x v="125"/>
    <s v="SPLICE PLATE"/>
    <s v="No"/>
    <s v="12_B"/>
    <x v="6"/>
    <n v="2"/>
    <s v=""/>
    <x v="9"/>
    <x v="6"/>
    <s v="SF04#Box2#12_B_A"/>
    <s v="SF04#Box2#12_13_B"/>
    <n v="1"/>
    <n v="2104.31"/>
    <n v="0"/>
  </r>
  <r>
    <n v="1066"/>
    <x v="309"/>
    <s v="13/B"/>
    <x v="125"/>
    <s v="SPLICE PLATE"/>
    <s v="No"/>
    <s v="13_B"/>
    <x v="6"/>
    <n v="2"/>
    <s v=""/>
    <x v="10"/>
    <x v="6"/>
    <s v="SF04#Box2#13_B_A"/>
    <s v="SF04#Box2#12_13_B"/>
    <n v="1"/>
    <n v="2104.31"/>
    <n v="0"/>
  </r>
  <r>
    <n v="1069"/>
    <x v="309"/>
    <s v="12/B"/>
    <x v="125"/>
    <s v="SPLICE PLATE"/>
    <s v="No"/>
    <s v="12_B"/>
    <x v="6"/>
    <n v="2"/>
    <s v=""/>
    <x v="9"/>
    <x v="6"/>
    <s v="SF04#Box2#12_B_A"/>
    <s v="SF04#Box2#12_13_B"/>
    <n v="1"/>
    <n v="2104.31"/>
    <n v="0"/>
  </r>
  <r>
    <n v="1071"/>
    <x v="309"/>
    <s v="13/A"/>
    <x v="127"/>
    <s v="SPLICE PLATE"/>
    <s v="No"/>
    <s v="13_A"/>
    <x v="6"/>
    <n v="2"/>
    <s v=""/>
    <x v="10"/>
    <x v="5"/>
    <s v="SF04#Box2#13_B_A"/>
    <s v="SF04#Box2#12_13_A"/>
    <n v="1"/>
    <n v="2104.31"/>
    <n v="0"/>
  </r>
  <r>
    <n v="1072"/>
    <x v="309"/>
    <s v="12/A"/>
    <x v="126"/>
    <s v="SPLICE PLATE"/>
    <s v="No"/>
    <s v="12_A"/>
    <x v="6"/>
    <n v="2"/>
    <s v=""/>
    <x v="9"/>
    <x v="5"/>
    <s v="SF04#Box2#12_B_A"/>
    <s v="SF04#Box2#12_13_A"/>
    <n v="1"/>
    <n v="2104.31"/>
    <n v="0"/>
  </r>
  <r>
    <n v="1074"/>
    <x v="309"/>
    <s v="13/A"/>
    <x v="127"/>
    <s v="SPLICE PLATE"/>
    <s v="No"/>
    <s v="13_A"/>
    <x v="6"/>
    <n v="2"/>
    <s v=""/>
    <x v="10"/>
    <x v="5"/>
    <s v="SF04#Box2#13_B_A"/>
    <s v="SF04#Box2#12_13_A"/>
    <n v="1"/>
    <n v="2104.31"/>
    <n v="0"/>
  </r>
  <r>
    <n v="1075"/>
    <x v="309"/>
    <s v="12/A"/>
    <x v="126"/>
    <s v="SPLICE PLATE"/>
    <s v="No"/>
    <s v="12_A"/>
    <x v="6"/>
    <n v="2"/>
    <s v=""/>
    <x v="9"/>
    <x v="5"/>
    <s v="SF04#Box2#12_B_A"/>
    <s v="SF04#Box2#12_13_A"/>
    <n v="1"/>
    <n v="2104.31"/>
    <n v="0"/>
  </r>
  <r>
    <n v="1089"/>
    <x v="697"/>
    <s v="12/A"/>
    <x v="128"/>
    <s v="SPLICE PLATE"/>
    <s v="No"/>
    <s v="12_A"/>
    <x v="6"/>
    <n v="2"/>
    <s v=""/>
    <x v="9"/>
    <x v="5"/>
    <s v="SF07#Box2#12_B_A"/>
    <s v="SF07#Box2#12_13_A"/>
    <n v="1"/>
    <n v="567.08000000000004"/>
    <n v="0"/>
  </r>
  <r>
    <n v="1090"/>
    <x v="697"/>
    <s v="12/A"/>
    <x v="128"/>
    <s v="SPLICE PLATE"/>
    <s v="No"/>
    <s v="12_A"/>
    <x v="6"/>
    <n v="2"/>
    <s v=""/>
    <x v="9"/>
    <x v="5"/>
    <s v="SF07#Box2#12_B_A"/>
    <s v="SF07#Box2#12_13_A"/>
    <n v="1"/>
    <n v="567.08000000000004"/>
    <n v="0"/>
  </r>
  <r>
    <n v="1091"/>
    <x v="697"/>
    <s v="12/B"/>
    <x v="128"/>
    <s v="SPLICE PLATE"/>
    <s v="No"/>
    <s v="12_B"/>
    <x v="6"/>
    <n v="2"/>
    <s v=""/>
    <x v="9"/>
    <x v="6"/>
    <s v="SF07#Box2#12_B_A"/>
    <s v="SF07#Box2#12_13_B"/>
    <n v="1"/>
    <n v="567.08000000000004"/>
    <n v="0"/>
  </r>
  <r>
    <n v="1092"/>
    <x v="697"/>
    <s v="12/B"/>
    <x v="128"/>
    <s v="SPLICE PLATE"/>
    <s v="No"/>
    <s v="12_B"/>
    <x v="6"/>
    <n v="2"/>
    <s v=""/>
    <x v="9"/>
    <x v="6"/>
    <s v="SF07#Box2#12_B_A"/>
    <s v="SF07#Box2#12_13_B"/>
    <n v="1"/>
    <n v="567.08000000000004"/>
    <n v="0"/>
  </r>
  <r>
    <n v="1093"/>
    <x v="697"/>
    <s v="12/A"/>
    <x v="128"/>
    <s v="SPLICE PLATE"/>
    <s v="No"/>
    <s v="12_A"/>
    <x v="6"/>
    <n v="2"/>
    <s v=""/>
    <x v="9"/>
    <x v="5"/>
    <s v="SF07#Box2#12_B_A"/>
    <s v="SF07#Box2#12_13_A"/>
    <n v="1"/>
    <n v="567.08000000000004"/>
    <n v="0"/>
  </r>
  <r>
    <n v="1094"/>
    <x v="697"/>
    <s v="12/A"/>
    <x v="128"/>
    <s v="SPLICE PLATE"/>
    <s v="No"/>
    <s v="12_A"/>
    <x v="6"/>
    <n v="2"/>
    <s v=""/>
    <x v="9"/>
    <x v="5"/>
    <s v="SF07#Box2#12_B_A"/>
    <s v="SF07#Box2#12_13_A"/>
    <n v="1"/>
    <n v="567.08000000000004"/>
    <n v="0"/>
  </r>
  <r>
    <n v="1095"/>
    <x v="697"/>
    <s v="12/B"/>
    <x v="128"/>
    <s v="SPLICE PLATE"/>
    <s v="No"/>
    <s v="12_B"/>
    <x v="6"/>
    <n v="2"/>
    <s v=""/>
    <x v="9"/>
    <x v="6"/>
    <s v="SF07#Box2#12_B_A"/>
    <s v="SF07#Box2#12_13_B"/>
    <n v="1"/>
    <n v="567.08000000000004"/>
    <n v="0"/>
  </r>
  <r>
    <n v="1096"/>
    <x v="697"/>
    <s v="12/B"/>
    <x v="128"/>
    <s v="SPLICE PLATE"/>
    <s v="No"/>
    <s v="12_B"/>
    <x v="6"/>
    <n v="2"/>
    <s v=""/>
    <x v="9"/>
    <x v="6"/>
    <s v="SF07#Box2#12_B_A"/>
    <s v="SF07#Box2#12_13_B"/>
    <n v="1"/>
    <n v="567.08000000000004"/>
    <n v="0"/>
  </r>
  <r>
    <n v="1097"/>
    <x v="698"/>
    <s v="12/A"/>
    <x v="128"/>
    <s v="SPLICE PLATE"/>
    <s v="No"/>
    <s v="12_A"/>
    <x v="6"/>
    <n v="2"/>
    <s v=""/>
    <x v="9"/>
    <x v="5"/>
    <s v="SF08#Box2#12_B_A"/>
    <s v="SF08#Box2#12_13_A"/>
    <n v="1"/>
    <n v="756.11"/>
    <n v="0"/>
  </r>
  <r>
    <n v="1098"/>
    <x v="698"/>
    <s v="12/A"/>
    <x v="128"/>
    <s v="SPLICE PLATE"/>
    <s v="No"/>
    <s v="12_A"/>
    <x v="6"/>
    <n v="2"/>
    <s v=""/>
    <x v="9"/>
    <x v="5"/>
    <s v="SF08#Box2#12_B_A"/>
    <s v="SF08#Box2#12_13_A"/>
    <n v="1"/>
    <n v="756.11"/>
    <n v="0"/>
  </r>
  <r>
    <n v="1099"/>
    <x v="698"/>
    <s v="12/B"/>
    <x v="128"/>
    <s v="SPLICE PLATE"/>
    <s v="No"/>
    <s v="12_B"/>
    <x v="6"/>
    <n v="2"/>
    <s v=""/>
    <x v="9"/>
    <x v="6"/>
    <s v="SF08#Box2#12_B_A"/>
    <s v="SF08#Box2#12_13_B"/>
    <n v="1"/>
    <n v="756.11"/>
    <n v="0"/>
  </r>
  <r>
    <n v="1100"/>
    <x v="698"/>
    <s v="12/B"/>
    <x v="128"/>
    <s v="SPLICE PLATE"/>
    <s v="No"/>
    <s v="12_B"/>
    <x v="6"/>
    <n v="2"/>
    <s v=""/>
    <x v="9"/>
    <x v="6"/>
    <s v="SF08#Box2#12_B_A"/>
    <s v="SF08#Box2#12_13_B"/>
    <n v="1"/>
    <n v="756.11"/>
    <n v="0"/>
  </r>
  <r>
    <n v="1125"/>
    <x v="312"/>
    <s v="13/A"/>
    <x v="124"/>
    <s v="SPLICE PLATE"/>
    <s v="No"/>
    <s v="13_A"/>
    <x v="6"/>
    <n v="2"/>
    <s v=""/>
    <x v="10"/>
    <x v="5"/>
    <s v="SF11#Box2#13_B_A"/>
    <s v="SF11#Box2#12_13_A"/>
    <n v="0"/>
    <n v="0"/>
    <n v="0"/>
  </r>
  <r>
    <n v="1126"/>
    <x v="312"/>
    <s v="13/A"/>
    <x v="124"/>
    <s v="SPLICE PLATE"/>
    <s v="No"/>
    <s v="13_A"/>
    <x v="6"/>
    <n v="2"/>
    <s v=""/>
    <x v="10"/>
    <x v="5"/>
    <s v="SF11#Box2#13_B_A"/>
    <s v="SF11#Box2#12_13_A"/>
    <n v="0"/>
    <n v="0"/>
    <n v="0"/>
  </r>
  <r>
    <n v="1133"/>
    <x v="314"/>
    <s v="13/B"/>
    <x v="124"/>
    <s v="SPLICE PLATE"/>
    <s v="No"/>
    <s v="13_B"/>
    <x v="6"/>
    <n v="2"/>
    <s v=""/>
    <x v="10"/>
    <x v="6"/>
    <s v="SF13#Box2#13_B_A"/>
    <s v="SF13#Box2#12_13_B"/>
    <n v="0"/>
    <n v="0"/>
    <n v="0"/>
  </r>
  <r>
    <n v="1136"/>
    <x v="314"/>
    <s v="13/B"/>
    <x v="124"/>
    <s v="SPLICE PLATE"/>
    <s v="No"/>
    <s v="13_B"/>
    <x v="6"/>
    <n v="2"/>
    <s v=""/>
    <x v="10"/>
    <x v="6"/>
    <s v="SF13#Box2#13_B_A"/>
    <s v="SF13#Box2#12_13_B"/>
    <n v="0"/>
    <n v="0"/>
    <n v="0"/>
  </r>
  <r>
    <n v="1139"/>
    <x v="315"/>
    <s v="13/A"/>
    <x v="129"/>
    <s v="SPLICE PLATE"/>
    <s v="No"/>
    <s v="13_A"/>
    <x v="6"/>
    <n v="2"/>
    <s v=""/>
    <x v="10"/>
    <x v="5"/>
    <s v="SW01#Box2#13_B_A"/>
    <s v="SW01#Box2#12_13_A"/>
    <n v="0"/>
    <n v="0"/>
    <n v="0"/>
  </r>
  <r>
    <n v="1140"/>
    <x v="315"/>
    <s v="13/B"/>
    <x v="129"/>
    <s v="SPLICE PLATE"/>
    <s v="No"/>
    <s v="13_B"/>
    <x v="6"/>
    <n v="2"/>
    <s v=""/>
    <x v="10"/>
    <x v="6"/>
    <s v="SW01#Box2#13_B_A"/>
    <s v="SW01#Box2#12_13_B"/>
    <n v="0"/>
    <n v="0"/>
    <n v="0"/>
  </r>
  <r>
    <n v="1143"/>
    <x v="315"/>
    <s v="13/B"/>
    <x v="129"/>
    <s v="SPLICE PLATE"/>
    <s v="No"/>
    <s v="13_B"/>
    <x v="6"/>
    <n v="2"/>
    <s v=""/>
    <x v="10"/>
    <x v="6"/>
    <s v="SW01#Box2#13_B_A"/>
    <s v="SW01#Box2#12_13_B"/>
    <n v="0"/>
    <n v="0"/>
    <n v="0"/>
  </r>
  <r>
    <n v="1144"/>
    <x v="315"/>
    <s v="13/A"/>
    <x v="129"/>
    <s v="SPLICE PLATE"/>
    <s v="No"/>
    <s v="13_A"/>
    <x v="6"/>
    <n v="2"/>
    <s v=""/>
    <x v="10"/>
    <x v="5"/>
    <s v="SW01#Box2#13_B_A"/>
    <s v="SW01#Box2#12_13_A"/>
    <n v="0"/>
    <n v="0"/>
    <n v="0"/>
  </r>
  <r>
    <n v="1151"/>
    <x v="316"/>
    <s v="13/A"/>
    <x v="130"/>
    <s v="SPLICE PLATE"/>
    <s v="No"/>
    <s v="13_A"/>
    <x v="6"/>
    <n v="2"/>
    <s v=""/>
    <x v="10"/>
    <x v="5"/>
    <s v="SW02#Box2#13_B_A"/>
    <s v="SW02#Box2#12_13_A"/>
    <n v="0"/>
    <n v="0"/>
    <n v="0"/>
  </r>
  <r>
    <n v="1154"/>
    <x v="316"/>
    <s v="12/A"/>
    <x v="62"/>
    <s v="SPLICE PLATE"/>
    <s v="No"/>
    <s v="12_A"/>
    <x v="6"/>
    <n v="2"/>
    <s v=""/>
    <x v="9"/>
    <x v="5"/>
    <s v="SW02#Box2#12_B_A"/>
    <s v="SW02#Box2#12_13_A"/>
    <n v="0"/>
    <n v="0"/>
    <n v="0"/>
  </r>
  <r>
    <n v="1159"/>
    <x v="316"/>
    <s v="13/B"/>
    <x v="131"/>
    <s v="SPLICE PLATE"/>
    <s v="No"/>
    <s v="13_B"/>
    <x v="6"/>
    <n v="2"/>
    <s v=""/>
    <x v="10"/>
    <x v="6"/>
    <s v="SW02#Box2#13_B_A"/>
    <s v="SW02#Box2#12_13_B"/>
    <n v="0"/>
    <n v="0"/>
    <n v="0"/>
  </r>
  <r>
    <n v="1162"/>
    <x v="316"/>
    <s v="12/A"/>
    <x v="62"/>
    <s v="SPLICE PLATE"/>
    <s v="No"/>
    <s v="12_A"/>
    <x v="6"/>
    <n v="2"/>
    <s v=""/>
    <x v="9"/>
    <x v="5"/>
    <s v="SW02#Box2#12_B_A"/>
    <s v="SW02#Box2#12_13_A"/>
    <n v="0"/>
    <n v="0"/>
    <n v="0"/>
  </r>
  <r>
    <n v="1168"/>
    <x v="316"/>
    <s v="13/B"/>
    <x v="131"/>
    <s v="SPLICE PLATE"/>
    <s v="No"/>
    <s v="13_B"/>
    <x v="6"/>
    <n v="2"/>
    <s v=""/>
    <x v="10"/>
    <x v="6"/>
    <s v="SW02#Box2#13_B_A"/>
    <s v="SW02#Box2#12_13_B"/>
    <n v="0"/>
    <n v="0"/>
    <n v="0"/>
  </r>
  <r>
    <n v="1171"/>
    <x v="316"/>
    <s v="12/B"/>
    <x v="131"/>
    <s v="SPLICE PLATE"/>
    <s v="No"/>
    <s v="12_B"/>
    <x v="6"/>
    <n v="2"/>
    <s v=""/>
    <x v="9"/>
    <x v="6"/>
    <s v="SW02#Box2#12_B_A"/>
    <s v="SW02#Box2#12_13_B"/>
    <n v="0"/>
    <n v="0"/>
    <n v="0"/>
  </r>
  <r>
    <n v="1174"/>
    <x v="316"/>
    <s v="13/A"/>
    <x v="130"/>
    <s v="SPLICE PLATE"/>
    <s v="No"/>
    <s v="13_A"/>
    <x v="6"/>
    <n v="2"/>
    <s v=""/>
    <x v="10"/>
    <x v="5"/>
    <s v="SW02#Box2#13_B_A"/>
    <s v="SW02#Box2#12_13_A"/>
    <n v="0"/>
    <n v="0"/>
    <n v="0"/>
  </r>
  <r>
    <n v="1177"/>
    <x v="316"/>
    <s v="12/A"/>
    <x v="132"/>
    <s v="SPLICE PLATE"/>
    <s v="No"/>
    <s v="12_A"/>
    <x v="6"/>
    <n v="2"/>
    <s v=""/>
    <x v="9"/>
    <x v="5"/>
    <s v="SW02#Box2#12_B_A"/>
    <s v="SW02#Box2#12_13_A"/>
    <n v="0"/>
    <n v="0"/>
    <n v="0"/>
  </r>
  <r>
    <n v="1180"/>
    <x v="316"/>
    <s v="12/B"/>
    <x v="131"/>
    <s v="SPLICE PLATE"/>
    <s v="No"/>
    <s v="12_B"/>
    <x v="6"/>
    <n v="2"/>
    <s v=""/>
    <x v="9"/>
    <x v="6"/>
    <s v="SW02#Box2#12_B_A"/>
    <s v="SW02#Box2#12_13_B"/>
    <n v="0"/>
    <n v="0"/>
    <n v="0"/>
  </r>
  <r>
    <n v="1186"/>
    <x v="316"/>
    <s v="12/A"/>
    <x v="132"/>
    <s v="SPLICE PLATE"/>
    <s v="No"/>
    <s v="12_A"/>
    <x v="6"/>
    <n v="2"/>
    <s v=""/>
    <x v="9"/>
    <x v="5"/>
    <s v="SW02#Box2#12_B_A"/>
    <s v="SW02#Box2#12_13_A"/>
    <n v="0"/>
    <n v="0"/>
    <n v="0"/>
  </r>
  <r>
    <n v="1188"/>
    <x v="317"/>
    <s v="12/B"/>
    <x v="133"/>
    <s v="SPLICE PLATE"/>
    <s v="No"/>
    <s v="12_B"/>
    <x v="6"/>
    <n v="2"/>
    <s v=""/>
    <x v="9"/>
    <x v="6"/>
    <s v="SW03#Box2#12_B_A"/>
    <s v="SW03#Box2#12_13_B"/>
    <n v="0"/>
    <n v="0"/>
    <n v="0"/>
  </r>
  <r>
    <n v="1189"/>
    <x v="317"/>
    <s v="12/A"/>
    <x v="133"/>
    <s v="SPLICE PLATE"/>
    <s v="No"/>
    <s v="12_A"/>
    <x v="6"/>
    <n v="2"/>
    <s v=""/>
    <x v="9"/>
    <x v="5"/>
    <s v="SW03#Box2#12_B_A"/>
    <s v="SW03#Box2#12_13_A"/>
    <n v="0"/>
    <n v="0"/>
    <n v="0"/>
  </r>
  <r>
    <n v="1192"/>
    <x v="317"/>
    <s v="12/B"/>
    <x v="133"/>
    <s v="SPLICE PLATE"/>
    <s v="No"/>
    <s v="12_B"/>
    <x v="6"/>
    <n v="2"/>
    <s v=""/>
    <x v="9"/>
    <x v="6"/>
    <s v="SW03#Box2#12_B_A"/>
    <s v="SW03#Box2#12_13_B"/>
    <n v="0"/>
    <n v="0"/>
    <n v="0"/>
  </r>
  <r>
    <n v="1193"/>
    <x v="317"/>
    <s v="12/A"/>
    <x v="133"/>
    <s v="SPLICE PLATE"/>
    <s v="No"/>
    <s v="12_A"/>
    <x v="6"/>
    <n v="2"/>
    <s v=""/>
    <x v="9"/>
    <x v="5"/>
    <s v="SW03#Box2#12_B_A"/>
    <s v="SW03#Box2#12_13_A"/>
    <n v="0"/>
    <n v="0"/>
    <n v="0"/>
  </r>
  <r>
    <n v="1205"/>
    <x v="318"/>
    <s v="13/A"/>
    <x v="129"/>
    <s v="SPLICE PLATE"/>
    <s v="No"/>
    <s v="13_A"/>
    <x v="6"/>
    <n v="2"/>
    <s v=""/>
    <x v="10"/>
    <x v="5"/>
    <s v="SW05#Box2#13_B_A"/>
    <s v="SW05#Box2#12_13_A"/>
    <n v="0"/>
    <n v="0"/>
    <n v="0"/>
  </r>
  <r>
    <n v="1206"/>
    <x v="318"/>
    <s v="13/B"/>
    <x v="129"/>
    <s v="SPLICE PLATE"/>
    <s v="No"/>
    <s v="13_B"/>
    <x v="6"/>
    <n v="2"/>
    <s v=""/>
    <x v="10"/>
    <x v="6"/>
    <s v="SW05#Box2#13_B_A"/>
    <s v="SW05#Box2#12_13_B"/>
    <n v="0"/>
    <n v="0"/>
    <n v="0"/>
  </r>
  <r>
    <n v="1209"/>
    <x v="318"/>
    <s v="13/B"/>
    <x v="129"/>
    <s v="SPLICE PLATE"/>
    <s v="No"/>
    <s v="13_B"/>
    <x v="6"/>
    <n v="2"/>
    <s v=""/>
    <x v="10"/>
    <x v="6"/>
    <s v="SW05#Box2#13_B_A"/>
    <s v="SW05#Box2#12_13_B"/>
    <n v="0"/>
    <n v="0"/>
    <n v="0"/>
  </r>
  <r>
    <n v="1210"/>
    <x v="318"/>
    <s v="13/A"/>
    <x v="129"/>
    <s v="SPLICE PLATE"/>
    <s v="No"/>
    <s v="13_A"/>
    <x v="6"/>
    <n v="2"/>
    <s v=""/>
    <x v="10"/>
    <x v="5"/>
    <s v="SW05#Box2#13_B_A"/>
    <s v="SW05#Box2#12_13_A"/>
    <n v="0"/>
    <n v="0"/>
    <n v="0"/>
  </r>
  <r>
    <n v="1222"/>
    <x v="699"/>
    <s v="13/B"/>
    <x v="134"/>
    <s v="V_BRACE"/>
    <s v="No"/>
    <s v="13_B"/>
    <x v="6"/>
    <n v="2"/>
    <s v=""/>
    <x v="10"/>
    <x v="6"/>
    <s v="VB06#Box2#13_B_A"/>
    <s v="VB06#Box2#12_13_B"/>
    <n v="0"/>
    <n v="0"/>
    <n v="0"/>
  </r>
  <r>
    <n v="1223"/>
    <x v="699"/>
    <s v="12/A"/>
    <x v="134"/>
    <s v="V_BRACE"/>
    <s v="No"/>
    <s v="12_A"/>
    <x v="6"/>
    <n v="2"/>
    <s v=""/>
    <x v="9"/>
    <x v="5"/>
    <s v="VB06#Box2#12_B_A"/>
    <s v="VB06#Box2#12_13_A"/>
    <n v="0"/>
    <n v="0"/>
    <n v="0"/>
  </r>
  <r>
    <n v="1224"/>
    <x v="699"/>
    <s v="12/B"/>
    <x v="134"/>
    <s v="V_BRACE"/>
    <s v="No"/>
    <s v="12_B"/>
    <x v="6"/>
    <n v="2"/>
    <s v=""/>
    <x v="9"/>
    <x v="6"/>
    <s v="VB06#Box2#12_B_A"/>
    <s v="VB06#Box2#12_13_B"/>
    <n v="0"/>
    <n v="0"/>
    <n v="0"/>
  </r>
  <r>
    <n v="1244"/>
    <x v="700"/>
    <s v="12-13/A-B"/>
    <x v="135"/>
    <s v="V_BRACE"/>
    <s v="No"/>
    <s v="12_13_A_B"/>
    <x v="6"/>
    <n v="2"/>
    <s v=""/>
    <x v="3"/>
    <x v="1"/>
    <s v="VB22#Box2#InB"/>
    <s v="VB22#Box2#InB"/>
    <n v="0"/>
    <n v="0"/>
    <n v="0"/>
  </r>
  <r>
    <n v="1245"/>
    <x v="700"/>
    <s v="12-13/A-B"/>
    <x v="135"/>
    <s v="V_BRACE"/>
    <s v="No"/>
    <s v="12_13_A_B"/>
    <x v="6"/>
    <n v="2"/>
    <s v=""/>
    <x v="3"/>
    <x v="1"/>
    <s v="VB22#Box2#InB"/>
    <s v="VB22#Box2#InB"/>
    <n v="0"/>
    <n v="0"/>
    <n v="0"/>
  </r>
  <r>
    <n v="1246"/>
    <x v="700"/>
    <s v="12-13/A-B"/>
    <x v="135"/>
    <s v="V_BRACE"/>
    <s v="No"/>
    <s v="12_13_A_B"/>
    <x v="6"/>
    <n v="2"/>
    <s v=""/>
    <x v="3"/>
    <x v="1"/>
    <s v="VB22#Box2#InB"/>
    <s v="VB22#Box2#InB"/>
    <n v="0"/>
    <n v="0"/>
    <n v="0"/>
  </r>
  <r>
    <n v="1247"/>
    <x v="700"/>
    <s v="12-13/A-B"/>
    <x v="135"/>
    <s v="V_BRACE"/>
    <s v="No"/>
    <s v="12_13_A_B"/>
    <x v="6"/>
    <n v="2"/>
    <s v=""/>
    <x v="3"/>
    <x v="1"/>
    <s v="VB22#Box2#InB"/>
    <s v="VB22#Box2#InB"/>
    <n v="0"/>
    <n v="0"/>
    <n v="0"/>
  </r>
  <r>
    <n v="1248"/>
    <x v="700"/>
    <s v="12-13/A-B"/>
    <x v="135"/>
    <s v="V_BRACE"/>
    <s v="No"/>
    <s v="12_13_A_B"/>
    <x v="6"/>
    <n v="2"/>
    <s v=""/>
    <x v="3"/>
    <x v="1"/>
    <s v="VB22#Box2#InB"/>
    <s v="VB22#Box2#InB"/>
    <n v="0"/>
    <n v="0"/>
    <n v="0"/>
  </r>
  <r>
    <n v="1249"/>
    <x v="700"/>
    <s v="12-13/A-B"/>
    <x v="135"/>
    <s v="V_BRACE"/>
    <s v="No"/>
    <s v="12_13_A_B"/>
    <x v="6"/>
    <n v="2"/>
    <s v=""/>
    <x v="3"/>
    <x v="1"/>
    <s v="VB22#Box2#InB"/>
    <s v="VB22#Box2#InB"/>
    <n v="0"/>
    <n v="0"/>
    <n v="0"/>
  </r>
  <r>
    <n v="1250"/>
    <x v="700"/>
    <s v="12-13/A-B"/>
    <x v="135"/>
    <s v="V_BRACE"/>
    <s v="No"/>
    <s v="12_13_A_B"/>
    <x v="6"/>
    <n v="2"/>
    <s v=""/>
    <x v="3"/>
    <x v="1"/>
    <s v="VB22#Box2#InB"/>
    <s v="VB22#Box2#InB"/>
    <n v="0"/>
    <n v="0"/>
    <n v="0"/>
  </r>
  <r>
    <n v="1251"/>
    <x v="700"/>
    <s v="12-13/A-B"/>
    <x v="135"/>
    <s v="V_BRACE"/>
    <s v="No"/>
    <s v="12_13_A_B"/>
    <x v="6"/>
    <n v="2"/>
    <s v=""/>
    <x v="3"/>
    <x v="1"/>
    <s v="VB22#Box2#InB"/>
    <s v="VB22#Box2#InB"/>
    <n v="0"/>
    <n v="0"/>
    <n v="0"/>
  </r>
  <r>
    <n v="1252"/>
    <x v="700"/>
    <s v="12-13/A-B"/>
    <x v="135"/>
    <s v="V_BRACE"/>
    <s v="No"/>
    <s v="12_13_A_B"/>
    <x v="6"/>
    <n v="2"/>
    <s v=""/>
    <x v="3"/>
    <x v="1"/>
    <s v="VB22#Box2#InB"/>
    <s v="VB22#Box2#InB"/>
    <n v="0"/>
    <n v="0"/>
    <n v="0"/>
  </r>
  <r>
    <n v="1253"/>
    <x v="700"/>
    <s v="12-13/A-B"/>
    <x v="135"/>
    <s v="V_BRACE"/>
    <s v="No"/>
    <s v="12_13_A_B"/>
    <x v="6"/>
    <n v="2"/>
    <s v=""/>
    <x v="3"/>
    <x v="1"/>
    <s v="VB22#Box2#InB"/>
    <s v="VB22#Box2#InB"/>
    <n v="0"/>
    <n v="0"/>
    <n v="0"/>
  </r>
  <r>
    <n v="1254"/>
    <x v="700"/>
    <s v="12-13/A-B"/>
    <x v="135"/>
    <s v="V_BRACE"/>
    <s v="No"/>
    <s v="12_13_A_B"/>
    <x v="6"/>
    <n v="2"/>
    <s v=""/>
    <x v="3"/>
    <x v="1"/>
    <s v="VB22#Box2#InB"/>
    <s v="VB22#Box2#InB"/>
    <n v="0"/>
    <n v="0"/>
    <n v="0"/>
  </r>
  <r>
    <n v="1255"/>
    <x v="700"/>
    <s v="12-13/A-B"/>
    <x v="135"/>
    <s v="V_BRACE"/>
    <s v="No"/>
    <s v="12_13_A_B"/>
    <x v="6"/>
    <n v="2"/>
    <s v=""/>
    <x v="3"/>
    <x v="1"/>
    <s v="VB22#Box2#InB"/>
    <s v="VB22#Box2#InB"/>
    <n v="0"/>
    <n v="0"/>
    <n v="0"/>
  </r>
  <r>
    <n v="1281"/>
    <x v="701"/>
    <s v="12/A'-A"/>
    <x v="136"/>
    <s v="V-BRACE"/>
    <s v="Yes"/>
    <s v="12_A'_A"/>
    <x v="7"/>
    <n v="2"/>
    <s v=""/>
    <x v="0"/>
    <x v="0"/>
    <s v="VB43#Box2_Box5#InBB"/>
    <s v="VB43#Box2_Box5#InBB"/>
    <n v="0"/>
    <n v="0"/>
    <n v="0"/>
  </r>
  <r>
    <n v="1282"/>
    <x v="702"/>
    <s v="12/B&gt;"/>
    <x v="87"/>
    <s v="V-BRACE"/>
    <s v="Yes"/>
    <s v="12_B&gt;"/>
    <x v="6"/>
    <n v="2"/>
    <s v="O"/>
    <x v="2"/>
    <x v="2"/>
    <s v="VB44#Box2#O"/>
    <s v="VB44#Box2#O"/>
    <n v="0"/>
    <n v="0"/>
    <n v="0"/>
  </r>
  <r>
    <n v="1284"/>
    <x v="703"/>
    <s v="12-13/B"/>
    <x v="137"/>
    <s v="V-BRACE"/>
    <s v="No"/>
    <s v="12_13_B"/>
    <x v="6"/>
    <n v="2"/>
    <s v=""/>
    <x v="3"/>
    <x v="6"/>
    <s v="VB46#Box2#InB"/>
    <s v="VB46#Box2#12_13_B"/>
    <n v="0"/>
    <n v="0"/>
    <n v="0"/>
  </r>
  <r>
    <n v="1285"/>
    <x v="703"/>
    <s v="12-13/A"/>
    <x v="137"/>
    <s v="V-BRACE"/>
    <s v="No"/>
    <s v="12_13_A"/>
    <x v="6"/>
    <n v="2"/>
    <s v=""/>
    <x v="3"/>
    <x v="5"/>
    <s v="VB46#Box2#InB"/>
    <s v="VB46#Box2#12_13_A"/>
    <n v="0"/>
    <n v="0"/>
    <n v="0"/>
  </r>
  <r>
    <n v="1291"/>
    <x v="704"/>
    <s v="12-13/A-B"/>
    <x v="94"/>
    <s v="V-BRACE"/>
    <s v="Yes"/>
    <s v="12_13_A_B"/>
    <x v="6"/>
    <n v="2"/>
    <s v=""/>
    <x v="3"/>
    <x v="1"/>
    <s v="VB49#Box2#InB"/>
    <s v="VB49#Box2#InB"/>
    <n v="0"/>
    <n v="0"/>
    <n v="0"/>
  </r>
  <r>
    <n v="1292"/>
    <x v="705"/>
    <s v="12-13/A-B"/>
    <x v="138"/>
    <s v="V-BRACE"/>
    <s v="Yes"/>
    <s v="12_13_A_B"/>
    <x v="6"/>
    <n v="2"/>
    <s v=""/>
    <x v="3"/>
    <x v="1"/>
    <s v="VB50#Box2#InB"/>
    <s v="VB50#Box2#InB"/>
    <n v="0"/>
    <n v="0"/>
    <n v="0"/>
  </r>
  <r>
    <n v="1293"/>
    <x v="706"/>
    <s v="12-13/A"/>
    <x v="134"/>
    <s v="V_BRACE"/>
    <s v="Yes"/>
    <s v="12_13_A"/>
    <x v="6"/>
    <n v="2"/>
    <s v=""/>
    <x v="3"/>
    <x v="5"/>
    <s v="VB51#Box2#InB"/>
    <s v="VB51#Box2#12_13_A"/>
    <n v="0"/>
    <n v="0"/>
    <n v="0"/>
  </r>
  <r>
    <n v="1296"/>
    <x v="707"/>
    <s v="12-13/B"/>
    <x v="134"/>
    <s v="V_BRACE"/>
    <s v="No"/>
    <s v="12_13_B"/>
    <x v="6"/>
    <n v="2"/>
    <s v=""/>
    <x v="3"/>
    <x v="6"/>
    <s v="VB53#Box2#InB"/>
    <s v="VB53#Box2#12_13_B"/>
    <n v="0"/>
    <n v="0"/>
    <n v="0"/>
  </r>
  <r>
    <n v="1297"/>
    <x v="707"/>
    <s v="12-13/B"/>
    <x v="134"/>
    <s v="V_BRACE"/>
    <s v="No"/>
    <s v="12_13_B"/>
    <x v="6"/>
    <n v="2"/>
    <s v=""/>
    <x v="3"/>
    <x v="6"/>
    <s v="VB53#Box2#InB"/>
    <s v="VB53#Box2#12_13_B"/>
    <n v="0"/>
    <n v="0"/>
    <n v="0"/>
  </r>
  <r>
    <n v="1298"/>
    <x v="708"/>
    <s v="12-13/A"/>
    <x v="134"/>
    <s v="V_BRACE"/>
    <s v="Yes"/>
    <s v="12_13_A"/>
    <x v="6"/>
    <n v="2"/>
    <s v=""/>
    <x v="3"/>
    <x v="5"/>
    <s v="VB54#Box2#InB"/>
    <s v="VB54#Box2#12_13_A"/>
    <n v="0"/>
    <n v="0"/>
    <n v="0"/>
  </r>
  <r>
    <n v="1299"/>
    <x v="709"/>
    <s v="13/A"/>
    <x v="134"/>
    <s v="V_BRACE"/>
    <s v="Yes"/>
    <s v="13_A"/>
    <x v="6"/>
    <n v="2"/>
    <s v=""/>
    <x v="10"/>
    <x v="5"/>
    <s v="VB55#Box2#13_B_A"/>
    <s v="VB55#Box2#12_13_A"/>
    <n v="0"/>
    <n v="0"/>
    <n v="0"/>
  </r>
  <r>
    <n v="1300"/>
    <x v="710"/>
    <s v="13/B&gt;"/>
    <x v="91"/>
    <s v="V-BRACE"/>
    <s v="Yes"/>
    <s v="13_B&gt;"/>
    <x v="6"/>
    <n v="2"/>
    <s v="O"/>
    <x v="2"/>
    <x v="2"/>
    <s v="VB56#Box2#O"/>
    <s v="VB56#Box2#O"/>
    <n v="0"/>
    <n v="0"/>
    <n v="0"/>
  </r>
  <r>
    <n v="1301"/>
    <x v="711"/>
    <s v="13/B&gt;"/>
    <x v="75"/>
    <s v="V-BRACE"/>
    <s v="Yes"/>
    <s v="13_B&gt;"/>
    <x v="6"/>
    <n v="2"/>
    <s v="O"/>
    <x v="2"/>
    <x v="2"/>
    <s v="VB57#Box2#O"/>
    <s v="VB57#Box2#O"/>
    <n v="0"/>
    <n v="0"/>
    <n v="0"/>
  </r>
  <r>
    <n v="1302"/>
    <x v="712"/>
    <s v="12-13/A-B"/>
    <x v="139"/>
    <s v="V-BRACE"/>
    <s v="Yes"/>
    <s v="12_13_A_B"/>
    <x v="6"/>
    <n v="2"/>
    <s v=""/>
    <x v="3"/>
    <x v="1"/>
    <s v="VB58#Box2#InB"/>
    <s v="VB58#Box2#InB"/>
    <n v="0"/>
    <n v="0"/>
    <n v="0"/>
  </r>
  <r>
    <n v="1343"/>
    <x v="713"/>
    <s v="12/A'-A"/>
    <x v="72"/>
    <s v="V-BRACE"/>
    <s v="Yes"/>
    <s v="12_A'_A"/>
    <x v="7"/>
    <n v="2"/>
    <s v=""/>
    <x v="0"/>
    <x v="0"/>
    <s v="VB91#Box2_Box5#InBB"/>
    <s v="VB91#Box2_Box5#InBB"/>
    <n v="0"/>
    <n v="0"/>
    <n v="0"/>
  </r>
  <r>
    <n v="1346"/>
    <x v="714"/>
    <s v="12-13/A"/>
    <x v="140"/>
    <s v="VBRACE"/>
    <s v="Yes"/>
    <s v="12_13_A"/>
    <x v="6"/>
    <n v="2"/>
    <s v=""/>
    <x v="3"/>
    <x v="5"/>
    <s v="VB94#Box2#InB"/>
    <s v="VB94#Box2#12_13_A"/>
    <n v="0"/>
    <n v="0"/>
    <n v="0"/>
  </r>
  <r>
    <n v="1352"/>
    <x v="715"/>
    <s v="12-13/B&gt;"/>
    <x v="89"/>
    <s v="V-BRACE"/>
    <s v="No"/>
    <s v="12_13_B&gt;"/>
    <x v="6"/>
    <n v="2"/>
    <s v="O"/>
    <x v="2"/>
    <x v="2"/>
    <s v="VB100#Box2#O"/>
    <s v="VB100#Box2#O"/>
    <n v="0"/>
    <n v="0"/>
    <n v="0"/>
  </r>
  <r>
    <n v="1353"/>
    <x v="715"/>
    <s v="12-13/B&gt;"/>
    <x v="89"/>
    <s v="V-BRACE"/>
    <s v="No"/>
    <s v="12_13_B&gt;"/>
    <x v="6"/>
    <n v="2"/>
    <s v="O"/>
    <x v="2"/>
    <x v="2"/>
    <s v="VB100#Box2#O"/>
    <s v="VB100#Box2#O"/>
    <n v="0"/>
    <n v="0"/>
    <n v="0"/>
  </r>
  <r>
    <n v="1354"/>
    <x v="716"/>
    <s v="12-13/B&gt;"/>
    <x v="137"/>
    <s v="V-BRACE"/>
    <s v="No"/>
    <s v="12_13_B&gt;"/>
    <x v="6"/>
    <n v="2"/>
    <s v="O"/>
    <x v="2"/>
    <x v="2"/>
    <s v="VB101#Box2#O"/>
    <s v="VB101#Box2#O"/>
    <n v="0"/>
    <n v="0"/>
    <n v="0"/>
  </r>
  <r>
    <n v="1355"/>
    <x v="716"/>
    <s v="12-13/B&gt;"/>
    <x v="137"/>
    <s v="V-BRACE"/>
    <s v="No"/>
    <s v="12_13_B&gt;"/>
    <x v="6"/>
    <n v="2"/>
    <s v="O"/>
    <x v="2"/>
    <x v="2"/>
    <s v="VB101#Box2#O"/>
    <s v="VB101#Box2#O"/>
    <n v="0"/>
    <n v="0"/>
    <n v="0"/>
  </r>
  <r>
    <n v="1356"/>
    <x v="717"/>
    <s v="13-14/A-B"/>
    <x v="139"/>
    <s v="V-BRACE"/>
    <s v="Yes"/>
    <s v="13_14_A_B"/>
    <x v="6"/>
    <n v="2"/>
    <s v=""/>
    <x v="3"/>
    <x v="1"/>
    <s v="VB102#Box2#InB"/>
    <s v="VB102#Box2#InB"/>
    <n v="0"/>
    <n v="0"/>
    <n v="0"/>
  </r>
  <r>
    <n v="34"/>
    <x v="718"/>
    <s v="14-15/A-B"/>
    <x v="2"/>
    <s v="BEAM"/>
    <s v="Yes"/>
    <s v="14_15_A_B"/>
    <x v="9"/>
    <n v="3"/>
    <s v=""/>
    <x v="3"/>
    <x v="1"/>
    <s v="1BE20#Box3#InB"/>
    <s v="1BE20#Box3#InB"/>
    <n v="0"/>
    <n v="0"/>
    <n v="0"/>
  </r>
  <r>
    <n v="35"/>
    <x v="719"/>
    <s v="14-15/B&gt;"/>
    <x v="15"/>
    <s v="BEAM"/>
    <s v="Yes"/>
    <s v="14_15_B&gt;"/>
    <x v="10"/>
    <n v="3"/>
    <s v="O"/>
    <x v="2"/>
    <x v="2"/>
    <s v="1BE21#Box3_Box6#O"/>
    <s v="1BE21#Box3_Box6#O"/>
    <n v="0"/>
    <n v="0"/>
    <n v="0"/>
  </r>
  <r>
    <n v="36"/>
    <x v="720"/>
    <s v="15/B&gt;"/>
    <x v="0"/>
    <s v="BEAM"/>
    <s v="Yes"/>
    <s v="15_B&gt;"/>
    <x v="9"/>
    <n v="3"/>
    <s v="O"/>
    <x v="2"/>
    <x v="2"/>
    <s v="1BE22#Box3#O"/>
    <s v="1BE22#Box3#O"/>
    <n v="0"/>
    <n v="0"/>
    <n v="0"/>
  </r>
  <r>
    <n v="37"/>
    <x v="721"/>
    <s v="15&gt;/B"/>
    <x v="0"/>
    <s v="BEAM"/>
    <s v="Yes"/>
    <s v="15&gt;_B"/>
    <x v="9"/>
    <n v="3"/>
    <s v="O"/>
    <x v="2"/>
    <x v="2"/>
    <s v="1BE23#Box3#O"/>
    <s v="1BE23#Box3#O"/>
    <n v="0"/>
    <n v="0"/>
    <n v="0"/>
  </r>
  <r>
    <n v="38"/>
    <x v="722"/>
    <s v="14-15/A"/>
    <x v="0"/>
    <s v="BEAM"/>
    <s v="Yes"/>
    <s v="14_15_A"/>
    <x v="10"/>
    <n v="3"/>
    <s v=""/>
    <x v="0"/>
    <x v="0"/>
    <s v="1BE24#Box3_Box6#InBB"/>
    <s v="1BE24#Box3_Box6#InBB"/>
    <n v="0"/>
    <n v="0"/>
    <n v="0"/>
  </r>
  <r>
    <n v="39"/>
    <x v="723"/>
    <s v="14-15/B"/>
    <x v="0"/>
    <s v="BEAM"/>
    <s v="Yes"/>
    <s v="14_15_B"/>
    <x v="10"/>
    <n v="3"/>
    <s v=""/>
    <x v="0"/>
    <x v="0"/>
    <s v="1BE25#Box3_Box6#InBB"/>
    <s v="1BE25#Box3_Box6#InBB"/>
    <n v="0"/>
    <n v="0"/>
    <n v="0"/>
  </r>
  <r>
    <n v="89"/>
    <x v="724"/>
    <s v="15/A-B"/>
    <x v="0"/>
    <s v="BEAM"/>
    <s v="Yes"/>
    <s v="15_A_B"/>
    <x v="9"/>
    <n v="3"/>
    <s v=""/>
    <x v="11"/>
    <x v="1"/>
    <s v="1BE60#Box3#15_A_B"/>
    <s v="1BE60#Box3#InB"/>
    <n v="0"/>
    <n v="0"/>
    <n v="0"/>
  </r>
  <r>
    <n v="142"/>
    <x v="725"/>
    <s v="14-15/B&gt;"/>
    <x v="0"/>
    <s v="BEAM"/>
    <s v="Yes"/>
    <s v="14_15_B&gt;"/>
    <x v="10"/>
    <n v="3"/>
    <s v="O"/>
    <x v="2"/>
    <x v="2"/>
    <s v="1BE101#Box3_Box6#O"/>
    <s v="1BE101#Box3_Box6#O"/>
    <n v="0"/>
    <n v="0"/>
    <n v="0"/>
  </r>
  <r>
    <n v="143"/>
    <x v="726"/>
    <s v="14-15/B&gt;"/>
    <x v="0"/>
    <s v="BEAM"/>
    <s v="Yes"/>
    <s v="14_15_B&gt;"/>
    <x v="10"/>
    <n v="3"/>
    <s v="O"/>
    <x v="2"/>
    <x v="2"/>
    <s v="1BE102#Box3_Box6#O"/>
    <s v="1BE102#Box3_Box6#O"/>
    <n v="0"/>
    <n v="0"/>
    <n v="0"/>
  </r>
  <r>
    <n v="179"/>
    <x v="727"/>
    <s v="14-15/A-B"/>
    <x v="2"/>
    <s v="H-BRACE"/>
    <s v="Yes"/>
    <s v="14_15_A_B"/>
    <x v="9"/>
    <n v="3"/>
    <s v=""/>
    <x v="3"/>
    <x v="1"/>
    <s v="1HB23#Box3#InB"/>
    <s v="1HB23#Box3#InB"/>
    <n v="0"/>
    <n v="0"/>
    <n v="0"/>
  </r>
  <r>
    <n v="180"/>
    <x v="728"/>
    <s v="14-15/B&gt;"/>
    <x v="8"/>
    <s v="H-BRACE"/>
    <s v="Yes"/>
    <s v="14_15_B&gt;"/>
    <x v="10"/>
    <n v="3"/>
    <s v="O"/>
    <x v="2"/>
    <x v="2"/>
    <s v="1HB24#Box3_Box6#O"/>
    <s v="1HB24#Box3_Box6#O"/>
    <n v="0"/>
    <n v="0"/>
    <n v="0"/>
  </r>
  <r>
    <n v="199"/>
    <x v="729"/>
    <s v="14-15/B&gt;"/>
    <x v="15"/>
    <s v="BEAM"/>
    <s v="Yes"/>
    <s v="14_15_B&gt;"/>
    <x v="10"/>
    <n v="3"/>
    <s v="O"/>
    <x v="2"/>
    <x v="2"/>
    <s v="2BE03#Box3_Box6#O"/>
    <s v="2BE03#Box3_Box6#O"/>
    <n v="0"/>
    <n v="0"/>
    <n v="0"/>
  </r>
  <r>
    <n v="283"/>
    <x v="730"/>
    <s v="14-15/B"/>
    <x v="15"/>
    <s v="BEAM"/>
    <s v="Yes"/>
    <s v="14_15_B"/>
    <x v="10"/>
    <n v="3"/>
    <s v=""/>
    <x v="0"/>
    <x v="0"/>
    <s v="2BE61#Box3_Box6#InBB"/>
    <s v="2BE61#Box3_Box6#InBB"/>
    <n v="0"/>
    <n v="0"/>
    <n v="0"/>
  </r>
  <r>
    <n v="284"/>
    <x v="731"/>
    <s v="14-15/A"/>
    <x v="11"/>
    <s v="BEAM"/>
    <s v="Yes"/>
    <s v="14_15_A"/>
    <x v="10"/>
    <n v="3"/>
    <s v=""/>
    <x v="0"/>
    <x v="0"/>
    <s v="2BE62#Box3_Box6#InBB"/>
    <s v="2BE62#Box3_Box6#InBB"/>
    <n v="0"/>
    <n v="0"/>
    <n v="0"/>
  </r>
  <r>
    <n v="285"/>
    <x v="732"/>
    <s v="14-15/B"/>
    <x v="11"/>
    <s v="BEAM"/>
    <s v="Yes"/>
    <s v="14_15_B"/>
    <x v="10"/>
    <n v="3"/>
    <s v=""/>
    <x v="0"/>
    <x v="0"/>
    <s v="2BE63#Box3_Box6#InBB"/>
    <s v="2BE63#Box3_Box6#InBB"/>
    <n v="0"/>
    <n v="0"/>
    <n v="0"/>
  </r>
  <r>
    <n v="286"/>
    <x v="733"/>
    <s v="14-15/A-B"/>
    <x v="13"/>
    <s v="BEAM"/>
    <s v="Yes"/>
    <s v="14_15_A_B"/>
    <x v="9"/>
    <n v="3"/>
    <s v=""/>
    <x v="3"/>
    <x v="1"/>
    <s v="2BE64#Box3#InB"/>
    <s v="2BE64#Box3#InB"/>
    <n v="0"/>
    <n v="0"/>
    <n v="0"/>
  </r>
  <r>
    <n v="287"/>
    <x v="734"/>
    <s v="14-15/B"/>
    <x v="15"/>
    <s v="BEAM"/>
    <s v="Yes"/>
    <s v="14_15_B"/>
    <x v="10"/>
    <n v="3"/>
    <s v=""/>
    <x v="0"/>
    <x v="0"/>
    <s v="2BE65#Box3_Box6#InBB"/>
    <s v="2BE65#Box3_Box6#InBB"/>
    <n v="0"/>
    <n v="0"/>
    <n v="0"/>
  </r>
  <r>
    <n v="288"/>
    <x v="735"/>
    <s v="15/A-B"/>
    <x v="11"/>
    <s v="BEAM"/>
    <s v="Yes"/>
    <s v="15_A_B"/>
    <x v="9"/>
    <n v="3"/>
    <s v=""/>
    <x v="11"/>
    <x v="1"/>
    <s v="2BE66#Box3#15_A_B"/>
    <s v="2BE66#Box3#InB"/>
    <n v="0"/>
    <n v="0"/>
    <n v="0"/>
  </r>
  <r>
    <n v="292"/>
    <x v="736"/>
    <s v="14-15/B&gt;"/>
    <x v="15"/>
    <s v="BEAM"/>
    <s v="Yes"/>
    <s v="14_15_B&gt;"/>
    <x v="10"/>
    <n v="3"/>
    <s v="O"/>
    <x v="2"/>
    <x v="2"/>
    <s v="2BE70#Box3_Box6#O"/>
    <s v="2BE70#Box3_Box6#O"/>
    <n v="0"/>
    <n v="0"/>
    <n v="0"/>
  </r>
  <r>
    <n v="338"/>
    <x v="737"/>
    <s v="14-15/B&gt;"/>
    <x v="141"/>
    <s v="H-BRACE"/>
    <s v="Yes"/>
    <s v="14_15_B&gt;"/>
    <x v="10"/>
    <n v="3"/>
    <s v="O"/>
    <x v="2"/>
    <x v="2"/>
    <s v="2HB26#Box3_Box6#O"/>
    <s v="2HB26#Box3_Box6#O"/>
    <n v="0"/>
    <n v="0"/>
    <n v="0"/>
  </r>
  <r>
    <n v="340"/>
    <x v="738"/>
    <s v="14-15/A-B"/>
    <x v="13"/>
    <s v="H-BRACE"/>
    <s v="Yes"/>
    <s v="14_15_A_B"/>
    <x v="9"/>
    <n v="3"/>
    <s v=""/>
    <x v="3"/>
    <x v="1"/>
    <s v="2HB28#Box3#InB"/>
    <s v="2HB28#Box3#InB"/>
    <n v="0"/>
    <n v="0"/>
    <n v="0"/>
  </r>
  <r>
    <n v="343"/>
    <x v="739"/>
    <s v="14-15/B&gt;"/>
    <x v="141"/>
    <s v="H-BRACE"/>
    <s v="Yes"/>
    <s v="14_15_B&gt;"/>
    <x v="10"/>
    <n v="3"/>
    <s v="O"/>
    <x v="2"/>
    <x v="2"/>
    <s v="2HB31#Box3_Box6#O"/>
    <s v="2HB31#Box3_Box6#O"/>
    <n v="0"/>
    <n v="0"/>
    <n v="0"/>
  </r>
  <r>
    <n v="348"/>
    <x v="740"/>
    <s v="14-15/B"/>
    <x v="15"/>
    <s v="STUB COLUMN"/>
    <s v="Yes"/>
    <s v="14_15_B"/>
    <x v="10"/>
    <n v="3"/>
    <s v=""/>
    <x v="0"/>
    <x v="0"/>
    <s v="2SC05#Box3_Box6#InBB"/>
    <s v="2SC05#Box3_Box6#InBB"/>
    <n v="0"/>
    <n v="0"/>
    <n v="0"/>
  </r>
  <r>
    <n v="364"/>
    <x v="741"/>
    <s v="15&gt;/B"/>
    <x v="142"/>
    <s v="BEAM"/>
    <s v="Yes"/>
    <s v="15&gt;_B"/>
    <x v="9"/>
    <n v="3"/>
    <s v="O"/>
    <x v="2"/>
    <x v="2"/>
    <s v="3BE11#Box3#O"/>
    <s v="3BE11#Box3#O"/>
    <n v="0"/>
    <n v="0"/>
    <n v="0"/>
  </r>
  <r>
    <n v="403"/>
    <x v="742"/>
    <s v="15&gt;/A-B"/>
    <x v="142"/>
    <s v="BEAM"/>
    <s v="Yes"/>
    <s v="15&gt;_A_B"/>
    <x v="9"/>
    <n v="3"/>
    <s v="O"/>
    <x v="2"/>
    <x v="2"/>
    <s v="3BE45#Box3#O"/>
    <s v="3BE45#Box3#O"/>
    <n v="0"/>
    <n v="0"/>
    <n v="0"/>
  </r>
  <r>
    <n v="419"/>
    <x v="743"/>
    <s v="14-15/A"/>
    <x v="142"/>
    <s v="BEAM"/>
    <s v="Yes"/>
    <s v="14_15_A"/>
    <x v="10"/>
    <n v="3"/>
    <s v=""/>
    <x v="0"/>
    <x v="0"/>
    <s v="3BE61#Box3_Box6#InBB"/>
    <s v="3BE61#Box3_Box6#InBB"/>
    <n v="0"/>
    <n v="0"/>
    <n v="0"/>
  </r>
  <r>
    <n v="420"/>
    <x v="744"/>
    <s v="14-15/B"/>
    <x v="142"/>
    <s v="BEAM"/>
    <s v="Yes"/>
    <s v="14_15_B"/>
    <x v="10"/>
    <n v="3"/>
    <s v=""/>
    <x v="0"/>
    <x v="0"/>
    <s v="3BE62#Box3_Box6#InBB"/>
    <s v="3BE62#Box3_Box6#InBB"/>
    <n v="0"/>
    <n v="0"/>
    <n v="0"/>
  </r>
  <r>
    <n v="421"/>
    <x v="745"/>
    <s v="15/A-B"/>
    <x v="142"/>
    <s v="BEAM"/>
    <s v="Yes"/>
    <s v="15_A_B"/>
    <x v="9"/>
    <n v="3"/>
    <s v=""/>
    <x v="11"/>
    <x v="1"/>
    <s v="3BE63#Box3#15_A_B"/>
    <s v="3BE63#Box3#InB"/>
    <n v="0"/>
    <n v="0"/>
    <n v="0"/>
  </r>
  <r>
    <n v="422"/>
    <x v="746"/>
    <s v="15&gt;/A-B"/>
    <x v="142"/>
    <s v="BEAM"/>
    <s v="No"/>
    <s v="15&gt;_A_B"/>
    <x v="9"/>
    <n v="3"/>
    <s v="O"/>
    <x v="2"/>
    <x v="2"/>
    <s v="3BE64#Box3#O"/>
    <s v="3BE64#Box3#O"/>
    <n v="0"/>
    <n v="0"/>
    <n v="0"/>
  </r>
  <r>
    <n v="423"/>
    <x v="746"/>
    <s v="15&gt;/A-B"/>
    <x v="142"/>
    <s v="BEAM"/>
    <s v="No"/>
    <s v="15&gt;_A_B"/>
    <x v="9"/>
    <n v="3"/>
    <s v="O"/>
    <x v="2"/>
    <x v="2"/>
    <s v="3BE64#Box3#O"/>
    <s v="3BE64#Box3#O"/>
    <n v="0"/>
    <n v="0"/>
    <n v="0"/>
  </r>
  <r>
    <n v="424"/>
    <x v="746"/>
    <s v="15&gt;/A-B"/>
    <x v="142"/>
    <s v="BEAM"/>
    <s v="No"/>
    <s v="15&gt;_A_B"/>
    <x v="9"/>
    <n v="3"/>
    <s v="O"/>
    <x v="2"/>
    <x v="2"/>
    <s v="3BE64#Box3#O"/>
    <s v="3BE64#Box3#O"/>
    <n v="0"/>
    <n v="0"/>
    <n v="0"/>
  </r>
  <r>
    <n v="425"/>
    <x v="747"/>
    <s v="15&gt;/A"/>
    <x v="142"/>
    <s v="BEAM"/>
    <s v="Yes"/>
    <s v="15&gt;_A"/>
    <x v="9"/>
    <n v="3"/>
    <s v="O"/>
    <x v="2"/>
    <x v="2"/>
    <s v="3BE65#Box3#O"/>
    <s v="3BE65#Box3#O"/>
    <n v="0"/>
    <n v="0"/>
    <n v="0"/>
  </r>
  <r>
    <n v="459"/>
    <x v="748"/>
    <s v="15&gt;/A-B"/>
    <x v="143"/>
    <s v="H-BRACE"/>
    <s v="No"/>
    <s v="15&gt;_A_B"/>
    <x v="9"/>
    <n v="3"/>
    <s v="O"/>
    <x v="2"/>
    <x v="2"/>
    <s v="3HB19#Box3#O"/>
    <s v="3HB19#Box3#O"/>
    <n v="0"/>
    <n v="0"/>
    <n v="0"/>
  </r>
  <r>
    <n v="460"/>
    <x v="748"/>
    <s v="15&gt;/A-B"/>
    <x v="143"/>
    <s v="H-BRACE"/>
    <s v="No"/>
    <s v="15&gt;_A_B"/>
    <x v="9"/>
    <n v="3"/>
    <s v="O"/>
    <x v="2"/>
    <x v="2"/>
    <s v="3HB19#Box3#O"/>
    <s v="3HB19#Box3#O"/>
    <n v="0"/>
    <n v="0"/>
    <n v="0"/>
  </r>
  <r>
    <n v="461"/>
    <x v="749"/>
    <s v="15&gt;/A-B"/>
    <x v="143"/>
    <s v="H-BRACE"/>
    <s v="No"/>
    <s v="15&gt;_A_B"/>
    <x v="9"/>
    <n v="3"/>
    <s v="O"/>
    <x v="2"/>
    <x v="2"/>
    <s v="3HB20#Box3#O"/>
    <s v="3HB20#Box3#O"/>
    <n v="0"/>
    <n v="0"/>
    <n v="0"/>
  </r>
  <r>
    <n v="462"/>
    <x v="749"/>
    <s v="15&gt;/A-B"/>
    <x v="143"/>
    <s v="H-BRACE"/>
    <s v="No"/>
    <s v="15&gt;_A_B"/>
    <x v="9"/>
    <n v="3"/>
    <s v="O"/>
    <x v="2"/>
    <x v="2"/>
    <s v="3HB20#Box3#O"/>
    <s v="3HB20#Box3#O"/>
    <n v="0"/>
    <n v="0"/>
    <n v="0"/>
  </r>
  <r>
    <n v="469"/>
    <x v="750"/>
    <s v="15&gt;/B"/>
    <x v="144"/>
    <s v="STUB COLUMN"/>
    <s v="Yes"/>
    <s v="15&gt;_B"/>
    <x v="9"/>
    <n v="3"/>
    <s v="O"/>
    <x v="2"/>
    <x v="2"/>
    <s v="3SC07#Box3#O"/>
    <s v="3SC07#Box3#O"/>
    <n v="0"/>
    <n v="0"/>
    <n v="0"/>
  </r>
  <r>
    <n v="478"/>
    <x v="751"/>
    <s v="14-15/A"/>
    <x v="30"/>
    <s v="STUB COLUMN"/>
    <s v="Yes"/>
    <s v="14_15_A"/>
    <x v="10"/>
    <n v="3"/>
    <s v=""/>
    <x v="0"/>
    <x v="0"/>
    <s v="3SC16#Box3_Box6#InBB"/>
    <s v="3SC16#Box3_Box6#InBB"/>
    <n v="0"/>
    <n v="0"/>
    <n v="0"/>
  </r>
  <r>
    <n v="479"/>
    <x v="752"/>
    <s v="14-15/B"/>
    <x v="30"/>
    <s v="STUB COLUMN"/>
    <s v="Yes"/>
    <s v="14_15_B"/>
    <x v="10"/>
    <n v="3"/>
    <s v=""/>
    <x v="0"/>
    <x v="0"/>
    <s v="3SC17#Box3_Box6#InBB"/>
    <s v="3SC17#Box3_Box6#InBB"/>
    <n v="0"/>
    <n v="0"/>
    <n v="0"/>
  </r>
  <r>
    <n v="480"/>
    <x v="753"/>
    <s v="15&gt;/A"/>
    <x v="144"/>
    <s v="STUB COLUMN"/>
    <s v="Yes"/>
    <s v="15&gt;_A"/>
    <x v="9"/>
    <n v="3"/>
    <s v="O"/>
    <x v="2"/>
    <x v="2"/>
    <s v="3SC18#Box3#O"/>
    <s v="3SC18#Box3#O"/>
    <n v="0"/>
    <n v="0"/>
    <n v="0"/>
  </r>
  <r>
    <n v="489"/>
    <x v="754"/>
    <s v="14-15/B&gt;"/>
    <x v="28"/>
    <s v="BEAM"/>
    <s v="Yes"/>
    <s v="14_15_B&gt;"/>
    <x v="10"/>
    <n v="3"/>
    <s v="O"/>
    <x v="2"/>
    <x v="2"/>
    <s v="4BE09#Box3_Box6#O"/>
    <s v="4BE09#Box3_Box6#O"/>
    <n v="0"/>
    <n v="0"/>
    <n v="0"/>
  </r>
  <r>
    <n v="493"/>
    <x v="755"/>
    <s v="15&gt;/B"/>
    <x v="28"/>
    <s v="BEAM"/>
    <s v="Yes"/>
    <s v="15&gt;_B"/>
    <x v="9"/>
    <n v="3"/>
    <s v="O"/>
    <x v="2"/>
    <x v="2"/>
    <s v="4BE13#Box3#O"/>
    <s v="4BE13#Box3#O"/>
    <n v="0"/>
    <n v="0"/>
    <n v="0"/>
  </r>
  <r>
    <n v="498"/>
    <x v="756"/>
    <s v="15&gt;/A-B"/>
    <x v="144"/>
    <s v="BEAM"/>
    <s v="Yes"/>
    <s v="15&gt;_A_B"/>
    <x v="9"/>
    <n v="3"/>
    <s v="O"/>
    <x v="2"/>
    <x v="2"/>
    <s v="4BE18#Box3#O"/>
    <s v="4BE18#Box3#O"/>
    <n v="0"/>
    <n v="0"/>
    <n v="0"/>
  </r>
  <r>
    <n v="499"/>
    <x v="757"/>
    <s v="15&gt;/B&gt;"/>
    <x v="28"/>
    <s v="BEAM"/>
    <s v="Yes"/>
    <s v="15&gt;_B&gt;"/>
    <x v="9"/>
    <n v="3"/>
    <s v="O"/>
    <x v="2"/>
    <x v="2"/>
    <s v="4BE19#Box3#O"/>
    <s v="4BE19#Box3#O"/>
    <n v="0"/>
    <n v="0"/>
    <n v="0"/>
  </r>
  <r>
    <n v="516"/>
    <x v="758"/>
    <s v="15&gt;/B&gt;"/>
    <x v="28"/>
    <s v="BEAM"/>
    <s v="Yes"/>
    <s v="15&gt;_B&gt;"/>
    <x v="9"/>
    <n v="3"/>
    <s v="O"/>
    <x v="2"/>
    <x v="2"/>
    <s v="4BE36#Box3#O"/>
    <s v="4BE36#Box3#O"/>
    <n v="0"/>
    <n v="0"/>
    <n v="0"/>
  </r>
  <r>
    <n v="517"/>
    <x v="759"/>
    <s v="15&gt;/A"/>
    <x v="144"/>
    <s v="BEAM"/>
    <s v="Yes"/>
    <s v="15&gt;_A"/>
    <x v="9"/>
    <n v="3"/>
    <s v="O"/>
    <x v="2"/>
    <x v="2"/>
    <s v="4BE37#Box3#O"/>
    <s v="4BE37#Box3#O"/>
    <n v="0"/>
    <n v="0"/>
    <n v="0"/>
  </r>
  <r>
    <n v="538"/>
    <x v="760"/>
    <s v="14-15/A-B"/>
    <x v="30"/>
    <s v="BEAM"/>
    <s v="No"/>
    <s v="14_15_A_B"/>
    <x v="9"/>
    <n v="3"/>
    <s v=""/>
    <x v="3"/>
    <x v="1"/>
    <s v="4BE56#Box3#InB"/>
    <s v="4BE56#Box3#InB"/>
    <n v="0"/>
    <n v="0"/>
    <n v="0"/>
  </r>
  <r>
    <n v="539"/>
    <x v="760"/>
    <s v="14-15/A-B"/>
    <x v="30"/>
    <s v="BEAM"/>
    <s v="No"/>
    <s v="14_15_A_B"/>
    <x v="9"/>
    <n v="3"/>
    <s v=""/>
    <x v="3"/>
    <x v="1"/>
    <s v="4BE56#Box3#InB"/>
    <s v="4BE56#Box3#InB"/>
    <n v="0"/>
    <n v="0"/>
    <n v="0"/>
  </r>
  <r>
    <n v="540"/>
    <x v="761"/>
    <s v="14-15/A-B"/>
    <x v="30"/>
    <s v="BEAM"/>
    <s v="No"/>
    <s v="14_15_A_B"/>
    <x v="9"/>
    <n v="3"/>
    <s v=""/>
    <x v="3"/>
    <x v="1"/>
    <s v="4BE57#Box3#InB"/>
    <s v="4BE57#Box3#InB"/>
    <n v="0"/>
    <n v="0"/>
    <n v="0"/>
  </r>
  <r>
    <n v="541"/>
    <x v="761"/>
    <s v="14-15/A-B"/>
    <x v="30"/>
    <s v="BEAM"/>
    <s v="No"/>
    <s v="14_15_A_B"/>
    <x v="9"/>
    <n v="3"/>
    <s v=""/>
    <x v="3"/>
    <x v="1"/>
    <s v="4BE57#Box3#InB"/>
    <s v="4BE57#Box3#InB"/>
    <n v="0"/>
    <n v="0"/>
    <n v="0"/>
  </r>
  <r>
    <n v="543"/>
    <x v="762"/>
    <s v="14-15/B&gt;"/>
    <x v="30"/>
    <s v="BEAM"/>
    <s v="Yes"/>
    <s v="14_15_B&gt;"/>
    <x v="10"/>
    <n v="3"/>
    <s v="O"/>
    <x v="2"/>
    <x v="2"/>
    <s v="4BE59#Box3_Box6#O"/>
    <s v="4BE59#Box3_Box6#O"/>
    <n v="0"/>
    <n v="0"/>
    <n v="0"/>
  </r>
  <r>
    <n v="544"/>
    <x v="763"/>
    <s v="14-15/A-B"/>
    <x v="30"/>
    <s v="BEAM"/>
    <s v="No"/>
    <s v="14_15_A_B"/>
    <x v="9"/>
    <n v="3"/>
    <s v=""/>
    <x v="3"/>
    <x v="1"/>
    <s v="4BE60#Box3#InB"/>
    <s v="4BE60#Box3#InB"/>
    <n v="0"/>
    <n v="0"/>
    <n v="0"/>
  </r>
  <r>
    <n v="545"/>
    <x v="763"/>
    <s v="14-15/A-B"/>
    <x v="30"/>
    <s v="BEAM"/>
    <s v="No"/>
    <s v="14_15_A_B"/>
    <x v="9"/>
    <n v="3"/>
    <s v=""/>
    <x v="3"/>
    <x v="1"/>
    <s v="4BE60#Box3#InB"/>
    <s v="4BE60#Box3#InB"/>
    <n v="0"/>
    <n v="0"/>
    <n v="0"/>
  </r>
  <r>
    <n v="546"/>
    <x v="763"/>
    <s v="14-15/A-B"/>
    <x v="30"/>
    <s v="BEAM"/>
    <s v="No"/>
    <s v="14_15_A_B"/>
    <x v="9"/>
    <n v="3"/>
    <s v=""/>
    <x v="3"/>
    <x v="1"/>
    <s v="4BE60#Box3#InB"/>
    <s v="4BE60#Box3#InB"/>
    <n v="0"/>
    <n v="0"/>
    <n v="0"/>
  </r>
  <r>
    <n v="547"/>
    <x v="764"/>
    <s v="14-15/A"/>
    <x v="30"/>
    <s v="BEAM"/>
    <s v="Yes"/>
    <s v="14_15_A"/>
    <x v="10"/>
    <n v="3"/>
    <s v=""/>
    <x v="0"/>
    <x v="0"/>
    <s v="4BE61#Box3_Box6#InBB"/>
    <s v="4BE61#Box3_Box6#InBB"/>
    <n v="0"/>
    <n v="0"/>
    <n v="0"/>
  </r>
  <r>
    <n v="548"/>
    <x v="765"/>
    <s v="14-15/B"/>
    <x v="30"/>
    <s v="BEAM"/>
    <s v="Yes"/>
    <s v="14_15_B"/>
    <x v="10"/>
    <n v="3"/>
    <s v=""/>
    <x v="0"/>
    <x v="0"/>
    <s v="4BE62#Box3_Box6#InBB"/>
    <s v="4BE62#Box3_Box6#InBB"/>
    <n v="0"/>
    <n v="0"/>
    <n v="0"/>
  </r>
  <r>
    <n v="549"/>
    <x v="766"/>
    <s v="15/A'-A"/>
    <x v="28"/>
    <s v="BEAM"/>
    <s v="Yes"/>
    <s v="15_A'_A"/>
    <x v="10"/>
    <n v="3"/>
    <s v=""/>
    <x v="0"/>
    <x v="0"/>
    <s v="4BE63#Box3_Box6#InBB"/>
    <s v="4BE63#Box3_Box6#InBB"/>
    <n v="0"/>
    <n v="0"/>
    <n v="0"/>
  </r>
  <r>
    <n v="550"/>
    <x v="767"/>
    <s v="14-15/A-B"/>
    <x v="30"/>
    <s v="BEAM"/>
    <s v="Yes"/>
    <s v="14_15_A_B"/>
    <x v="9"/>
    <n v="3"/>
    <s v=""/>
    <x v="3"/>
    <x v="1"/>
    <s v="4BE64#Box3#InB"/>
    <s v="4BE64#Box3#InB"/>
    <n v="0"/>
    <n v="0"/>
    <n v="0"/>
  </r>
  <r>
    <n v="551"/>
    <x v="768"/>
    <s v="15/A-B"/>
    <x v="28"/>
    <s v="BEAM"/>
    <s v="Yes"/>
    <s v="15_A_B"/>
    <x v="9"/>
    <n v="3"/>
    <s v=""/>
    <x v="11"/>
    <x v="1"/>
    <s v="4BE65#Box3#15_A_B"/>
    <s v="4BE65#Box3#InB"/>
    <n v="0"/>
    <n v="0"/>
    <n v="0"/>
  </r>
  <r>
    <n v="552"/>
    <x v="769"/>
    <s v="15/B&gt;"/>
    <x v="28"/>
    <s v="BEAM"/>
    <s v="Yes"/>
    <s v="15_B&gt;"/>
    <x v="9"/>
    <n v="3"/>
    <s v="O"/>
    <x v="2"/>
    <x v="2"/>
    <s v="4BE66#Box3#O"/>
    <s v="4BE66#Box3#O"/>
    <n v="0"/>
    <n v="0"/>
    <n v="0"/>
  </r>
  <r>
    <n v="553"/>
    <x v="770"/>
    <s v="15&gt;/B"/>
    <x v="144"/>
    <s v="BEAM"/>
    <s v="Yes"/>
    <s v="15&gt;_B"/>
    <x v="9"/>
    <n v="3"/>
    <s v="O"/>
    <x v="2"/>
    <x v="2"/>
    <s v="4BE67#Box3#O"/>
    <s v="4BE67#Box3#O"/>
    <n v="0"/>
    <n v="0"/>
    <n v="0"/>
  </r>
  <r>
    <n v="554"/>
    <x v="771"/>
    <s v="14-15/B"/>
    <x v="28"/>
    <s v="BEAM"/>
    <s v="No"/>
    <s v="14_15_B"/>
    <x v="10"/>
    <n v="3"/>
    <s v=""/>
    <x v="0"/>
    <x v="0"/>
    <s v="4BE69#Box3_Box6#InBB"/>
    <s v="4BE69#Box3_Box6#InBB"/>
    <n v="0"/>
    <n v="0"/>
    <n v="0"/>
  </r>
  <r>
    <n v="555"/>
    <x v="771"/>
    <s v="14-15/A"/>
    <x v="28"/>
    <s v="BEAM"/>
    <s v="No"/>
    <s v="14_15_A"/>
    <x v="10"/>
    <n v="3"/>
    <s v=""/>
    <x v="0"/>
    <x v="0"/>
    <s v="4BE69#Box3_Box6#InBB"/>
    <s v="4BE69#Box3_Box6#InBB"/>
    <n v="0"/>
    <n v="0"/>
    <n v="0"/>
  </r>
  <r>
    <n v="558"/>
    <x v="772"/>
    <s v="14-15/A-B"/>
    <x v="28"/>
    <s v="FRAME"/>
    <s v="Yes"/>
    <s v="14_15_A_B"/>
    <x v="9"/>
    <n v="3"/>
    <s v=""/>
    <x v="3"/>
    <x v="1"/>
    <s v="4FR02#Box3#InB"/>
    <s v="4FR02#Box3#InB"/>
    <n v="0"/>
    <n v="0"/>
    <n v="0"/>
  </r>
  <r>
    <n v="604"/>
    <x v="773"/>
    <s v="14-15/B&gt;"/>
    <x v="113"/>
    <s v="H-BRACE"/>
    <s v="Yes"/>
    <s v="14_15_B&gt;"/>
    <x v="10"/>
    <n v="3"/>
    <s v="O"/>
    <x v="2"/>
    <x v="2"/>
    <s v="4HB35#Box3_Box6#O"/>
    <s v="4HB35#Box3_Box6#O"/>
    <n v="0"/>
    <n v="0"/>
    <n v="0"/>
  </r>
  <r>
    <n v="605"/>
    <x v="774"/>
    <s v="14-15/B&gt;"/>
    <x v="112"/>
    <s v="H-BRACE"/>
    <s v="Yes"/>
    <s v="14_15_B&gt;"/>
    <x v="10"/>
    <n v="3"/>
    <s v="O"/>
    <x v="2"/>
    <x v="2"/>
    <s v="4HB36#Box3_Box6#O"/>
    <s v="4HB36#Box3_Box6#O"/>
    <n v="0"/>
    <n v="0"/>
    <n v="0"/>
  </r>
  <r>
    <n v="606"/>
    <x v="775"/>
    <s v="14-15/A-B"/>
    <x v="112"/>
    <s v="H-BRACE"/>
    <s v="Yes"/>
    <s v="14_15_A_B"/>
    <x v="9"/>
    <n v="3"/>
    <s v=""/>
    <x v="3"/>
    <x v="1"/>
    <s v="4HB37#Box3#InB"/>
    <s v="4HB37#Box3#InB"/>
    <n v="0"/>
    <n v="0"/>
    <n v="0"/>
  </r>
  <r>
    <n v="608"/>
    <x v="776"/>
    <s v="14-15/A-B"/>
    <x v="112"/>
    <s v="H-BRACE"/>
    <s v="Yes"/>
    <s v="14_15_A_B"/>
    <x v="9"/>
    <n v="3"/>
    <s v=""/>
    <x v="3"/>
    <x v="1"/>
    <s v="4HB39#Box3#InB"/>
    <s v="4HB39#Box3#InB"/>
    <n v="0"/>
    <n v="0"/>
    <n v="0"/>
  </r>
  <r>
    <n v="609"/>
    <x v="777"/>
    <s v="14-15/A-B"/>
    <x v="112"/>
    <s v="H-BRACE"/>
    <s v="Yes"/>
    <s v="14_15_A_B"/>
    <x v="9"/>
    <n v="3"/>
    <s v=""/>
    <x v="3"/>
    <x v="1"/>
    <s v="4HB40#Box3#InB"/>
    <s v="4HB40#Box3#InB"/>
    <n v="0"/>
    <n v="0"/>
    <n v="0"/>
  </r>
  <r>
    <n v="610"/>
    <x v="778"/>
    <s v="14-15/A-B"/>
    <x v="112"/>
    <s v="H-BRACE"/>
    <s v="Yes"/>
    <s v="14_15_A_B"/>
    <x v="9"/>
    <n v="3"/>
    <s v=""/>
    <x v="3"/>
    <x v="1"/>
    <s v="4HB41#Box3#InB"/>
    <s v="4HB41#Box3#InB"/>
    <n v="0"/>
    <n v="0"/>
    <n v="0"/>
  </r>
  <r>
    <n v="611"/>
    <x v="779"/>
    <s v="14-15/A-B"/>
    <x v="112"/>
    <s v="H-BRACE"/>
    <s v="Yes"/>
    <s v="14_15_A_B"/>
    <x v="9"/>
    <n v="3"/>
    <s v=""/>
    <x v="3"/>
    <x v="1"/>
    <s v="4HB42#Box3#InB"/>
    <s v="4HB42#Box3#InB"/>
    <n v="0"/>
    <n v="0"/>
    <n v="0"/>
  </r>
  <r>
    <n v="612"/>
    <x v="780"/>
    <s v="14-15/A-B"/>
    <x v="112"/>
    <s v="H-BRACE"/>
    <s v="Yes"/>
    <s v="14_15_A_B"/>
    <x v="9"/>
    <n v="3"/>
    <s v=""/>
    <x v="3"/>
    <x v="1"/>
    <s v="4HB43#Box3#InB"/>
    <s v="4HB43#Box3#InB"/>
    <n v="0"/>
    <n v="0"/>
    <n v="0"/>
  </r>
  <r>
    <n v="613"/>
    <x v="781"/>
    <s v="15&gt;/A-B"/>
    <x v="145"/>
    <s v="H-BRACE"/>
    <s v="Yes"/>
    <s v="15&gt;_A_B"/>
    <x v="9"/>
    <n v="3"/>
    <s v="O"/>
    <x v="2"/>
    <x v="2"/>
    <s v="4HB44#Box3#O"/>
    <s v="4HB44#Box3#O"/>
    <n v="0"/>
    <n v="0"/>
    <n v="0"/>
  </r>
  <r>
    <n v="615"/>
    <x v="782"/>
    <s v="15&gt;/B&gt;"/>
    <x v="112"/>
    <s v="H-BRACE"/>
    <s v="Yes"/>
    <s v="15&gt;_B&gt;"/>
    <x v="9"/>
    <n v="3"/>
    <s v="O"/>
    <x v="2"/>
    <x v="2"/>
    <s v="4HB46#Box3#O"/>
    <s v="4HB46#Box3#O"/>
    <n v="0"/>
    <n v="0"/>
    <n v="0"/>
  </r>
  <r>
    <n v="618"/>
    <x v="783"/>
    <s v="15&gt;/A-B"/>
    <x v="145"/>
    <s v="H-BRACE"/>
    <s v="Yes"/>
    <s v="15&gt;_A_B"/>
    <x v="9"/>
    <n v="3"/>
    <s v="O"/>
    <x v="2"/>
    <x v="2"/>
    <s v="4HB49#Box3#O"/>
    <s v="4HB49#Box3#O"/>
    <n v="0"/>
    <n v="0"/>
    <n v="0"/>
  </r>
  <r>
    <n v="623"/>
    <x v="784"/>
    <s v="14-15/A-B"/>
    <x v="112"/>
    <s v="H-BRACE"/>
    <s v="Yes"/>
    <s v="14_15_A_B"/>
    <x v="9"/>
    <n v="3"/>
    <s v=""/>
    <x v="3"/>
    <x v="1"/>
    <s v="4HB53#Box3#InB"/>
    <s v="4HB53#Box3#InB"/>
    <n v="0"/>
    <n v="0"/>
    <n v="0"/>
  </r>
  <r>
    <n v="702"/>
    <x v="785"/>
    <s v="15/B&gt;"/>
    <x v="37"/>
    <s v="BEAM"/>
    <s v="Yes"/>
    <s v="15_B&gt;"/>
    <x v="9"/>
    <n v="3"/>
    <s v="O"/>
    <x v="2"/>
    <x v="2"/>
    <s v="6BE11#Box3#O"/>
    <s v="6BE11#Box3#O"/>
    <n v="0"/>
    <n v="0"/>
    <n v="0"/>
  </r>
  <r>
    <n v="719"/>
    <x v="786"/>
    <s v="15&gt;/B"/>
    <x v="37"/>
    <s v="BEAM"/>
    <s v="Yes"/>
    <s v="15&gt;_B"/>
    <x v="9"/>
    <n v="3"/>
    <s v="O"/>
    <x v="2"/>
    <x v="2"/>
    <s v="6BE28#Box3#O"/>
    <s v="6BE28#Box3#O"/>
    <n v="0"/>
    <n v="0"/>
    <n v="0"/>
  </r>
  <r>
    <n v="793"/>
    <x v="787"/>
    <s v="14-15/A-B"/>
    <x v="37"/>
    <s v="BEAM"/>
    <s v="Yes"/>
    <s v="14_15_A_B"/>
    <x v="9"/>
    <n v="3"/>
    <s v=""/>
    <x v="3"/>
    <x v="1"/>
    <s v="6BE87#Box3#InB"/>
    <s v="6BE87#Box3#InB"/>
    <n v="0"/>
    <n v="0"/>
    <n v="0"/>
  </r>
  <r>
    <n v="794"/>
    <x v="788"/>
    <s v="14-15/A-B"/>
    <x v="37"/>
    <s v="BEAM"/>
    <s v="Yes"/>
    <s v="14_15_A_B"/>
    <x v="9"/>
    <n v="3"/>
    <s v=""/>
    <x v="3"/>
    <x v="1"/>
    <s v="6BE88#Box3#InB"/>
    <s v="6BE88#Box3#InB"/>
    <n v="0"/>
    <n v="0"/>
    <n v="0"/>
  </r>
  <r>
    <n v="795"/>
    <x v="789"/>
    <s v="14-15/A-B"/>
    <x v="37"/>
    <s v="BEAM"/>
    <s v="Yes"/>
    <s v="14_15_A_B"/>
    <x v="9"/>
    <n v="3"/>
    <s v=""/>
    <x v="3"/>
    <x v="1"/>
    <s v="6BE89#Box3#InB"/>
    <s v="6BE89#Box3#InB"/>
    <n v="0"/>
    <n v="0"/>
    <n v="0"/>
  </r>
  <r>
    <n v="796"/>
    <x v="790"/>
    <s v="14-15/A-B"/>
    <x v="37"/>
    <s v="BEAM"/>
    <s v="Yes"/>
    <s v="14_15_A_B"/>
    <x v="9"/>
    <n v="3"/>
    <s v=""/>
    <x v="3"/>
    <x v="1"/>
    <s v="6BE90#Box3#InB"/>
    <s v="6BE90#Box3#InB"/>
    <n v="0"/>
    <n v="0"/>
    <n v="0"/>
  </r>
  <r>
    <n v="797"/>
    <x v="791"/>
    <s v="14-15/B&gt;"/>
    <x v="37"/>
    <s v="BEAM"/>
    <s v="No"/>
    <s v="14_15_B&gt;"/>
    <x v="10"/>
    <n v="3"/>
    <s v="O"/>
    <x v="2"/>
    <x v="2"/>
    <s v="6BE91#Box3_Box6#O"/>
    <s v="6BE91#Box3_Box6#O"/>
    <n v="0"/>
    <n v="0"/>
    <n v="0"/>
  </r>
  <r>
    <n v="798"/>
    <x v="791"/>
    <s v="14-15/B&gt;"/>
    <x v="37"/>
    <s v="BEAM"/>
    <s v="No"/>
    <s v="14_15_B&gt;"/>
    <x v="10"/>
    <n v="3"/>
    <s v="O"/>
    <x v="2"/>
    <x v="2"/>
    <s v="6BE91#Box3_Box6#O"/>
    <s v="6BE91#Box3_Box6#O"/>
    <n v="0"/>
    <n v="0"/>
    <n v="0"/>
  </r>
  <r>
    <n v="801"/>
    <x v="792"/>
    <s v="14-15/A"/>
    <x v="27"/>
    <s v="BEAM"/>
    <s v="No"/>
    <s v="14_15_A"/>
    <x v="10"/>
    <n v="3"/>
    <s v=""/>
    <x v="0"/>
    <x v="0"/>
    <s v="6BE94#Box3_Box6#InBB"/>
    <s v="6BE94#Box3_Box6#InBB"/>
    <n v="0"/>
    <n v="0"/>
    <n v="0"/>
  </r>
  <r>
    <n v="802"/>
    <x v="792"/>
    <s v="14-15/B"/>
    <x v="27"/>
    <s v="BEAM"/>
    <s v="No"/>
    <s v="14_15_B"/>
    <x v="10"/>
    <n v="3"/>
    <s v=""/>
    <x v="0"/>
    <x v="0"/>
    <s v="6BE94#Box3_Box6#InBB"/>
    <s v="6BE94#Box3_Box6#InBB"/>
    <n v="0"/>
    <n v="0"/>
    <n v="0"/>
  </r>
  <r>
    <n v="803"/>
    <x v="793"/>
    <s v="14-15/A"/>
    <x v="37"/>
    <s v="BEAM"/>
    <s v="Yes"/>
    <s v="14_15_A"/>
    <x v="10"/>
    <n v="3"/>
    <s v=""/>
    <x v="0"/>
    <x v="0"/>
    <s v="6BE95#Box3_Box6#InBB"/>
    <s v="6BE95#Box3_Box6#InBB"/>
    <n v="0"/>
    <n v="0"/>
    <n v="0"/>
  </r>
  <r>
    <n v="804"/>
    <x v="794"/>
    <s v="14-15/A-B"/>
    <x v="37"/>
    <s v="BEAM"/>
    <s v="Yes"/>
    <s v="14_15_A_B"/>
    <x v="9"/>
    <n v="3"/>
    <s v=""/>
    <x v="3"/>
    <x v="1"/>
    <s v="6BE96#Box3#InB"/>
    <s v="6BE96#Box3#InB"/>
    <n v="0"/>
    <n v="0"/>
    <n v="0"/>
  </r>
  <r>
    <n v="805"/>
    <x v="795"/>
    <s v="14-15/A-B"/>
    <x v="37"/>
    <s v="BEAM"/>
    <s v="Yes"/>
    <s v="14_15_A_B"/>
    <x v="9"/>
    <n v="3"/>
    <s v=""/>
    <x v="3"/>
    <x v="1"/>
    <s v="6BE97#Box3#InB"/>
    <s v="6BE97#Box3#InB"/>
    <n v="0"/>
    <n v="0"/>
    <n v="0"/>
  </r>
  <r>
    <n v="806"/>
    <x v="796"/>
    <s v="14-15/A-B"/>
    <x v="37"/>
    <s v="BEAM"/>
    <s v="Yes"/>
    <s v="14_15_A_B"/>
    <x v="9"/>
    <n v="3"/>
    <s v=""/>
    <x v="3"/>
    <x v="1"/>
    <s v="6BE98#Box3#InB"/>
    <s v="6BE98#Box3#InB"/>
    <n v="0"/>
    <n v="0"/>
    <n v="0"/>
  </r>
  <r>
    <n v="807"/>
    <x v="797"/>
    <s v="14-15/B"/>
    <x v="37"/>
    <s v="BEAM"/>
    <s v="Yes"/>
    <s v="14_15_B"/>
    <x v="10"/>
    <n v="3"/>
    <s v=""/>
    <x v="0"/>
    <x v="0"/>
    <s v="6BE99#Box3_Box6#InBB"/>
    <s v="6BE99#Box3_Box6#InBB"/>
    <n v="0"/>
    <n v="0"/>
    <n v="0"/>
  </r>
  <r>
    <n v="808"/>
    <x v="798"/>
    <s v="14-15/B&gt;"/>
    <x v="37"/>
    <s v="BEAM"/>
    <s v="Yes"/>
    <s v="14_15_B&gt;"/>
    <x v="10"/>
    <n v="3"/>
    <s v="O"/>
    <x v="2"/>
    <x v="2"/>
    <s v="6BE100#Box3_Box6#O"/>
    <s v="6BE100#Box3_Box6#O"/>
    <n v="0"/>
    <n v="0"/>
    <n v="0"/>
  </r>
  <r>
    <n v="809"/>
    <x v="799"/>
    <s v="14-15/A-B"/>
    <x v="37"/>
    <s v="BEAM"/>
    <s v="Yes"/>
    <s v="14_15_A_B"/>
    <x v="9"/>
    <n v="3"/>
    <s v=""/>
    <x v="3"/>
    <x v="1"/>
    <s v="6BE101#Box3#InB"/>
    <s v="6BE101#Box3#InB"/>
    <n v="0"/>
    <n v="0"/>
    <n v="0"/>
  </r>
  <r>
    <n v="810"/>
    <x v="800"/>
    <s v="14-15/A-B"/>
    <x v="37"/>
    <s v="BEAM"/>
    <s v="Yes"/>
    <s v="14_15_A_B"/>
    <x v="9"/>
    <n v="3"/>
    <s v=""/>
    <x v="3"/>
    <x v="1"/>
    <s v="6BE102#Box3#InB"/>
    <s v="6BE102#Box3#InB"/>
    <n v="0"/>
    <n v="0"/>
    <n v="0"/>
  </r>
  <r>
    <n v="811"/>
    <x v="801"/>
    <s v="14-15/A-B"/>
    <x v="37"/>
    <s v="BEAM"/>
    <s v="Yes"/>
    <s v="14_15_A_B"/>
    <x v="9"/>
    <n v="3"/>
    <s v=""/>
    <x v="3"/>
    <x v="1"/>
    <s v="6BE103#Box3#InB"/>
    <s v="6BE103#Box3#InB"/>
    <n v="0"/>
    <n v="0"/>
    <n v="0"/>
  </r>
  <r>
    <n v="812"/>
    <x v="802"/>
    <s v="14-15/A-B"/>
    <x v="37"/>
    <s v="BEAM"/>
    <s v="Yes"/>
    <s v="14_15_A_B"/>
    <x v="9"/>
    <n v="3"/>
    <s v=""/>
    <x v="3"/>
    <x v="1"/>
    <s v="6BE104#Box3#InB"/>
    <s v="6BE104#Box3#InB"/>
    <n v="0"/>
    <n v="0"/>
    <n v="0"/>
  </r>
  <r>
    <n v="814"/>
    <x v="803"/>
    <s v="15/A'-A"/>
    <x v="37"/>
    <s v="BEAM"/>
    <s v="Yes"/>
    <s v="15_A'_A"/>
    <x v="10"/>
    <n v="3"/>
    <s v=""/>
    <x v="0"/>
    <x v="0"/>
    <s v="6BE106#Box3_Box6#InBB"/>
    <s v="6BE106#Box3_Box6#InBB"/>
    <n v="0"/>
    <n v="0"/>
    <n v="0"/>
  </r>
  <r>
    <n v="815"/>
    <x v="804"/>
    <s v="15/A-B"/>
    <x v="37"/>
    <s v="BEAM"/>
    <s v="Yes"/>
    <s v="15_A_B"/>
    <x v="9"/>
    <n v="3"/>
    <s v=""/>
    <x v="11"/>
    <x v="1"/>
    <s v="6BE107#Box3#15_A_B"/>
    <s v="6BE107#Box3#InB"/>
    <n v="0"/>
    <n v="0"/>
    <n v="0"/>
  </r>
  <r>
    <n v="876"/>
    <x v="805"/>
    <s v="14-15/A-B"/>
    <x v="117"/>
    <s v="H-BRACE"/>
    <s v="Yes"/>
    <s v="14_15_A_B"/>
    <x v="9"/>
    <n v="3"/>
    <s v=""/>
    <x v="3"/>
    <x v="1"/>
    <s v="6HB45#Box3#InB"/>
    <s v="6HB45#Box3#InB"/>
    <n v="0"/>
    <n v="0"/>
    <n v="0"/>
  </r>
  <r>
    <n v="877"/>
    <x v="806"/>
    <s v="14-15/A-B"/>
    <x v="117"/>
    <s v="H-BRACE"/>
    <s v="No"/>
    <s v="14_15_A_B"/>
    <x v="9"/>
    <n v="3"/>
    <s v=""/>
    <x v="3"/>
    <x v="1"/>
    <s v="6HB46#Box3#InB"/>
    <s v="6HB46#Box3#InB"/>
    <n v="0"/>
    <n v="0"/>
    <n v="0"/>
  </r>
  <r>
    <n v="878"/>
    <x v="806"/>
    <s v="14-15/A-B"/>
    <x v="117"/>
    <s v="H-BRACE"/>
    <s v="No"/>
    <s v="14_15_A_B"/>
    <x v="9"/>
    <n v="3"/>
    <s v=""/>
    <x v="3"/>
    <x v="1"/>
    <s v="6HB46#Box3#InB"/>
    <s v="6HB46#Box3#InB"/>
    <n v="0"/>
    <n v="0"/>
    <n v="0"/>
  </r>
  <r>
    <n v="879"/>
    <x v="807"/>
    <s v="14-15/A-B"/>
    <x v="117"/>
    <s v="H-BRACE"/>
    <s v="Yes"/>
    <s v="14_15_A_B"/>
    <x v="9"/>
    <n v="3"/>
    <s v=""/>
    <x v="3"/>
    <x v="1"/>
    <s v="6HB47#Box3#InB"/>
    <s v="6HB47#Box3#InB"/>
    <n v="0"/>
    <n v="0"/>
    <n v="0"/>
  </r>
  <r>
    <n v="880"/>
    <x v="808"/>
    <s v="14-15/A-B"/>
    <x v="117"/>
    <s v="H-BRACE"/>
    <s v="No"/>
    <s v="14_15_A_B"/>
    <x v="9"/>
    <n v="3"/>
    <s v=""/>
    <x v="3"/>
    <x v="1"/>
    <s v="6HB48#Box3#InB"/>
    <s v="6HB48#Box3#InB"/>
    <n v="0"/>
    <n v="0"/>
    <n v="0"/>
  </r>
  <r>
    <n v="881"/>
    <x v="808"/>
    <s v="14-15/A-B"/>
    <x v="117"/>
    <s v="H-BRACE"/>
    <s v="No"/>
    <s v="14_15_A_B"/>
    <x v="9"/>
    <n v="3"/>
    <s v=""/>
    <x v="3"/>
    <x v="1"/>
    <s v="6HB48#Box3#InB"/>
    <s v="6HB48#Box3#InB"/>
    <n v="0"/>
    <n v="0"/>
    <n v="0"/>
  </r>
  <r>
    <n v="882"/>
    <x v="809"/>
    <s v="14-15/A-B"/>
    <x v="117"/>
    <s v="H-BRACE"/>
    <s v="No"/>
    <s v="14_15_A_B"/>
    <x v="9"/>
    <n v="3"/>
    <s v=""/>
    <x v="3"/>
    <x v="1"/>
    <s v="6HB49#Box3#InB"/>
    <s v="6HB49#Box3#InB"/>
    <n v="0"/>
    <n v="0"/>
    <n v="0"/>
  </r>
  <r>
    <n v="883"/>
    <x v="809"/>
    <s v="14-15/A-B"/>
    <x v="117"/>
    <s v="H-BRACE"/>
    <s v="No"/>
    <s v="14_15_A_B"/>
    <x v="9"/>
    <n v="3"/>
    <s v=""/>
    <x v="3"/>
    <x v="1"/>
    <s v="6HB49#Box3#InB"/>
    <s v="6HB49#Box3#InB"/>
    <n v="0"/>
    <n v="0"/>
    <n v="0"/>
  </r>
  <r>
    <n v="884"/>
    <x v="810"/>
    <s v="14-15/A-B"/>
    <x v="117"/>
    <s v="H-BRACE"/>
    <s v="Yes"/>
    <s v="14_15_A_B"/>
    <x v="9"/>
    <n v="3"/>
    <s v=""/>
    <x v="3"/>
    <x v="1"/>
    <s v="6HB50#Box3#InB"/>
    <s v="6HB50#Box3#InB"/>
    <n v="0"/>
    <n v="0"/>
    <n v="0"/>
  </r>
  <r>
    <n v="885"/>
    <x v="811"/>
    <s v="14-15/A-B"/>
    <x v="117"/>
    <s v="H-BRACE"/>
    <s v="No"/>
    <s v="14_15_A_B"/>
    <x v="9"/>
    <n v="3"/>
    <s v=""/>
    <x v="3"/>
    <x v="1"/>
    <s v="6HB51#Box3#InB"/>
    <s v="6HB51#Box3#InB"/>
    <n v="0"/>
    <n v="0"/>
    <n v="0"/>
  </r>
  <r>
    <n v="886"/>
    <x v="811"/>
    <s v="14-15/A-B"/>
    <x v="117"/>
    <s v="H-BRACE"/>
    <s v="No"/>
    <s v="14_15_A_B"/>
    <x v="9"/>
    <n v="3"/>
    <s v=""/>
    <x v="3"/>
    <x v="1"/>
    <s v="6HB51#Box3#InB"/>
    <s v="6HB51#Box3#InB"/>
    <n v="0"/>
    <n v="0"/>
    <n v="0"/>
  </r>
  <r>
    <n v="887"/>
    <x v="812"/>
    <s v="14-15/A-B"/>
    <x v="117"/>
    <s v="H-BRACE"/>
    <s v="Yes"/>
    <s v="14_15_A_B"/>
    <x v="9"/>
    <n v="3"/>
    <s v=""/>
    <x v="3"/>
    <x v="1"/>
    <s v="6HB52#Box3#InB"/>
    <s v="6HB52#Box3#InB"/>
    <n v="0"/>
    <n v="0"/>
    <n v="0"/>
  </r>
  <r>
    <n v="913"/>
    <x v="813"/>
    <s v="15/A"/>
    <x v="146"/>
    <s v="COLUMN"/>
    <s v="Yes"/>
    <s v="15_A"/>
    <x v="9"/>
    <n v="3"/>
    <s v=""/>
    <x v="12"/>
    <x v="9"/>
    <s v="C24#Box3#15_B_A"/>
    <s v="C24#Box3#15_-_A"/>
    <n v="0"/>
    <n v="0"/>
    <n v="0"/>
  </r>
  <r>
    <n v="914"/>
    <x v="814"/>
    <s v="15/A"/>
    <x v="120"/>
    <s v="COLUMN"/>
    <s v="Yes"/>
    <s v="15_A"/>
    <x v="9"/>
    <n v="3"/>
    <s v=""/>
    <x v="12"/>
    <x v="9"/>
    <s v="C25#Box3#15_B_A"/>
    <s v="C25#Box3#15_-_A"/>
    <n v="0"/>
    <n v="0"/>
    <n v="0"/>
  </r>
  <r>
    <n v="917"/>
    <x v="815"/>
    <s v="15/B"/>
    <x v="146"/>
    <s v="COLUMN"/>
    <s v="Yes"/>
    <s v="15_B"/>
    <x v="9"/>
    <n v="3"/>
    <s v=""/>
    <x v="12"/>
    <x v="10"/>
    <s v="C28#Box3#15_B_A"/>
    <s v="C28#Box3#15_-_B"/>
    <n v="0"/>
    <n v="0"/>
    <n v="0"/>
  </r>
  <r>
    <n v="920"/>
    <x v="816"/>
    <s v="15/B"/>
    <x v="120"/>
    <s v="COLUMN"/>
    <s v="Yes"/>
    <s v="15_B"/>
    <x v="9"/>
    <n v="3"/>
    <s v=""/>
    <x v="12"/>
    <x v="10"/>
    <s v="C31#Box3#15_B_A"/>
    <s v="C31#Box3#15_-_B"/>
    <n v="1"/>
    <n v="2122.09"/>
    <n v="0"/>
  </r>
  <r>
    <n v="1002"/>
    <x v="307"/>
    <s v="15/B"/>
    <x v="147"/>
    <s v="SPLICE PLATE"/>
    <s v="No"/>
    <s v="15_B"/>
    <x v="9"/>
    <n v="3"/>
    <s v=""/>
    <x v="12"/>
    <x v="10"/>
    <s v="SF02#Box3#15_B_A"/>
    <s v="SF02#Box3#15_-_B"/>
    <n v="1"/>
    <n v="1440.79"/>
    <n v="0"/>
  </r>
  <r>
    <n v="1005"/>
    <x v="307"/>
    <s v="15/B"/>
    <x v="147"/>
    <s v="SPLICE PLATE"/>
    <s v="No"/>
    <s v="15_B"/>
    <x v="9"/>
    <n v="3"/>
    <s v=""/>
    <x v="12"/>
    <x v="10"/>
    <s v="SF02#Box3#15_B_A"/>
    <s v="SF02#Box3#15_-_B"/>
    <n v="1"/>
    <n v="1440.79"/>
    <n v="0"/>
  </r>
  <r>
    <n v="1007"/>
    <x v="307"/>
    <s v="15/B"/>
    <x v="147"/>
    <s v="SPLICE PLATE"/>
    <s v="No"/>
    <s v="15_B"/>
    <x v="9"/>
    <n v="3"/>
    <s v=""/>
    <x v="12"/>
    <x v="10"/>
    <s v="SF02#Box3#15_B_A"/>
    <s v="SF02#Box3#15_-_B"/>
    <n v="1"/>
    <n v="1440.79"/>
    <n v="0"/>
  </r>
  <r>
    <n v="1008"/>
    <x v="307"/>
    <s v="15/A"/>
    <x v="126"/>
    <s v="SPLICE PLATE"/>
    <s v="No"/>
    <s v="15_A"/>
    <x v="9"/>
    <n v="3"/>
    <s v=""/>
    <x v="12"/>
    <x v="9"/>
    <s v="SF02#Box3#15_B_A"/>
    <s v="SF02#Box3#15_-_A"/>
    <n v="1"/>
    <n v="1440.79"/>
    <n v="0"/>
  </r>
  <r>
    <n v="1010"/>
    <x v="307"/>
    <s v="15/B"/>
    <x v="147"/>
    <s v="SPLICE PLATE"/>
    <s v="No"/>
    <s v="15_B"/>
    <x v="9"/>
    <n v="3"/>
    <s v=""/>
    <x v="12"/>
    <x v="10"/>
    <s v="SF02#Box3#15_B_A"/>
    <s v="SF02#Box3#15_-_B"/>
    <n v="1"/>
    <n v="1440.79"/>
    <n v="0"/>
  </r>
  <r>
    <n v="1011"/>
    <x v="307"/>
    <s v="15/A"/>
    <x v="147"/>
    <s v="SPLICE PLATE"/>
    <s v="No"/>
    <s v="15_A"/>
    <x v="9"/>
    <n v="3"/>
    <s v=""/>
    <x v="12"/>
    <x v="9"/>
    <s v="SF02#Box3#15_B_A"/>
    <s v="SF02#Box3#15_-_A"/>
    <n v="1"/>
    <n v="1440.79"/>
    <n v="0"/>
  </r>
  <r>
    <n v="1013"/>
    <x v="307"/>
    <s v="15/A"/>
    <x v="126"/>
    <s v="SPLICE PLATE"/>
    <s v="No"/>
    <s v="15_A"/>
    <x v="9"/>
    <n v="3"/>
    <s v=""/>
    <x v="12"/>
    <x v="9"/>
    <s v="SF02#Box3#15_B_A"/>
    <s v="SF02#Box3#15_-_A"/>
    <n v="1"/>
    <n v="1440.79"/>
    <n v="0"/>
  </r>
  <r>
    <n v="1014"/>
    <x v="307"/>
    <s v="15/A"/>
    <x v="147"/>
    <s v="SPLICE PLATE"/>
    <s v="No"/>
    <s v="15_A"/>
    <x v="9"/>
    <n v="3"/>
    <s v=""/>
    <x v="12"/>
    <x v="9"/>
    <s v="SF02#Box3#15_B_A"/>
    <s v="SF02#Box3#15_-_A"/>
    <n v="1"/>
    <n v="1440.79"/>
    <n v="0"/>
  </r>
  <r>
    <n v="1016"/>
    <x v="307"/>
    <s v="15/A"/>
    <x v="147"/>
    <s v="SPLICE PLATE"/>
    <s v="No"/>
    <s v="15_A"/>
    <x v="9"/>
    <n v="3"/>
    <s v=""/>
    <x v="12"/>
    <x v="9"/>
    <s v="SF02#Box3#15_B_A"/>
    <s v="SF02#Box3#15_-_A"/>
    <n v="1"/>
    <n v="1440.79"/>
    <n v="0"/>
  </r>
  <r>
    <n v="1017"/>
    <x v="307"/>
    <s v="15/A"/>
    <x v="126"/>
    <s v="SPLICE PLATE"/>
    <s v="No"/>
    <s v="15_A"/>
    <x v="9"/>
    <n v="3"/>
    <s v=""/>
    <x v="12"/>
    <x v="9"/>
    <s v="SF02#Box3#15_B_A"/>
    <s v="SF02#Box3#15_-_A"/>
    <n v="1"/>
    <n v="1440.79"/>
    <n v="0"/>
  </r>
  <r>
    <n v="1019"/>
    <x v="307"/>
    <s v="15/A"/>
    <x v="147"/>
    <s v="SPLICE PLATE"/>
    <s v="No"/>
    <s v="15_A"/>
    <x v="9"/>
    <n v="3"/>
    <s v=""/>
    <x v="12"/>
    <x v="9"/>
    <s v="SF02#Box3#15_B_A"/>
    <s v="SF02#Box3#15_-_A"/>
    <n v="1"/>
    <n v="1440.79"/>
    <n v="0"/>
  </r>
  <r>
    <n v="1020"/>
    <x v="307"/>
    <s v="15/B"/>
    <x v="126"/>
    <s v="SPLICE PLATE"/>
    <s v="No"/>
    <s v="15_B"/>
    <x v="9"/>
    <n v="3"/>
    <s v=""/>
    <x v="12"/>
    <x v="10"/>
    <s v="SF02#Box3#15_B_A"/>
    <s v="SF02#Box3#15_-_B"/>
    <n v="1"/>
    <n v="1440.79"/>
    <n v="0"/>
  </r>
  <r>
    <n v="1022"/>
    <x v="307"/>
    <s v="15/A"/>
    <x v="126"/>
    <s v="SPLICE PLATE"/>
    <s v="No"/>
    <s v="15_A"/>
    <x v="9"/>
    <n v="3"/>
    <s v=""/>
    <x v="12"/>
    <x v="9"/>
    <s v="SF02#Box3#15_B_A"/>
    <s v="SF02#Box3#15_-_A"/>
    <n v="1"/>
    <n v="1440.79"/>
    <n v="0"/>
  </r>
  <r>
    <n v="1023"/>
    <x v="307"/>
    <s v="15/B"/>
    <x v="126"/>
    <s v="SPLICE PLATE"/>
    <s v="No"/>
    <s v="15_B"/>
    <x v="9"/>
    <n v="3"/>
    <s v=""/>
    <x v="12"/>
    <x v="10"/>
    <s v="SF02#Box3#15_B_A"/>
    <s v="SF02#Box3#15_-_B"/>
    <n v="1"/>
    <n v="1440.79"/>
    <n v="0"/>
  </r>
  <r>
    <n v="1025"/>
    <x v="307"/>
    <s v="15/B"/>
    <x v="126"/>
    <s v="SPLICE PLATE"/>
    <s v="No"/>
    <s v="15_B"/>
    <x v="9"/>
    <n v="3"/>
    <s v=""/>
    <x v="12"/>
    <x v="10"/>
    <s v="SF02#Box3#15_B_A"/>
    <s v="SF02#Box3#15_-_B"/>
    <n v="1"/>
    <n v="1440.79"/>
    <n v="0"/>
  </r>
  <r>
    <n v="1026"/>
    <x v="307"/>
    <s v="15/B"/>
    <x v="126"/>
    <s v="SPLICE PLATE"/>
    <s v="No"/>
    <s v="15_B"/>
    <x v="9"/>
    <n v="3"/>
    <s v=""/>
    <x v="12"/>
    <x v="10"/>
    <s v="SF02#Box3#15_B_A"/>
    <s v="SF02#Box3#15_-_B"/>
    <n v="1"/>
    <n v="1440.79"/>
    <n v="0"/>
  </r>
  <r>
    <n v="1042"/>
    <x v="309"/>
    <s v="15/B"/>
    <x v="147"/>
    <s v="SPLICE PLATE"/>
    <s v="No"/>
    <s v="15_B"/>
    <x v="9"/>
    <n v="3"/>
    <s v=""/>
    <x v="12"/>
    <x v="10"/>
    <s v="SF04#Box3#15_B_A"/>
    <s v="SF04#Box3#15_-_B"/>
    <n v="1"/>
    <n v="2104.31"/>
    <n v="0"/>
  </r>
  <r>
    <n v="1045"/>
    <x v="309"/>
    <s v="15/B"/>
    <x v="147"/>
    <s v="SPLICE PLATE"/>
    <s v="No"/>
    <s v="15_B"/>
    <x v="9"/>
    <n v="3"/>
    <s v=""/>
    <x v="12"/>
    <x v="10"/>
    <s v="SF04#Box3#15_B_A"/>
    <s v="SF04#Box3#15_-_B"/>
    <n v="1"/>
    <n v="2104.31"/>
    <n v="0"/>
  </r>
  <r>
    <n v="1050"/>
    <x v="309"/>
    <s v="15/A"/>
    <x v="147"/>
    <s v="SPLICE PLATE"/>
    <s v="No"/>
    <s v="15_A"/>
    <x v="9"/>
    <n v="3"/>
    <s v=""/>
    <x v="12"/>
    <x v="9"/>
    <s v="SF04#Box3#15_B_A"/>
    <s v="SF04#Box3#15_-_A"/>
    <n v="1"/>
    <n v="2104.31"/>
    <n v="0"/>
  </r>
  <r>
    <n v="1053"/>
    <x v="309"/>
    <s v="15/A"/>
    <x v="147"/>
    <s v="SPLICE PLATE"/>
    <s v="No"/>
    <s v="15_A"/>
    <x v="9"/>
    <n v="3"/>
    <s v=""/>
    <x v="12"/>
    <x v="9"/>
    <s v="SF04#Box3#15_B_A"/>
    <s v="SF04#Box3#15_-_A"/>
    <n v="1"/>
    <n v="2104.31"/>
    <n v="0"/>
  </r>
  <r>
    <n v="1056"/>
    <x v="309"/>
    <s v="15/B"/>
    <x v="126"/>
    <s v="SPLICE PLATE"/>
    <s v="No"/>
    <s v="15_B"/>
    <x v="9"/>
    <n v="3"/>
    <s v=""/>
    <x v="12"/>
    <x v="10"/>
    <s v="SF04#Box3#15_B_A"/>
    <s v="SF04#Box3#15_-_B"/>
    <n v="1"/>
    <n v="2104.31"/>
    <n v="0"/>
  </r>
  <r>
    <n v="1059"/>
    <x v="309"/>
    <s v="15/B"/>
    <x v="126"/>
    <s v="SPLICE PLATE"/>
    <s v="No"/>
    <s v="15_B"/>
    <x v="9"/>
    <n v="3"/>
    <s v=""/>
    <x v="12"/>
    <x v="10"/>
    <s v="SF04#Box3#15_B_A"/>
    <s v="SF04#Box3#15_-_B"/>
    <n v="1"/>
    <n v="2104.31"/>
    <n v="0"/>
  </r>
  <r>
    <n v="1062"/>
    <x v="309"/>
    <s v="15/A"/>
    <x v="126"/>
    <s v="SPLICE PLATE"/>
    <s v="No"/>
    <s v="15_A"/>
    <x v="9"/>
    <n v="3"/>
    <s v=""/>
    <x v="12"/>
    <x v="9"/>
    <s v="SF04#Box3#15_B_A"/>
    <s v="SF04#Box3#15_-_A"/>
    <n v="1"/>
    <n v="2104.31"/>
    <n v="0"/>
  </r>
  <r>
    <n v="1065"/>
    <x v="309"/>
    <s v="15/A"/>
    <x v="126"/>
    <s v="SPLICE PLATE"/>
    <s v="No"/>
    <s v="15_A"/>
    <x v="9"/>
    <n v="3"/>
    <s v=""/>
    <x v="12"/>
    <x v="9"/>
    <s v="SF04#Box3#15_B_A"/>
    <s v="SF04#Box3#15_-_A"/>
    <n v="1"/>
    <n v="2104.31"/>
    <n v="0"/>
  </r>
  <r>
    <n v="1165"/>
    <x v="316"/>
    <s v="15/B"/>
    <x v="132"/>
    <s v="SPLICE PLATE"/>
    <s v="No"/>
    <s v="15_B"/>
    <x v="9"/>
    <n v="3"/>
    <s v=""/>
    <x v="12"/>
    <x v="10"/>
    <s v="SW02#Box3#15_B_A"/>
    <s v="SW02#Box3#15_-_B"/>
    <n v="0"/>
    <n v="0"/>
    <n v="0"/>
  </r>
  <r>
    <n v="1167"/>
    <x v="316"/>
    <s v="15/B"/>
    <x v="148"/>
    <s v="SPLICE PLATE"/>
    <s v="No"/>
    <s v="15_B"/>
    <x v="9"/>
    <n v="3"/>
    <s v=""/>
    <x v="12"/>
    <x v="10"/>
    <s v="SW02#Box3#15_B_A"/>
    <s v="SW02#Box3#15_-_B"/>
    <n v="0"/>
    <n v="0"/>
    <n v="0"/>
  </r>
  <r>
    <n v="1170"/>
    <x v="316"/>
    <s v="15/B"/>
    <x v="148"/>
    <s v="SPLICE PLATE"/>
    <s v="No"/>
    <s v="15_B"/>
    <x v="9"/>
    <n v="3"/>
    <s v=""/>
    <x v="12"/>
    <x v="10"/>
    <s v="SW02#Box3#15_B_A"/>
    <s v="SW02#Box3#15_-_B"/>
    <n v="0"/>
    <n v="0"/>
    <n v="0"/>
  </r>
  <r>
    <n v="1173"/>
    <x v="316"/>
    <s v="15/A"/>
    <x v="132"/>
    <s v="SPLICE PLATE"/>
    <s v="No"/>
    <s v="15_A"/>
    <x v="9"/>
    <n v="3"/>
    <s v=""/>
    <x v="12"/>
    <x v="9"/>
    <s v="SW02#Box3#15_B_A"/>
    <s v="SW02#Box3#15_-_A"/>
    <n v="0"/>
    <n v="0"/>
    <n v="0"/>
  </r>
  <r>
    <n v="1176"/>
    <x v="316"/>
    <s v="15/A"/>
    <x v="148"/>
    <s v="SPLICE PLATE"/>
    <s v="No"/>
    <s v="15_A"/>
    <x v="9"/>
    <n v="3"/>
    <s v=""/>
    <x v="12"/>
    <x v="9"/>
    <s v="SW02#Box3#15_B_A"/>
    <s v="SW02#Box3#15_-_A"/>
    <n v="0"/>
    <n v="0"/>
    <n v="0"/>
  </r>
  <r>
    <n v="1179"/>
    <x v="316"/>
    <s v="15/A"/>
    <x v="148"/>
    <s v="SPLICE PLATE"/>
    <s v="No"/>
    <s v="15_A"/>
    <x v="9"/>
    <n v="3"/>
    <s v=""/>
    <x v="12"/>
    <x v="9"/>
    <s v="SW02#Box3#15_B_A"/>
    <s v="SW02#Box3#15_-_A"/>
    <n v="0"/>
    <n v="0"/>
    <n v="0"/>
  </r>
  <r>
    <n v="1182"/>
    <x v="316"/>
    <s v="15/A"/>
    <x v="132"/>
    <s v="SPLICE PLATE"/>
    <s v="No"/>
    <s v="15_A"/>
    <x v="9"/>
    <n v="3"/>
    <s v=""/>
    <x v="12"/>
    <x v="9"/>
    <s v="SW02#Box3#15_B_A"/>
    <s v="SW02#Box3#15_-_A"/>
    <n v="0"/>
    <n v="0"/>
    <n v="0"/>
  </r>
  <r>
    <n v="1185"/>
    <x v="316"/>
    <s v="15/B"/>
    <x v="132"/>
    <s v="SPLICE PLATE"/>
    <s v="No"/>
    <s v="15_B"/>
    <x v="9"/>
    <n v="3"/>
    <s v=""/>
    <x v="12"/>
    <x v="10"/>
    <s v="SW02#Box3#15_B_A"/>
    <s v="SW02#Box3#15_-_B"/>
    <n v="0"/>
    <n v="0"/>
    <n v="0"/>
  </r>
  <r>
    <n v="1283"/>
    <x v="817"/>
    <s v="14-15/B&gt;"/>
    <x v="137"/>
    <s v="V-BRACE"/>
    <s v="Yes"/>
    <s v="14_15_B&gt;"/>
    <x v="10"/>
    <n v="3"/>
    <s v="O"/>
    <x v="2"/>
    <x v="2"/>
    <s v="VB45#Box3_Box6#O"/>
    <s v="VB45#Box3_Box6#O"/>
    <n v="0"/>
    <n v="0"/>
    <n v="0"/>
  </r>
  <r>
    <n v="1303"/>
    <x v="818"/>
    <s v="14-15/B&gt;"/>
    <x v="149"/>
    <s v="V-BRACE"/>
    <s v="Yes"/>
    <s v="14_15_B&gt;"/>
    <x v="10"/>
    <n v="3"/>
    <s v="O"/>
    <x v="2"/>
    <x v="2"/>
    <s v="VB59#Box3_Box6#O"/>
    <s v="VB59#Box3_Box6#O"/>
    <n v="0"/>
    <n v="0"/>
    <n v="0"/>
  </r>
  <r>
    <n v="1316"/>
    <x v="819"/>
    <s v="15&gt;/B"/>
    <x v="150"/>
    <s v="V-BRACE"/>
    <s v="Yes"/>
    <s v="15&gt;_B"/>
    <x v="9"/>
    <n v="3"/>
    <s v="O"/>
    <x v="2"/>
    <x v="2"/>
    <s v="VB68#Box3#O"/>
    <s v="VB68#Box3#O"/>
    <n v="0"/>
    <n v="0"/>
    <n v="0"/>
  </r>
  <r>
    <n v="1325"/>
    <x v="820"/>
    <s v="15&gt;/B"/>
    <x v="151"/>
    <s v="V-BRACE"/>
    <s v="Yes"/>
    <s v="15&gt;_B"/>
    <x v="9"/>
    <n v="3"/>
    <s v="O"/>
    <x v="2"/>
    <x v="2"/>
    <s v="VB76#Box3#O"/>
    <s v="VB76#Box3#O"/>
    <n v="0"/>
    <n v="0"/>
    <n v="0"/>
  </r>
  <r>
    <n v="1328"/>
    <x v="821"/>
    <s v="15&gt;/A"/>
    <x v="152"/>
    <s v="V-BRACE"/>
    <s v="Yes"/>
    <s v="15&gt;_A"/>
    <x v="9"/>
    <n v="3"/>
    <s v="O"/>
    <x v="2"/>
    <x v="2"/>
    <s v="VB79#Box3#O"/>
    <s v="VB79#Box3#O"/>
    <n v="0"/>
    <n v="0"/>
    <n v="0"/>
  </r>
  <r>
    <n v="1329"/>
    <x v="822"/>
    <s v="14-15/A"/>
    <x v="153"/>
    <s v="V-BRACE"/>
    <s v="No"/>
    <s v="14_15_A"/>
    <x v="10"/>
    <n v="3"/>
    <s v=""/>
    <x v="0"/>
    <x v="0"/>
    <s v="VB80#Box3_Box6#InBB"/>
    <s v="VB80#Box3_Box6#InBB"/>
    <n v="0"/>
    <n v="0"/>
    <n v="0"/>
  </r>
  <r>
    <n v="1330"/>
    <x v="822"/>
    <s v="14-15/B"/>
    <x v="153"/>
    <s v="V-BRACE"/>
    <s v="No"/>
    <s v="14_15_B"/>
    <x v="10"/>
    <n v="3"/>
    <s v=""/>
    <x v="0"/>
    <x v="0"/>
    <s v="VB80#Box3_Box6#InBB"/>
    <s v="VB80#Box3_Box6#InBB"/>
    <n v="0"/>
    <n v="0"/>
    <n v="0"/>
  </r>
  <r>
    <n v="1332"/>
    <x v="823"/>
    <s v="14-15/B&gt;"/>
    <x v="154"/>
    <s v="V-BRACE"/>
    <s v="Yes"/>
    <s v="14_15_B&gt;"/>
    <x v="10"/>
    <n v="3"/>
    <s v="O"/>
    <x v="2"/>
    <x v="2"/>
    <s v="VB82#Box3_Box6#O"/>
    <s v="VB82#Box3_Box6#O"/>
    <n v="0"/>
    <n v="0"/>
    <n v="0"/>
  </r>
  <r>
    <n v="1334"/>
    <x v="824"/>
    <s v="14-15/B"/>
    <x v="155"/>
    <s v="V-BRACE"/>
    <s v="No"/>
    <s v="14_15_B"/>
    <x v="10"/>
    <n v="3"/>
    <s v=""/>
    <x v="0"/>
    <x v="0"/>
    <s v="VB84#Box3_Box6#InBB"/>
    <s v="VB84#Box3_Box6#InBB"/>
    <n v="0"/>
    <n v="0"/>
    <n v="0"/>
  </r>
  <r>
    <n v="1335"/>
    <x v="824"/>
    <s v="14-15/A"/>
    <x v="155"/>
    <s v="V-BRACE"/>
    <s v="No"/>
    <s v="14_15_A"/>
    <x v="10"/>
    <n v="3"/>
    <s v=""/>
    <x v="0"/>
    <x v="0"/>
    <s v="VB84#Box3_Box6#InBB"/>
    <s v="VB84#Box3_Box6#InBB"/>
    <n v="0"/>
    <n v="0"/>
    <n v="0"/>
  </r>
  <r>
    <n v="1336"/>
    <x v="825"/>
    <s v="15&gt;/B"/>
    <x v="152"/>
    <s v="V-BRACE"/>
    <s v="Yes"/>
    <s v="15&gt;_B"/>
    <x v="9"/>
    <n v="3"/>
    <s v="O"/>
    <x v="2"/>
    <x v="2"/>
    <s v="VB85#Box3#O"/>
    <s v="VB85#Box3#O"/>
    <n v="0"/>
    <n v="0"/>
    <n v="0"/>
  </r>
  <r>
    <n v="1337"/>
    <x v="826"/>
    <s v="15/B&gt;"/>
    <x v="137"/>
    <s v="V-BRACE"/>
    <s v="No"/>
    <s v="15_B&gt;"/>
    <x v="9"/>
    <n v="3"/>
    <s v="O"/>
    <x v="2"/>
    <x v="2"/>
    <s v="VB86#Box3#O"/>
    <s v="VB86#Box3#O"/>
    <n v="0"/>
    <n v="0"/>
    <n v="0"/>
  </r>
  <r>
    <n v="1338"/>
    <x v="826"/>
    <s v="15/A'-A"/>
    <x v="137"/>
    <s v="V-BRACE"/>
    <s v="No"/>
    <s v="15_A'_A"/>
    <x v="10"/>
    <n v="3"/>
    <s v=""/>
    <x v="0"/>
    <x v="0"/>
    <s v="VB86#Box3_Box6#InBB"/>
    <s v="VB86#Box3_Box6#InBB"/>
    <n v="0"/>
    <n v="0"/>
    <n v="0"/>
  </r>
  <r>
    <n v="1339"/>
    <x v="827"/>
    <s v="15/A'-A"/>
    <x v="156"/>
    <s v="V-BRACE"/>
    <s v="Yes"/>
    <s v="15_A'_A"/>
    <x v="10"/>
    <n v="3"/>
    <s v=""/>
    <x v="0"/>
    <x v="0"/>
    <s v="VB87#Box3_Box6#InBB"/>
    <s v="VB87#Box3_Box6#InBB"/>
    <n v="0"/>
    <n v="0"/>
    <n v="0"/>
  </r>
  <r>
    <n v="1340"/>
    <x v="828"/>
    <s v="15&gt;/B&gt;"/>
    <x v="137"/>
    <s v="V-BRACE"/>
    <s v="Yes"/>
    <s v="15&gt;_B&gt;"/>
    <x v="9"/>
    <n v="3"/>
    <s v="O"/>
    <x v="2"/>
    <x v="2"/>
    <s v="VB88#Box3#O"/>
    <s v="VB88#Box3#O"/>
    <n v="0"/>
    <n v="0"/>
    <n v="0"/>
  </r>
  <r>
    <n v="1341"/>
    <x v="829"/>
    <s v="15/B&gt;"/>
    <x v="151"/>
    <s v="V-BRACE"/>
    <s v="Yes"/>
    <s v="15_B&gt;"/>
    <x v="9"/>
    <n v="3"/>
    <s v="O"/>
    <x v="2"/>
    <x v="2"/>
    <s v="VB89#Box3#O"/>
    <s v="VB89#Box3#O"/>
    <n v="0"/>
    <n v="0"/>
    <n v="0"/>
  </r>
  <r>
    <n v="1342"/>
    <x v="830"/>
    <s v="15/B&gt;"/>
    <x v="156"/>
    <s v="V-BRACE"/>
    <s v="Yes"/>
    <s v="15_B&gt;"/>
    <x v="9"/>
    <n v="3"/>
    <s v="O"/>
    <x v="2"/>
    <x v="2"/>
    <s v="VB90#Box3#O"/>
    <s v="VB90#Box3#O"/>
    <n v="0"/>
    <n v="0"/>
    <n v="0"/>
  </r>
  <r>
    <n v="124"/>
    <x v="831"/>
    <s v="12-13/A&quot;"/>
    <x v="0"/>
    <s v="BEAM"/>
    <s v="Yes"/>
    <s v="12_13_A&quot;"/>
    <x v="11"/>
    <n v="5"/>
    <s v=""/>
    <x v="3"/>
    <x v="11"/>
    <s v="1BE84#Box5#InB"/>
    <s v="1BE84#Box5#12_13_A&quot;"/>
    <n v="0"/>
    <n v="0"/>
    <n v="0"/>
  </r>
  <r>
    <n v="132"/>
    <x v="832"/>
    <s v="13-14/A&quot;"/>
    <x v="98"/>
    <s v="BEAM"/>
    <s v="Yes"/>
    <s v="13_14_A&quot;"/>
    <x v="12"/>
    <n v="5"/>
    <s v=""/>
    <x v="0"/>
    <x v="0"/>
    <s v="1BE91#Box5_Box6#InBB"/>
    <s v="1BE91#Box5_Box6#InBB"/>
    <n v="0"/>
    <n v="0"/>
    <n v="0"/>
  </r>
  <r>
    <n v="133"/>
    <x v="833"/>
    <s v="13-14/A&quot;"/>
    <x v="99"/>
    <s v="BEAM"/>
    <s v="Yes"/>
    <s v="13_14_A&quot;"/>
    <x v="12"/>
    <n v="5"/>
    <s v=""/>
    <x v="0"/>
    <x v="0"/>
    <s v="1BE92#Box5_Box6#InBB"/>
    <s v="1BE92#Box5_Box6#InBB"/>
    <n v="0"/>
    <n v="0"/>
    <n v="0"/>
  </r>
  <r>
    <n v="134"/>
    <x v="834"/>
    <s v="13-14/A&quot;"/>
    <x v="0"/>
    <s v="BEAM"/>
    <s v="Yes"/>
    <s v="13_14_A&quot;"/>
    <x v="12"/>
    <n v="5"/>
    <s v=""/>
    <x v="0"/>
    <x v="0"/>
    <s v="1BE93#Box5_Box6#InBB"/>
    <s v="1BE93#Box5_Box6#InBB"/>
    <n v="0"/>
    <n v="0"/>
    <n v="0"/>
  </r>
  <r>
    <n v="266"/>
    <x v="835"/>
    <s v="13-14/A&quot;"/>
    <x v="157"/>
    <s v="BEAM"/>
    <s v="Yes"/>
    <s v="13_14_A&quot;"/>
    <x v="12"/>
    <n v="5"/>
    <s v=""/>
    <x v="0"/>
    <x v="0"/>
    <s v="2BE48#Box5_Box6#InBB"/>
    <s v="2BE48#Box5_Box6#InBB"/>
    <n v="0"/>
    <n v="0"/>
    <n v="0"/>
  </r>
  <r>
    <n v="267"/>
    <x v="836"/>
    <s v="13-14/A&quot;"/>
    <x v="9"/>
    <s v="BEAM"/>
    <s v="Yes"/>
    <s v="13_14_A&quot;"/>
    <x v="12"/>
    <n v="5"/>
    <s v=""/>
    <x v="0"/>
    <x v="0"/>
    <s v="2BE49#Box5_Box6#InBB"/>
    <s v="2BE49#Box5_Box6#InBB"/>
    <n v="0"/>
    <n v="0"/>
    <n v="0"/>
  </r>
  <r>
    <n v="412"/>
    <x v="837"/>
    <s v="13-14/A&quot;"/>
    <x v="158"/>
    <s v="BEAM"/>
    <s v="Yes"/>
    <s v="13_14_A&quot;"/>
    <x v="12"/>
    <n v="5"/>
    <s v=""/>
    <x v="0"/>
    <x v="0"/>
    <s v="3BE54#Box5_Box6#InBB"/>
    <s v="3BE54#Box5_Box6#InBB"/>
    <n v="0"/>
    <n v="0"/>
    <n v="0"/>
  </r>
  <r>
    <n v="508"/>
    <x v="838"/>
    <s v="12-13/A&quot;"/>
    <x v="30"/>
    <s v="BEAM"/>
    <s v="Yes"/>
    <s v="12_13_A&quot;"/>
    <x v="11"/>
    <n v="5"/>
    <s v=""/>
    <x v="3"/>
    <x v="11"/>
    <s v="4BE28#Box5#InB"/>
    <s v="4BE28#Box5#12_13_A&quot;"/>
    <n v="0"/>
    <n v="0"/>
    <n v="0"/>
  </r>
  <r>
    <n v="521"/>
    <x v="839"/>
    <s v="13-14/A&quot;"/>
    <x v="30"/>
    <s v="BEAM"/>
    <s v="Yes"/>
    <s v="13_14_A&quot;"/>
    <x v="12"/>
    <n v="5"/>
    <s v=""/>
    <x v="0"/>
    <x v="0"/>
    <s v="4BE41#Box5_Box6#InBB"/>
    <s v="4BE41#Box5_Box6#InBB"/>
    <n v="0"/>
    <n v="0"/>
    <n v="0"/>
  </r>
  <r>
    <n v="776"/>
    <x v="840"/>
    <s v="13-14/A&quot;"/>
    <x v="27"/>
    <s v="BEAM"/>
    <s v="Yes"/>
    <s v="13_14_A&quot;"/>
    <x v="12"/>
    <n v="5"/>
    <s v=""/>
    <x v="0"/>
    <x v="0"/>
    <s v="6BE70#Box5_Box6#InBB"/>
    <s v="6BE70#Box5_Box6#InBB"/>
    <n v="0"/>
    <n v="0"/>
    <n v="0"/>
  </r>
  <r>
    <n v="777"/>
    <x v="841"/>
    <s v="13-14/A&quot;"/>
    <x v="37"/>
    <s v="BEAM"/>
    <s v="Yes"/>
    <s v="13_14_A&quot;"/>
    <x v="12"/>
    <n v="5"/>
    <s v=""/>
    <x v="0"/>
    <x v="0"/>
    <s v="6BE71#Box5_Box6#InBB"/>
    <s v="6BE71#Box5_Box6#InBB"/>
    <n v="0"/>
    <n v="0"/>
    <n v="0"/>
  </r>
  <r>
    <n v="915"/>
    <x v="842"/>
    <s v="13/A&quot;"/>
    <x v="159"/>
    <s v="COLUMN"/>
    <s v="Yes"/>
    <s v="13_A&quot;"/>
    <x v="11"/>
    <n v="5"/>
    <s v=""/>
    <x v="13"/>
    <x v="11"/>
    <s v="C26#Box5#13_A'_A&quot;"/>
    <s v="C26#Box5#12_13_A&quot;"/>
    <n v="0"/>
    <n v="0"/>
    <n v="0"/>
  </r>
  <r>
    <n v="916"/>
    <x v="843"/>
    <s v="13/A&quot;"/>
    <x v="160"/>
    <s v="COLUMN"/>
    <s v="Yes"/>
    <s v="13_A&quot;"/>
    <x v="11"/>
    <n v="5"/>
    <s v=""/>
    <x v="13"/>
    <x v="11"/>
    <s v="C27#Box5#13_A'_A&quot;"/>
    <s v="C27#Box5#12_13_A&quot;"/>
    <n v="0"/>
    <n v="0"/>
    <n v="0"/>
  </r>
  <r>
    <n v="923"/>
    <x v="844"/>
    <s v="13/A&quot;"/>
    <x v="49"/>
    <s v="COLUMN"/>
    <s v="Yes"/>
    <s v="13_A&quot;"/>
    <x v="11"/>
    <n v="5"/>
    <s v=""/>
    <x v="13"/>
    <x v="11"/>
    <s v="C34#Box5#13_A'_A&quot;"/>
    <s v="C34#Box5#12_13_A&quot;"/>
    <n v="0"/>
    <n v="0"/>
    <n v="0"/>
  </r>
  <r>
    <n v="1103"/>
    <x v="845"/>
    <s v="13/A&quot;"/>
    <x v="161"/>
    <s v="SPLICE PLATE"/>
    <s v="No"/>
    <s v="13_A&quot;"/>
    <x v="11"/>
    <n v="5"/>
    <s v=""/>
    <x v="13"/>
    <x v="11"/>
    <s v="SF09#Box5#13_A'_A&quot;"/>
    <s v="SF09#Box5#12_13_A&quot;"/>
    <n v="0"/>
    <n v="0"/>
    <n v="0"/>
  </r>
  <r>
    <n v="1105"/>
    <x v="845"/>
    <s v="13/A&quot;"/>
    <x v="162"/>
    <s v="SPLICE PLATE"/>
    <s v="No"/>
    <s v="13_A&quot;"/>
    <x v="11"/>
    <n v="5"/>
    <s v=""/>
    <x v="13"/>
    <x v="11"/>
    <s v="SF09#Box5#13_A'_A&quot;"/>
    <s v="SF09#Box5#12_13_A&quot;"/>
    <n v="0"/>
    <n v="0"/>
    <n v="0"/>
  </r>
  <r>
    <n v="1106"/>
    <x v="845"/>
    <s v="13/A&quot;"/>
    <x v="161"/>
    <s v="SPLICE PLATE"/>
    <s v="No"/>
    <s v="13_A&quot;"/>
    <x v="11"/>
    <n v="5"/>
    <s v=""/>
    <x v="13"/>
    <x v="11"/>
    <s v="SF09#Box5#13_A'_A&quot;"/>
    <s v="SF09#Box5#12_13_A&quot;"/>
    <n v="0"/>
    <n v="0"/>
    <n v="0"/>
  </r>
  <r>
    <n v="1109"/>
    <x v="845"/>
    <s v="13/A&quot;"/>
    <x v="161"/>
    <s v="SPLICE PLATE"/>
    <s v="No"/>
    <s v="13_A&quot;"/>
    <x v="11"/>
    <n v="5"/>
    <s v=""/>
    <x v="13"/>
    <x v="11"/>
    <s v="SF09#Box5#13_A'_A&quot;"/>
    <s v="SF09#Box5#12_13_A&quot;"/>
    <n v="0"/>
    <n v="0"/>
    <n v="0"/>
  </r>
  <r>
    <n v="1110"/>
    <x v="845"/>
    <s v="13/A&quot;"/>
    <x v="162"/>
    <s v="SPLICE PLATE"/>
    <s v="No"/>
    <s v="13_A&quot;"/>
    <x v="11"/>
    <n v="5"/>
    <s v=""/>
    <x v="13"/>
    <x v="11"/>
    <s v="SF09#Box5#13_A'_A&quot;"/>
    <s v="SF09#Box5#12_13_A&quot;"/>
    <n v="0"/>
    <n v="0"/>
    <n v="0"/>
  </r>
  <r>
    <n v="1112"/>
    <x v="845"/>
    <s v="13/A&quot;"/>
    <x v="161"/>
    <s v="SPLICE PLATE"/>
    <s v="No"/>
    <s v="13_A&quot;"/>
    <x v="11"/>
    <n v="5"/>
    <s v=""/>
    <x v="13"/>
    <x v="11"/>
    <s v="SF09#Box5#13_A'_A&quot;"/>
    <s v="SF09#Box5#12_13_A&quot;"/>
    <n v="0"/>
    <n v="0"/>
    <n v="0"/>
  </r>
  <r>
    <n v="1113"/>
    <x v="845"/>
    <s v="13/A&quot;"/>
    <x v="162"/>
    <s v="SPLICE PLATE"/>
    <s v="No"/>
    <s v="13_A&quot;"/>
    <x v="11"/>
    <n v="5"/>
    <s v=""/>
    <x v="13"/>
    <x v="11"/>
    <s v="SF09#Box5#13_A'_A&quot;"/>
    <s v="SF09#Box5#12_13_A&quot;"/>
    <n v="0"/>
    <n v="0"/>
    <n v="0"/>
  </r>
  <r>
    <n v="1116"/>
    <x v="845"/>
    <s v="13/A&quot;"/>
    <x v="162"/>
    <s v="SPLICE PLATE"/>
    <s v="No"/>
    <s v="13_A&quot;"/>
    <x v="11"/>
    <n v="5"/>
    <s v=""/>
    <x v="13"/>
    <x v="11"/>
    <s v="SF09#Box5#13_A'_A&quot;"/>
    <s v="SF09#Box5#12_13_A&quot;"/>
    <n v="0"/>
    <n v="0"/>
    <n v="0"/>
  </r>
  <r>
    <n v="1117"/>
    <x v="846"/>
    <s v="13/A&quot;"/>
    <x v="161"/>
    <s v="SPLICE PLATE"/>
    <s v="No"/>
    <s v="13_A&quot;"/>
    <x v="11"/>
    <n v="5"/>
    <s v=""/>
    <x v="13"/>
    <x v="11"/>
    <s v="SF10#Box5#13_A'_A&quot;"/>
    <s v="SF10#Box5#12_13_A&quot;"/>
    <n v="0"/>
    <n v="0"/>
    <n v="0"/>
  </r>
  <r>
    <n v="1119"/>
    <x v="846"/>
    <s v="13/A&quot;"/>
    <x v="162"/>
    <s v="SPLICE PLATE"/>
    <s v="No"/>
    <s v="13_A&quot;"/>
    <x v="11"/>
    <n v="5"/>
    <s v=""/>
    <x v="13"/>
    <x v="11"/>
    <s v="SF10#Box5#13_A'_A&quot;"/>
    <s v="SF10#Box5#12_13_A&quot;"/>
    <n v="0"/>
    <n v="0"/>
    <n v="0"/>
  </r>
  <r>
    <n v="1121"/>
    <x v="846"/>
    <s v="13/A&quot;"/>
    <x v="161"/>
    <s v="SPLICE PLATE"/>
    <s v="No"/>
    <s v="13_A&quot;"/>
    <x v="11"/>
    <n v="5"/>
    <s v=""/>
    <x v="13"/>
    <x v="11"/>
    <s v="SF10#Box5#13_A'_A&quot;"/>
    <s v="SF10#Box5#12_13_A&quot;"/>
    <n v="0"/>
    <n v="0"/>
    <n v="0"/>
  </r>
  <r>
    <n v="1124"/>
    <x v="846"/>
    <s v="13/A&quot;"/>
    <x v="162"/>
    <s v="SPLICE PLATE"/>
    <s v="No"/>
    <s v="13_A&quot;"/>
    <x v="11"/>
    <n v="5"/>
    <s v=""/>
    <x v="13"/>
    <x v="11"/>
    <s v="SF10#Box5#13_A'_A&quot;"/>
    <s v="SF10#Box5#12_13_A&quot;"/>
    <n v="0"/>
    <n v="0"/>
    <n v="0"/>
  </r>
  <r>
    <n v="1196"/>
    <x v="847"/>
    <s v="13/A&quot;"/>
    <x v="163"/>
    <s v="SPLICE PLATE"/>
    <s v="No"/>
    <s v="13_A&quot;"/>
    <x v="11"/>
    <n v="5"/>
    <s v=""/>
    <x v="13"/>
    <x v="11"/>
    <s v="SW04#Box5#13_A'_A&quot;"/>
    <s v="SW04#Box5#12_13_A&quot;"/>
    <n v="0"/>
    <n v="0"/>
    <n v="0"/>
  </r>
  <r>
    <n v="1198"/>
    <x v="847"/>
    <s v="13/A&quot;"/>
    <x v="164"/>
    <s v="SPLICE PLATE"/>
    <s v="No"/>
    <s v="13_A&quot;"/>
    <x v="11"/>
    <n v="5"/>
    <s v=""/>
    <x v="13"/>
    <x v="11"/>
    <s v="SW04#Box5#13_A'_A&quot;"/>
    <s v="SW04#Box5#12_13_A&quot;"/>
    <n v="0"/>
    <n v="0"/>
    <n v="0"/>
  </r>
  <r>
    <n v="1200"/>
    <x v="847"/>
    <s v="13/A&quot;"/>
    <x v="163"/>
    <s v="SPLICE PLATE"/>
    <s v="No"/>
    <s v="13_A&quot;"/>
    <x v="11"/>
    <n v="5"/>
    <s v=""/>
    <x v="13"/>
    <x v="11"/>
    <s v="SW04#Box5#13_A'_A&quot;"/>
    <s v="SW04#Box5#12_13_A&quot;"/>
    <n v="0"/>
    <n v="0"/>
    <n v="0"/>
  </r>
  <r>
    <n v="1203"/>
    <x v="847"/>
    <s v="13/A&quot;"/>
    <x v="164"/>
    <s v="SPLICE PLATE"/>
    <s v="No"/>
    <s v="13_A&quot;"/>
    <x v="11"/>
    <n v="5"/>
    <s v=""/>
    <x v="13"/>
    <x v="11"/>
    <s v="SW04#Box5#13_A'_A&quot;"/>
    <s v="SW04#Box5#12_13_A&quot;"/>
    <n v="0"/>
    <n v="0"/>
    <n v="0"/>
  </r>
  <r>
    <n v="1294"/>
    <x v="848"/>
    <s v="12-13/A&quot;"/>
    <x v="154"/>
    <s v="V-BRACE"/>
    <s v="No"/>
    <s v="12_13_A&quot;"/>
    <x v="11"/>
    <n v="5"/>
    <s v=""/>
    <x v="3"/>
    <x v="11"/>
    <s v="VB52#Box5#InB"/>
    <s v="VB52#Box5#12_13_A&quot;"/>
    <n v="0"/>
    <n v="0"/>
    <n v="0"/>
  </r>
  <r>
    <n v="1295"/>
    <x v="848"/>
    <s v="12-13/A&quot;"/>
    <x v="151"/>
    <s v="V-BRACE"/>
    <s v="No"/>
    <s v="12_13_A&quot;"/>
    <x v="11"/>
    <n v="5"/>
    <s v=""/>
    <x v="3"/>
    <x v="11"/>
    <s v="VB52#Box5#InB"/>
    <s v="VB52#Box5#12_13_A&quot;"/>
    <n v="0"/>
    <n v="0"/>
    <n v="0"/>
  </r>
  <r>
    <n v="1304"/>
    <x v="849"/>
    <s v="13-14/A&quot;"/>
    <x v="165"/>
    <s v="V-BRACE"/>
    <s v="Yes"/>
    <s v="13_14_A&quot;"/>
    <x v="12"/>
    <n v="5"/>
    <s v=""/>
    <x v="0"/>
    <x v="0"/>
    <s v="VB60#Box5_Box6#InBB"/>
    <s v="VB60#Box5_Box6#InBB"/>
    <n v="0"/>
    <n v="0"/>
    <n v="0"/>
  </r>
  <r>
    <n v="1305"/>
    <x v="850"/>
    <s v="13-14/A&quot;"/>
    <x v="166"/>
    <s v="V-BRACE"/>
    <s v="Yes"/>
    <s v="13_14_A&quot;"/>
    <x v="12"/>
    <n v="5"/>
    <s v=""/>
    <x v="0"/>
    <x v="0"/>
    <s v="VB61#Box5_Box6#InBB"/>
    <s v="VB61#Box5_Box6#InBB"/>
    <n v="0"/>
    <n v="0"/>
    <n v="0"/>
  </r>
  <r>
    <n v="1306"/>
    <x v="851"/>
    <s v="13-14/A&quot;"/>
    <x v="167"/>
    <s v="V-BRACE"/>
    <s v="Yes"/>
    <s v="13_14_A&quot;"/>
    <x v="12"/>
    <n v="5"/>
    <s v=""/>
    <x v="0"/>
    <x v="0"/>
    <s v="VB62#Box5_Box6#InBB"/>
    <s v="VB62#Box5_Box6#InBB"/>
    <n v="0"/>
    <n v="0"/>
    <n v="0"/>
  </r>
  <r>
    <n v="1307"/>
    <x v="852"/>
    <s v="13-14/A&quot;"/>
    <x v="168"/>
    <s v="V-BRACE"/>
    <s v="Yes"/>
    <s v="13_14_A&quot;"/>
    <x v="12"/>
    <n v="5"/>
    <s v=""/>
    <x v="0"/>
    <x v="0"/>
    <s v="VB63#Box5_Box6#InBB"/>
    <s v="VB63#Box5_Box6#InBB"/>
    <n v="0"/>
    <n v="0"/>
    <n v="0"/>
  </r>
  <r>
    <n v="1308"/>
    <x v="853"/>
    <s v="13-14/A&quot;"/>
    <x v="169"/>
    <s v="V-BRACE"/>
    <s v="Yes"/>
    <s v="13_14_A&quot;"/>
    <x v="12"/>
    <n v="5"/>
    <s v=""/>
    <x v="0"/>
    <x v="0"/>
    <s v="VB64#Box5_Box6#InBB"/>
    <s v="VB64#Box5_Box6#InBB"/>
    <n v="0"/>
    <n v="0"/>
    <n v="0"/>
  </r>
  <r>
    <n v="1309"/>
    <x v="854"/>
    <s v="13-14/A&quot;"/>
    <x v="51"/>
    <s v="V-BRACE"/>
    <s v="No"/>
    <s v="13_14_A&quot;"/>
    <x v="12"/>
    <n v="5"/>
    <s v=""/>
    <x v="0"/>
    <x v="0"/>
    <s v="VB65#Box5_Box6#InBB"/>
    <s v="VB65#Box5_Box6#InBB"/>
    <n v="0"/>
    <n v="0"/>
    <n v="0"/>
  </r>
  <r>
    <n v="1310"/>
    <x v="854"/>
    <s v="13-14/A&quot;"/>
    <x v="73"/>
    <s v="V-BRACE"/>
    <s v="No"/>
    <s v="13_14_A&quot;"/>
    <x v="12"/>
    <n v="5"/>
    <s v=""/>
    <x v="0"/>
    <x v="0"/>
    <s v="VB65#Box5_Box6#InBB"/>
    <s v="VB65#Box5_Box6#InBB"/>
    <n v="0"/>
    <n v="0"/>
    <n v="0"/>
  </r>
  <r>
    <n v="1311"/>
    <x v="854"/>
    <s v="13-14/A&quot;"/>
    <x v="73"/>
    <s v="V-BRACE"/>
    <s v="No"/>
    <s v="13_14_A&quot;"/>
    <x v="12"/>
    <n v="5"/>
    <s v=""/>
    <x v="0"/>
    <x v="0"/>
    <s v="VB65#Box5_Box6#InBB"/>
    <s v="VB65#Box5_Box6#InBB"/>
    <n v="0"/>
    <n v="0"/>
    <n v="0"/>
  </r>
  <r>
    <n v="1312"/>
    <x v="855"/>
    <s v="13-14/A&quot;"/>
    <x v="170"/>
    <s v="V-BRACE"/>
    <s v="No"/>
    <s v="13_14_A&quot;"/>
    <x v="12"/>
    <n v="5"/>
    <s v=""/>
    <x v="0"/>
    <x v="0"/>
    <s v="VB66#Box5_Box6#InBB"/>
    <s v="VB66#Box5_Box6#InBB"/>
    <n v="0"/>
    <n v="0"/>
    <n v="0"/>
  </r>
  <r>
    <n v="1313"/>
    <x v="855"/>
    <s v="13-14/A&quot;"/>
    <x v="170"/>
    <s v="V-BRACE"/>
    <s v="No"/>
    <s v="13_14_A&quot;"/>
    <x v="12"/>
    <n v="5"/>
    <s v=""/>
    <x v="0"/>
    <x v="0"/>
    <s v="VB66#Box5_Box6#InBB"/>
    <s v="VB66#Box5_Box6#InBB"/>
    <n v="0"/>
    <n v="0"/>
    <n v="0"/>
  </r>
  <r>
    <n v="1314"/>
    <x v="855"/>
    <s v="13-14/A&quot;"/>
    <x v="171"/>
    <s v="V-BRACE"/>
    <s v="No"/>
    <s v="13_14_A&quot;"/>
    <x v="12"/>
    <n v="5"/>
    <s v=""/>
    <x v="0"/>
    <x v="0"/>
    <s v="VB66#Box5_Box6#InBB"/>
    <s v="VB66#Box5_Box6#InBB"/>
    <n v="0"/>
    <n v="0"/>
    <n v="0"/>
  </r>
  <r>
    <n v="1315"/>
    <x v="856"/>
    <s v="13-14/A&quot;"/>
    <x v="172"/>
    <s v="V-BRACE"/>
    <s v="Yes"/>
    <s v="13_14_A&quot;"/>
    <x v="12"/>
    <n v="5"/>
    <s v=""/>
    <x v="0"/>
    <x v="0"/>
    <s v="VB67#Box5_Box6#InBB"/>
    <s v="VB67#Box5_Box6#InBB"/>
    <n v="0"/>
    <n v="0"/>
    <n v="0"/>
  </r>
  <r>
    <n v="1317"/>
    <x v="857"/>
    <s v="13-14/A&quot;"/>
    <x v="173"/>
    <s v="V-BRACE"/>
    <s v="No"/>
    <s v="13_14_A&quot;"/>
    <x v="12"/>
    <n v="5"/>
    <s v=""/>
    <x v="0"/>
    <x v="0"/>
    <s v="VB69#Box5_Box6#InBB"/>
    <s v="VB69#Box5_Box6#InBB"/>
    <n v="0"/>
    <n v="0"/>
    <n v="0"/>
  </r>
  <r>
    <n v="1318"/>
    <x v="857"/>
    <s v="13-14/A&quot;"/>
    <x v="69"/>
    <s v="V-BRACE"/>
    <s v="No"/>
    <s v="13_14_A&quot;"/>
    <x v="12"/>
    <n v="5"/>
    <s v=""/>
    <x v="0"/>
    <x v="0"/>
    <s v="VB69#Box5_Box6#InBB"/>
    <s v="VB69#Box5_Box6#InBB"/>
    <n v="0"/>
    <n v="0"/>
    <n v="0"/>
  </r>
  <r>
    <n v="1319"/>
    <x v="858"/>
    <s v="13-14/A&quot;"/>
    <x v="174"/>
    <s v="V-BRACE"/>
    <s v="Yes"/>
    <s v="13_14_A&quot;"/>
    <x v="12"/>
    <n v="5"/>
    <s v=""/>
    <x v="0"/>
    <x v="0"/>
    <s v="VB70#Box5_Box6#InBB"/>
    <s v="VB70#Box5_Box6#InBB"/>
    <n v="0"/>
    <n v="0"/>
    <n v="0"/>
  </r>
  <r>
    <n v="1320"/>
    <x v="859"/>
    <s v="13-14/A&quot;"/>
    <x v="175"/>
    <s v="V-BRACE"/>
    <s v="Yes"/>
    <s v="13_14_A&quot;"/>
    <x v="12"/>
    <n v="5"/>
    <s v=""/>
    <x v="0"/>
    <x v="0"/>
    <s v="VB71#Box5_Box6#InBB"/>
    <s v="VB71#Box5_Box6#InBB"/>
    <n v="0"/>
    <n v="0"/>
    <n v="0"/>
  </r>
  <r>
    <n v="1321"/>
    <x v="860"/>
    <s v="13-14/A&quot;"/>
    <x v="167"/>
    <s v="V-BRACE"/>
    <s v="Yes"/>
    <s v="13_14_A&quot;"/>
    <x v="12"/>
    <n v="5"/>
    <s v=""/>
    <x v="0"/>
    <x v="0"/>
    <s v="VB72#Box5_Box6#InBB"/>
    <s v="VB72#Box5_Box6#InBB"/>
    <n v="0"/>
    <n v="0"/>
    <n v="0"/>
  </r>
  <r>
    <n v="1322"/>
    <x v="861"/>
    <s v="13-14/A&quot;"/>
    <x v="75"/>
    <s v="V-BRACE"/>
    <s v="Yes"/>
    <s v="13_14_A&quot;"/>
    <x v="12"/>
    <n v="5"/>
    <s v=""/>
    <x v="0"/>
    <x v="0"/>
    <s v="VB73#Box5_Box6#InBB"/>
    <s v="VB73#Box5_Box6#InBB"/>
    <n v="0"/>
    <n v="0"/>
    <n v="0"/>
  </r>
  <r>
    <n v="1323"/>
    <x v="862"/>
    <s v="13-14/A&quot;"/>
    <x v="166"/>
    <s v="V-BRACE"/>
    <s v="Yes"/>
    <s v="13_14_A&quot;"/>
    <x v="12"/>
    <n v="5"/>
    <s v=""/>
    <x v="0"/>
    <x v="0"/>
    <s v="VB74#Box5_Box6#InBB"/>
    <s v="VB74#Box5_Box6#InBB"/>
    <n v="0"/>
    <n v="0"/>
    <n v="0"/>
  </r>
  <r>
    <n v="1324"/>
    <x v="863"/>
    <s v="13-14/A&quot;"/>
    <x v="165"/>
    <s v="V-BRACE"/>
    <s v="Yes"/>
    <s v="13_14_A&quot;"/>
    <x v="12"/>
    <n v="5"/>
    <s v=""/>
    <x v="0"/>
    <x v="0"/>
    <s v="VB75#Box5_Box6#InBB"/>
    <s v="VB75#Box5_Box6#InBB"/>
    <n v="0"/>
    <n v="0"/>
    <n v="0"/>
  </r>
  <r>
    <n v="139"/>
    <x v="864"/>
    <s v="14/A&quot;-A"/>
    <x v="99"/>
    <s v="BEAM"/>
    <s v="Yes"/>
    <s v="14_A&quot;_A"/>
    <x v="13"/>
    <n v="6"/>
    <s v=""/>
    <x v="14"/>
    <x v="1"/>
    <s v="1BE98#Box6#14_A&quot;_A"/>
    <s v="1BE98#Box6#InB"/>
    <n v="0"/>
    <n v="0"/>
    <n v="0"/>
  </r>
  <r>
    <n v="280"/>
    <x v="865"/>
    <s v="14/A&quot;-A"/>
    <x v="157"/>
    <s v="BEAM"/>
    <s v="Yes"/>
    <s v="14_A&quot;_A"/>
    <x v="13"/>
    <n v="6"/>
    <s v=""/>
    <x v="14"/>
    <x v="1"/>
    <s v="2BE58#Box6#14_A&quot;_A"/>
    <s v="2BE58#Box6#InB"/>
    <n v="0"/>
    <n v="0"/>
    <n v="0"/>
  </r>
  <r>
    <n v="417"/>
    <x v="866"/>
    <s v="14/A&quot;-A"/>
    <x v="158"/>
    <s v="BEAM"/>
    <s v="Yes"/>
    <s v="14_A&quot;_A"/>
    <x v="13"/>
    <n v="6"/>
    <s v=""/>
    <x v="14"/>
    <x v="1"/>
    <s v="3BE59#Box6#14_A&quot;_A"/>
    <s v="3BE59#Box6#InB"/>
    <n v="0"/>
    <n v="0"/>
    <n v="0"/>
  </r>
  <r>
    <n v="481"/>
    <x v="867"/>
    <s v="14/A&quot;-A"/>
    <x v="176"/>
    <s v="BEAM"/>
    <s v="Yes"/>
    <s v="14_A&quot;_A"/>
    <x v="13"/>
    <n v="6"/>
    <s v=""/>
    <x v="14"/>
    <x v="1"/>
    <s v="4BE01#Box6#14_A&quot;_A"/>
    <s v="4BE01#Box6#InB"/>
    <n v="0"/>
    <n v="0"/>
    <n v="0"/>
  </r>
  <r>
    <n v="535"/>
    <x v="868"/>
    <s v="14/A&quot;-A"/>
    <x v="30"/>
    <s v="BEAM"/>
    <s v="Yes"/>
    <s v="14_A&quot;_A"/>
    <x v="13"/>
    <n v="6"/>
    <s v=""/>
    <x v="14"/>
    <x v="1"/>
    <s v="4BE53#Box6#14_A&quot;_A"/>
    <s v="4BE53#Box6#InB"/>
    <n v="0"/>
    <n v="0"/>
    <n v="0"/>
  </r>
  <r>
    <n v="542"/>
    <x v="869"/>
    <s v="14-15/A'-A"/>
    <x v="30"/>
    <s v="BEAM"/>
    <s v="Yes"/>
    <s v="14_15_A'_A"/>
    <x v="13"/>
    <n v="6"/>
    <s v=""/>
    <x v="3"/>
    <x v="1"/>
    <s v="4BE58#Box6#InB"/>
    <s v="4BE58#Box6#InB"/>
    <n v="0"/>
    <n v="0"/>
    <n v="0"/>
  </r>
  <r>
    <n v="556"/>
    <x v="870"/>
    <s v="14-15/A'-A"/>
    <x v="28"/>
    <s v="BEAM"/>
    <s v="Yes"/>
    <s v="14_15_A'_A"/>
    <x v="13"/>
    <n v="6"/>
    <s v=""/>
    <x v="3"/>
    <x v="1"/>
    <s v="4BE70#Box6#InB"/>
    <s v="4BE70#Box6#InB"/>
    <n v="0"/>
    <n v="0"/>
    <n v="0"/>
  </r>
  <r>
    <n v="603"/>
    <x v="871"/>
    <s v="14-15/A'-A"/>
    <x v="113"/>
    <s v="H-BRACE"/>
    <s v="Yes"/>
    <s v="14_15_A'_A"/>
    <x v="13"/>
    <n v="6"/>
    <s v=""/>
    <x v="3"/>
    <x v="1"/>
    <s v="4HB34#Box6#InB"/>
    <s v="4HB34#Box6#InB"/>
    <n v="0"/>
    <n v="0"/>
    <n v="0"/>
  </r>
  <r>
    <n v="607"/>
    <x v="872"/>
    <s v="14-15/A'-A"/>
    <x v="112"/>
    <s v="H-BRACE"/>
    <s v="Yes"/>
    <s v="14_15_A'_A"/>
    <x v="13"/>
    <n v="6"/>
    <s v=""/>
    <x v="3"/>
    <x v="1"/>
    <s v="4HB38#Box6#InB"/>
    <s v="4HB38#Box6#InB"/>
    <n v="0"/>
    <n v="0"/>
    <n v="0"/>
  </r>
  <r>
    <n v="789"/>
    <x v="873"/>
    <s v="14/A&quot;-A"/>
    <x v="37"/>
    <s v="BEAM"/>
    <s v="Yes"/>
    <s v="14_A&quot;_A"/>
    <x v="13"/>
    <n v="6"/>
    <s v=""/>
    <x v="14"/>
    <x v="1"/>
    <s v="6BE83#Box6#14_A&quot;_A"/>
    <s v="6BE83#Box6#InB"/>
    <n v="0"/>
    <n v="0"/>
    <n v="0"/>
  </r>
  <r>
    <n v="799"/>
    <x v="874"/>
    <s v="14-15/A'-A"/>
    <x v="37"/>
    <s v="BEAM"/>
    <s v="Yes"/>
    <s v="14_15_A'_A"/>
    <x v="13"/>
    <n v="6"/>
    <s v=""/>
    <x v="3"/>
    <x v="1"/>
    <s v="6BE92#Box6#InB"/>
    <s v="6BE92#Box6#InB"/>
    <n v="0"/>
    <n v="0"/>
    <n v="0"/>
  </r>
  <r>
    <n v="800"/>
    <x v="875"/>
    <s v="14-15/A'-A"/>
    <x v="37"/>
    <s v="BEAM"/>
    <s v="Yes"/>
    <s v="14_15_A'_A"/>
    <x v="13"/>
    <n v="6"/>
    <s v=""/>
    <x v="3"/>
    <x v="1"/>
    <s v="6BE93#Box6#InB"/>
    <s v="6BE93#Box6#InB"/>
    <n v="0"/>
    <n v="0"/>
    <n v="0"/>
  </r>
  <r>
    <n v="813"/>
    <x v="876"/>
    <s v="14-15/A'-A"/>
    <x v="37"/>
    <s v="BEAM"/>
    <s v="Yes"/>
    <s v="14_15_A'_A"/>
    <x v="13"/>
    <n v="6"/>
    <s v=""/>
    <x v="3"/>
    <x v="1"/>
    <s v="6BE105#Box6#InB"/>
    <s v="6BE105#Box6#InB"/>
    <n v="0"/>
    <n v="0"/>
    <n v="0"/>
  </r>
  <r>
    <n v="893"/>
    <x v="877"/>
    <s v="14/A&quot;"/>
    <x v="159"/>
    <s v="COLUMN"/>
    <s v="Yes"/>
    <s v="14_A&quot;"/>
    <x v="13"/>
    <n v="6"/>
    <s v=""/>
    <x v="15"/>
    <x v="12"/>
    <s v="C04#Box6#14_A'_A&quot;"/>
    <s v="C04#Box6#14_15_A&quot;"/>
    <n v="1"/>
    <n v="733.28"/>
    <n v="0"/>
  </r>
  <r>
    <n v="894"/>
    <x v="878"/>
    <s v="14/A&quot;"/>
    <x v="160"/>
    <s v="COLUMN"/>
    <s v="Yes"/>
    <s v="14_A&quot;"/>
    <x v="13"/>
    <n v="6"/>
    <s v=""/>
    <x v="15"/>
    <x v="12"/>
    <s v="C05#Box6#14_A'_A&quot;"/>
    <s v="C05#Box6#14_15_A&quot;"/>
    <n v="1"/>
    <n v="451.68"/>
    <n v="0"/>
  </r>
  <r>
    <n v="925"/>
    <x v="879"/>
    <s v="14/A&quot;"/>
    <x v="49"/>
    <s v="COLUMN"/>
    <s v="Yes"/>
    <s v="14_A&quot;"/>
    <x v="13"/>
    <n v="6"/>
    <s v=""/>
    <x v="15"/>
    <x v="12"/>
    <s v="C36#Box6#14_A'_A&quot;"/>
    <s v="C36#Box6#14_15_A&quot;"/>
    <n v="0"/>
    <n v="0"/>
    <n v="0"/>
  </r>
  <r>
    <n v="1101"/>
    <x v="845"/>
    <s v="14/A&quot;"/>
    <x v="162"/>
    <s v="SPLICE PLATE"/>
    <s v="No"/>
    <s v="14_A&quot;"/>
    <x v="13"/>
    <n v="6"/>
    <s v=""/>
    <x v="15"/>
    <x v="12"/>
    <s v="SF09#Box6#14_A'_A&quot;"/>
    <s v="SF09#Box6#14_15_A&quot;"/>
    <n v="0"/>
    <n v="0"/>
    <n v="0"/>
  </r>
  <r>
    <n v="1102"/>
    <x v="845"/>
    <s v="14/A&quot;"/>
    <x v="162"/>
    <s v="SPLICE PLATE"/>
    <s v="No"/>
    <s v="14_A&quot;"/>
    <x v="13"/>
    <n v="6"/>
    <s v=""/>
    <x v="15"/>
    <x v="12"/>
    <s v="SF09#Box6#14_A'_A&quot;"/>
    <s v="SF09#Box6#14_15_A&quot;"/>
    <n v="0"/>
    <n v="0"/>
    <n v="0"/>
  </r>
  <r>
    <n v="1104"/>
    <x v="845"/>
    <s v="14/A&quot;"/>
    <x v="161"/>
    <s v="SPLICE PLATE"/>
    <s v="No"/>
    <s v="14_A&quot;"/>
    <x v="13"/>
    <n v="6"/>
    <s v=""/>
    <x v="15"/>
    <x v="12"/>
    <s v="SF09#Box6#14_A'_A&quot;"/>
    <s v="SF09#Box6#14_15_A&quot;"/>
    <n v="0"/>
    <n v="0"/>
    <n v="0"/>
  </r>
  <r>
    <n v="1107"/>
    <x v="845"/>
    <s v="14/A&quot;"/>
    <x v="162"/>
    <s v="SPLICE PLATE"/>
    <s v="No"/>
    <s v="14_A&quot;"/>
    <x v="13"/>
    <n v="6"/>
    <s v=""/>
    <x v="15"/>
    <x v="12"/>
    <s v="SF09#Box6#14_A'_A&quot;"/>
    <s v="SF09#Box6#14_15_A&quot;"/>
    <n v="0"/>
    <n v="0"/>
    <n v="0"/>
  </r>
  <r>
    <n v="1108"/>
    <x v="845"/>
    <s v="14/A&quot;"/>
    <x v="162"/>
    <s v="SPLICE PLATE"/>
    <s v="No"/>
    <s v="14_A&quot;"/>
    <x v="13"/>
    <n v="6"/>
    <s v=""/>
    <x v="15"/>
    <x v="12"/>
    <s v="SF09#Box6#14_A'_A&quot;"/>
    <s v="SF09#Box6#14_15_A&quot;"/>
    <n v="0"/>
    <n v="0"/>
    <n v="0"/>
  </r>
  <r>
    <n v="1111"/>
    <x v="845"/>
    <s v="14/A&quot;"/>
    <x v="161"/>
    <s v="SPLICE PLATE"/>
    <s v="No"/>
    <s v="14_A&quot;"/>
    <x v="13"/>
    <n v="6"/>
    <s v=""/>
    <x v="15"/>
    <x v="12"/>
    <s v="SF09#Box6#14_A'_A&quot;"/>
    <s v="SF09#Box6#14_15_A&quot;"/>
    <n v="0"/>
    <n v="0"/>
    <n v="0"/>
  </r>
  <r>
    <n v="1114"/>
    <x v="845"/>
    <s v="14/A&quot;"/>
    <x v="161"/>
    <s v="SPLICE PLATE"/>
    <s v="No"/>
    <s v="14_A&quot;"/>
    <x v="13"/>
    <n v="6"/>
    <s v=""/>
    <x v="15"/>
    <x v="12"/>
    <s v="SF09#Box6#14_A'_A&quot;"/>
    <s v="SF09#Box6#14_15_A&quot;"/>
    <n v="0"/>
    <n v="0"/>
    <n v="0"/>
  </r>
  <r>
    <n v="1115"/>
    <x v="845"/>
    <s v="14/A&quot;"/>
    <x v="161"/>
    <s v="SPLICE PLATE"/>
    <s v="No"/>
    <s v="14_A&quot;"/>
    <x v="13"/>
    <n v="6"/>
    <s v=""/>
    <x v="15"/>
    <x v="12"/>
    <s v="SF09#Box6#14_A'_A&quot;"/>
    <s v="SF09#Box6#14_15_A&quot;"/>
    <n v="0"/>
    <n v="0"/>
    <n v="0"/>
  </r>
  <r>
    <n v="1118"/>
    <x v="846"/>
    <s v="14/A&quot;"/>
    <x v="161"/>
    <s v="SPLICE PLATE"/>
    <s v="No"/>
    <s v="14_A&quot;"/>
    <x v="13"/>
    <n v="6"/>
    <s v=""/>
    <x v="15"/>
    <x v="12"/>
    <s v="SF10#Box6#14_A'_A&quot;"/>
    <s v="SF10#Box6#14_15_A&quot;"/>
    <n v="0"/>
    <n v="0"/>
    <n v="0"/>
  </r>
  <r>
    <n v="1120"/>
    <x v="846"/>
    <s v="14/A&quot;"/>
    <x v="162"/>
    <s v="SPLICE PLATE"/>
    <s v="No"/>
    <s v="14_A&quot;"/>
    <x v="13"/>
    <n v="6"/>
    <s v=""/>
    <x v="15"/>
    <x v="12"/>
    <s v="SF10#Box6#14_A'_A&quot;"/>
    <s v="SF10#Box6#14_15_A&quot;"/>
    <n v="0"/>
    <n v="0"/>
    <n v="0"/>
  </r>
  <r>
    <n v="1122"/>
    <x v="846"/>
    <s v="14/A&quot;"/>
    <x v="161"/>
    <s v="SPLICE PLATE"/>
    <s v="No"/>
    <s v="14_A&quot;"/>
    <x v="13"/>
    <n v="6"/>
    <s v=""/>
    <x v="15"/>
    <x v="12"/>
    <s v="SF10#Box6#14_A'_A&quot;"/>
    <s v="SF10#Box6#14_15_A&quot;"/>
    <n v="0"/>
    <n v="0"/>
    <n v="0"/>
  </r>
  <r>
    <n v="1123"/>
    <x v="846"/>
    <s v="14/A&quot;"/>
    <x v="162"/>
    <s v="SPLICE PLATE"/>
    <s v="No"/>
    <s v="14_A&quot;"/>
    <x v="13"/>
    <n v="6"/>
    <s v=""/>
    <x v="15"/>
    <x v="12"/>
    <s v="SF10#Box6#14_A'_A&quot;"/>
    <s v="SF10#Box6#14_15_A&quot;"/>
    <n v="0"/>
    <n v="0"/>
    <n v="0"/>
  </r>
  <r>
    <n v="1197"/>
    <x v="847"/>
    <s v="14/A&quot;"/>
    <x v="163"/>
    <s v="SPLICE PLATE"/>
    <s v="No"/>
    <s v="14_A&quot;"/>
    <x v="13"/>
    <n v="6"/>
    <s v=""/>
    <x v="15"/>
    <x v="12"/>
    <s v="SW04#Box6#14_A'_A&quot;"/>
    <s v="SW04#Box6#14_15_A&quot;"/>
    <n v="0"/>
    <n v="0"/>
    <n v="0"/>
  </r>
  <r>
    <n v="1199"/>
    <x v="847"/>
    <s v="14/A&quot;"/>
    <x v="164"/>
    <s v="SPLICE PLATE"/>
    <s v="No"/>
    <s v="14_A&quot;"/>
    <x v="13"/>
    <n v="6"/>
    <s v=""/>
    <x v="15"/>
    <x v="12"/>
    <s v="SW04#Box6#14_A'_A&quot;"/>
    <s v="SW04#Box6#14_15_A&quot;"/>
    <n v="0"/>
    <n v="0"/>
    <n v="0"/>
  </r>
  <r>
    <n v="1201"/>
    <x v="847"/>
    <s v="14/A&quot;"/>
    <x v="163"/>
    <s v="SPLICE PLATE"/>
    <s v="No"/>
    <s v="14_A&quot;"/>
    <x v="13"/>
    <n v="6"/>
    <s v=""/>
    <x v="15"/>
    <x v="12"/>
    <s v="SW04#Box6#14_A'_A&quot;"/>
    <s v="SW04#Box6#14_15_A&quot;"/>
    <n v="0"/>
    <n v="0"/>
    <n v="0"/>
  </r>
  <r>
    <n v="1202"/>
    <x v="847"/>
    <s v="14/A&quot;"/>
    <x v="164"/>
    <s v="SPLICE PLATE"/>
    <s v="No"/>
    <s v="14_A&quot;"/>
    <x v="13"/>
    <n v="6"/>
    <s v=""/>
    <x v="15"/>
    <x v="12"/>
    <s v="SW04#Box6#14_A'_A&quot;"/>
    <s v="SW04#Box6#14_15_A&quot;"/>
    <n v="0"/>
    <n v="0"/>
    <n v="0"/>
  </r>
  <r>
    <n v="1331"/>
    <x v="880"/>
    <s v="14-15/A'-A"/>
    <x v="154"/>
    <s v="V-BRACE"/>
    <s v="Yes"/>
    <s v="14_15_A'_A"/>
    <x v="13"/>
    <n v="6"/>
    <s v=""/>
    <x v="3"/>
    <x v="1"/>
    <s v="VB81#Box6#InB"/>
    <s v="VB81#Box6#InB"/>
    <n v="0"/>
    <n v="0"/>
    <n v="0"/>
  </r>
  <r>
    <n v="1333"/>
    <x v="881"/>
    <s v="14-15/A'-A"/>
    <x v="137"/>
    <s v="V-BRACE"/>
    <s v="Yes"/>
    <s v="14_15_A'_A"/>
    <x v="13"/>
    <n v="6"/>
    <s v=""/>
    <x v="3"/>
    <x v="1"/>
    <s v="VB83#Box6#InB"/>
    <s v="VB83#Box6#InB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E8A164-F681-4692-AD8F-C9539F562FFA}" name="PivotTable5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I2:J13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x="1"/>
        <item h="1" x="3"/>
        <item x="6"/>
        <item h="1" m="1" x="14"/>
        <item x="9"/>
        <item h="1" m="1" x="16"/>
        <item m="1" x="17"/>
        <item h="1" m="1" x="18"/>
        <item x="11"/>
        <item h="1" x="12"/>
        <item x="13"/>
        <item h="1" x="0"/>
        <item h="1" x="2"/>
        <item h="1" x="7"/>
        <item h="1" m="1" x="15"/>
        <item h="1" x="4"/>
        <item h="1" x="5"/>
        <item h="1" x="8"/>
        <item h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2">
        <item h="1" x="2"/>
        <item m="1" x="24"/>
        <item m="1" x="23"/>
        <item m="1" x="22"/>
        <item m="1" x="25"/>
        <item m="1" x="29"/>
        <item m="1" x="28"/>
        <item m="1" x="35"/>
        <item m="1" x="33"/>
        <item m="1" x="38"/>
        <item m="1" x="39"/>
        <item m="1" x="41"/>
        <item m="1" x="26"/>
        <item m="1" x="27"/>
        <item m="1" x="31"/>
        <item m="1" x="30"/>
        <item m="1" x="34"/>
        <item m="1" x="32"/>
        <item m="1" x="36"/>
        <item m="1" x="37"/>
        <item m="1" x="40"/>
        <item h="1" x="1"/>
        <item h="1" x="0"/>
        <item m="1" x="17"/>
        <item m="1" x="18"/>
        <item m="1" x="19"/>
        <item m="1" x="20"/>
        <item m="1" x="21"/>
        <item m="1" x="13"/>
        <item m="1" x="14"/>
        <item m="1" x="15"/>
        <item m="1" x="16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7"/>
    <field x="11"/>
  </rowFields>
  <rowItems count="11">
    <i>
      <x/>
      <x v="32"/>
    </i>
    <i r="1">
      <x v="33"/>
    </i>
    <i>
      <x v="2"/>
      <x v="34"/>
    </i>
    <i r="1">
      <x v="35"/>
    </i>
    <i r="1">
      <x v="36"/>
    </i>
    <i r="1">
      <x v="37"/>
    </i>
    <i>
      <x v="4"/>
      <x v="38"/>
    </i>
    <i r="1">
      <x v="39"/>
    </i>
    <i>
      <x v="8"/>
      <x v="40"/>
    </i>
    <i>
      <x v="10"/>
      <x v="41"/>
    </i>
    <i t="grand">
      <x/>
    </i>
  </rowItems>
  <colItems count="1">
    <i/>
  </colItems>
  <formats count="15">
    <format dxfId="45">
      <pivotArea type="all" dataOnly="0" outline="0" fieldPosition="0"/>
    </format>
    <format dxfId="44">
      <pivotArea field="7" type="button" dataOnly="0" labelOnly="1" outline="0" axis="axisRow" fieldPosition="0"/>
    </format>
    <format dxfId="43">
      <pivotArea field="11" type="button" dataOnly="0" labelOnly="1" outline="0" axis="axisRow" fieldPosition="1"/>
    </format>
    <format dxfId="42">
      <pivotArea dataOnly="0" labelOnly="1" outline="0" fieldPosition="0">
        <references count="1">
          <reference field="7" count="0"/>
        </references>
      </pivotArea>
    </format>
    <format dxfId="41">
      <pivotArea dataOnly="0" labelOnly="1" grandRow="1" outline="0" fieldPosition="0"/>
    </format>
    <format dxfId="40">
      <pivotArea dataOnly="0" labelOnly="1" outline="0" fieldPosition="0">
        <references count="2">
          <reference field="7" count="1" selected="0">
            <x v="0"/>
          </reference>
          <reference field="11" count="3">
            <x v="1"/>
            <x v="2"/>
            <x v="3"/>
          </reference>
        </references>
      </pivotArea>
    </format>
    <format dxfId="39">
      <pivotArea dataOnly="0" labelOnly="1" outline="0" fieldPosition="0">
        <references count="2">
          <reference field="7" count="1" selected="0">
            <x v="2"/>
          </reference>
          <reference field="11" count="3">
            <x v="4"/>
            <x v="12"/>
            <x v="13"/>
          </reference>
        </references>
      </pivotArea>
    </format>
    <format dxfId="38">
      <pivotArea dataOnly="0" labelOnly="1" outline="0" fieldPosition="0">
        <references count="2">
          <reference field="7" count="1" selected="0">
            <x v="4"/>
          </reference>
          <reference field="11" count="4">
            <x v="5"/>
            <x v="6"/>
            <x v="14"/>
            <x v="15"/>
          </reference>
        </references>
      </pivotArea>
    </format>
    <format dxfId="37">
      <pivotArea dataOnly="0" labelOnly="1" outline="0" fieldPosition="0">
        <references count="2">
          <reference field="7" count="1" selected="0">
            <x v="6"/>
          </reference>
          <reference field="11" count="4">
            <x v="7"/>
            <x v="8"/>
            <x v="16"/>
            <x v="17"/>
          </reference>
        </references>
      </pivotArea>
    </format>
    <format dxfId="36">
      <pivotArea dataOnly="0" labelOnly="1" outline="0" fieldPosition="0">
        <references count="2">
          <reference field="7" count="1" selected="0">
            <x v="8"/>
          </reference>
          <reference field="11" count="4">
            <x v="9"/>
            <x v="10"/>
            <x v="18"/>
            <x v="19"/>
          </reference>
        </references>
      </pivotArea>
    </format>
    <format dxfId="35">
      <pivotArea dataOnly="0" labelOnly="1" outline="0" fieldPosition="0">
        <references count="2">
          <reference field="7" count="1" selected="0">
            <x v="10"/>
          </reference>
          <reference field="11" count="2">
            <x v="11"/>
            <x v="20"/>
          </reference>
        </references>
      </pivotArea>
    </format>
    <format dxfId="34">
      <pivotArea dataOnly="0" labelOnly="1" grandRow="1" outline="0" offset="A256" fieldPosition="0"/>
    </format>
    <format dxfId="33">
      <pivotArea dataOnly="0" labelOnly="1" grandRow="1" outline="0" offset="IV256" fieldPosition="0"/>
    </format>
    <format dxfId="32">
      <pivotArea dataOnly="0" labelOnly="1" outline="0" fieldPosition="0">
        <references count="2">
          <reference field="7" count="1" selected="0">
            <x v="0"/>
          </reference>
          <reference field="11" count="2">
            <x v="28"/>
            <x v="29"/>
          </reference>
        </references>
      </pivotArea>
    </format>
    <format dxfId="31">
      <pivotArea dataOnly="0" labelOnly="1" outline="0" fieldPosition="0">
        <references count="2">
          <reference field="7" count="1" selected="0">
            <x v="2"/>
          </reference>
          <reference field="11" count="2">
            <x v="30"/>
            <x v="3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788549-F64B-474F-BC43-A44B319BE093}" name="PivotTable4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E2:F16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x="1"/>
        <item h="1" x="3"/>
        <item x="6"/>
        <item h="1" m="1" x="14"/>
        <item x="9"/>
        <item h="1" m="1" x="16"/>
        <item m="1" x="17"/>
        <item h="1" m="1" x="18"/>
        <item x="11"/>
        <item h="1" x="12"/>
        <item x="13"/>
        <item h="1" x="0"/>
        <item h="1" x="2"/>
        <item h="1" x="7"/>
        <item h="1" m="1" x="15"/>
        <item h="1" x="4"/>
        <item h="1" x="5"/>
        <item h="1" x="8"/>
        <item h="1"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2">
        <item h="1" x="2"/>
        <item m="1" x="30"/>
        <item m="1" x="29"/>
        <item m="1" x="32"/>
        <item m="1" x="34"/>
        <item m="1" x="35"/>
        <item m="1" x="37"/>
        <item m="1" x="39"/>
        <item m="1" x="40"/>
        <item m="1" x="31"/>
        <item m="1" x="33"/>
        <item m="1" x="36"/>
        <item m="1" x="38"/>
        <item m="1" x="41"/>
        <item h="1" x="3"/>
        <item h="1" x="0"/>
        <item m="1" x="22"/>
        <item m="1" x="23"/>
        <item m="1" x="24"/>
        <item m="1" x="25"/>
        <item m="1" x="26"/>
        <item m="1" x="27"/>
        <item m="1" x="28"/>
        <item m="1" x="16"/>
        <item m="1" x="17"/>
        <item m="1" x="18"/>
        <item m="1" x="19"/>
        <item m="1" x="20"/>
        <item m="1" x="21"/>
        <item x="1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7"/>
    <field x="10"/>
  </rowFields>
  <rowItems count="14">
    <i>
      <x/>
      <x v="29"/>
    </i>
    <i r="1">
      <x v="30"/>
    </i>
    <i r="1">
      <x v="31"/>
    </i>
    <i r="1">
      <x v="32"/>
    </i>
    <i>
      <x v="2"/>
      <x v="33"/>
    </i>
    <i r="1">
      <x v="34"/>
    </i>
    <i r="1">
      <x v="35"/>
    </i>
    <i r="1">
      <x v="36"/>
    </i>
    <i>
      <x v="4"/>
      <x v="37"/>
    </i>
    <i r="1">
      <x v="38"/>
    </i>
    <i>
      <x v="8"/>
      <x v="39"/>
    </i>
    <i>
      <x v="10"/>
      <x v="40"/>
    </i>
    <i r="1">
      <x v="41"/>
    </i>
    <i t="grand">
      <x/>
    </i>
  </rowItems>
  <colItems count="1">
    <i/>
  </colItems>
  <formats count="13">
    <format dxfId="58">
      <pivotArea type="all" dataOnly="0" outline="0" fieldPosition="0"/>
    </format>
    <format dxfId="57">
      <pivotArea field="7" type="button" dataOnly="0" labelOnly="1" outline="0" axis="axisRow" fieldPosition="0"/>
    </format>
    <format dxfId="56">
      <pivotArea field="10" type="button" dataOnly="0" labelOnly="1" outline="0" axis="axisRow" fieldPosition="1"/>
    </format>
    <format dxfId="55">
      <pivotArea dataOnly="0" labelOnly="1" outline="0" fieldPosition="0">
        <references count="1">
          <reference field="7" count="0"/>
        </references>
      </pivotArea>
    </format>
    <format dxfId="54">
      <pivotArea dataOnly="0" labelOnly="1" grandRow="1" outline="0" fieldPosition="0"/>
    </format>
    <format dxfId="53">
      <pivotArea dataOnly="0" labelOnly="1" outline="0" fieldPosition="0">
        <references count="2">
          <reference field="7" count="1" selected="0">
            <x v="0"/>
          </reference>
          <reference field="10" count="2">
            <x v="1"/>
            <x v="2"/>
          </reference>
        </references>
      </pivotArea>
    </format>
    <format dxfId="52">
      <pivotArea dataOnly="0" labelOnly="1" outline="0" fieldPosition="0">
        <references count="2">
          <reference field="7" count="1" selected="0">
            <x v="2"/>
          </reference>
          <reference field="10" count="2">
            <x v="3"/>
            <x v="9"/>
          </reference>
        </references>
      </pivotArea>
    </format>
    <format dxfId="51">
      <pivotArea dataOnly="0" labelOnly="1" outline="0" fieldPosition="0">
        <references count="2">
          <reference field="7" count="1" selected="0">
            <x v="4"/>
          </reference>
          <reference field="10" count="2">
            <x v="4"/>
            <x v="10"/>
          </reference>
        </references>
      </pivotArea>
    </format>
    <format dxfId="50">
      <pivotArea dataOnly="0" labelOnly="1" outline="0" fieldPosition="0">
        <references count="2">
          <reference field="7" count="1" selected="0">
            <x v="6"/>
          </reference>
          <reference field="10" count="3">
            <x v="5"/>
            <x v="6"/>
            <x v="11"/>
          </reference>
        </references>
      </pivotArea>
    </format>
    <format dxfId="49">
      <pivotArea dataOnly="0" labelOnly="1" outline="0" fieldPosition="0">
        <references count="2">
          <reference field="7" count="1" selected="0">
            <x v="8"/>
          </reference>
          <reference field="10" count="2">
            <x v="7"/>
            <x v="12"/>
          </reference>
        </references>
      </pivotArea>
    </format>
    <format dxfId="48">
      <pivotArea dataOnly="0" labelOnly="1" outline="0" fieldPosition="0">
        <references count="2">
          <reference field="7" count="1" selected="0">
            <x v="10"/>
          </reference>
          <reference field="10" count="2">
            <x v="8"/>
            <x v="13"/>
          </reference>
        </references>
      </pivotArea>
    </format>
    <format dxfId="47">
      <pivotArea dataOnly="0" labelOnly="1" grandRow="1" outline="0" fieldPosition="0"/>
    </format>
    <format dxfId="46">
      <pivotArea dataOnly="0" labelOnly="1" grandRow="1" outline="0" offset="A256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2D90B2-EC2C-4BA8-92C8-FD366C64A4C2}" name="PivotTable3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G4:K14" firstHeaderRow="0" firstDataRow="1" firstDataCol="2" rowPageCount="1" colPageCount="1"/>
  <pivotFields count="17">
    <pivotField compact="0" outline="0" showAll="0" defaultSubtotal="0"/>
    <pivotField axis="axisRow" dataField="1" compact="0" outline="0" showAll="0" defaultSubtotal="0">
      <items count="1953">
        <item m="1" x="1285"/>
        <item m="1" x="908"/>
        <item m="1" x="1008"/>
        <item m="1" x="1286"/>
        <item m="1" x="1287"/>
        <item m="1" x="1288"/>
        <item m="1" x="1710"/>
        <item m="1" x="1711"/>
        <item m="1" x="1549"/>
        <item m="1" x="1712"/>
        <item m="1" x="1550"/>
        <item m="1" x="1551"/>
        <item m="1" x="1289"/>
        <item m="1" x="1290"/>
        <item m="1" x="1713"/>
        <item m="1" x="1936"/>
        <item m="1" x="909"/>
        <item m="1" x="1291"/>
        <item m="1" x="1552"/>
        <item m="1" x="1553"/>
        <item m="1" x="1714"/>
        <item m="1" x="1009"/>
        <item m="1" x="1292"/>
        <item m="1" x="1293"/>
        <item m="1" x="1294"/>
        <item m="1" x="1715"/>
        <item m="1" x="1716"/>
        <item m="1" x="1717"/>
        <item m="1" x="1295"/>
        <item m="1" x="1296"/>
        <item m="1" x="1297"/>
        <item m="1" x="1010"/>
        <item m="1" x="1011"/>
        <item m="1" x="1012"/>
        <item m="1" x="1298"/>
        <item m="1" x="1013"/>
        <item m="1" x="1014"/>
        <item m="1" x="1015"/>
        <item m="1" x="1554"/>
        <item m="1" x="1718"/>
        <item m="1" x="1719"/>
        <item m="1" x="1299"/>
        <item m="1" x="1300"/>
        <item m="1" x="1301"/>
        <item m="1" x="1016"/>
        <item m="1" x="910"/>
        <item m="1" x="911"/>
        <item m="1" x="1555"/>
        <item m="1" x="1556"/>
        <item m="1" x="912"/>
        <item m="1" x="913"/>
        <item m="1" x="914"/>
        <item m="1" x="915"/>
        <item m="1" x="1720"/>
        <item m="1" x="1302"/>
        <item m="1" x="1557"/>
        <item m="1" x="1558"/>
        <item m="1" x="1017"/>
        <item m="1" x="1721"/>
        <item m="1" x="1303"/>
        <item m="1" x="916"/>
        <item m="1" x="917"/>
        <item m="1" x="1018"/>
        <item m="1" x="1722"/>
        <item m="1" x="1723"/>
        <item m="1" x="1724"/>
        <item m="1" x="1019"/>
        <item m="1" x="1725"/>
        <item m="1" x="1726"/>
        <item m="1" x="1727"/>
        <item m="1" x="1559"/>
        <item m="1" x="1560"/>
        <item m="1" x="1561"/>
        <item m="1" x="1562"/>
        <item m="1" x="1728"/>
        <item m="1" x="1563"/>
        <item m="1" x="1564"/>
        <item m="1" x="1020"/>
        <item m="1" x="1021"/>
        <item m="1" x="1022"/>
        <item m="1" x="1023"/>
        <item m="1" x="1024"/>
        <item m="1" x="1025"/>
        <item m="1" x="918"/>
        <item m="1" x="1026"/>
        <item m="1" x="1027"/>
        <item m="1" x="919"/>
        <item m="1" x="1028"/>
        <item m="1" x="1029"/>
        <item m="1" x="1030"/>
        <item m="1" x="1031"/>
        <item m="1" x="1032"/>
        <item m="1" x="1033"/>
        <item m="1" x="1304"/>
        <item m="1" x="1305"/>
        <item m="1" x="920"/>
        <item m="1" x="1565"/>
        <item m="1" x="1306"/>
        <item m="1" x="1034"/>
        <item x="33"/>
        <item x="725"/>
        <item x="726"/>
        <item m="1" x="1035"/>
        <item m="1" x="1036"/>
        <item m="1" x="1037"/>
        <item m="1" x="1566"/>
        <item m="1" x="1729"/>
        <item m="1" x="1038"/>
        <item m="1" x="1567"/>
        <item m="1" x="1730"/>
        <item m="1" x="1307"/>
        <item m="1" x="1308"/>
        <item m="1" x="1937"/>
        <item m="1" x="1568"/>
        <item m="1" x="1731"/>
        <item m="1" x="1732"/>
        <item m="1" x="1039"/>
        <item m="1" x="1309"/>
        <item m="1" x="1310"/>
        <item m="1" x="1040"/>
        <item m="1" x="1041"/>
        <item m="1" x="1311"/>
        <item m="1" x="1312"/>
        <item m="1" x="1313"/>
        <item m="1" x="1733"/>
        <item m="1" x="1314"/>
        <item m="1" x="1734"/>
        <item m="1" x="921"/>
        <item m="1" x="1735"/>
        <item m="1" x="1569"/>
        <item m="1" x="922"/>
        <item m="1" x="923"/>
        <item m="1" x="924"/>
        <item m="1" x="925"/>
        <item m="1" x="1570"/>
        <item m="1" x="1571"/>
        <item m="1" x="1736"/>
        <item m="1" x="1042"/>
        <item m="1" x="1043"/>
        <item m="1" x="1044"/>
        <item m="1" x="1045"/>
        <item m="1" x="1046"/>
        <item m="1" x="1047"/>
        <item m="1" x="1048"/>
        <item m="1" x="1737"/>
        <item m="1" x="1738"/>
        <item m="1" x="1739"/>
        <item m="1" x="1315"/>
        <item m="1" x="1740"/>
        <item m="1" x="1572"/>
        <item m="1" x="1316"/>
        <item m="1" x="1573"/>
        <item m="1" x="1317"/>
        <item m="1" x="1318"/>
        <item m="1" x="1049"/>
        <item m="1" x="1319"/>
        <item m="1" x="1741"/>
        <item m="1" x="1320"/>
        <item m="1" x="926"/>
        <item m="1" x="1050"/>
        <item m="1" x="1321"/>
        <item m="1" x="1742"/>
        <item m="1" x="1322"/>
        <item m="1" x="1323"/>
        <item m="1" x="1051"/>
        <item m="1" x="1574"/>
        <item m="1" x="1743"/>
        <item m="1" x="1744"/>
        <item m="1" x="1324"/>
        <item m="1" x="1325"/>
        <item m="1" x="1052"/>
        <item m="1" x="1053"/>
        <item m="1" x="1745"/>
        <item m="1" x="1746"/>
        <item m="1" x="1326"/>
        <item m="1" x="927"/>
        <item m="1" x="1327"/>
        <item m="1" x="1054"/>
        <item m="1" x="1328"/>
        <item m="1" x="1329"/>
        <item m="1" x="1330"/>
        <item m="1" x="1331"/>
        <item m="1" x="1575"/>
        <item m="1" x="1576"/>
        <item m="1" x="1577"/>
        <item m="1" x="1747"/>
        <item m="1" x="1748"/>
        <item m="1" x="1749"/>
        <item m="1" x="1578"/>
        <item m="1" x="1579"/>
        <item m="1" x="1580"/>
        <item m="1" x="1750"/>
        <item m="1" x="1055"/>
        <item m="1" x="1938"/>
        <item m="1" x="1939"/>
        <item m="1" x="1581"/>
        <item m="1" x="1056"/>
        <item m="1" x="1332"/>
        <item m="1" x="1333"/>
        <item m="1" x="1751"/>
        <item m="1" x="1582"/>
        <item m="1" x="1752"/>
        <item m="1" x="1057"/>
        <item m="1" x="1334"/>
        <item m="1" x="1753"/>
        <item m="1" x="1335"/>
        <item m="1" x="1583"/>
        <item m="1" x="1754"/>
        <item m="1" x="1584"/>
        <item m="1" x="1058"/>
        <item m="1" x="1336"/>
        <item m="1" x="1337"/>
        <item m="1" x="1338"/>
        <item m="1" x="1755"/>
        <item m="1" x="1756"/>
        <item m="1" x="1585"/>
        <item m="1" x="1586"/>
        <item m="1" x="1757"/>
        <item m="1" x="1758"/>
        <item m="1" x="1759"/>
        <item m="1" x="1760"/>
        <item m="1" x="1761"/>
        <item m="1" x="1059"/>
        <item m="1" x="1060"/>
        <item m="1" x="1762"/>
        <item m="1" x="1339"/>
        <item m="1" x="1587"/>
        <item m="1" x="1588"/>
        <item m="1" x="1061"/>
        <item m="1" x="1062"/>
        <item m="1" x="1763"/>
        <item m="1" x="1764"/>
        <item m="1" x="1340"/>
        <item m="1" x="1063"/>
        <item m="1" x="1064"/>
        <item m="1" x="1341"/>
        <item m="1" x="1065"/>
        <item m="1" x="1589"/>
        <item m="1" x="1940"/>
        <item m="1" x="928"/>
        <item m="1" x="1066"/>
        <item m="1" x="1765"/>
        <item m="1" x="1067"/>
        <item m="1" x="1342"/>
        <item m="1" x="1343"/>
        <item m="1" x="1766"/>
        <item m="1" x="1767"/>
        <item m="1" x="1068"/>
        <item m="1" x="1768"/>
        <item m="1" x="1069"/>
        <item m="1" x="1590"/>
        <item m="1" x="1344"/>
        <item m="1" x="1591"/>
        <item m="1" x="1592"/>
        <item m="1" x="1593"/>
        <item m="1" x="1769"/>
        <item m="1" x="1070"/>
        <item m="1" x="1345"/>
        <item m="1" x="1770"/>
        <item m="1" x="1771"/>
        <item m="1" x="1346"/>
        <item m="1" x="1347"/>
        <item m="1" x="1348"/>
        <item m="1" x="1594"/>
        <item m="1" x="1595"/>
        <item m="1" x="1772"/>
        <item m="1" x="1596"/>
        <item m="1" x="1071"/>
        <item m="1" x="1349"/>
        <item m="1" x="1350"/>
        <item m="1" x="1351"/>
        <item m="1" x="1352"/>
        <item m="1" x="1353"/>
        <item m="1" x="1773"/>
        <item m="1" x="1354"/>
        <item m="1" x="1355"/>
        <item m="1" x="1774"/>
        <item m="1" x="1597"/>
        <item m="1" x="1072"/>
        <item m="1" x="1775"/>
        <item m="1" x="1356"/>
        <item m="1" x="1598"/>
        <item m="1" x="1357"/>
        <item m="1" x="1358"/>
        <item m="1" x="1599"/>
        <item m="1" x="1359"/>
        <item m="1" x="1360"/>
        <item m="1" x="1361"/>
        <item m="1" x="1362"/>
        <item m="1" x="1363"/>
        <item m="1" x="1600"/>
        <item m="1" x="1364"/>
        <item m="1" x="1601"/>
        <item m="1" x="1602"/>
        <item m="1" x="1776"/>
        <item m="1" x="1603"/>
        <item m="1" x="1777"/>
        <item m="1" x="1778"/>
        <item m="1" x="1779"/>
        <item m="1" x="1780"/>
        <item m="1" x="1073"/>
        <item m="1" x="1365"/>
        <item m="1" x="1781"/>
        <item m="1" x="1074"/>
        <item m="1" x="1366"/>
        <item m="1" x="1075"/>
        <item m="1" x="1076"/>
        <item m="1" x="1367"/>
        <item m="1" x="1077"/>
        <item m="1" x="1078"/>
        <item m="1" x="1079"/>
        <item m="1" x="1080"/>
        <item m="1" x="1081"/>
        <item m="1" x="1368"/>
        <item m="1" x="1604"/>
        <item m="1" x="1605"/>
        <item m="1" x="1082"/>
        <item m="1" x="1782"/>
        <item m="1" x="1783"/>
        <item m="1" x="1083"/>
        <item m="1" x="1084"/>
        <item m="1" x="1085"/>
        <item m="1" x="1086"/>
        <item m="1" x="929"/>
        <item m="1" x="1369"/>
        <item m="1" x="1370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784"/>
        <item m="1" x="930"/>
        <item m="1" x="931"/>
        <item m="1" x="1096"/>
        <item m="1" x="1097"/>
        <item m="1" x="1371"/>
        <item m="1" x="1372"/>
        <item m="1" x="1373"/>
        <item m="1" x="1374"/>
        <item m="1" x="1606"/>
        <item m="1" x="1607"/>
        <item m="1" x="1608"/>
        <item m="1" x="1785"/>
        <item m="1" x="1786"/>
        <item m="1" x="1787"/>
        <item m="1" x="1788"/>
        <item m="1" x="1789"/>
        <item m="1" x="1790"/>
        <item m="1" x="1098"/>
        <item m="1" x="932"/>
        <item m="1" x="1099"/>
        <item m="1" x="1100"/>
        <item m="1" x="1101"/>
        <item m="1" x="1375"/>
        <item m="1" x="1376"/>
        <item m="1" x="1377"/>
        <item m="1" x="1941"/>
        <item m="1" x="1609"/>
        <item m="1" x="1610"/>
        <item m="1" x="1378"/>
        <item m="1" x="1791"/>
        <item m="1" x="1792"/>
        <item m="1" x="1379"/>
        <item m="1" x="1380"/>
        <item m="1" x="1381"/>
        <item m="1" x="933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793"/>
        <item m="1" x="1382"/>
        <item m="1" x="1383"/>
        <item m="1" x="1113"/>
        <item m="1" x="1114"/>
        <item m="1" x="1384"/>
        <item m="1" x="1385"/>
        <item m="1" x="1611"/>
        <item m="1" x="1386"/>
        <item m="1" x="1387"/>
        <item m="1" x="1388"/>
        <item m="1" x="1389"/>
        <item m="1" x="1115"/>
        <item m="1" x="1116"/>
        <item m="1" x="934"/>
        <item m="1" x="1794"/>
        <item m="1" x="1117"/>
        <item m="1" x="1390"/>
        <item m="1" x="1391"/>
        <item m="1" x="1392"/>
        <item m="1" x="1612"/>
        <item m="1" x="1613"/>
        <item m="1" x="1614"/>
        <item m="1" x="1615"/>
        <item m="1" x="1616"/>
        <item m="1" x="1617"/>
        <item m="1" x="1618"/>
        <item m="1" x="1619"/>
        <item m="1" x="1393"/>
        <item m="1" x="1118"/>
        <item m="1" x="1119"/>
        <item m="1" x="1120"/>
        <item m="1" x="1121"/>
        <item m="1" x="1394"/>
        <item m="1" x="1122"/>
        <item m="1" x="1123"/>
        <item m="1" x="1124"/>
        <item m="1" x="935"/>
        <item m="1" x="1125"/>
        <item m="1" x="1126"/>
        <item m="1" x="1127"/>
        <item m="1" x="1128"/>
        <item m="1" x="1129"/>
        <item m="1" x="1395"/>
        <item m="1" x="1396"/>
        <item m="1" x="1795"/>
        <item m="1" x="1130"/>
        <item m="1" x="1397"/>
        <item m="1" x="1398"/>
        <item m="1" x="1131"/>
        <item m="1" x="1132"/>
        <item m="1" x="1399"/>
        <item m="1" x="1620"/>
        <item m="1" x="1621"/>
        <item m="1" x="1796"/>
        <item m="1" x="1622"/>
        <item m="1" x="1797"/>
        <item m="1" x="1798"/>
        <item m="1" x="1400"/>
        <item m="1" x="1799"/>
        <item m="1" x="936"/>
        <item m="1" x="1133"/>
        <item m="1" x="937"/>
        <item m="1" x="1134"/>
        <item m="1" x="1401"/>
        <item m="1" x="1135"/>
        <item m="1" x="1136"/>
        <item m="1" x="1137"/>
        <item m="1" x="1138"/>
        <item m="1" x="1139"/>
        <item m="1" x="938"/>
        <item m="1" x="939"/>
        <item m="1" x="1140"/>
        <item m="1" x="1402"/>
        <item m="1" x="1403"/>
        <item m="1" x="1623"/>
        <item m="1" x="1141"/>
        <item m="1" x="1404"/>
        <item m="1" x="1142"/>
        <item m="1" x="1405"/>
        <item m="1" x="1406"/>
        <item m="1" x="1407"/>
        <item m="1" x="1408"/>
        <item m="1" x="1409"/>
        <item m="1" x="1410"/>
        <item m="1" x="1411"/>
        <item m="1" x="1624"/>
        <item m="1" x="1625"/>
        <item m="1" x="1626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940"/>
        <item m="1" x="1143"/>
        <item m="1" x="1809"/>
        <item m="1" x="1144"/>
        <item m="1" x="1810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811"/>
        <item m="1" x="1159"/>
        <item m="1" x="1160"/>
        <item m="1" x="941"/>
        <item m="1" x="942"/>
        <item m="1" x="943"/>
        <item m="1" x="944"/>
        <item m="1" x="945"/>
        <item m="1" x="946"/>
        <item m="1" x="1161"/>
        <item m="1" x="1162"/>
        <item m="1" x="1163"/>
        <item m="1" x="1164"/>
        <item m="1" x="1812"/>
        <item m="1" x="1165"/>
        <item m="1" x="1813"/>
        <item m="1" x="947"/>
        <item m="1" x="1814"/>
        <item m="1" x="1166"/>
        <item m="1" x="1167"/>
        <item m="1" x="1168"/>
        <item m="1" x="1169"/>
        <item m="1" x="1170"/>
        <item m="1" x="1171"/>
        <item m="1" x="1172"/>
        <item m="1" x="1173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942"/>
        <item m="1" x="1827"/>
        <item m="1" x="1828"/>
        <item m="1" x="1829"/>
        <item m="1" x="1830"/>
        <item m="1" x="1174"/>
        <item m="1" x="1175"/>
        <item m="1" x="1176"/>
        <item m="1" x="1177"/>
        <item m="1" x="1178"/>
        <item m="1" x="948"/>
        <item m="1" x="949"/>
        <item m="1" x="950"/>
        <item m="1" x="1179"/>
        <item m="1" x="1180"/>
        <item m="1" x="1181"/>
        <item m="1" x="1182"/>
        <item m="1" x="1183"/>
        <item m="1" x="1184"/>
        <item m="1" x="1185"/>
        <item m="1" x="951"/>
        <item m="1" x="1186"/>
        <item m="1" x="1187"/>
        <item m="1" x="1188"/>
        <item m="1" x="1189"/>
        <item m="1" x="1190"/>
        <item m="1" x="1191"/>
        <item m="1" x="1831"/>
        <item m="1" x="1832"/>
        <item m="1" x="1833"/>
        <item m="1" x="1834"/>
        <item m="1" x="1835"/>
        <item m="1" x="1836"/>
        <item m="1" x="1837"/>
        <item m="1" x="1838"/>
        <item m="1" x="1192"/>
        <item m="1" x="1839"/>
        <item m="1" x="1840"/>
        <item m="1" x="1412"/>
        <item m="1" x="1413"/>
        <item m="1" x="1414"/>
        <item m="1" x="1415"/>
        <item m="1" x="1841"/>
        <item m="1" x="1627"/>
        <item m="1" x="1842"/>
        <item m="1" x="1843"/>
        <item m="1" x="1628"/>
        <item m="1" x="1629"/>
        <item m="1" x="1630"/>
        <item m="1" x="1416"/>
        <item m="1" x="1631"/>
        <item m="1" x="1417"/>
        <item m="1" x="1418"/>
        <item m="1" x="1193"/>
        <item m="1" x="1194"/>
        <item m="1" x="1419"/>
        <item m="1" x="1420"/>
        <item m="1" x="1421"/>
        <item m="1" x="1422"/>
        <item m="1" x="1423"/>
        <item m="1" x="1195"/>
        <item m="1" x="1424"/>
        <item m="1" x="1425"/>
        <item m="1" x="1196"/>
        <item m="1" x="1197"/>
        <item m="1" x="1426"/>
        <item m="1" x="1427"/>
        <item m="1" x="1428"/>
        <item m="1" x="1429"/>
        <item m="1" x="1632"/>
        <item m="1" x="1633"/>
        <item m="1" x="1634"/>
        <item m="1" x="1635"/>
        <item m="1" x="1844"/>
        <item m="1" x="1430"/>
        <item m="1" x="1845"/>
        <item m="1" x="1198"/>
        <item m="1" x="1199"/>
        <item m="1" x="1846"/>
        <item m="1" x="1200"/>
        <item m="1" x="1431"/>
        <item m="1" x="1636"/>
        <item m="1" x="1637"/>
        <item m="1" x="1847"/>
        <item m="1" x="1432"/>
        <item m="1" x="1848"/>
        <item m="1" x="1433"/>
        <item m="1" x="1434"/>
        <item m="1" x="1435"/>
        <item m="1" x="1943"/>
        <item m="1" x="1849"/>
        <item m="1" x="1850"/>
        <item m="1" x="1638"/>
        <item m="1" x="1639"/>
        <item m="1" x="1851"/>
        <item m="1" x="1640"/>
        <item m="1" x="1641"/>
        <item m="1" x="1642"/>
        <item m="1" x="1436"/>
        <item m="1" x="1201"/>
        <item m="1" x="1202"/>
        <item m="1" x="1437"/>
        <item m="1" x="1438"/>
        <item m="1" x="1643"/>
        <item m="1" x="1644"/>
        <item m="1" x="1645"/>
        <item m="1" x="1852"/>
        <item m="1" x="1853"/>
        <item m="1" x="1854"/>
        <item m="1" x="1439"/>
        <item m="1" x="1855"/>
        <item m="1" x="1440"/>
        <item m="1" x="1441"/>
        <item m="1" x="1856"/>
        <item m="1" x="952"/>
        <item m="1" x="1203"/>
        <item m="1" x="1646"/>
        <item m="1" x="1647"/>
        <item m="1" x="1204"/>
        <item m="1" x="1442"/>
        <item m="1" x="1205"/>
        <item m="1" x="1857"/>
        <item m="1" x="1443"/>
        <item m="1" x="1206"/>
        <item m="1" x="1444"/>
        <item m="1" x="1445"/>
        <item m="1" x="1648"/>
        <item m="1" x="1446"/>
        <item m="1" x="1447"/>
        <item m="1" x="1207"/>
        <item m="1" x="1208"/>
        <item m="1" x="1858"/>
        <item m="1" x="1209"/>
        <item m="1" x="1448"/>
        <item m="1" x="1449"/>
        <item m="1" x="1649"/>
        <item m="1" x="1859"/>
        <item m="1" x="1860"/>
        <item m="1" x="1861"/>
        <item m="1" x="1650"/>
        <item m="1" x="1651"/>
        <item m="1" x="1450"/>
        <item m="1" x="1451"/>
        <item m="1" x="1452"/>
        <item m="1" x="1210"/>
        <item m="1" x="1453"/>
        <item m="1" x="1211"/>
        <item m="1" x="1454"/>
        <item m="1" x="1212"/>
        <item m="1" x="1213"/>
        <item m="1" x="1214"/>
        <item m="1" x="1215"/>
        <item m="1" x="1216"/>
        <item m="1" x="1217"/>
        <item m="1" x="1455"/>
        <item m="1" x="1456"/>
        <item m="1" x="953"/>
        <item m="1" x="1218"/>
        <item m="1" x="1219"/>
        <item m="1" x="954"/>
        <item m="1" x="1220"/>
        <item m="1" x="1221"/>
        <item m="1" x="1222"/>
        <item m="1" x="1223"/>
        <item m="1" x="1224"/>
        <item m="1" x="1225"/>
        <item m="1" x="955"/>
        <item m="1" x="956"/>
        <item m="1" x="1226"/>
        <item m="1" x="1652"/>
        <item m="1" x="1653"/>
        <item m="1" x="1654"/>
        <item m="1" x="1457"/>
        <item m="1" x="957"/>
        <item m="1" x="1655"/>
        <item m="1" x="1458"/>
        <item m="1" x="1862"/>
        <item m="1" x="1459"/>
        <item m="1" x="1460"/>
        <item m="1" x="1461"/>
        <item m="1" x="1656"/>
        <item m="1" x="1462"/>
        <item m="1" x="958"/>
        <item m="1" x="1463"/>
        <item m="1" x="1464"/>
        <item m="1" x="1465"/>
        <item m="1" x="1466"/>
        <item m="1" x="1467"/>
        <item m="1" x="1468"/>
        <item m="1" x="1227"/>
        <item m="1" x="959"/>
        <item m="1" x="960"/>
        <item m="1" x="961"/>
        <item m="1" x="1469"/>
        <item m="1" x="1657"/>
        <item m="1" x="1863"/>
        <item m="1" x="1658"/>
        <item m="1" x="962"/>
        <item m="1" x="963"/>
        <item m="1" x="1864"/>
        <item m="1" x="1865"/>
        <item m="1" x="1470"/>
        <item m="1" x="1228"/>
        <item m="1" x="1659"/>
        <item m="1" x="1944"/>
        <item m="1" x="1945"/>
        <item m="1" x="1660"/>
        <item m="1" x="1866"/>
        <item m="1" x="1661"/>
        <item m="1" x="1229"/>
        <item m="1" x="964"/>
        <item m="1" x="1946"/>
        <item m="1" x="1947"/>
        <item m="1" x="1867"/>
        <item m="1" x="1868"/>
        <item m="1" x="1230"/>
        <item m="1" x="1231"/>
        <item m="1" x="1232"/>
        <item m="1" x="965"/>
        <item m="1" x="966"/>
        <item m="1" x="1662"/>
        <item m="1" x="1663"/>
        <item m="1" x="1471"/>
        <item m="1" x="1472"/>
        <item m="1" x="1473"/>
        <item m="1" x="1474"/>
        <item m="1" x="967"/>
        <item m="1" x="1869"/>
        <item m="1" x="1870"/>
        <item m="1" x="1233"/>
        <item m="1" x="968"/>
        <item m="1" x="1664"/>
        <item m="1" x="1475"/>
        <item m="1" x="1234"/>
        <item m="1" x="1235"/>
        <item m="1" x="1476"/>
        <item m="1" x="1665"/>
        <item m="1" x="1236"/>
        <item m="1" x="1477"/>
        <item m="1" x="1478"/>
        <item m="1" x="1237"/>
        <item m="1" x="1479"/>
        <item m="1" x="1666"/>
        <item m="1" x="1871"/>
        <item m="1" x="1872"/>
        <item m="1" x="1873"/>
        <item m="1" x="1480"/>
        <item m="1" x="1874"/>
        <item m="1" x="1875"/>
        <item m="1" x="1481"/>
        <item m="1" x="1667"/>
        <item m="1" x="1876"/>
        <item m="1" x="1668"/>
        <item m="1" x="1877"/>
        <item m="1" x="1669"/>
        <item m="1" x="1878"/>
        <item m="1" x="1238"/>
        <item m="1" x="1482"/>
        <item m="1" x="1879"/>
        <item m="1" x="1880"/>
        <item m="1" x="1670"/>
        <item m="1" x="1483"/>
        <item m="1" x="1484"/>
        <item m="1" x="1485"/>
        <item m="1" x="1881"/>
        <item m="1" x="1239"/>
        <item m="1" x="1240"/>
        <item m="1" x="1241"/>
        <item m="1" x="1882"/>
        <item m="1" x="1486"/>
        <item m="1" x="1242"/>
        <item m="1" x="1883"/>
        <item m="1" x="1487"/>
        <item m="1" x="1671"/>
        <item m="1" x="1672"/>
        <item m="1" x="1673"/>
        <item m="1" x="1884"/>
        <item m="1" x="1674"/>
        <item m="1" x="1243"/>
        <item m="1" x="1244"/>
        <item m="1" x="1245"/>
        <item m="1" x="1246"/>
        <item m="1" x="1247"/>
        <item m="1" x="1248"/>
        <item m="1" x="1885"/>
        <item m="1" x="1488"/>
        <item m="1" x="1886"/>
        <item m="1" x="1489"/>
        <item m="1" x="1887"/>
        <item m="1" x="1888"/>
        <item m="1" x="1249"/>
        <item m="1" x="1250"/>
        <item m="1" x="1889"/>
        <item m="1" x="1251"/>
        <item m="1" x="1490"/>
        <item m="1" x="1491"/>
        <item m="1" x="1890"/>
        <item m="1" x="1492"/>
        <item m="1" x="1675"/>
        <item m="1" x="1891"/>
        <item m="1" x="1493"/>
        <item m="1" x="1494"/>
        <item m="1" x="1892"/>
        <item m="1" x="1252"/>
        <item m="1" x="1676"/>
        <item m="1" x="1677"/>
        <item m="1" x="1893"/>
        <item m="1" x="1678"/>
        <item m="1" x="1679"/>
        <item m="1" x="1680"/>
        <item m="1" x="1894"/>
        <item m="1" x="1681"/>
        <item m="1" x="1253"/>
        <item m="1" x="1495"/>
        <item m="1" x="1496"/>
        <item m="1" x="969"/>
        <item m="1" x="970"/>
        <item m="1" x="1254"/>
        <item m="1" x="1255"/>
        <item m="1" x="1895"/>
        <item m="1" x="1896"/>
        <item m="1" x="971"/>
        <item m="1" x="972"/>
        <item m="1" x="1497"/>
        <item m="1" x="1498"/>
        <item m="1" x="1256"/>
        <item m="1" x="1499"/>
        <item m="1" x="1682"/>
        <item m="1" x="1897"/>
        <item m="1" x="1898"/>
        <item m="1" x="1683"/>
        <item m="1" x="1684"/>
        <item m="1" x="1685"/>
        <item m="1" x="1500"/>
        <item m="1" x="1501"/>
        <item m="1" x="1257"/>
        <item m="1" x="1258"/>
        <item m="1" x="1259"/>
        <item m="1" x="1260"/>
        <item m="1" x="1261"/>
        <item m="1" x="1502"/>
        <item m="1" x="973"/>
        <item m="1" x="1503"/>
        <item m="1" x="1504"/>
        <item m="1" x="1262"/>
        <item m="1" x="1505"/>
        <item m="1" x="1686"/>
        <item m="1" x="1506"/>
        <item m="1" x="1899"/>
        <item m="1" x="1687"/>
        <item m="1" x="1507"/>
        <item m="1" x="1508"/>
        <item m="1" x="1263"/>
        <item m="1" x="1264"/>
        <item m="1" x="1265"/>
        <item m="1" x="974"/>
        <item m="1" x="975"/>
        <item m="1" x="976"/>
        <item m="1" x="1509"/>
        <item m="1" x="1900"/>
        <item m="1" x="1688"/>
        <item m="1" x="1689"/>
        <item m="1" x="1510"/>
        <item m="1" x="1690"/>
        <item m="1" x="1691"/>
        <item m="1" x="977"/>
        <item m="1" x="1266"/>
        <item m="1" x="1692"/>
        <item m="1" x="1901"/>
        <item m="1" x="1902"/>
        <item m="1" x="1511"/>
        <item m="1" x="1267"/>
        <item m="1" x="1268"/>
        <item m="1" x="1269"/>
        <item m="1" x="1270"/>
        <item m="1" x="1271"/>
        <item m="1" x="1512"/>
        <item m="1" x="1272"/>
        <item m="1" x="1513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1948"/>
        <item m="1" x="1949"/>
        <item m="1" x="1903"/>
        <item m="1" x="1904"/>
        <item m="1" x="1905"/>
        <item m="1" x="997"/>
        <item m="1" x="1273"/>
        <item m="1" x="1274"/>
        <item m="1" x="1514"/>
        <item m="1" x="1515"/>
        <item m="1" x="1906"/>
        <item m="1" x="1907"/>
        <item m="1" x="1275"/>
        <item m="1" x="1276"/>
        <item m="1" x="1277"/>
        <item m="1" x="1278"/>
        <item x="715"/>
        <item x="716"/>
        <item x="717"/>
        <item x="370"/>
        <item x="371"/>
        <item x="372"/>
        <item x="373"/>
        <item m="1" x="1693"/>
        <item m="1" x="1694"/>
        <item m="1" x="1695"/>
        <item m="1" x="1279"/>
        <item m="1" x="1280"/>
        <item m="1" x="1516"/>
        <item m="1" x="1517"/>
        <item m="1" x="1518"/>
        <item m="1" x="1519"/>
        <item m="1" x="1696"/>
        <item m="1" x="1908"/>
        <item m="1" x="1520"/>
        <item m="1" x="998"/>
        <item m="1" x="1521"/>
        <item m="1" x="1522"/>
        <item m="1" x="1697"/>
        <item m="1" x="1698"/>
        <item m="1" x="1699"/>
        <item m="1" x="1700"/>
        <item m="1" x="1701"/>
        <item m="1" x="1523"/>
        <item m="1" x="1524"/>
        <item m="1" x="1525"/>
        <item m="1" x="1526"/>
        <item m="1" x="1909"/>
        <item m="1" x="1910"/>
        <item m="1" x="1911"/>
        <item m="1" x="1702"/>
        <item m="1" x="1950"/>
        <item m="1" x="1703"/>
        <item m="1" x="1912"/>
        <item m="1" x="1913"/>
        <item m="1" x="1914"/>
        <item m="1" x="1915"/>
        <item m="1" x="1916"/>
        <item m="1" x="1527"/>
        <item m="1" x="1528"/>
        <item m="1" x="1529"/>
        <item m="1" x="1530"/>
        <item m="1" x="1531"/>
        <item m="1" x="1917"/>
        <item m="1" x="1918"/>
        <item m="1" x="1919"/>
        <item m="1" x="1920"/>
        <item m="1" x="1281"/>
        <item m="1" x="1532"/>
        <item m="1" x="999"/>
        <item m="1" x="1000"/>
        <item m="1" x="1001"/>
        <item m="1" x="1002"/>
        <item m="1" x="1003"/>
        <item m="1" x="1533"/>
        <item m="1" x="1282"/>
        <item m="1" x="1534"/>
        <item m="1" x="1535"/>
        <item m="1" x="1921"/>
        <item m="1" x="1536"/>
        <item m="1" x="1922"/>
        <item m="1" x="1923"/>
        <item m="1" x="1924"/>
        <item m="1" x="1704"/>
        <item m="1" x="1951"/>
        <item m="1" x="1925"/>
        <item m="1" x="1004"/>
        <item m="1" x="1005"/>
        <item m="1" x="1006"/>
        <item m="1" x="1283"/>
        <item m="1" x="1537"/>
        <item m="1" x="1538"/>
        <item m="1" x="1539"/>
        <item m="1" x="1540"/>
        <item m="1" x="1541"/>
        <item m="1" x="1705"/>
        <item m="1" x="1706"/>
        <item m="1" x="1926"/>
        <item m="1" x="1952"/>
        <item m="1" x="1927"/>
        <item m="1" x="1928"/>
        <item m="1" x="1542"/>
        <item m="1" x="1929"/>
        <item m="1" x="1930"/>
        <item m="1" x="1931"/>
        <item m="1" x="1707"/>
        <item m="1" x="1543"/>
        <item m="1" x="1007"/>
        <item m="1" x="1932"/>
        <item m="1" x="1544"/>
        <item m="1" x="1545"/>
        <item m="1" x="1546"/>
        <item m="1" x="1547"/>
        <item m="1" x="1933"/>
        <item m="1" x="1708"/>
        <item m="1" x="1709"/>
        <item m="1" x="1548"/>
        <item m="1" x="1934"/>
        <item m="1" x="1284"/>
        <item m="1" x="1935"/>
        <item x="0"/>
        <item x="1"/>
        <item x="2"/>
        <item x="3"/>
        <item x="4"/>
        <item x="15"/>
        <item x="374"/>
        <item x="375"/>
        <item x="16"/>
        <item x="718"/>
        <item x="719"/>
        <item x="720"/>
        <item x="721"/>
        <item x="722"/>
        <item x="723"/>
        <item x="17"/>
        <item x="18"/>
        <item x="19"/>
        <item x="21"/>
        <item x="28"/>
        <item x="29"/>
        <item x="430"/>
        <item x="39"/>
        <item x="42"/>
        <item x="43"/>
        <item x="44"/>
        <item x="45"/>
        <item x="46"/>
        <item x="47"/>
        <item x="48"/>
        <item m="1" x="882"/>
        <item m="1" x="883"/>
        <item x="50"/>
        <item x="56"/>
        <item x="57"/>
        <item x="729"/>
        <item x="58"/>
        <item x="59"/>
        <item x="60"/>
        <item x="61"/>
        <item x="66"/>
        <item x="73"/>
        <item x="453"/>
        <item x="455"/>
        <item x="83"/>
        <item x="84"/>
        <item x="88"/>
        <item x="91"/>
        <item x="92"/>
        <item x="93"/>
        <item x="94"/>
        <item x="95"/>
        <item x="96"/>
        <item x="97"/>
        <item x="98"/>
        <item x="99"/>
        <item x="100"/>
        <item x="741"/>
        <item x="116"/>
        <item x="128"/>
        <item x="131"/>
        <item x="132"/>
        <item x="137"/>
        <item x="138"/>
        <item x="867"/>
        <item x="155"/>
        <item x="156"/>
        <item x="157"/>
        <item x="158"/>
        <item x="159"/>
        <item x="160"/>
        <item x="161"/>
        <item x="754"/>
        <item x="534"/>
        <item x="535"/>
        <item x="757"/>
        <item x="168"/>
        <item x="573"/>
        <item x="574"/>
        <item x="577"/>
        <item x="578"/>
        <item m="1" x="884"/>
        <item x="169"/>
        <item x="170"/>
        <item x="171"/>
        <item x="172"/>
        <item x="173"/>
        <item x="174"/>
        <item x="175"/>
        <item x="176"/>
        <item x="177"/>
        <item x="611"/>
        <item x="178"/>
        <item x="189"/>
        <item x="190"/>
        <item x="214"/>
        <item x="215"/>
        <item x="218"/>
        <item x="219"/>
        <item x="224"/>
        <item x="225"/>
        <item x="226"/>
        <item x="227"/>
        <item x="228"/>
        <item x="229"/>
        <item x="236"/>
        <item x="271"/>
        <item x="272"/>
        <item x="275"/>
        <item x="288"/>
        <item x="289"/>
        <item x="290"/>
        <item x="877"/>
        <item x="878"/>
        <item x="291"/>
        <item m="1" x="885"/>
        <item m="1" x="886"/>
        <item m="1" x="887"/>
        <item m="1" x="888"/>
        <item x="306"/>
        <item x="307"/>
        <item x="308"/>
        <item x="309"/>
        <item x="315"/>
        <item x="319"/>
        <item x="320"/>
        <item x="322"/>
        <item x="699"/>
        <item x="324"/>
        <item x="700"/>
        <item x="5"/>
        <item x="6"/>
        <item x="7"/>
        <item x="8"/>
        <item x="9"/>
        <item x="10"/>
        <item x="11"/>
        <item x="12"/>
        <item x="13"/>
        <item x="14"/>
        <item x="20"/>
        <item x="22"/>
        <item x="23"/>
        <item x="24"/>
        <item x="25"/>
        <item x="26"/>
        <item x="27"/>
        <item x="34"/>
        <item x="35"/>
        <item x="40"/>
        <item x="41"/>
        <item x="49"/>
        <item x="431"/>
        <item x="51"/>
        <item x="62"/>
        <item x="63"/>
        <item x="64"/>
        <item x="65"/>
        <item x="450"/>
        <item x="67"/>
        <item x="68"/>
        <item x="69"/>
        <item x="70"/>
        <item x="71"/>
        <item x="72"/>
        <item x="74"/>
        <item x="451"/>
        <item x="75"/>
        <item x="452"/>
        <item x="454"/>
        <item x="456"/>
        <item x="457"/>
        <item x="458"/>
        <item x="459"/>
        <item x="460"/>
        <item x="461"/>
        <item x="462"/>
        <item x="463"/>
        <item m="1" x="889"/>
        <item m="1" x="890"/>
        <item x="85"/>
        <item x="86"/>
        <item x="87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89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9"/>
        <item x="508"/>
        <item x="509"/>
        <item x="510"/>
        <item x="511"/>
        <item x="742"/>
        <item x="512"/>
        <item x="513"/>
        <item x="514"/>
        <item x="515"/>
        <item x="516"/>
        <item x="517"/>
        <item x="518"/>
        <item x="519"/>
        <item x="837"/>
        <item x="520"/>
        <item x="521"/>
        <item x="522"/>
        <item x="523"/>
        <item x="866"/>
        <item x="130"/>
        <item x="743"/>
        <item x="744"/>
        <item x="745"/>
        <item x="746"/>
        <item x="747"/>
        <item m="1" x="891"/>
        <item x="133"/>
        <item x="134"/>
        <item x="135"/>
        <item x="136"/>
        <item x="139"/>
        <item x="140"/>
        <item x="141"/>
        <item x="142"/>
        <item x="143"/>
        <item x="144"/>
        <item x="145"/>
        <item x="146"/>
        <item x="147"/>
        <item x="526"/>
        <item x="748"/>
        <item x="749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x="148"/>
        <item x="149"/>
        <item x="150"/>
        <item x="151"/>
        <item x="152"/>
        <item x="153"/>
        <item x="750"/>
        <item x="536"/>
        <item x="755"/>
        <item x="537"/>
        <item x="538"/>
        <item x="539"/>
        <item x="540"/>
        <item x="756"/>
        <item x="575"/>
        <item x="576"/>
        <item x="579"/>
        <item x="580"/>
        <item x="581"/>
        <item x="582"/>
        <item x="583"/>
        <item m="1" x="901"/>
        <item m="1" x="902"/>
        <item x="179"/>
        <item x="180"/>
        <item x="181"/>
        <item x="182"/>
        <item x="183"/>
        <item x="184"/>
        <item x="185"/>
        <item x="186"/>
        <item x="187"/>
        <item x="188"/>
        <item x="191"/>
        <item x="192"/>
        <item x="193"/>
        <item x="194"/>
        <item x="619"/>
        <item x="216"/>
        <item x="217"/>
        <item x="220"/>
        <item m="1" x="903"/>
        <item m="1" x="904"/>
        <item m="1" x="905"/>
        <item x="221"/>
        <item x="230"/>
        <item x="231"/>
        <item x="232"/>
        <item x="233"/>
        <item x="785"/>
        <item x="234"/>
        <item x="235"/>
        <item x="273"/>
        <item x="274"/>
        <item x="276"/>
        <item x="277"/>
        <item x="278"/>
        <item x="279"/>
        <item x="280"/>
        <item x="281"/>
        <item x="282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687"/>
        <item m="1" x="906"/>
        <item m="1" x="907"/>
        <item x="310"/>
        <item x="311"/>
        <item x="316"/>
        <item x="321"/>
        <item x="323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702"/>
        <item x="817"/>
        <item x="703"/>
        <item x="359"/>
        <item x="360"/>
        <item x="704"/>
        <item x="705"/>
        <item x="706"/>
        <item x="848"/>
        <item x="707"/>
        <item x="30"/>
        <item x="31"/>
        <item x="32"/>
        <item x="36"/>
        <item x="37"/>
        <item x="38"/>
        <item x="52"/>
        <item x="53"/>
        <item x="54"/>
        <item x="55"/>
        <item x="76"/>
        <item x="77"/>
        <item x="78"/>
        <item x="79"/>
        <item x="80"/>
        <item x="81"/>
        <item x="82"/>
        <item x="90"/>
        <item x="154"/>
        <item x="162"/>
        <item x="163"/>
        <item x="164"/>
        <item x="165"/>
        <item x="166"/>
        <item x="167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22"/>
        <item x="223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83"/>
        <item x="284"/>
        <item x="285"/>
        <item x="286"/>
        <item x="287"/>
        <item x="303"/>
        <item x="304"/>
        <item x="305"/>
        <item x="312"/>
        <item x="313"/>
        <item x="314"/>
        <item x="317"/>
        <item x="318"/>
        <item x="361"/>
        <item x="362"/>
        <item x="363"/>
        <item x="364"/>
        <item x="365"/>
        <item x="366"/>
        <item x="367"/>
        <item x="368"/>
        <item x="369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500"/>
        <item x="501"/>
        <item x="502"/>
        <item x="503"/>
        <item x="504"/>
        <item x="505"/>
        <item x="506"/>
        <item x="507"/>
        <item x="524"/>
        <item x="525"/>
        <item x="527"/>
        <item x="528"/>
        <item x="529"/>
        <item x="530"/>
        <item x="531"/>
        <item x="532"/>
        <item x="533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2"/>
        <item x="613"/>
        <item x="614"/>
        <item x="615"/>
        <item x="616"/>
        <item x="617"/>
        <item x="618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701"/>
        <item x="708"/>
        <item x="709"/>
        <item x="710"/>
        <item x="711"/>
        <item x="712"/>
        <item x="713"/>
        <item x="714"/>
        <item x="724"/>
        <item x="727"/>
        <item x="728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51"/>
        <item x="752"/>
        <item x="753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8"/>
        <item x="839"/>
        <item x="840"/>
        <item x="841"/>
        <item x="842"/>
        <item x="843"/>
        <item x="844"/>
        <item x="845"/>
        <item x="846"/>
        <item x="847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8"/>
        <item x="869"/>
        <item x="870"/>
        <item x="871"/>
        <item x="872"/>
        <item x="873"/>
        <item x="874"/>
        <item x="875"/>
        <item x="876"/>
        <item x="879"/>
        <item x="880"/>
        <item x="881"/>
      </items>
    </pivotField>
    <pivotField compact="0" outline="0" showAll="0" defaultSubtotal="0"/>
    <pivotField axis="axisRow" compact="0" outline="0" showAll="0" defaultSubtotal="0">
      <items count="234">
        <item x="76"/>
        <item m="1" x="179"/>
        <item m="1" x="177"/>
        <item m="1" x="218"/>
        <item m="1" x="178"/>
        <item m="1" x="202"/>
        <item x="87"/>
        <item x="75"/>
        <item x="2"/>
        <item x="8"/>
        <item x="0"/>
        <item m="1" x="191"/>
        <item m="1" x="204"/>
        <item m="1" x="227"/>
        <item m="1" x="197"/>
        <item m="1" x="209"/>
        <item m="1" x="205"/>
        <item x="56"/>
        <item m="1" x="225"/>
        <item x="83"/>
        <item m="1" x="180"/>
        <item x="82"/>
        <item x="13"/>
        <item x="11"/>
        <item m="1" x="206"/>
        <item m="1" x="203"/>
        <item m="1" x="189"/>
        <item m="1" x="214"/>
        <item m="1" x="196"/>
        <item m="1" x="216"/>
        <item m="1" x="193"/>
        <item m="1" x="215"/>
        <item m="1" x="224"/>
        <item m="1" x="181"/>
        <item m="1" x="223"/>
        <item m="1" x="200"/>
        <item m="1" x="182"/>
        <item m="1" x="183"/>
        <item x="21"/>
        <item x="22"/>
        <item x="107"/>
        <item x="19"/>
        <item x="94"/>
        <item x="24"/>
        <item x="20"/>
        <item m="1" x="228"/>
        <item m="1" x="220"/>
        <item m="1" x="211"/>
        <item m="1" x="226"/>
        <item m="1" x="201"/>
        <item x="30"/>
        <item m="1" x="184"/>
        <item x="29"/>
        <item m="1" x="229"/>
        <item m="1" x="232"/>
        <item m="1" x="230"/>
        <item m="1" x="208"/>
        <item m="1" x="207"/>
        <item m="1" x="231"/>
        <item m="1" x="212"/>
        <item m="1" x="217"/>
        <item m="1" x="185"/>
        <item m="1" x="199"/>
        <item m="1" x="186"/>
        <item m="1" x="188"/>
        <item m="1" x="187"/>
        <item m="1" x="192"/>
        <item x="39"/>
        <item m="1" x="198"/>
        <item x="27"/>
        <item m="1" x="210"/>
        <item m="1" x="195"/>
        <item x="118"/>
        <item m="1" x="219"/>
        <item m="1" x="213"/>
        <item m="1" x="233"/>
        <item x="117"/>
        <item x="37"/>
        <item x="121"/>
        <item x="120"/>
        <item x="132"/>
        <item x="131"/>
        <item m="1" x="194"/>
        <item x="125"/>
        <item m="1" x="222"/>
        <item m="1" x="221"/>
        <item m="1" x="190"/>
        <item x="1"/>
        <item x="3"/>
        <item x="4"/>
        <item x="5"/>
        <item x="6"/>
        <item x="7"/>
        <item x="9"/>
        <item x="10"/>
        <item x="12"/>
        <item x="14"/>
        <item x="15"/>
        <item x="16"/>
        <item x="17"/>
        <item x="18"/>
        <item x="23"/>
        <item x="25"/>
        <item x="26"/>
        <item x="28"/>
        <item x="31"/>
        <item x="32"/>
        <item x="33"/>
        <item x="34"/>
        <item x="35"/>
        <item x="36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7"/>
        <item x="78"/>
        <item x="79"/>
        <item x="80"/>
        <item x="81"/>
        <item x="84"/>
        <item x="85"/>
        <item x="86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8"/>
        <item x="109"/>
        <item x="110"/>
        <item x="111"/>
        <item x="112"/>
        <item x="113"/>
        <item x="114"/>
        <item x="115"/>
        <item x="116"/>
        <item x="119"/>
        <item x="122"/>
        <item x="123"/>
        <item x="124"/>
        <item x="126"/>
        <item x="127"/>
        <item x="128"/>
        <item x="129"/>
        <item x="130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42">
        <item h="1" x="2"/>
        <item m="1" x="24"/>
        <item m="1" x="23"/>
        <item m="1" x="22"/>
        <item m="1" x="25"/>
        <item m="1" x="29"/>
        <item m="1" x="28"/>
        <item m="1" x="35"/>
        <item m="1" x="33"/>
        <item m="1" x="38"/>
        <item m="1" x="39"/>
        <item m="1" x="41"/>
        <item m="1" x="26"/>
        <item m="1" x="27"/>
        <item m="1" x="31"/>
        <item m="1" x="30"/>
        <item m="1" x="34"/>
        <item m="1" x="32"/>
        <item m="1" x="36"/>
        <item m="1" x="37"/>
        <item m="1" x="40"/>
        <item h="1" m="1" x="13"/>
        <item h="1" m="1" x="14"/>
        <item m="1" x="17"/>
        <item h="1" m="1" x="15"/>
        <item m="1" x="16"/>
        <item m="1" x="20"/>
        <item m="1" x="21"/>
        <item m="1" x="18"/>
        <item m="1" x="19"/>
        <item h="1" x="1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2">
    <field x="1"/>
    <field x="3"/>
  </rowFields>
  <rowItems count="10">
    <i>
      <x v="1167"/>
      <x v="216"/>
    </i>
    <i>
      <x v="1168"/>
      <x v="217"/>
    </i>
    <i>
      <x v="1921"/>
      <x v="218"/>
    </i>
    <i r="1">
      <x v="219"/>
    </i>
    <i>
      <x v="1922"/>
      <x v="218"/>
    </i>
    <i r="1">
      <x v="219"/>
    </i>
    <i>
      <x v="1923"/>
      <x v="220"/>
    </i>
    <i r="1">
      <x v="221"/>
    </i>
    <i>
      <x v="1950"/>
      <x v="12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1" hier="-1"/>
  </pageFields>
  <dataFields count="3">
    <dataField name="Req Qty" fld="1" subtotal="count" baseField="1" baseItem="0"/>
    <dataField name="Avail Qty" fld="14" baseField="1" baseItem="0"/>
    <dataField name="WT(KG)" fld="1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D6ED4B-4044-4876-A66F-31F12338006C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4:E11" firstHeaderRow="0" firstDataRow="1" firstDataCol="2" rowPageCount="1" colPageCount="1"/>
  <pivotFields count="17">
    <pivotField compact="0" outline="0" showAll="0" defaultSubtotal="0"/>
    <pivotField axis="axisRow" dataField="1" compact="0" outline="0" showAll="0" defaultSubtotal="0">
      <items count="1953">
        <item m="1" x="1285"/>
        <item m="1" x="908"/>
        <item m="1" x="1008"/>
        <item m="1" x="1286"/>
        <item m="1" x="1287"/>
        <item m="1" x="1288"/>
        <item m="1" x="1710"/>
        <item m="1" x="1711"/>
        <item m="1" x="1549"/>
        <item m="1" x="1712"/>
        <item m="1" x="1550"/>
        <item m="1" x="1551"/>
        <item m="1" x="1289"/>
        <item m="1" x="1290"/>
        <item m="1" x="1713"/>
        <item m="1" x="1936"/>
        <item m="1" x="909"/>
        <item m="1" x="1291"/>
        <item m="1" x="1552"/>
        <item m="1" x="1553"/>
        <item m="1" x="1714"/>
        <item m="1" x="1009"/>
        <item m="1" x="1292"/>
        <item m="1" x="1293"/>
        <item m="1" x="1294"/>
        <item m="1" x="1715"/>
        <item m="1" x="1716"/>
        <item m="1" x="1717"/>
        <item m="1" x="1295"/>
        <item m="1" x="1296"/>
        <item m="1" x="1297"/>
        <item m="1" x="1010"/>
        <item m="1" x="1011"/>
        <item m="1" x="1012"/>
        <item m="1" x="1298"/>
        <item m="1" x="1013"/>
        <item m="1" x="1014"/>
        <item m="1" x="1015"/>
        <item m="1" x="1554"/>
        <item m="1" x="1718"/>
        <item m="1" x="1719"/>
        <item m="1" x="1299"/>
        <item m="1" x="1300"/>
        <item m="1" x="1301"/>
        <item m="1" x="1016"/>
        <item m="1" x="910"/>
        <item m="1" x="911"/>
        <item m="1" x="1555"/>
        <item m="1" x="1556"/>
        <item m="1" x="912"/>
        <item m="1" x="913"/>
        <item m="1" x="914"/>
        <item m="1" x="915"/>
        <item m="1" x="1720"/>
        <item m="1" x="1302"/>
        <item m="1" x="1557"/>
        <item m="1" x="1558"/>
        <item m="1" x="1017"/>
        <item m="1" x="1721"/>
        <item m="1" x="1303"/>
        <item m="1" x="916"/>
        <item m="1" x="917"/>
        <item m="1" x="1018"/>
        <item m="1" x="1722"/>
        <item m="1" x="1723"/>
        <item m="1" x="1724"/>
        <item m="1" x="1019"/>
        <item m="1" x="1725"/>
        <item m="1" x="1726"/>
        <item m="1" x="1727"/>
        <item m="1" x="1559"/>
        <item m="1" x="1560"/>
        <item m="1" x="1561"/>
        <item m="1" x="1562"/>
        <item m="1" x="1728"/>
        <item m="1" x="1563"/>
        <item m="1" x="1564"/>
        <item m="1" x="1020"/>
        <item m="1" x="1021"/>
        <item m="1" x="1022"/>
        <item m="1" x="1023"/>
        <item m="1" x="1024"/>
        <item m="1" x="1025"/>
        <item m="1" x="918"/>
        <item m="1" x="1026"/>
        <item m="1" x="1027"/>
        <item m="1" x="919"/>
        <item m="1" x="1028"/>
        <item m="1" x="1029"/>
        <item m="1" x="1030"/>
        <item m="1" x="1031"/>
        <item m="1" x="1032"/>
        <item m="1" x="1033"/>
        <item m="1" x="1304"/>
        <item m="1" x="1305"/>
        <item m="1" x="920"/>
        <item m="1" x="1565"/>
        <item m="1" x="1306"/>
        <item m="1" x="1034"/>
        <item x="33"/>
        <item x="725"/>
        <item x="726"/>
        <item m="1" x="1035"/>
        <item m="1" x="1036"/>
        <item m="1" x="1037"/>
        <item m="1" x="1566"/>
        <item m="1" x="1729"/>
        <item m="1" x="1038"/>
        <item m="1" x="1567"/>
        <item m="1" x="1730"/>
        <item m="1" x="1307"/>
        <item m="1" x="1308"/>
        <item m="1" x="1937"/>
        <item m="1" x="1568"/>
        <item m="1" x="1731"/>
        <item m="1" x="1732"/>
        <item m="1" x="1039"/>
        <item m="1" x="1309"/>
        <item m="1" x="1310"/>
        <item m="1" x="1040"/>
        <item m="1" x="1041"/>
        <item m="1" x="1311"/>
        <item m="1" x="1312"/>
        <item m="1" x="1313"/>
        <item m="1" x="1733"/>
        <item m="1" x="1314"/>
        <item m="1" x="1734"/>
        <item m="1" x="921"/>
        <item m="1" x="1735"/>
        <item m="1" x="1569"/>
        <item m="1" x="922"/>
        <item m="1" x="923"/>
        <item m="1" x="924"/>
        <item m="1" x="925"/>
        <item m="1" x="1570"/>
        <item m="1" x="1571"/>
        <item m="1" x="1736"/>
        <item m="1" x="1042"/>
        <item m="1" x="1043"/>
        <item m="1" x="1044"/>
        <item m="1" x="1045"/>
        <item m="1" x="1046"/>
        <item m="1" x="1047"/>
        <item m="1" x="1048"/>
        <item m="1" x="1737"/>
        <item m="1" x="1738"/>
        <item m="1" x="1739"/>
        <item m="1" x="1315"/>
        <item m="1" x="1740"/>
        <item m="1" x="1572"/>
        <item m="1" x="1316"/>
        <item m="1" x="1573"/>
        <item m="1" x="1317"/>
        <item m="1" x="1318"/>
        <item m="1" x="1049"/>
        <item m="1" x="1319"/>
        <item m="1" x="1741"/>
        <item m="1" x="1320"/>
        <item m="1" x="926"/>
        <item m="1" x="1050"/>
        <item m="1" x="1321"/>
        <item m="1" x="1742"/>
        <item m="1" x="1322"/>
        <item m="1" x="1323"/>
        <item m="1" x="1051"/>
        <item m="1" x="1574"/>
        <item m="1" x="1743"/>
        <item m="1" x="1744"/>
        <item m="1" x="1324"/>
        <item m="1" x="1325"/>
        <item m="1" x="1052"/>
        <item m="1" x="1053"/>
        <item m="1" x="1745"/>
        <item m="1" x="1746"/>
        <item m="1" x="1326"/>
        <item m="1" x="927"/>
        <item m="1" x="1327"/>
        <item m="1" x="1054"/>
        <item m="1" x="1328"/>
        <item m="1" x="1329"/>
        <item m="1" x="1330"/>
        <item m="1" x="1331"/>
        <item m="1" x="1575"/>
        <item m="1" x="1576"/>
        <item m="1" x="1577"/>
        <item m="1" x="1747"/>
        <item m="1" x="1748"/>
        <item m="1" x="1749"/>
        <item m="1" x="1578"/>
        <item m="1" x="1579"/>
        <item m="1" x="1580"/>
        <item m="1" x="1750"/>
        <item m="1" x="1055"/>
        <item m="1" x="1938"/>
        <item m="1" x="1939"/>
        <item m="1" x="1581"/>
        <item m="1" x="1056"/>
        <item m="1" x="1332"/>
        <item m="1" x="1333"/>
        <item m="1" x="1751"/>
        <item m="1" x="1582"/>
        <item m="1" x="1752"/>
        <item m="1" x="1057"/>
        <item m="1" x="1334"/>
        <item m="1" x="1753"/>
        <item m="1" x="1335"/>
        <item m="1" x="1583"/>
        <item m="1" x="1754"/>
        <item m="1" x="1584"/>
        <item m="1" x="1058"/>
        <item m="1" x="1336"/>
        <item m="1" x="1337"/>
        <item m="1" x="1338"/>
        <item m="1" x="1755"/>
        <item m="1" x="1756"/>
        <item m="1" x="1585"/>
        <item m="1" x="1586"/>
        <item m="1" x="1757"/>
        <item m="1" x="1758"/>
        <item m="1" x="1759"/>
        <item m="1" x="1760"/>
        <item m="1" x="1761"/>
        <item m="1" x="1059"/>
        <item m="1" x="1060"/>
        <item m="1" x="1762"/>
        <item m="1" x="1339"/>
        <item m="1" x="1587"/>
        <item m="1" x="1588"/>
        <item m="1" x="1061"/>
        <item m="1" x="1062"/>
        <item m="1" x="1763"/>
        <item m="1" x="1764"/>
        <item m="1" x="1340"/>
        <item m="1" x="1063"/>
        <item m="1" x="1064"/>
        <item m="1" x="1341"/>
        <item m="1" x="1065"/>
        <item m="1" x="1589"/>
        <item m="1" x="1940"/>
        <item m="1" x="928"/>
        <item m="1" x="1066"/>
        <item m="1" x="1765"/>
        <item m="1" x="1067"/>
        <item m="1" x="1342"/>
        <item m="1" x="1343"/>
        <item m="1" x="1766"/>
        <item m="1" x="1767"/>
        <item m="1" x="1068"/>
        <item m="1" x="1768"/>
        <item m="1" x="1069"/>
        <item m="1" x="1590"/>
        <item m="1" x="1344"/>
        <item m="1" x="1591"/>
        <item m="1" x="1592"/>
        <item m="1" x="1593"/>
        <item m="1" x="1769"/>
        <item m="1" x="1070"/>
        <item m="1" x="1345"/>
        <item m="1" x="1770"/>
        <item m="1" x="1771"/>
        <item m="1" x="1346"/>
        <item m="1" x="1347"/>
        <item m="1" x="1348"/>
        <item m="1" x="1594"/>
        <item m="1" x="1595"/>
        <item m="1" x="1772"/>
        <item m="1" x="1596"/>
        <item m="1" x="1071"/>
        <item m="1" x="1349"/>
        <item m="1" x="1350"/>
        <item m="1" x="1351"/>
        <item m="1" x="1352"/>
        <item m="1" x="1353"/>
        <item m="1" x="1773"/>
        <item m="1" x="1354"/>
        <item m="1" x="1355"/>
        <item m="1" x="1774"/>
        <item m="1" x="1597"/>
        <item m="1" x="1072"/>
        <item m="1" x="1775"/>
        <item m="1" x="1356"/>
        <item m="1" x="1598"/>
        <item m="1" x="1357"/>
        <item m="1" x="1358"/>
        <item m="1" x="1599"/>
        <item m="1" x="1359"/>
        <item m="1" x="1360"/>
        <item m="1" x="1361"/>
        <item m="1" x="1362"/>
        <item m="1" x="1363"/>
        <item m="1" x="1600"/>
        <item m="1" x="1364"/>
        <item m="1" x="1601"/>
        <item m="1" x="1602"/>
        <item m="1" x="1776"/>
        <item m="1" x="1603"/>
        <item m="1" x="1777"/>
        <item m="1" x="1778"/>
        <item m="1" x="1779"/>
        <item m="1" x="1780"/>
        <item m="1" x="1073"/>
        <item m="1" x="1365"/>
        <item m="1" x="1781"/>
        <item m="1" x="1074"/>
        <item m="1" x="1366"/>
        <item m="1" x="1075"/>
        <item m="1" x="1076"/>
        <item m="1" x="1367"/>
        <item m="1" x="1077"/>
        <item m="1" x="1078"/>
        <item m="1" x="1079"/>
        <item m="1" x="1080"/>
        <item m="1" x="1081"/>
        <item m="1" x="1368"/>
        <item m="1" x="1604"/>
        <item m="1" x="1605"/>
        <item m="1" x="1082"/>
        <item m="1" x="1782"/>
        <item m="1" x="1783"/>
        <item m="1" x="1083"/>
        <item m="1" x="1084"/>
        <item m="1" x="1085"/>
        <item m="1" x="1086"/>
        <item m="1" x="929"/>
        <item m="1" x="1369"/>
        <item m="1" x="1370"/>
        <item m="1" x="1087"/>
        <item m="1" x="1088"/>
        <item m="1" x="1089"/>
        <item m="1" x="1090"/>
        <item m="1" x="1091"/>
        <item m="1" x="1092"/>
        <item m="1" x="1093"/>
        <item m="1" x="1094"/>
        <item m="1" x="1095"/>
        <item m="1" x="1784"/>
        <item m="1" x="930"/>
        <item m="1" x="931"/>
        <item m="1" x="1096"/>
        <item m="1" x="1097"/>
        <item m="1" x="1371"/>
        <item m="1" x="1372"/>
        <item m="1" x="1373"/>
        <item m="1" x="1374"/>
        <item m="1" x="1606"/>
        <item m="1" x="1607"/>
        <item m="1" x="1608"/>
        <item m="1" x="1785"/>
        <item m="1" x="1786"/>
        <item m="1" x="1787"/>
        <item m="1" x="1788"/>
        <item m="1" x="1789"/>
        <item m="1" x="1790"/>
        <item m="1" x="1098"/>
        <item m="1" x="932"/>
        <item m="1" x="1099"/>
        <item m="1" x="1100"/>
        <item m="1" x="1101"/>
        <item m="1" x="1375"/>
        <item m="1" x="1376"/>
        <item m="1" x="1377"/>
        <item m="1" x="1941"/>
        <item m="1" x="1609"/>
        <item m="1" x="1610"/>
        <item m="1" x="1378"/>
        <item m="1" x="1791"/>
        <item m="1" x="1792"/>
        <item m="1" x="1379"/>
        <item m="1" x="1380"/>
        <item m="1" x="1381"/>
        <item m="1" x="933"/>
        <item m="1" x="1102"/>
        <item m="1" x="1103"/>
        <item m="1" x="1104"/>
        <item m="1" x="1105"/>
        <item m="1" x="1106"/>
        <item m="1" x="1107"/>
        <item m="1" x="1108"/>
        <item m="1" x="1109"/>
        <item m="1" x="1110"/>
        <item m="1" x="1111"/>
        <item m="1" x="1112"/>
        <item m="1" x="1793"/>
        <item m="1" x="1382"/>
        <item m="1" x="1383"/>
        <item m="1" x="1113"/>
        <item m="1" x="1114"/>
        <item m="1" x="1384"/>
        <item m="1" x="1385"/>
        <item m="1" x="1611"/>
        <item m="1" x="1386"/>
        <item m="1" x="1387"/>
        <item m="1" x="1388"/>
        <item m="1" x="1389"/>
        <item m="1" x="1115"/>
        <item m="1" x="1116"/>
        <item m="1" x="934"/>
        <item m="1" x="1794"/>
        <item m="1" x="1117"/>
        <item m="1" x="1390"/>
        <item m="1" x="1391"/>
        <item m="1" x="1392"/>
        <item m="1" x="1612"/>
        <item m="1" x="1613"/>
        <item m="1" x="1614"/>
        <item m="1" x="1615"/>
        <item m="1" x="1616"/>
        <item m="1" x="1617"/>
        <item m="1" x="1618"/>
        <item m="1" x="1619"/>
        <item m="1" x="1393"/>
        <item m="1" x="1118"/>
        <item m="1" x="1119"/>
        <item m="1" x="1120"/>
        <item m="1" x="1121"/>
        <item m="1" x="1394"/>
        <item m="1" x="1122"/>
        <item m="1" x="1123"/>
        <item m="1" x="1124"/>
        <item m="1" x="935"/>
        <item m="1" x="1125"/>
        <item m="1" x="1126"/>
        <item m="1" x="1127"/>
        <item m="1" x="1128"/>
        <item m="1" x="1129"/>
        <item m="1" x="1395"/>
        <item m="1" x="1396"/>
        <item m="1" x="1795"/>
        <item m="1" x="1130"/>
        <item m="1" x="1397"/>
        <item m="1" x="1398"/>
        <item m="1" x="1131"/>
        <item m="1" x="1132"/>
        <item m="1" x="1399"/>
        <item m="1" x="1620"/>
        <item m="1" x="1621"/>
        <item m="1" x="1796"/>
        <item m="1" x="1622"/>
        <item m="1" x="1797"/>
        <item m="1" x="1798"/>
        <item m="1" x="1400"/>
        <item m="1" x="1799"/>
        <item m="1" x="936"/>
        <item m="1" x="1133"/>
        <item m="1" x="937"/>
        <item m="1" x="1134"/>
        <item m="1" x="1401"/>
        <item m="1" x="1135"/>
        <item m="1" x="1136"/>
        <item m="1" x="1137"/>
        <item m="1" x="1138"/>
        <item m="1" x="1139"/>
        <item m="1" x="938"/>
        <item m="1" x="939"/>
        <item m="1" x="1140"/>
        <item m="1" x="1402"/>
        <item m="1" x="1403"/>
        <item m="1" x="1623"/>
        <item m="1" x="1141"/>
        <item m="1" x="1404"/>
        <item m="1" x="1142"/>
        <item m="1" x="1405"/>
        <item m="1" x="1406"/>
        <item m="1" x="1407"/>
        <item m="1" x="1408"/>
        <item m="1" x="1409"/>
        <item m="1" x="1410"/>
        <item m="1" x="1411"/>
        <item m="1" x="1624"/>
        <item m="1" x="1625"/>
        <item m="1" x="1626"/>
        <item m="1" x="1800"/>
        <item m="1" x="1801"/>
        <item m="1" x="1802"/>
        <item m="1" x="1803"/>
        <item m="1" x="1804"/>
        <item m="1" x="1805"/>
        <item m="1" x="1806"/>
        <item m="1" x="1807"/>
        <item m="1" x="1808"/>
        <item m="1" x="940"/>
        <item m="1" x="1143"/>
        <item m="1" x="1809"/>
        <item m="1" x="1144"/>
        <item m="1" x="1810"/>
        <item m="1" x="1145"/>
        <item m="1" x="1146"/>
        <item m="1" x="1147"/>
        <item m="1" x="1148"/>
        <item m="1" x="1149"/>
        <item m="1" x="1150"/>
        <item m="1" x="1151"/>
        <item m="1" x="1152"/>
        <item m="1" x="1153"/>
        <item m="1" x="1154"/>
        <item m="1" x="1155"/>
        <item m="1" x="1156"/>
        <item m="1" x="1157"/>
        <item m="1" x="1158"/>
        <item m="1" x="1811"/>
        <item m="1" x="1159"/>
        <item m="1" x="1160"/>
        <item m="1" x="941"/>
        <item m="1" x="942"/>
        <item m="1" x="943"/>
        <item m="1" x="944"/>
        <item m="1" x="945"/>
        <item m="1" x="946"/>
        <item m="1" x="1161"/>
        <item m="1" x="1162"/>
        <item m="1" x="1163"/>
        <item m="1" x="1164"/>
        <item m="1" x="1812"/>
        <item m="1" x="1165"/>
        <item m="1" x="1813"/>
        <item m="1" x="947"/>
        <item m="1" x="1814"/>
        <item m="1" x="1166"/>
        <item m="1" x="1167"/>
        <item m="1" x="1168"/>
        <item m="1" x="1169"/>
        <item m="1" x="1170"/>
        <item m="1" x="1171"/>
        <item m="1" x="1172"/>
        <item m="1" x="1173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942"/>
        <item m="1" x="1827"/>
        <item m="1" x="1828"/>
        <item m="1" x="1829"/>
        <item m="1" x="1830"/>
        <item m="1" x="1174"/>
        <item m="1" x="1175"/>
        <item m="1" x="1176"/>
        <item m="1" x="1177"/>
        <item m="1" x="1178"/>
        <item m="1" x="948"/>
        <item m="1" x="949"/>
        <item m="1" x="950"/>
        <item m="1" x="1179"/>
        <item m="1" x="1180"/>
        <item m="1" x="1181"/>
        <item m="1" x="1182"/>
        <item m="1" x="1183"/>
        <item m="1" x="1184"/>
        <item m="1" x="1185"/>
        <item m="1" x="951"/>
        <item m="1" x="1186"/>
        <item m="1" x="1187"/>
        <item m="1" x="1188"/>
        <item m="1" x="1189"/>
        <item m="1" x="1190"/>
        <item m="1" x="1191"/>
        <item m="1" x="1831"/>
        <item m="1" x="1832"/>
        <item m="1" x="1833"/>
        <item m="1" x="1834"/>
        <item m="1" x="1835"/>
        <item m="1" x="1836"/>
        <item m="1" x="1837"/>
        <item m="1" x="1838"/>
        <item m="1" x="1192"/>
        <item m="1" x="1839"/>
        <item m="1" x="1840"/>
        <item m="1" x="1412"/>
        <item m="1" x="1413"/>
        <item m="1" x="1414"/>
        <item m="1" x="1415"/>
        <item m="1" x="1841"/>
        <item m="1" x="1627"/>
        <item m="1" x="1842"/>
        <item m="1" x="1843"/>
        <item m="1" x="1628"/>
        <item m="1" x="1629"/>
        <item m="1" x="1630"/>
        <item m="1" x="1416"/>
        <item m="1" x="1631"/>
        <item m="1" x="1417"/>
        <item m="1" x="1418"/>
        <item m="1" x="1193"/>
        <item m="1" x="1194"/>
        <item m="1" x="1419"/>
        <item m="1" x="1420"/>
        <item m="1" x="1421"/>
        <item m="1" x="1422"/>
        <item m="1" x="1423"/>
        <item m="1" x="1195"/>
        <item m="1" x="1424"/>
        <item m="1" x="1425"/>
        <item m="1" x="1196"/>
        <item m="1" x="1197"/>
        <item m="1" x="1426"/>
        <item m="1" x="1427"/>
        <item m="1" x="1428"/>
        <item m="1" x="1429"/>
        <item m="1" x="1632"/>
        <item m="1" x="1633"/>
        <item m="1" x="1634"/>
        <item m="1" x="1635"/>
        <item m="1" x="1844"/>
        <item m="1" x="1430"/>
        <item m="1" x="1845"/>
        <item m="1" x="1198"/>
        <item m="1" x="1199"/>
        <item m="1" x="1846"/>
        <item m="1" x="1200"/>
        <item m="1" x="1431"/>
        <item m="1" x="1636"/>
        <item m="1" x="1637"/>
        <item m="1" x="1847"/>
        <item m="1" x="1432"/>
        <item m="1" x="1848"/>
        <item m="1" x="1433"/>
        <item m="1" x="1434"/>
        <item m="1" x="1435"/>
        <item m="1" x="1943"/>
        <item m="1" x="1849"/>
        <item m="1" x="1850"/>
        <item m="1" x="1638"/>
        <item m="1" x="1639"/>
        <item m="1" x="1851"/>
        <item m="1" x="1640"/>
        <item m="1" x="1641"/>
        <item m="1" x="1642"/>
        <item m="1" x="1436"/>
        <item m="1" x="1201"/>
        <item m="1" x="1202"/>
        <item m="1" x="1437"/>
        <item m="1" x="1438"/>
        <item m="1" x="1643"/>
        <item m="1" x="1644"/>
        <item m="1" x="1645"/>
        <item m="1" x="1852"/>
        <item m="1" x="1853"/>
        <item m="1" x="1854"/>
        <item m="1" x="1439"/>
        <item m="1" x="1855"/>
        <item m="1" x="1440"/>
        <item m="1" x="1441"/>
        <item m="1" x="1856"/>
        <item m="1" x="952"/>
        <item m="1" x="1203"/>
        <item m="1" x="1646"/>
        <item m="1" x="1647"/>
        <item m="1" x="1204"/>
        <item m="1" x="1442"/>
        <item m="1" x="1205"/>
        <item m="1" x="1857"/>
        <item m="1" x="1443"/>
        <item m="1" x="1206"/>
        <item m="1" x="1444"/>
        <item m="1" x="1445"/>
        <item m="1" x="1648"/>
        <item m="1" x="1446"/>
        <item m="1" x="1447"/>
        <item m="1" x="1207"/>
        <item m="1" x="1208"/>
        <item m="1" x="1858"/>
        <item m="1" x="1209"/>
        <item m="1" x="1448"/>
        <item m="1" x="1449"/>
        <item m="1" x="1649"/>
        <item m="1" x="1859"/>
        <item m="1" x="1860"/>
        <item m="1" x="1861"/>
        <item m="1" x="1650"/>
        <item m="1" x="1651"/>
        <item m="1" x="1450"/>
        <item m="1" x="1451"/>
        <item m="1" x="1452"/>
        <item m="1" x="1210"/>
        <item m="1" x="1453"/>
        <item m="1" x="1211"/>
        <item m="1" x="1454"/>
        <item m="1" x="1212"/>
        <item m="1" x="1213"/>
        <item m="1" x="1214"/>
        <item m="1" x="1215"/>
        <item m="1" x="1216"/>
        <item m="1" x="1217"/>
        <item m="1" x="1455"/>
        <item m="1" x="1456"/>
        <item m="1" x="953"/>
        <item m="1" x="1218"/>
        <item m="1" x="1219"/>
        <item m="1" x="954"/>
        <item m="1" x="1220"/>
        <item m="1" x="1221"/>
        <item m="1" x="1222"/>
        <item m="1" x="1223"/>
        <item m="1" x="1224"/>
        <item m="1" x="1225"/>
        <item m="1" x="955"/>
        <item m="1" x="956"/>
        <item m="1" x="1226"/>
        <item m="1" x="1652"/>
        <item m="1" x="1653"/>
        <item m="1" x="1654"/>
        <item m="1" x="1457"/>
        <item m="1" x="957"/>
        <item m="1" x="1655"/>
        <item m="1" x="1458"/>
        <item m="1" x="1862"/>
        <item m="1" x="1459"/>
        <item m="1" x="1460"/>
        <item m="1" x="1461"/>
        <item m="1" x="1656"/>
        <item m="1" x="1462"/>
        <item m="1" x="958"/>
        <item m="1" x="1463"/>
        <item m="1" x="1464"/>
        <item m="1" x="1465"/>
        <item m="1" x="1466"/>
        <item m="1" x="1467"/>
        <item m="1" x="1468"/>
        <item m="1" x="1227"/>
        <item m="1" x="959"/>
        <item m="1" x="960"/>
        <item m="1" x="961"/>
        <item m="1" x="1469"/>
        <item m="1" x="1657"/>
        <item m="1" x="1863"/>
        <item m="1" x="1658"/>
        <item m="1" x="962"/>
        <item m="1" x="963"/>
        <item m="1" x="1864"/>
        <item m="1" x="1865"/>
        <item m="1" x="1470"/>
        <item m="1" x="1228"/>
        <item m="1" x="1659"/>
        <item m="1" x="1944"/>
        <item m="1" x="1945"/>
        <item m="1" x="1660"/>
        <item m="1" x="1866"/>
        <item m="1" x="1661"/>
        <item m="1" x="1229"/>
        <item m="1" x="964"/>
        <item m="1" x="1946"/>
        <item m="1" x="1947"/>
        <item m="1" x="1867"/>
        <item m="1" x="1868"/>
        <item m="1" x="1230"/>
        <item m="1" x="1231"/>
        <item m="1" x="1232"/>
        <item m="1" x="965"/>
        <item m="1" x="966"/>
        <item m="1" x="1662"/>
        <item m="1" x="1663"/>
        <item m="1" x="1471"/>
        <item m="1" x="1472"/>
        <item m="1" x="1473"/>
        <item m="1" x="1474"/>
        <item m="1" x="967"/>
        <item m="1" x="1869"/>
        <item m="1" x="1870"/>
        <item m="1" x="1233"/>
        <item m="1" x="968"/>
        <item m="1" x="1664"/>
        <item m="1" x="1475"/>
        <item m="1" x="1234"/>
        <item m="1" x="1235"/>
        <item m="1" x="1476"/>
        <item m="1" x="1665"/>
        <item m="1" x="1236"/>
        <item m="1" x="1477"/>
        <item m="1" x="1478"/>
        <item m="1" x="1237"/>
        <item m="1" x="1479"/>
        <item m="1" x="1666"/>
        <item m="1" x="1871"/>
        <item m="1" x="1872"/>
        <item m="1" x="1873"/>
        <item m="1" x="1480"/>
        <item m="1" x="1874"/>
        <item m="1" x="1875"/>
        <item m="1" x="1481"/>
        <item m="1" x="1667"/>
        <item m="1" x="1876"/>
        <item m="1" x="1668"/>
        <item m="1" x="1877"/>
        <item m="1" x="1669"/>
        <item m="1" x="1878"/>
        <item m="1" x="1238"/>
        <item m="1" x="1482"/>
        <item m="1" x="1879"/>
        <item m="1" x="1880"/>
        <item m="1" x="1670"/>
        <item m="1" x="1483"/>
        <item m="1" x="1484"/>
        <item m="1" x="1485"/>
        <item m="1" x="1881"/>
        <item m="1" x="1239"/>
        <item m="1" x="1240"/>
        <item m="1" x="1241"/>
        <item m="1" x="1882"/>
        <item m="1" x="1486"/>
        <item m="1" x="1242"/>
        <item m="1" x="1883"/>
        <item m="1" x="1487"/>
        <item m="1" x="1671"/>
        <item m="1" x="1672"/>
        <item m="1" x="1673"/>
        <item m="1" x="1884"/>
        <item m="1" x="1674"/>
        <item m="1" x="1243"/>
        <item m="1" x="1244"/>
        <item m="1" x="1245"/>
        <item m="1" x="1246"/>
        <item m="1" x="1247"/>
        <item m="1" x="1248"/>
        <item m="1" x="1885"/>
        <item m="1" x="1488"/>
        <item m="1" x="1886"/>
        <item m="1" x="1489"/>
        <item m="1" x="1887"/>
        <item m="1" x="1888"/>
        <item m="1" x="1249"/>
        <item m="1" x="1250"/>
        <item m="1" x="1889"/>
        <item m="1" x="1251"/>
        <item m="1" x="1490"/>
        <item m="1" x="1491"/>
        <item m="1" x="1890"/>
        <item m="1" x="1492"/>
        <item m="1" x="1675"/>
        <item m="1" x="1891"/>
        <item m="1" x="1493"/>
        <item m="1" x="1494"/>
        <item m="1" x="1892"/>
        <item m="1" x="1252"/>
        <item m="1" x="1676"/>
        <item m="1" x="1677"/>
        <item m="1" x="1893"/>
        <item m="1" x="1678"/>
        <item m="1" x="1679"/>
        <item m="1" x="1680"/>
        <item m="1" x="1894"/>
        <item m="1" x="1681"/>
        <item m="1" x="1253"/>
        <item m="1" x="1495"/>
        <item m="1" x="1496"/>
        <item m="1" x="969"/>
        <item m="1" x="970"/>
        <item m="1" x="1254"/>
        <item m="1" x="1255"/>
        <item m="1" x="1895"/>
        <item m="1" x="1896"/>
        <item m="1" x="971"/>
        <item m="1" x="972"/>
        <item m="1" x="1497"/>
        <item m="1" x="1498"/>
        <item m="1" x="1256"/>
        <item m="1" x="1499"/>
        <item m="1" x="1682"/>
        <item m="1" x="1897"/>
        <item m="1" x="1898"/>
        <item m="1" x="1683"/>
        <item m="1" x="1684"/>
        <item m="1" x="1685"/>
        <item m="1" x="1500"/>
        <item m="1" x="1501"/>
        <item m="1" x="1257"/>
        <item m="1" x="1258"/>
        <item m="1" x="1259"/>
        <item m="1" x="1260"/>
        <item m="1" x="1261"/>
        <item m="1" x="1502"/>
        <item m="1" x="973"/>
        <item m="1" x="1503"/>
        <item m="1" x="1504"/>
        <item m="1" x="1262"/>
        <item m="1" x="1505"/>
        <item m="1" x="1686"/>
        <item m="1" x="1506"/>
        <item m="1" x="1899"/>
        <item m="1" x="1687"/>
        <item m="1" x="1507"/>
        <item m="1" x="1508"/>
        <item m="1" x="1263"/>
        <item m="1" x="1264"/>
        <item m="1" x="1265"/>
        <item m="1" x="974"/>
        <item m="1" x="975"/>
        <item m="1" x="976"/>
        <item m="1" x="1509"/>
        <item m="1" x="1900"/>
        <item m="1" x="1688"/>
        <item m="1" x="1689"/>
        <item m="1" x="1510"/>
        <item m="1" x="1690"/>
        <item m="1" x="1691"/>
        <item m="1" x="977"/>
        <item m="1" x="1266"/>
        <item m="1" x="1692"/>
        <item m="1" x="1901"/>
        <item m="1" x="1902"/>
        <item m="1" x="1511"/>
        <item m="1" x="1267"/>
        <item m="1" x="1268"/>
        <item m="1" x="1269"/>
        <item m="1" x="1270"/>
        <item m="1" x="1271"/>
        <item m="1" x="1512"/>
        <item m="1" x="1272"/>
        <item m="1" x="1513"/>
        <item m="1" x="978"/>
        <item m="1" x="979"/>
        <item m="1" x="980"/>
        <item m="1" x="981"/>
        <item m="1" x="982"/>
        <item m="1" x="983"/>
        <item m="1" x="984"/>
        <item m="1" x="985"/>
        <item m="1" x="986"/>
        <item m="1" x="987"/>
        <item m="1" x="988"/>
        <item m="1" x="989"/>
        <item m="1" x="990"/>
        <item m="1" x="991"/>
        <item m="1" x="992"/>
        <item m="1" x="993"/>
        <item m="1" x="994"/>
        <item m="1" x="995"/>
        <item m="1" x="996"/>
        <item m="1" x="1948"/>
        <item m="1" x="1949"/>
        <item m="1" x="1903"/>
        <item m="1" x="1904"/>
        <item m="1" x="1905"/>
        <item m="1" x="997"/>
        <item m="1" x="1273"/>
        <item m="1" x="1274"/>
        <item m="1" x="1514"/>
        <item m="1" x="1515"/>
        <item m="1" x="1906"/>
        <item m="1" x="1907"/>
        <item m="1" x="1275"/>
        <item m="1" x="1276"/>
        <item m="1" x="1277"/>
        <item m="1" x="1278"/>
        <item x="715"/>
        <item x="716"/>
        <item x="717"/>
        <item x="370"/>
        <item x="371"/>
        <item x="372"/>
        <item x="373"/>
        <item m="1" x="1693"/>
        <item m="1" x="1694"/>
        <item m="1" x="1695"/>
        <item m="1" x="1279"/>
        <item m="1" x="1280"/>
        <item m="1" x="1516"/>
        <item m="1" x="1517"/>
        <item m="1" x="1518"/>
        <item m="1" x="1519"/>
        <item m="1" x="1696"/>
        <item m="1" x="1908"/>
        <item m="1" x="1520"/>
        <item m="1" x="998"/>
        <item m="1" x="1521"/>
        <item m="1" x="1522"/>
        <item m="1" x="1697"/>
        <item m="1" x="1698"/>
        <item m="1" x="1699"/>
        <item m="1" x="1700"/>
        <item m="1" x="1701"/>
        <item m="1" x="1523"/>
        <item m="1" x="1524"/>
        <item m="1" x="1525"/>
        <item m="1" x="1526"/>
        <item m="1" x="1909"/>
        <item m="1" x="1910"/>
        <item m="1" x="1911"/>
        <item m="1" x="1702"/>
        <item m="1" x="1950"/>
        <item m="1" x="1703"/>
        <item m="1" x="1912"/>
        <item m="1" x="1913"/>
        <item m="1" x="1914"/>
        <item m="1" x="1915"/>
        <item m="1" x="1916"/>
        <item m="1" x="1527"/>
        <item m="1" x="1528"/>
        <item m="1" x="1529"/>
        <item m="1" x="1530"/>
        <item m="1" x="1531"/>
        <item m="1" x="1917"/>
        <item m="1" x="1918"/>
        <item m="1" x="1919"/>
        <item m="1" x="1920"/>
        <item m="1" x="1281"/>
        <item m="1" x="1532"/>
        <item m="1" x="999"/>
        <item m="1" x="1000"/>
        <item m="1" x="1001"/>
        <item m="1" x="1002"/>
        <item m="1" x="1003"/>
        <item m="1" x="1533"/>
        <item m="1" x="1282"/>
        <item m="1" x="1534"/>
        <item m="1" x="1535"/>
        <item m="1" x="1921"/>
        <item m="1" x="1536"/>
        <item m="1" x="1922"/>
        <item m="1" x="1923"/>
        <item m="1" x="1924"/>
        <item m="1" x="1704"/>
        <item m="1" x="1951"/>
        <item m="1" x="1925"/>
        <item m="1" x="1004"/>
        <item m="1" x="1005"/>
        <item m="1" x="1006"/>
        <item m="1" x="1283"/>
        <item m="1" x="1537"/>
        <item m="1" x="1538"/>
        <item m="1" x="1539"/>
        <item m="1" x="1540"/>
        <item m="1" x="1541"/>
        <item m="1" x="1705"/>
        <item m="1" x="1706"/>
        <item m="1" x="1926"/>
        <item m="1" x="1952"/>
        <item m="1" x="1927"/>
        <item m="1" x="1928"/>
        <item m="1" x="1542"/>
        <item m="1" x="1929"/>
        <item m="1" x="1930"/>
        <item m="1" x="1931"/>
        <item m="1" x="1707"/>
        <item m="1" x="1543"/>
        <item m="1" x="1007"/>
        <item m="1" x="1932"/>
        <item m="1" x="1544"/>
        <item m="1" x="1545"/>
        <item m="1" x="1546"/>
        <item m="1" x="1547"/>
        <item m="1" x="1933"/>
        <item m="1" x="1708"/>
        <item m="1" x="1709"/>
        <item m="1" x="1548"/>
        <item m="1" x="1934"/>
        <item m="1" x="1284"/>
        <item m="1" x="1935"/>
        <item x="0"/>
        <item x="1"/>
        <item x="2"/>
        <item x="3"/>
        <item x="4"/>
        <item x="15"/>
        <item x="374"/>
        <item x="375"/>
        <item x="16"/>
        <item x="718"/>
        <item x="719"/>
        <item x="720"/>
        <item x="721"/>
        <item x="722"/>
        <item x="723"/>
        <item x="17"/>
        <item x="18"/>
        <item x="19"/>
        <item x="21"/>
        <item x="28"/>
        <item x="29"/>
        <item x="430"/>
        <item x="39"/>
        <item x="42"/>
        <item x="43"/>
        <item x="44"/>
        <item x="45"/>
        <item x="46"/>
        <item x="47"/>
        <item x="48"/>
        <item m="1" x="882"/>
        <item m="1" x="883"/>
        <item x="50"/>
        <item x="56"/>
        <item x="57"/>
        <item x="729"/>
        <item x="58"/>
        <item x="59"/>
        <item x="60"/>
        <item x="61"/>
        <item x="66"/>
        <item x="73"/>
        <item x="453"/>
        <item x="455"/>
        <item x="83"/>
        <item x="84"/>
        <item x="88"/>
        <item x="91"/>
        <item x="92"/>
        <item x="93"/>
        <item x="94"/>
        <item x="95"/>
        <item x="96"/>
        <item x="97"/>
        <item x="98"/>
        <item x="99"/>
        <item x="100"/>
        <item x="741"/>
        <item x="116"/>
        <item x="128"/>
        <item x="131"/>
        <item x="132"/>
        <item x="137"/>
        <item x="138"/>
        <item x="867"/>
        <item x="155"/>
        <item x="156"/>
        <item x="157"/>
        <item x="158"/>
        <item x="159"/>
        <item x="160"/>
        <item x="161"/>
        <item x="754"/>
        <item x="534"/>
        <item x="535"/>
        <item x="757"/>
        <item x="168"/>
        <item x="573"/>
        <item x="574"/>
        <item x="577"/>
        <item x="578"/>
        <item m="1" x="884"/>
        <item x="169"/>
        <item x="170"/>
        <item x="171"/>
        <item x="172"/>
        <item x="173"/>
        <item x="174"/>
        <item x="175"/>
        <item x="176"/>
        <item x="177"/>
        <item x="611"/>
        <item x="178"/>
        <item x="189"/>
        <item x="190"/>
        <item x="214"/>
        <item x="215"/>
        <item x="218"/>
        <item x="219"/>
        <item x="224"/>
        <item x="225"/>
        <item x="226"/>
        <item x="227"/>
        <item x="228"/>
        <item x="229"/>
        <item x="236"/>
        <item x="271"/>
        <item x="272"/>
        <item x="275"/>
        <item x="288"/>
        <item x="289"/>
        <item x="290"/>
        <item x="877"/>
        <item x="878"/>
        <item x="291"/>
        <item m="1" x="885"/>
        <item m="1" x="886"/>
        <item m="1" x="887"/>
        <item m="1" x="888"/>
        <item x="306"/>
        <item x="307"/>
        <item x="308"/>
        <item x="309"/>
        <item x="315"/>
        <item x="319"/>
        <item x="320"/>
        <item x="322"/>
        <item x="699"/>
        <item x="324"/>
        <item x="700"/>
        <item x="5"/>
        <item x="6"/>
        <item x="7"/>
        <item x="8"/>
        <item x="9"/>
        <item x="10"/>
        <item x="11"/>
        <item x="12"/>
        <item x="13"/>
        <item x="14"/>
        <item x="20"/>
        <item x="22"/>
        <item x="23"/>
        <item x="24"/>
        <item x="25"/>
        <item x="26"/>
        <item x="27"/>
        <item x="34"/>
        <item x="35"/>
        <item x="40"/>
        <item x="41"/>
        <item x="49"/>
        <item x="431"/>
        <item x="51"/>
        <item x="62"/>
        <item x="63"/>
        <item x="64"/>
        <item x="65"/>
        <item x="450"/>
        <item x="67"/>
        <item x="68"/>
        <item x="69"/>
        <item x="70"/>
        <item x="71"/>
        <item x="72"/>
        <item x="74"/>
        <item x="451"/>
        <item x="75"/>
        <item x="452"/>
        <item x="454"/>
        <item x="456"/>
        <item x="457"/>
        <item x="458"/>
        <item x="459"/>
        <item x="460"/>
        <item x="461"/>
        <item x="462"/>
        <item x="463"/>
        <item m="1" x="889"/>
        <item m="1" x="890"/>
        <item x="85"/>
        <item x="86"/>
        <item x="87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89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9"/>
        <item x="508"/>
        <item x="509"/>
        <item x="510"/>
        <item x="511"/>
        <item x="742"/>
        <item x="512"/>
        <item x="513"/>
        <item x="514"/>
        <item x="515"/>
        <item x="516"/>
        <item x="517"/>
        <item x="518"/>
        <item x="519"/>
        <item x="837"/>
        <item x="520"/>
        <item x="521"/>
        <item x="522"/>
        <item x="523"/>
        <item x="866"/>
        <item x="130"/>
        <item x="743"/>
        <item x="744"/>
        <item x="745"/>
        <item x="746"/>
        <item x="747"/>
        <item m="1" x="891"/>
        <item x="133"/>
        <item x="134"/>
        <item x="135"/>
        <item x="136"/>
        <item x="139"/>
        <item x="140"/>
        <item x="141"/>
        <item x="142"/>
        <item x="143"/>
        <item x="144"/>
        <item x="145"/>
        <item x="146"/>
        <item x="147"/>
        <item x="526"/>
        <item x="748"/>
        <item x="749"/>
        <item m="1" x="892"/>
        <item m="1" x="893"/>
        <item m="1" x="894"/>
        <item m="1" x="895"/>
        <item m="1" x="896"/>
        <item m="1" x="897"/>
        <item m="1" x="898"/>
        <item m="1" x="899"/>
        <item m="1" x="900"/>
        <item x="148"/>
        <item x="149"/>
        <item x="150"/>
        <item x="151"/>
        <item x="152"/>
        <item x="153"/>
        <item x="750"/>
        <item x="536"/>
        <item x="755"/>
        <item x="537"/>
        <item x="538"/>
        <item x="539"/>
        <item x="540"/>
        <item x="756"/>
        <item x="575"/>
        <item x="576"/>
        <item x="579"/>
        <item x="580"/>
        <item x="581"/>
        <item x="582"/>
        <item x="583"/>
        <item m="1" x="901"/>
        <item m="1" x="902"/>
        <item x="179"/>
        <item x="180"/>
        <item x="181"/>
        <item x="182"/>
        <item x="183"/>
        <item x="184"/>
        <item x="185"/>
        <item x="186"/>
        <item x="187"/>
        <item x="188"/>
        <item x="191"/>
        <item x="192"/>
        <item x="193"/>
        <item x="194"/>
        <item x="619"/>
        <item x="216"/>
        <item x="217"/>
        <item x="220"/>
        <item m="1" x="903"/>
        <item m="1" x="904"/>
        <item m="1" x="905"/>
        <item x="221"/>
        <item x="230"/>
        <item x="231"/>
        <item x="232"/>
        <item x="233"/>
        <item x="785"/>
        <item x="234"/>
        <item x="235"/>
        <item x="273"/>
        <item x="274"/>
        <item x="276"/>
        <item x="277"/>
        <item x="278"/>
        <item x="279"/>
        <item x="280"/>
        <item x="281"/>
        <item x="282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687"/>
        <item m="1" x="906"/>
        <item m="1" x="907"/>
        <item x="310"/>
        <item x="311"/>
        <item x="316"/>
        <item x="321"/>
        <item x="323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702"/>
        <item x="817"/>
        <item x="703"/>
        <item x="359"/>
        <item x="360"/>
        <item x="704"/>
        <item x="705"/>
        <item x="706"/>
        <item x="848"/>
        <item x="707"/>
        <item x="30"/>
        <item x="31"/>
        <item x="32"/>
        <item x="36"/>
        <item x="37"/>
        <item x="38"/>
        <item x="52"/>
        <item x="53"/>
        <item x="54"/>
        <item x="55"/>
        <item x="76"/>
        <item x="77"/>
        <item x="78"/>
        <item x="79"/>
        <item x="80"/>
        <item x="81"/>
        <item x="82"/>
        <item x="90"/>
        <item x="154"/>
        <item x="162"/>
        <item x="163"/>
        <item x="164"/>
        <item x="165"/>
        <item x="166"/>
        <item x="167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22"/>
        <item x="223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83"/>
        <item x="284"/>
        <item x="285"/>
        <item x="286"/>
        <item x="287"/>
        <item x="303"/>
        <item x="304"/>
        <item x="305"/>
        <item x="312"/>
        <item x="313"/>
        <item x="314"/>
        <item x="317"/>
        <item x="318"/>
        <item x="361"/>
        <item x="362"/>
        <item x="363"/>
        <item x="364"/>
        <item x="365"/>
        <item x="366"/>
        <item x="367"/>
        <item x="368"/>
        <item x="369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500"/>
        <item x="501"/>
        <item x="502"/>
        <item x="503"/>
        <item x="504"/>
        <item x="505"/>
        <item x="506"/>
        <item x="507"/>
        <item x="524"/>
        <item x="525"/>
        <item x="527"/>
        <item x="528"/>
        <item x="529"/>
        <item x="530"/>
        <item x="531"/>
        <item x="532"/>
        <item x="533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2"/>
        <item x="613"/>
        <item x="614"/>
        <item x="615"/>
        <item x="616"/>
        <item x="617"/>
        <item x="618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701"/>
        <item x="708"/>
        <item x="709"/>
        <item x="710"/>
        <item x="711"/>
        <item x="712"/>
        <item x="713"/>
        <item x="714"/>
        <item x="724"/>
        <item x="727"/>
        <item x="728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51"/>
        <item x="752"/>
        <item x="753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8"/>
        <item x="839"/>
        <item x="840"/>
        <item x="841"/>
        <item x="842"/>
        <item x="843"/>
        <item x="844"/>
        <item x="845"/>
        <item x="846"/>
        <item x="847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8"/>
        <item x="869"/>
        <item x="870"/>
        <item x="871"/>
        <item x="872"/>
        <item x="873"/>
        <item x="874"/>
        <item x="875"/>
        <item x="876"/>
        <item x="879"/>
        <item x="880"/>
        <item x="881"/>
      </items>
    </pivotField>
    <pivotField compact="0" outline="0" showAll="0" defaultSubtotal="0"/>
    <pivotField axis="axisRow" compact="0" outline="0" showAll="0" defaultSubtotal="0">
      <items count="234">
        <item x="76"/>
        <item m="1" x="179"/>
        <item m="1" x="177"/>
        <item m="1" x="218"/>
        <item m="1" x="178"/>
        <item m="1" x="202"/>
        <item x="87"/>
        <item x="75"/>
        <item x="2"/>
        <item x="8"/>
        <item x="0"/>
        <item m="1" x="191"/>
        <item m="1" x="204"/>
        <item m="1" x="227"/>
        <item m="1" x="197"/>
        <item m="1" x="209"/>
        <item m="1" x="205"/>
        <item x="56"/>
        <item m="1" x="225"/>
        <item x="83"/>
        <item m="1" x="180"/>
        <item x="82"/>
        <item x="13"/>
        <item x="11"/>
        <item m="1" x="206"/>
        <item m="1" x="203"/>
        <item m="1" x="189"/>
        <item m="1" x="214"/>
        <item m="1" x="196"/>
        <item m="1" x="216"/>
        <item m="1" x="193"/>
        <item m="1" x="215"/>
        <item m="1" x="224"/>
        <item m="1" x="181"/>
        <item m="1" x="223"/>
        <item m="1" x="200"/>
        <item m="1" x="182"/>
        <item m="1" x="183"/>
        <item x="21"/>
        <item x="22"/>
        <item x="107"/>
        <item x="19"/>
        <item x="94"/>
        <item x="24"/>
        <item x="20"/>
        <item m="1" x="228"/>
        <item m="1" x="220"/>
        <item m="1" x="211"/>
        <item m="1" x="226"/>
        <item m="1" x="201"/>
        <item x="30"/>
        <item m="1" x="184"/>
        <item x="29"/>
        <item m="1" x="229"/>
        <item m="1" x="232"/>
        <item m="1" x="230"/>
        <item m="1" x="208"/>
        <item m="1" x="207"/>
        <item m="1" x="231"/>
        <item m="1" x="212"/>
        <item m="1" x="217"/>
        <item m="1" x="185"/>
        <item m="1" x="199"/>
        <item m="1" x="186"/>
        <item m="1" x="188"/>
        <item m="1" x="187"/>
        <item m="1" x="192"/>
        <item x="39"/>
        <item m="1" x="198"/>
        <item x="27"/>
        <item m="1" x="210"/>
        <item m="1" x="195"/>
        <item x="118"/>
        <item m="1" x="219"/>
        <item m="1" x="213"/>
        <item m="1" x="233"/>
        <item x="117"/>
        <item x="37"/>
        <item x="121"/>
        <item x="120"/>
        <item x="132"/>
        <item x="131"/>
        <item m="1" x="194"/>
        <item x="125"/>
        <item m="1" x="222"/>
        <item m="1" x="221"/>
        <item m="1" x="190"/>
        <item x="1"/>
        <item x="3"/>
        <item x="4"/>
        <item x="5"/>
        <item x="6"/>
        <item x="7"/>
        <item x="9"/>
        <item x="10"/>
        <item x="12"/>
        <item x="14"/>
        <item x="15"/>
        <item x="16"/>
        <item x="17"/>
        <item x="18"/>
        <item x="23"/>
        <item x="25"/>
        <item x="26"/>
        <item x="28"/>
        <item x="31"/>
        <item x="32"/>
        <item x="33"/>
        <item x="34"/>
        <item x="35"/>
        <item x="36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7"/>
        <item x="78"/>
        <item x="79"/>
        <item x="80"/>
        <item x="81"/>
        <item x="84"/>
        <item x="85"/>
        <item x="86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8"/>
        <item x="109"/>
        <item x="110"/>
        <item x="111"/>
        <item x="112"/>
        <item x="113"/>
        <item x="114"/>
        <item x="115"/>
        <item x="116"/>
        <item x="119"/>
        <item x="122"/>
        <item x="123"/>
        <item x="124"/>
        <item x="126"/>
        <item x="127"/>
        <item x="128"/>
        <item x="129"/>
        <item x="130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multipleItemSelectionAllowed="1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42">
        <item h="1" x="2"/>
        <item m="1" x="30"/>
        <item m="1" x="29"/>
        <item m="1" x="32"/>
        <item m="1" x="34"/>
        <item m="1" x="35"/>
        <item m="1" x="37"/>
        <item m="1" x="39"/>
        <item m="1" x="40"/>
        <item m="1" x="31"/>
        <item m="1" x="33"/>
        <item m="1" x="36"/>
        <item m="1" x="38"/>
        <item m="1" x="41"/>
        <item h="1" x="3"/>
        <item h="1" x="0"/>
        <item m="1" x="22"/>
        <item m="1" x="23"/>
        <item m="1" x="24"/>
        <item m="1" x="25"/>
        <item m="1" x="26"/>
        <item m="1" x="27"/>
        <item m="1" x="28"/>
        <item m="1" x="16"/>
        <item h="1" m="1" x="17"/>
        <item h="1" m="1" x="18"/>
        <item h="1" m="1" x="19"/>
        <item h="1" m="1" x="20"/>
        <item h="1" m="1" x="21"/>
        <item x="1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</items>
    </pivotField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2">
    <field x="1"/>
    <field x="3"/>
  </rowFields>
  <rowItems count="7">
    <i>
      <x v="1056"/>
      <x v="10"/>
    </i>
    <i>
      <x v="1088"/>
      <x v="23"/>
    </i>
    <i>
      <x v="1103"/>
      <x v="38"/>
    </i>
    <i>
      <x v="1104"/>
      <x v="44"/>
    </i>
    <i>
      <x v="1528"/>
      <x v="69"/>
    </i>
    <i>
      <x v="1529"/>
      <x v="7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hier="-1"/>
  </pageFields>
  <dataFields count="3">
    <dataField name="Req Qty" fld="1" subtotal="count" baseField="1" baseItem="0"/>
    <dataField name="Avail Qty" fld="14" baseField="1" baseItem="0"/>
    <dataField name="WT(KG)" fld="1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06D8FF-7825-428B-9229-7CE6B5550288}" name="PartList" displayName="PartList" ref="A3:Q1363" totalsRowShown="0" headerRowDxfId="30">
  <autoFilter ref="A3:Q1363" xr:uid="{2506D8FF-7825-428B-9229-7CE6B5550288}"/>
  <sortState xmlns:xlrd2="http://schemas.microsoft.com/office/spreadsheetml/2017/richdata2" ref="A4:Q1363">
    <sortCondition ref="I3:I1363"/>
  </sortState>
  <tableColumns count="17">
    <tableColumn id="1" xr3:uid="{8A84EADD-8BC5-4B66-B4D1-7D1DE388BB32}" name="SL NO"/>
    <tableColumn id="2" xr3:uid="{8C29F72A-88B3-404D-92BC-094FAD63233B}" name="ASSLY MARK"/>
    <tableColumn id="3" xr3:uid="{D82FD802-0058-41D0-BF67-178CE843E5C1}" name="GRID LOCATION"/>
    <tableColumn id="4" xr3:uid="{EF70822A-143A-4984-B385-829EBBF4BD01}" name="TOP ELEVATION"/>
    <tableColumn id="5" xr3:uid="{62539B81-12F2-4BE9-8D3F-6BC36CB0E9FE}" name="MEMBER TYPE"/>
    <tableColumn id="18" xr3:uid="{F17C0023-3BB4-48FF-9202-16D130CF9DF8}" name="Unique" dataDxfId="29">
      <calculatedColumnFormula array="1">IF(SUM(IF(PartList[ASSLY MARK]=PartList[[#This Row],[ASSLY MARK]],1,0))&gt;1,"No","Yes")</calculatedColumnFormula>
    </tableColumn>
    <tableColumn id="7" xr3:uid="{8520D59E-23FD-48D6-BE5A-47EE043C713D}" name="ID" dataDxfId="28">
      <calculatedColumnFormula array="1">_xlfn.TEXTJOIN("_",TRUE,TRIM(_xlfn.TEXTSPLIT(PartList[[#This Row],[GRID LOCATION]],{"PR01","/","-"})))</calculatedColumnFormula>
    </tableColumn>
    <tableColumn id="8" xr3:uid="{87863E81-0F52-4699-B0C2-26B10048034A}" name="BOX NO" dataDxfId="27">
      <calculatedColumnFormula array="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calculatedColumnFormula>
    </tableColumn>
    <tableColumn id="20" xr3:uid="{ED5CBF7F-55DE-4A94-9740-821B5CA29D45}" name="Priority" dataDxfId="26">
      <calculatedColumnFormula array="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calculatedColumnFormula>
    </tableColumn>
    <tableColumn id="15" xr3:uid="{B78AC586-9134-4050-A255-7542F65E00C2}" name="In/Out" dataDxfId="25">
      <calculatedColumnFormula>IF(IFERROR(SEARCH("&gt;",PartList[[#This Row],[ID]]),0),"O",IF(IFERROR(SEARCH("&lt;",PartList[[#This Row],[ID]]),0),"I",""))</calculatedColumnFormula>
    </tableColumn>
    <tableColumn id="9" xr3:uid="{78DF9AF7-6E76-4F1B-98FA-C2358B36D124}" name="O1-Grid" dataDxfId="24">
      <calculatedColumnFormula array="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calculatedColumnFormula>
    </tableColumn>
    <tableColumn id="11" xr3:uid="{ECBB50A4-2087-4356-81CA-1C0003CCF893}" name="O2-Grid" dataDxfId="23">
      <calculatedColumnFormula array="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calculatedColumnFormula>
    </tableColumn>
    <tableColumn id="16" xr3:uid="{AFB81B94-A85C-4A4A-90DF-59CC39B832FF}" name="O1-Unique" dataDxfId="22">
      <calculatedColumnFormula>_xlfn.TEXTJOIN("#",TRUE,PartList[[#This Row],[ASSLY MARK]],PartList[[#This Row],[BOX NO]],PartList[[#This Row],[In/Out]],PartList[[#This Row],[O1-Grid]])</calculatedColumnFormula>
    </tableColumn>
    <tableColumn id="17" xr3:uid="{91022B01-6C0B-48D3-B140-DB8F81D9EC2A}" name="O2-Unique" dataDxfId="21">
      <calculatedColumnFormula>_xlfn.TEXTJOIN("#",TRUE,PartList[[#This Row],[ASSLY MARK]],PartList[[#This Row],[BOX NO]],PartList[[#This Row],[In/Out]],PartList[[#This Row],[O2-Grid]])</calculatedColumnFormula>
    </tableColumn>
    <tableColumn id="19" xr3:uid="{B7AD97F3-2E34-451E-8480-275EC0EB1327}" name="Avail. Qty" dataDxfId="20">
      <calculatedColumnFormula>IF(PartList[[#This Row],[Unique]]="Yes",_xlfn.XLOOKUP(PartList[[#This Row],[ASSLY MARK]],FilteredPL!A:A,FilteredPL!B:B,0,0),0)</calculatedColumnFormula>
    </tableColumn>
    <tableColumn id="6" xr3:uid="{7290A4F1-F170-415C-898E-40102CBCED80}" name="Weight" dataDxfId="19">
      <calculatedColumnFormula>_xlfn.XLOOKUP(PartList[[#This Row],[ASSLY MARK]],MasterPL[SplitMarkNo],MasterPL[BILL WT.(KG)],0,0)</calculatedColumnFormula>
    </tableColumn>
    <tableColumn id="10" xr3:uid="{7858D3C9-92FC-4F85-967E-2DE043302E97}" name="Erec WT(KG)" dataDxfId="18">
      <calculatedColumnFormula array="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F84FB1-9994-4896-AE7A-5DC8EE4CC0E1}" name="BoxTable" displayName="BoxTable" ref="T2:Y8" totalsRowShown="0" headerRowDxfId="17" headerRowBorderDxfId="16" tableBorderDxfId="15" totalsRowBorderDxfId="14">
  <autoFilter ref="T2:Y8" xr:uid="{F0F84FB1-9994-4896-AE7A-5DC8EE4CC0E1}"/>
  <tableColumns count="6">
    <tableColumn id="1" xr3:uid="{3FE71E62-3F33-4AE3-8FEE-25373D63673E}" name="Column1" dataDxfId="13"/>
    <tableColumn id="2" xr3:uid="{709411FC-9C9B-4740-A5FE-40E0EEF22725}" name="N1" dataDxfId="12"/>
    <tableColumn id="3" xr3:uid="{46A69808-7308-45E4-9E2D-3D82EF13C125}" name="N2" dataDxfId="11"/>
    <tableColumn id="4" xr3:uid="{21D40667-B9EF-4898-99FB-4723C8A82CEF}" name="L1" dataDxfId="10"/>
    <tableColumn id="5" xr3:uid="{6AB39010-27A4-48B6-8C37-B69EE9E43B6E}" name="L2" dataDxfId="9"/>
    <tableColumn id="6" xr3:uid="{FAA7D9D5-9CB0-4659-B5F4-182C7BB7DAA8}" name="P" dataDxfId="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657D8A-8954-49ED-B88E-718D71003771}" name="MasterPL" displayName="MasterPL" ref="A1:S31" totalsRowShown="0" headerRowDxfId="3" headerRowBorderDxfId="2" tableBorderDxfId="1">
  <autoFilter ref="A1:S31" xr:uid="{F7657D8A-8954-49ED-B88E-718D71003771}"/>
  <tableColumns count="19">
    <tableColumn id="2" xr3:uid="{14AEE199-FE80-40FB-91D2-147C9E049FFB}" name="AREA"/>
    <tableColumn id="3" xr3:uid="{3CD7C581-4EC2-4BB2-8CDC-024D2B0EB468}" name="ITEM DESCRIPTION"/>
    <tableColumn id="4" xr3:uid="{4319F601-66D9-4071-811F-4B85C6B14A4B}" name="GRADE"/>
    <tableColumn id="5" xr3:uid="{4D80006B-C14C-484F-8D20-EFA8A840CC36}" name="PO MATERIAL CODE"/>
    <tableColumn id="6" xr3:uid="{A6839993-5039-47DB-B0DB-C6567AF78DA0}" name="DRG TYPE"/>
    <tableColumn id="7" xr3:uid="{94D816C6-6B41-4BDA-8565-D7DE754324C9}" name="DRAWING NO"/>
    <tableColumn id="8" xr3:uid="{A2919921-F0EF-4081-BDB5-B492B4B87DE0}" name="REV"/>
    <tableColumn id="9" xr3:uid="{98F8AF73-990D-4A70-9605-3DEB09283DD1}" name="MARK NO"/>
    <tableColumn id="10" xr3:uid="{957D9DCE-4D82-4BD9-9A12-9A439EEF255D}" name="DRG PART QTY"/>
    <tableColumn id="11" xr3:uid="{FFC127C2-33F0-4DEF-9F84-4E5E95A76384}" name="QTY DISPATCHED"/>
    <tableColumn id="12" xr3:uid="{F744F790-D331-43B6-BA36-A1D16A38E78B}" name="BILL WT.(KG)"/>
    <tableColumn id="13" xr3:uid="{3EC91F9D-4354-4EFA-8F98-5428451E9BE8}" name="Building Name"/>
    <tableColumn id="14" xr3:uid="{351FFD73-0ED2-41D2-ABD2-EB7F0860FDC7}" name="IRN NO"/>
    <tableColumn id="15" xr3:uid="{EC1DA87E-3C78-4BC0-A135-147445FB39C9}" name="SPLICE PLATE / REMARKS"/>
    <tableColumn id="16" xr3:uid="{708E0125-CB4C-4B35-ACE8-518762423E9D}" name="VENDOR"/>
    <tableColumn id="17" xr3:uid="{F4D1D388-590C-48AC-B00B-09CA9F2CD89A}" name="PACKING LIST NO."/>
    <tableColumn id="18" xr3:uid="{7998F256-15DD-4958-BCEE-0F50CAD27D13}" name="PACKING LIST"/>
    <tableColumn id="20" xr3:uid="{30B8168E-4BFB-444A-8589-C82D45BD0238}" name="Remarks"/>
    <tableColumn id="19" xr3:uid="{D00D14F0-FFE4-4E7D-932C-9F8720AE93BA}" name="SplitMarkNo" dataDxfId="0">
      <calculatedColumnFormula array="1">TRIM(INDEX(_xlfn.TEXTSPLIT(MasterPL[[#This Row],[MARK NO]],"-"),2))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ECFC7-8D9B-4FAA-8AFF-43F79D27940D}">
  <sheetPr codeName="Sheet4"/>
  <dimension ref="B1:M36"/>
  <sheetViews>
    <sheetView zoomScale="116" workbookViewId="0">
      <selection activeCell="L12" sqref="L12"/>
    </sheetView>
  </sheetViews>
  <sheetFormatPr defaultRowHeight="15" x14ac:dyDescent="0.25"/>
  <cols>
    <col min="5" max="5" width="13.140625" bestFit="1" customWidth="1"/>
    <col min="6" max="6" width="10.28515625" bestFit="1" customWidth="1"/>
    <col min="7" max="7" width="10.28515625" customWidth="1"/>
    <col min="9" max="9" width="11.28515625" bestFit="1" customWidth="1"/>
    <col min="10" max="10" width="10.28515625" bestFit="1" customWidth="1"/>
    <col min="13" max="13" width="21" bestFit="1" customWidth="1"/>
  </cols>
  <sheetData>
    <row r="1" spans="2:13" ht="15.75" thickBot="1" x14ac:dyDescent="0.3"/>
    <row r="2" spans="2:13" ht="15.75" thickBot="1" x14ac:dyDescent="0.3">
      <c r="B2" s="36" t="s">
        <v>83</v>
      </c>
      <c r="C2" s="37" t="s">
        <v>84</v>
      </c>
      <c r="E2" s="29" t="s">
        <v>15</v>
      </c>
      <c r="F2" s="48" t="s">
        <v>30</v>
      </c>
      <c r="G2" s="43"/>
      <c r="I2" s="29" t="s">
        <v>15</v>
      </c>
      <c r="J2" s="48" t="s">
        <v>31</v>
      </c>
      <c r="K2" s="47"/>
      <c r="M2" s="39" t="s">
        <v>86</v>
      </c>
    </row>
    <row r="3" spans="2:13" ht="15.75" thickBot="1" x14ac:dyDescent="0.3">
      <c r="B3" s="34" t="str" cm="1">
        <f t="array" ref="B3:B8">BoxTable[Column1]</f>
        <v>Box1</v>
      </c>
      <c r="C3" s="35" cm="1">
        <f t="array" ref="C3">IF(COUNTA(_xlfn._xlws.FILTER(E:E,E:E=B3))=SUMIF(E:E,B3,G:G),1,0)+IF(COUNTA(_xlfn._xlws.FILTER(I:I,I:I=B3))=SUMIF(I:I,B3,K:K),1,0)</f>
        <v>0</v>
      </c>
      <c r="E3" s="30" t="s">
        <v>16</v>
      </c>
      <c r="F3" t="s">
        <v>1313</v>
      </c>
      <c r="G3" s="44"/>
      <c r="I3" s="30" t="s">
        <v>16</v>
      </c>
      <c r="J3" t="s">
        <v>1312</v>
      </c>
      <c r="K3" s="44"/>
      <c r="M3" s="40">
        <f>Main!Q2/1000</f>
        <v>0</v>
      </c>
    </row>
    <row r="4" spans="2:13" x14ac:dyDescent="0.25">
      <c r="B4" s="25" t="str">
        <v>Box2</v>
      </c>
      <c r="C4" s="26" cm="1">
        <f t="array" ref="C4">IF(COUNTA(_xlfn._xlws.FILTER(E:E,E:E=B4))=SUMIF(E:E,B4,G:G),1,0)+IF(COUNTA(_xlfn._xlws.FILTER(I:I,I:I=B4))=SUMIF(I:I,B4,K:K),1,0)</f>
        <v>0</v>
      </c>
      <c r="E4" s="31" t="s">
        <v>16</v>
      </c>
      <c r="F4" t="s">
        <v>1314</v>
      </c>
      <c r="G4" s="44"/>
      <c r="I4" s="31" t="s">
        <v>16</v>
      </c>
      <c r="J4" t="s">
        <v>1326</v>
      </c>
      <c r="K4" s="44"/>
    </row>
    <row r="5" spans="2:13" x14ac:dyDescent="0.25">
      <c r="B5" s="25" t="str">
        <v>Box3</v>
      </c>
      <c r="C5" s="26" cm="1">
        <f t="array" ref="C5">IF(COUNTA(_xlfn._xlws.FILTER(E:E,E:E=B5))=SUMIF(E:E,B5,G:G),1,0)+IF(COUNTA(_xlfn._xlws.FILTER(I:I,I:I=B5))=SUMIF(I:I,B5,K:K),1,0)</f>
        <v>0</v>
      </c>
      <c r="E5" s="31" t="s">
        <v>16</v>
      </c>
      <c r="F5" t="s">
        <v>1315</v>
      </c>
      <c r="G5" s="44"/>
      <c r="I5" s="31" t="s">
        <v>20</v>
      </c>
      <c r="J5" t="s">
        <v>1327</v>
      </c>
      <c r="K5" s="44"/>
    </row>
    <row r="6" spans="2:13" x14ac:dyDescent="0.25">
      <c r="B6" s="25" t="str">
        <v>Box4</v>
      </c>
      <c r="C6" s="26" cm="1">
        <f t="array" ref="C6">IF(COUNTA(_xlfn._xlws.FILTER(E:E,E:E=B6))=SUMIF(E:E,B6,G:G),1,0)+IF(COUNTA(_xlfn._xlws.FILTER(I:I,I:I=B6))=SUMIF(I:I,B6,K:K),1,0)</f>
        <v>0</v>
      </c>
      <c r="E6" s="31" t="s">
        <v>16</v>
      </c>
      <c r="F6" t="s">
        <v>1316</v>
      </c>
      <c r="G6" s="44"/>
      <c r="I6" s="31" t="s">
        <v>20</v>
      </c>
      <c r="J6" t="s">
        <v>1328</v>
      </c>
      <c r="K6" s="44"/>
    </row>
    <row r="7" spans="2:13" x14ac:dyDescent="0.25">
      <c r="B7" s="25" t="str">
        <v>Box5</v>
      </c>
      <c r="C7" s="26" cm="1">
        <f t="array" ref="C7">IF(COUNTA(_xlfn._xlws.FILTER(E:E,E:E=B7))=SUMIF(E:E,B7,G:G),1,0)+IF(COUNTA(_xlfn._xlws.FILTER(I:I,I:I=B7))=SUMIF(I:I,B7,K:K),1,0)</f>
        <v>0</v>
      </c>
      <c r="E7" s="31" t="s">
        <v>20</v>
      </c>
      <c r="F7" t="s">
        <v>1317</v>
      </c>
      <c r="G7" s="44"/>
      <c r="I7" s="31" t="s">
        <v>20</v>
      </c>
      <c r="J7" t="s">
        <v>1329</v>
      </c>
      <c r="K7" s="44"/>
    </row>
    <row r="8" spans="2:13" ht="15.75" thickBot="1" x14ac:dyDescent="0.3">
      <c r="B8" s="27" t="str">
        <v>Box6</v>
      </c>
      <c r="C8" s="28" cm="1">
        <f t="array" ref="C8">IF(COUNTA(_xlfn._xlws.FILTER(E:E,E:E=B8))=SUMIF(E:E,B8,G:G),1,0)+IF(COUNTA(_xlfn._xlws.FILTER(I:I,I:I=B8))=SUMIF(I:I,B8,K:K),1,0)</f>
        <v>0</v>
      </c>
      <c r="E8" s="31" t="s">
        <v>20</v>
      </c>
      <c r="F8" t="s">
        <v>1318</v>
      </c>
      <c r="G8" s="44"/>
      <c r="I8" s="31" t="s">
        <v>20</v>
      </c>
      <c r="J8" t="s">
        <v>1330</v>
      </c>
      <c r="K8" s="44"/>
    </row>
    <row r="9" spans="2:13" x14ac:dyDescent="0.25">
      <c r="E9" s="31" t="s">
        <v>20</v>
      </c>
      <c r="F9" t="s">
        <v>1319</v>
      </c>
      <c r="G9" s="44"/>
      <c r="I9" s="31" t="s">
        <v>21</v>
      </c>
      <c r="J9" t="s">
        <v>1331</v>
      </c>
      <c r="K9" s="44"/>
    </row>
    <row r="10" spans="2:13" x14ac:dyDescent="0.25">
      <c r="E10" s="31" t="s">
        <v>20</v>
      </c>
      <c r="F10" t="s">
        <v>1320</v>
      </c>
      <c r="G10" s="44"/>
      <c r="I10" s="31" t="s">
        <v>21</v>
      </c>
      <c r="J10" t="s">
        <v>1332</v>
      </c>
      <c r="K10" s="44"/>
    </row>
    <row r="11" spans="2:13" x14ac:dyDescent="0.25">
      <c r="E11" s="31" t="s">
        <v>21</v>
      </c>
      <c r="F11" t="s">
        <v>1321</v>
      </c>
      <c r="G11" s="44"/>
      <c r="I11" s="31" t="s">
        <v>23</v>
      </c>
      <c r="J11" t="s">
        <v>1333</v>
      </c>
      <c r="K11" s="44"/>
    </row>
    <row r="12" spans="2:13" ht="15.75" thickBot="1" x14ac:dyDescent="0.3">
      <c r="E12" s="31" t="s">
        <v>21</v>
      </c>
      <c r="F12" t="s">
        <v>1322</v>
      </c>
      <c r="G12" s="44"/>
      <c r="I12" s="32" t="s">
        <v>24</v>
      </c>
      <c r="J12" t="s">
        <v>1334</v>
      </c>
      <c r="K12" s="45"/>
    </row>
    <row r="13" spans="2:13" ht="15.75" thickBot="1" x14ac:dyDescent="0.3">
      <c r="E13" s="31" t="s">
        <v>23</v>
      </c>
      <c r="F13" t="s">
        <v>1323</v>
      </c>
      <c r="G13" s="44"/>
      <c r="I13" s="46" t="s">
        <v>68</v>
      </c>
      <c r="J13" s="33"/>
    </row>
    <row r="14" spans="2:13" x14ac:dyDescent="0.25">
      <c r="E14" s="31" t="s">
        <v>24</v>
      </c>
      <c r="F14" t="s">
        <v>1324</v>
      </c>
      <c r="G14" s="44"/>
    </row>
    <row r="15" spans="2:13" ht="15.75" thickBot="1" x14ac:dyDescent="0.3">
      <c r="E15" s="32" t="s">
        <v>24</v>
      </c>
      <c r="F15" t="s">
        <v>1325</v>
      </c>
      <c r="G15" s="45"/>
    </row>
    <row r="16" spans="2:13" ht="15.75" thickBot="1" x14ac:dyDescent="0.3">
      <c r="E16" s="46" t="s">
        <v>68</v>
      </c>
      <c r="F16" s="33"/>
    </row>
    <row r="19" ht="15.75" thickBot="1" x14ac:dyDescent="0.3"/>
    <row r="20" ht="15.75" thickBot="1" x14ac:dyDescent="0.3"/>
    <row r="23" ht="15.75" thickBot="1" x14ac:dyDescent="0.3"/>
    <row r="24" ht="15.75" thickBot="1" x14ac:dyDescent="0.3"/>
    <row r="31" ht="15.75" thickBot="1" x14ac:dyDescent="0.3"/>
    <row r="32" ht="15.75" thickBot="1" x14ac:dyDescent="0.3"/>
    <row r="35" ht="15.75" thickBot="1" x14ac:dyDescent="0.3"/>
    <row r="36" ht="15.75" thickBot="1" x14ac:dyDescent="0.3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4264-72C6-42A8-9174-121C045BE247}">
  <sheetPr codeName="Sheet5"/>
  <dimension ref="A2:K14"/>
  <sheetViews>
    <sheetView zoomScale="127" workbookViewId="0">
      <selection activeCell="D6" sqref="D6"/>
    </sheetView>
  </sheetViews>
  <sheetFormatPr defaultRowHeight="15" x14ac:dyDescent="0.25"/>
  <cols>
    <col min="1" max="1" width="14.42578125" bestFit="1" customWidth="1"/>
    <col min="2" max="2" width="17.28515625" bestFit="1" customWidth="1"/>
    <col min="3" max="3" width="8.28515625" bestFit="1" customWidth="1"/>
    <col min="4" max="4" width="9.28515625" bestFit="1" customWidth="1"/>
    <col min="5" max="5" width="8.85546875" bestFit="1" customWidth="1"/>
    <col min="6" max="6" width="12.42578125" customWidth="1"/>
    <col min="7" max="7" width="14.42578125" bestFit="1" customWidth="1"/>
    <col min="8" max="8" width="17.28515625" bestFit="1" customWidth="1"/>
    <col min="9" max="9" width="8.28515625" bestFit="1" customWidth="1"/>
    <col min="10" max="10" width="9.28515625" bestFit="1" customWidth="1"/>
    <col min="11" max="11" width="8.85546875" bestFit="1" customWidth="1"/>
  </cols>
  <sheetData>
    <row r="2" spans="1:11" x14ac:dyDescent="0.25">
      <c r="A2" s="20" t="s">
        <v>30</v>
      </c>
      <c r="B2" t="s">
        <v>1313</v>
      </c>
      <c r="G2" s="20" t="s">
        <v>31</v>
      </c>
      <c r="H2" t="s">
        <v>1334</v>
      </c>
    </row>
    <row r="4" spans="1:11" x14ac:dyDescent="0.25">
      <c r="A4" s="20" t="s">
        <v>1</v>
      </c>
      <c r="B4" s="20" t="s">
        <v>3</v>
      </c>
      <c r="C4" t="s">
        <v>80</v>
      </c>
      <c r="D4" t="s">
        <v>82</v>
      </c>
      <c r="E4" t="s">
        <v>81</v>
      </c>
      <c r="G4" s="20" t="s">
        <v>1</v>
      </c>
      <c r="H4" s="20" t="s">
        <v>3</v>
      </c>
      <c r="I4" t="s">
        <v>80</v>
      </c>
      <c r="J4" t="s">
        <v>82</v>
      </c>
      <c r="K4" t="s">
        <v>81</v>
      </c>
    </row>
    <row r="5" spans="1:11" x14ac:dyDescent="0.25">
      <c r="A5" t="s">
        <v>89</v>
      </c>
      <c r="B5" t="s">
        <v>90</v>
      </c>
      <c r="C5">
        <v>1</v>
      </c>
      <c r="D5">
        <v>1</v>
      </c>
      <c r="E5">
        <v>1545.45</v>
      </c>
      <c r="G5" t="s">
        <v>409</v>
      </c>
      <c r="H5" t="s">
        <v>1043</v>
      </c>
      <c r="I5">
        <v>1</v>
      </c>
      <c r="J5">
        <v>1</v>
      </c>
      <c r="K5">
        <v>733.28</v>
      </c>
    </row>
    <row r="6" spans="1:11" x14ac:dyDescent="0.25">
      <c r="A6" t="s">
        <v>147</v>
      </c>
      <c r="B6" t="s">
        <v>150</v>
      </c>
      <c r="C6">
        <v>1</v>
      </c>
      <c r="D6">
        <v>0</v>
      </c>
      <c r="E6">
        <v>0</v>
      </c>
      <c r="G6" t="s">
        <v>410</v>
      </c>
      <c r="H6" t="s">
        <v>1044</v>
      </c>
      <c r="I6">
        <v>1</v>
      </c>
      <c r="J6">
        <v>1</v>
      </c>
      <c r="K6">
        <v>451.68</v>
      </c>
    </row>
    <row r="7" spans="1:11" x14ac:dyDescent="0.25">
      <c r="A7" t="s">
        <v>208</v>
      </c>
      <c r="B7" t="s">
        <v>209</v>
      </c>
      <c r="C7">
        <v>1</v>
      </c>
      <c r="D7">
        <v>0</v>
      </c>
      <c r="E7">
        <v>0</v>
      </c>
      <c r="G7" t="s">
        <v>1099</v>
      </c>
      <c r="H7" t="s">
        <v>1101</v>
      </c>
      <c r="I7">
        <v>4</v>
      </c>
      <c r="J7">
        <v>0</v>
      </c>
      <c r="K7">
        <v>0</v>
      </c>
    </row>
    <row r="8" spans="1:11" x14ac:dyDescent="0.25">
      <c r="A8" t="s">
        <v>210</v>
      </c>
      <c r="B8" t="s">
        <v>224</v>
      </c>
      <c r="C8">
        <v>1</v>
      </c>
      <c r="D8">
        <v>0</v>
      </c>
      <c r="E8">
        <v>0</v>
      </c>
      <c r="H8" t="s">
        <v>1100</v>
      </c>
      <c r="I8">
        <v>4</v>
      </c>
      <c r="J8">
        <v>0</v>
      </c>
      <c r="K8">
        <v>0</v>
      </c>
    </row>
    <row r="9" spans="1:11" x14ac:dyDescent="0.25">
      <c r="A9" t="s">
        <v>934</v>
      </c>
      <c r="B9" t="s">
        <v>353</v>
      </c>
      <c r="C9">
        <v>1</v>
      </c>
      <c r="D9">
        <v>0</v>
      </c>
      <c r="E9">
        <v>0</v>
      </c>
      <c r="G9" t="s">
        <v>1102</v>
      </c>
      <c r="H9" t="s">
        <v>1101</v>
      </c>
      <c r="I9">
        <v>2</v>
      </c>
      <c r="J9">
        <v>0</v>
      </c>
      <c r="K9">
        <v>0</v>
      </c>
    </row>
    <row r="10" spans="1:11" x14ac:dyDescent="0.25">
      <c r="A10" t="s">
        <v>935</v>
      </c>
      <c r="B10" t="s">
        <v>378</v>
      </c>
      <c r="C10">
        <v>1</v>
      </c>
      <c r="D10">
        <v>0</v>
      </c>
      <c r="E10">
        <v>0</v>
      </c>
      <c r="H10" t="s">
        <v>1100</v>
      </c>
      <c r="I10">
        <v>2</v>
      </c>
      <c r="J10">
        <v>0</v>
      </c>
      <c r="K10">
        <v>0</v>
      </c>
    </row>
    <row r="11" spans="1:11" x14ac:dyDescent="0.25">
      <c r="A11" t="s">
        <v>68</v>
      </c>
      <c r="C11">
        <v>6</v>
      </c>
      <c r="D11">
        <v>1</v>
      </c>
      <c r="E11">
        <v>1545.45</v>
      </c>
      <c r="G11" t="s">
        <v>1117</v>
      </c>
      <c r="H11" t="s">
        <v>1118</v>
      </c>
      <c r="I11">
        <v>2</v>
      </c>
      <c r="J11">
        <v>0</v>
      </c>
      <c r="K11">
        <v>0</v>
      </c>
    </row>
    <row r="12" spans="1:11" x14ac:dyDescent="0.25">
      <c r="H12" t="s">
        <v>1119</v>
      </c>
      <c r="I12">
        <v>2</v>
      </c>
      <c r="J12">
        <v>0</v>
      </c>
      <c r="K12">
        <v>0</v>
      </c>
    </row>
    <row r="13" spans="1:11" x14ac:dyDescent="0.25">
      <c r="G13" t="s">
        <v>1082</v>
      </c>
      <c r="H13" t="s">
        <v>1080</v>
      </c>
      <c r="I13">
        <v>1</v>
      </c>
      <c r="J13">
        <v>0</v>
      </c>
      <c r="K13">
        <v>0</v>
      </c>
    </row>
    <row r="14" spans="1:11" x14ac:dyDescent="0.25">
      <c r="G14" t="s">
        <v>68</v>
      </c>
      <c r="I14">
        <v>19</v>
      </c>
      <c r="J14">
        <v>2</v>
      </c>
      <c r="K14">
        <v>1184.96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CF188-FFEE-4748-B69E-AE2C7FAC3186}">
  <sheetPr codeName="Sheet1"/>
  <dimension ref="A1:AB1363"/>
  <sheetViews>
    <sheetView zoomScale="98" workbookViewId="0">
      <selection activeCell="AA3" sqref="AA3"/>
    </sheetView>
  </sheetViews>
  <sheetFormatPr defaultRowHeight="15" x14ac:dyDescent="0.25"/>
  <cols>
    <col min="1" max="1" width="8.28515625" customWidth="1"/>
    <col min="2" max="2" width="14.42578125" bestFit="1" customWidth="1"/>
    <col min="3" max="3" width="31.28515625" bestFit="1" customWidth="1"/>
    <col min="4" max="4" width="17" customWidth="1"/>
    <col min="5" max="5" width="16.5703125" bestFit="1" customWidth="1"/>
    <col min="6" max="6" width="16.5703125" customWidth="1"/>
    <col min="7" max="7" width="11.5703125" bestFit="1" customWidth="1"/>
    <col min="8" max="8" width="10.5703125" bestFit="1" customWidth="1"/>
    <col min="9" max="10" width="10.5703125" customWidth="1"/>
    <col min="11" max="11" width="13.7109375" customWidth="1"/>
    <col min="12" max="12" width="15.140625" customWidth="1"/>
    <col min="13" max="14" width="23.85546875" bestFit="1" customWidth="1"/>
    <col min="15" max="17" width="23.85546875" customWidth="1"/>
    <col min="19" max="19" width="14.5703125" bestFit="1" customWidth="1"/>
    <col min="20" max="20" width="11.140625" bestFit="1" customWidth="1"/>
    <col min="21" max="21" width="6.140625" bestFit="1" customWidth="1"/>
    <col min="22" max="22" width="5.7109375" bestFit="1" customWidth="1"/>
    <col min="23" max="24" width="5.140625" bestFit="1" customWidth="1"/>
    <col min="25" max="25" width="4.42578125" bestFit="1" customWidth="1"/>
  </cols>
  <sheetData>
    <row r="1" spans="1:28" x14ac:dyDescent="0.25">
      <c r="A1" s="19" t="s">
        <v>72</v>
      </c>
      <c r="B1" s="19" t="s">
        <v>501</v>
      </c>
      <c r="S1" s="3" t="s">
        <v>9</v>
      </c>
      <c r="T1" s="49" t="s">
        <v>29</v>
      </c>
      <c r="U1" s="50"/>
      <c r="V1" s="50"/>
      <c r="W1" s="50"/>
      <c r="X1" s="50"/>
      <c r="Y1" s="50"/>
    </row>
    <row r="2" spans="1:28" ht="36.75" customHeight="1" x14ac:dyDescent="0.25">
      <c r="A2">
        <f>COUNTA(PartList[ASSLY MARK])</f>
        <v>1360</v>
      </c>
      <c r="G2" s="13"/>
      <c r="K2" s="14" t="s">
        <v>33</v>
      </c>
      <c r="L2" s="14" t="s">
        <v>34</v>
      </c>
      <c r="O2">
        <f>_xlfn.AGGREGATE(9,5,PartList[Avail. Qty])</f>
        <v>195</v>
      </c>
      <c r="Q2" s="38">
        <f>SUM(PartList[Erec WT(KG)])</f>
        <v>0</v>
      </c>
      <c r="S2" s="2" t="s">
        <v>11</v>
      </c>
      <c r="T2" s="5" t="s">
        <v>10</v>
      </c>
      <c r="U2" s="6" t="s">
        <v>25</v>
      </c>
      <c r="V2" s="6" t="s">
        <v>26</v>
      </c>
      <c r="W2" s="6" t="s">
        <v>27</v>
      </c>
      <c r="X2" s="7" t="s">
        <v>28</v>
      </c>
      <c r="Y2" s="6" t="s">
        <v>63</v>
      </c>
    </row>
    <row r="3" spans="1:28" x14ac:dyDescent="0.2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61</v>
      </c>
      <c r="G3" s="1" t="s">
        <v>12</v>
      </c>
      <c r="H3" s="1" t="s">
        <v>15</v>
      </c>
      <c r="I3" s="1" t="s">
        <v>66</v>
      </c>
      <c r="J3" s="1" t="s">
        <v>32</v>
      </c>
      <c r="K3" s="1" t="s">
        <v>30</v>
      </c>
      <c r="L3" s="1" t="s">
        <v>31</v>
      </c>
      <c r="M3" s="1" t="s">
        <v>35</v>
      </c>
      <c r="N3" s="1" t="s">
        <v>36</v>
      </c>
      <c r="O3" s="1" t="s">
        <v>62</v>
      </c>
      <c r="P3" s="1" t="s">
        <v>76</v>
      </c>
      <c r="Q3" s="1" t="s">
        <v>85</v>
      </c>
      <c r="R3" s="1"/>
      <c r="S3" s="2" t="s">
        <v>13</v>
      </c>
      <c r="T3" s="4" t="s">
        <v>16</v>
      </c>
      <c r="U3" s="9" t="s">
        <v>498</v>
      </c>
      <c r="V3" s="9" t="s">
        <v>502</v>
      </c>
      <c r="W3" s="9" t="s">
        <v>19</v>
      </c>
      <c r="X3" s="10" t="s">
        <v>18</v>
      </c>
      <c r="Y3" s="15">
        <v>1</v>
      </c>
      <c r="AA3" s="19" t="s">
        <v>67</v>
      </c>
      <c r="AB3" s="19" t="s">
        <v>64</v>
      </c>
    </row>
    <row r="4" spans="1:28" x14ac:dyDescent="0.25">
      <c r="A4">
        <v>1</v>
      </c>
      <c r="B4" t="s">
        <v>87</v>
      </c>
      <c r="C4" t="s">
        <v>508</v>
      </c>
      <c r="D4" t="s">
        <v>90</v>
      </c>
      <c r="E4" t="s">
        <v>5</v>
      </c>
      <c r="F4" t="str" cm="1">
        <f t="array" ref="F4">IF(SUM(IF(PartList[ASSLY MARK]=PartList[[#This Row],[ASSLY MARK]],1,0))&gt;1,"No","Yes")</f>
        <v>Yes</v>
      </c>
      <c r="G4" t="str" cm="1">
        <f t="array" ref="G4">_xlfn.TEXTJOIN("_",TRUE,TRIM(_xlfn.TEXTSPLIT(PartList[[#This Row],[GRID LOCATION]],{"PR01","/","-"})))</f>
        <v>10_A'_A</v>
      </c>
      <c r="H4" t="str" cm="1">
        <f t="array" ref="H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4" cm="1">
        <f t="array" ref="I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" t="str">
        <f>IF(IFERROR(SEARCH("&gt;",PartList[[#This Row],[ID]]),0),"O",IF(IFERROR(SEARCH("&lt;",PartList[[#This Row],[ID]]),0),"I",""))</f>
        <v/>
      </c>
      <c r="K4" t="str" cm="1">
        <f t="array" ref="K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" t="str" cm="1">
        <f t="array" ref="L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" t="str">
        <f>_xlfn.TEXTJOIN("#",TRUE,PartList[[#This Row],[ASSLY MARK]],PartList[[#This Row],[BOX NO]],PartList[[#This Row],[In/Out]],PartList[[#This Row],[O1-Grid]])</f>
        <v>1BE01#Box1_Box4#InBB</v>
      </c>
      <c r="N4" t="str">
        <f>_xlfn.TEXTJOIN("#",TRUE,PartList[[#This Row],[ASSLY MARK]],PartList[[#This Row],[BOX NO]],PartList[[#This Row],[In/Out]],PartList[[#This Row],[O2-Grid]])</f>
        <v>1BE01#Box1_Box4#InBB</v>
      </c>
      <c r="O4">
        <f>IF(PartList[[#This Row],[Unique]]="Yes",_xlfn.XLOOKUP(PartList[[#This Row],[ASSLY MARK]],FilteredPL!A:A,FilteredPL!B:B,0,0),0)</f>
        <v>0</v>
      </c>
      <c r="P4">
        <f>_xlfn.XLOOKUP(PartList[[#This Row],[ASSLY MARK]],MasterPL[SplitMarkNo],MasterPL[BILL WT.(KG)],0,0)</f>
        <v>0</v>
      </c>
      <c r="Q4" cm="1">
        <f t="array" ref="Q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S4" s="2" t="s">
        <v>14</v>
      </c>
      <c r="T4" s="4" t="s">
        <v>20</v>
      </c>
      <c r="U4" s="9" t="s">
        <v>503</v>
      </c>
      <c r="V4" s="9" t="s">
        <v>504</v>
      </c>
      <c r="W4" s="9" t="s">
        <v>19</v>
      </c>
      <c r="X4" s="10" t="s">
        <v>18</v>
      </c>
      <c r="Y4" s="16">
        <v>2</v>
      </c>
      <c r="AA4" s="2" t="str" cm="1">
        <f t="array" ref="AA4:AA885">_xlfn.UNIQUE(PartList[ASSLY MARK])</f>
        <v>1BE01</v>
      </c>
      <c r="AB4" s="2">
        <f>SUMIF(PartList[ASSLY MARK],AA4,PartList[Avail. Qty])</f>
        <v>0</v>
      </c>
    </row>
    <row r="5" spans="1:28" x14ac:dyDescent="0.25">
      <c r="A5">
        <v>2</v>
      </c>
      <c r="B5" t="s">
        <v>89</v>
      </c>
      <c r="C5" t="s">
        <v>509</v>
      </c>
      <c r="D5" t="s">
        <v>90</v>
      </c>
      <c r="E5" t="s">
        <v>5</v>
      </c>
      <c r="F5" t="str" cm="1">
        <f t="array" ref="F5">IF(SUM(IF(PartList[ASSLY MARK]=PartList[[#This Row],[ASSLY MARK]],1,0))&gt;1,"No","Yes")</f>
        <v>Yes</v>
      </c>
      <c r="G5" t="str" cm="1">
        <f t="array" ref="G5">_xlfn.TEXTJOIN("_",TRUE,TRIM(_xlfn.TEXTSPLIT(PartList[[#This Row],[GRID LOCATION]],{"PR01","/","-"})))</f>
        <v>10_A_B</v>
      </c>
      <c r="H5" t="str" cm="1">
        <f t="array" ref="H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" cm="1">
        <f t="array" ref="I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" t="str">
        <f>IF(IFERROR(SEARCH("&gt;",PartList[[#This Row],[ID]]),0),"O",IF(IFERROR(SEARCH("&lt;",PartList[[#This Row],[ID]]),0),"I",""))</f>
        <v/>
      </c>
      <c r="K5" t="str" cm="1">
        <f t="array" ref="K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10_A_B</v>
      </c>
      <c r="L5" t="str" cm="1">
        <f t="array" ref="L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5" t="str">
        <f>_xlfn.TEXTJOIN("#",TRUE,PartList[[#This Row],[ASSLY MARK]],PartList[[#This Row],[BOX NO]],PartList[[#This Row],[In/Out]],PartList[[#This Row],[O1-Grid]])</f>
        <v>1BE02#Box1#10_A_B</v>
      </c>
      <c r="N5" t="str">
        <f>_xlfn.TEXTJOIN("#",TRUE,PartList[[#This Row],[ASSLY MARK]],PartList[[#This Row],[BOX NO]],PartList[[#This Row],[In/Out]],PartList[[#This Row],[O2-Grid]])</f>
        <v>1BE02#Box1#InB</v>
      </c>
      <c r="O5">
        <f>IF(PartList[[#This Row],[Unique]]="Yes",_xlfn.XLOOKUP(PartList[[#This Row],[ASSLY MARK]],FilteredPL!A:A,FilteredPL!B:B,0,0),0)</f>
        <v>1</v>
      </c>
      <c r="P5">
        <f>_xlfn.XLOOKUP(PartList[[#This Row],[ASSLY MARK]],MasterPL[SplitMarkNo],MasterPL[BILL WT.(KG)],0,0)</f>
        <v>1545.45</v>
      </c>
      <c r="Q5" cm="1">
        <f t="array" ref="Q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S5" s="2"/>
      <c r="T5" s="4" t="s">
        <v>21</v>
      </c>
      <c r="U5" s="9" t="s">
        <v>505</v>
      </c>
      <c r="V5" s="9" t="s">
        <v>14</v>
      </c>
      <c r="W5" s="9" t="s">
        <v>19</v>
      </c>
      <c r="X5" s="10" t="s">
        <v>18</v>
      </c>
      <c r="Y5" s="16">
        <v>3</v>
      </c>
      <c r="AA5" s="2" t="str">
        <v>1BE02</v>
      </c>
      <c r="AB5" s="2">
        <f>SUMIF(PartList[ASSLY MARK],AA5,PartList[Avail. Qty])</f>
        <v>1</v>
      </c>
    </row>
    <row r="6" spans="1:28" x14ac:dyDescent="0.25">
      <c r="A6">
        <v>3</v>
      </c>
      <c r="B6" t="s">
        <v>91</v>
      </c>
      <c r="C6" t="s">
        <v>510</v>
      </c>
      <c r="D6" t="s">
        <v>90</v>
      </c>
      <c r="E6" t="s">
        <v>5</v>
      </c>
      <c r="F6" t="str" cm="1">
        <f t="array" ref="F6">IF(SUM(IF(PartList[ASSLY MARK]=PartList[[#This Row],[ASSLY MARK]],1,0))&gt;1,"No","Yes")</f>
        <v>Yes</v>
      </c>
      <c r="G6" t="str" cm="1">
        <f t="array" ref="G6">_xlfn.TEXTJOIN("_",TRUE,TRIM(_xlfn.TEXTSPLIT(PartList[[#This Row],[GRID LOCATION]],{"PR01","/","-"})))</f>
        <v>10_B&gt;</v>
      </c>
      <c r="H6" t="str" cm="1">
        <f t="array" ref="H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6" cm="1">
        <f t="array" ref="I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6" t="str">
        <f>IF(IFERROR(SEARCH("&gt;",PartList[[#This Row],[ID]]),0),"O",IF(IFERROR(SEARCH("&lt;",PartList[[#This Row],[ID]]),0),"I",""))</f>
        <v>O</v>
      </c>
      <c r="K6" t="str" cm="1">
        <f t="array" ref="K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6" t="str" cm="1">
        <f t="array" ref="L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6" t="str">
        <f>_xlfn.TEXTJOIN("#",TRUE,PartList[[#This Row],[ASSLY MARK]],PartList[[#This Row],[BOX NO]],PartList[[#This Row],[In/Out]],PartList[[#This Row],[O1-Grid]])</f>
        <v>1BE03#Box1#O</v>
      </c>
      <c r="N6" t="str">
        <f>_xlfn.TEXTJOIN("#",TRUE,PartList[[#This Row],[ASSLY MARK]],PartList[[#This Row],[BOX NO]],PartList[[#This Row],[In/Out]],PartList[[#This Row],[O2-Grid]])</f>
        <v>1BE03#Box1#O</v>
      </c>
      <c r="O6">
        <f>IF(PartList[[#This Row],[Unique]]="Yes",_xlfn.XLOOKUP(PartList[[#This Row],[ASSLY MARK]],FilteredPL!A:A,FilteredPL!B:B,0,0),0)</f>
        <v>0</v>
      </c>
      <c r="P6">
        <f>_xlfn.XLOOKUP(PartList[[#This Row],[ASSLY MARK]],MasterPL[SplitMarkNo],MasterPL[BILL WT.(KG)],0,0)</f>
        <v>0</v>
      </c>
      <c r="Q6" cm="1">
        <f t="array" ref="Q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S6" s="2"/>
      <c r="T6" s="4" t="s">
        <v>22</v>
      </c>
      <c r="U6" s="9" t="s">
        <v>498</v>
      </c>
      <c r="V6" s="9" t="s">
        <v>502</v>
      </c>
      <c r="W6" s="9" t="s">
        <v>17</v>
      </c>
      <c r="X6" s="10" t="s">
        <v>506</v>
      </c>
      <c r="Y6" s="16">
        <v>4</v>
      </c>
      <c r="AA6" s="2" t="str">
        <v>1BE03</v>
      </c>
      <c r="AB6" s="2">
        <f>SUMIF(PartList[ASSLY MARK],AA6,PartList[Avail. Qty])</f>
        <v>0</v>
      </c>
    </row>
    <row r="7" spans="1:28" x14ac:dyDescent="0.25">
      <c r="A7">
        <v>4</v>
      </c>
      <c r="B7" t="s">
        <v>92</v>
      </c>
      <c r="C7" t="s">
        <v>511</v>
      </c>
      <c r="D7" t="s">
        <v>90</v>
      </c>
      <c r="E7" t="s">
        <v>5</v>
      </c>
      <c r="F7" t="str" cm="1">
        <f t="array" ref="F7">IF(SUM(IF(PartList[ASSLY MARK]=PartList[[#This Row],[ASSLY MARK]],1,0))&gt;1,"No","Yes")</f>
        <v>No</v>
      </c>
      <c r="G7" t="str" cm="1">
        <f t="array" ref="G7">_xlfn.TEXTJOIN("_",TRUE,TRIM(_xlfn.TEXTSPLIT(PartList[[#This Row],[GRID LOCATION]],{"PR01","/","-"})))</f>
        <v>11_12_A'_A</v>
      </c>
      <c r="H7" t="str" cm="1">
        <f t="array" ref="H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7" cm="1">
        <f t="array" ref="I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7" t="str">
        <f>IF(IFERROR(SEARCH("&gt;",PartList[[#This Row],[ID]]),0),"O",IF(IFERROR(SEARCH("&lt;",PartList[[#This Row],[ID]]),0),"I",""))</f>
        <v/>
      </c>
      <c r="K7" t="str" cm="1">
        <f t="array" ref="K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" t="str" cm="1">
        <f t="array" ref="L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" t="str">
        <f>_xlfn.TEXTJOIN("#",TRUE,PartList[[#This Row],[ASSLY MARK]],PartList[[#This Row],[BOX NO]],PartList[[#This Row],[In/Out]],PartList[[#This Row],[O1-Grid]])</f>
        <v>1BE04#Box1_Box2_Box4_Box5#InBB</v>
      </c>
      <c r="N7" t="str">
        <f>_xlfn.TEXTJOIN("#",TRUE,PartList[[#This Row],[ASSLY MARK]],PartList[[#This Row],[BOX NO]],PartList[[#This Row],[In/Out]],PartList[[#This Row],[O2-Grid]])</f>
        <v>1BE04#Box1_Box2_Box4_Box5#InBB</v>
      </c>
      <c r="O7">
        <f>IF(PartList[[#This Row],[Unique]]="Yes",_xlfn.XLOOKUP(PartList[[#This Row],[ASSLY MARK]],FilteredPL!A:A,FilteredPL!B:B,0,0),0)</f>
        <v>0</v>
      </c>
      <c r="P7">
        <f>_xlfn.XLOOKUP(PartList[[#This Row],[ASSLY MARK]],MasterPL[SplitMarkNo],MasterPL[BILL WT.(KG)],0,0)</f>
        <v>0</v>
      </c>
      <c r="Q7" cm="1">
        <f t="array" ref="Q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S7" s="2"/>
      <c r="T7" s="4" t="s">
        <v>23</v>
      </c>
      <c r="U7" s="9" t="s">
        <v>503</v>
      </c>
      <c r="V7" s="9" t="s">
        <v>504</v>
      </c>
      <c r="W7" s="9" t="s">
        <v>17</v>
      </c>
      <c r="X7" s="10" t="s">
        <v>506</v>
      </c>
      <c r="Y7" s="16">
        <v>5</v>
      </c>
      <c r="AA7" s="2" t="str">
        <v>1BE04</v>
      </c>
      <c r="AB7" s="2">
        <f>SUMIF(PartList[ASSLY MARK],AA7,PartList[Avail. Qty])</f>
        <v>0</v>
      </c>
    </row>
    <row r="8" spans="1:28" x14ac:dyDescent="0.25">
      <c r="A8">
        <v>5</v>
      </c>
      <c r="B8" t="s">
        <v>92</v>
      </c>
      <c r="C8" t="s">
        <v>512</v>
      </c>
      <c r="D8" t="s">
        <v>90</v>
      </c>
      <c r="E8" t="s">
        <v>5</v>
      </c>
      <c r="F8" t="str" cm="1">
        <f t="array" ref="F8">IF(SUM(IF(PartList[ASSLY MARK]=PartList[[#This Row],[ASSLY MARK]],1,0))&gt;1,"No","Yes")</f>
        <v>No</v>
      </c>
      <c r="G8" t="str" cm="1">
        <f t="array" ref="G8">_xlfn.TEXTJOIN("_",TRUE,TRIM(_xlfn.TEXTSPLIT(PartList[[#This Row],[GRID LOCATION]],{"PR01","/","-"})))</f>
        <v>10_11_A'_A</v>
      </c>
      <c r="H8" t="str" cm="1">
        <f t="array" ref="H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8" cm="1">
        <f t="array" ref="I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8" t="str">
        <f>IF(IFERROR(SEARCH("&gt;",PartList[[#This Row],[ID]]),0),"O",IF(IFERROR(SEARCH("&lt;",PartList[[#This Row],[ID]]),0),"I",""))</f>
        <v/>
      </c>
      <c r="K8" t="str" cm="1">
        <f t="array" ref="K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" t="str" cm="1">
        <f t="array" ref="L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" t="str">
        <f>_xlfn.TEXTJOIN("#",TRUE,PartList[[#This Row],[ASSLY MARK]],PartList[[#This Row],[BOX NO]],PartList[[#This Row],[In/Out]],PartList[[#This Row],[O1-Grid]])</f>
        <v>1BE04#Box1_Box4#InBB</v>
      </c>
      <c r="N8" t="str">
        <f>_xlfn.TEXTJOIN("#",TRUE,PartList[[#This Row],[ASSLY MARK]],PartList[[#This Row],[BOX NO]],PartList[[#This Row],[In/Out]],PartList[[#This Row],[O2-Grid]])</f>
        <v>1BE04#Box1_Box4#InBB</v>
      </c>
      <c r="O8">
        <f>IF(PartList[[#This Row],[Unique]]="Yes",_xlfn.XLOOKUP(PartList[[#This Row],[ASSLY MARK]],FilteredPL!A:A,FilteredPL!B:B,0,0),0)</f>
        <v>0</v>
      </c>
      <c r="P8">
        <f>_xlfn.XLOOKUP(PartList[[#This Row],[ASSLY MARK]],MasterPL[SplitMarkNo],MasterPL[BILL WT.(KG)],0,0)</f>
        <v>0</v>
      </c>
      <c r="Q8" cm="1">
        <f t="array" ref="Q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S8" s="2"/>
      <c r="T8" s="8" t="s">
        <v>24</v>
      </c>
      <c r="U8" s="11" t="s">
        <v>507</v>
      </c>
      <c r="V8" s="11" t="s">
        <v>505</v>
      </c>
      <c r="W8" s="11" t="s">
        <v>17</v>
      </c>
      <c r="X8" s="12" t="s">
        <v>506</v>
      </c>
      <c r="Y8" s="17">
        <v>6</v>
      </c>
      <c r="AA8" s="2" t="str">
        <v>1BE05</v>
      </c>
      <c r="AB8" s="2">
        <f>SUMIF(PartList[ASSLY MARK],AA8,PartList[Avail. Qty])</f>
        <v>1</v>
      </c>
    </row>
    <row r="9" spans="1:28" x14ac:dyDescent="0.25">
      <c r="A9">
        <v>6</v>
      </c>
      <c r="B9" t="s">
        <v>92</v>
      </c>
      <c r="C9" t="s">
        <v>511</v>
      </c>
      <c r="D9" t="s">
        <v>90</v>
      </c>
      <c r="E9" t="s">
        <v>5</v>
      </c>
      <c r="F9" t="str" cm="1">
        <f t="array" ref="F9">IF(SUM(IF(PartList[ASSLY MARK]=PartList[[#This Row],[ASSLY MARK]],1,0))&gt;1,"No","Yes")</f>
        <v>No</v>
      </c>
      <c r="G9" t="str" cm="1">
        <f t="array" ref="G9">_xlfn.TEXTJOIN("_",TRUE,TRIM(_xlfn.TEXTSPLIT(PartList[[#This Row],[GRID LOCATION]],{"PR01","/","-"})))</f>
        <v>11_12_A'_A</v>
      </c>
      <c r="H9" t="str" cm="1">
        <f t="array" ref="H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9" cm="1">
        <f t="array" ref="I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9" t="str">
        <f>IF(IFERROR(SEARCH("&gt;",PartList[[#This Row],[ID]]),0),"O",IF(IFERROR(SEARCH("&lt;",PartList[[#This Row],[ID]]),0),"I",""))</f>
        <v/>
      </c>
      <c r="K9" t="str" cm="1">
        <f t="array" ref="K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" t="str" cm="1">
        <f t="array" ref="L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" t="str">
        <f>_xlfn.TEXTJOIN("#",TRUE,PartList[[#This Row],[ASSLY MARK]],PartList[[#This Row],[BOX NO]],PartList[[#This Row],[In/Out]],PartList[[#This Row],[O1-Grid]])</f>
        <v>1BE04#Box1_Box2_Box4_Box5#InBB</v>
      </c>
      <c r="N9" t="str">
        <f>_xlfn.TEXTJOIN("#",TRUE,PartList[[#This Row],[ASSLY MARK]],PartList[[#This Row],[BOX NO]],PartList[[#This Row],[In/Out]],PartList[[#This Row],[O2-Grid]])</f>
        <v>1BE04#Box1_Box2_Box4_Box5#InBB</v>
      </c>
      <c r="O9">
        <f>IF(PartList[[#This Row],[Unique]]="Yes",_xlfn.XLOOKUP(PartList[[#This Row],[ASSLY MARK]],FilteredPL!A:A,FilteredPL!B:B,0,0),0)</f>
        <v>0</v>
      </c>
      <c r="P9">
        <f>_xlfn.XLOOKUP(PartList[[#This Row],[ASSLY MARK]],MasterPL[SplitMarkNo],MasterPL[BILL WT.(KG)],0,0)</f>
        <v>0</v>
      </c>
      <c r="Q9" cm="1">
        <f t="array" ref="Q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9" s="2" t="str">
        <v>1BE06</v>
      </c>
      <c r="AB9" s="2">
        <f>SUMIF(PartList[ASSLY MARK],AA9,PartList[Avail. Qty])</f>
        <v>1</v>
      </c>
    </row>
    <row r="10" spans="1:28" x14ac:dyDescent="0.25">
      <c r="A10">
        <v>7</v>
      </c>
      <c r="B10" t="s">
        <v>92</v>
      </c>
      <c r="C10" t="s">
        <v>511</v>
      </c>
      <c r="D10" t="s">
        <v>90</v>
      </c>
      <c r="E10" t="s">
        <v>5</v>
      </c>
      <c r="F10" t="str" cm="1">
        <f t="array" ref="F10">IF(SUM(IF(PartList[ASSLY MARK]=PartList[[#This Row],[ASSLY MARK]],1,0))&gt;1,"No","Yes")</f>
        <v>No</v>
      </c>
      <c r="G10" t="str" cm="1">
        <f t="array" ref="G10">_xlfn.TEXTJOIN("_",TRUE,TRIM(_xlfn.TEXTSPLIT(PartList[[#This Row],[GRID LOCATION]],{"PR01","/","-"})))</f>
        <v>11_12_A'_A</v>
      </c>
      <c r="H10" t="str" cm="1">
        <f t="array" ref="H1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0" cm="1">
        <f t="array" ref="I1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0" t="str">
        <f>IF(IFERROR(SEARCH("&gt;",PartList[[#This Row],[ID]]),0),"O",IF(IFERROR(SEARCH("&lt;",PartList[[#This Row],[ID]]),0),"I",""))</f>
        <v/>
      </c>
      <c r="K10" t="str" cm="1">
        <f t="array" ref="K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0" t="str" cm="1">
        <f t="array" ref="L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0" t="str">
        <f>_xlfn.TEXTJOIN("#",TRUE,PartList[[#This Row],[ASSLY MARK]],PartList[[#This Row],[BOX NO]],PartList[[#This Row],[In/Out]],PartList[[#This Row],[O1-Grid]])</f>
        <v>1BE04#Box1_Box2_Box4_Box5#InBB</v>
      </c>
      <c r="N10" t="str">
        <f>_xlfn.TEXTJOIN("#",TRUE,PartList[[#This Row],[ASSLY MARK]],PartList[[#This Row],[BOX NO]],PartList[[#This Row],[In/Out]],PartList[[#This Row],[O2-Grid]])</f>
        <v>1BE04#Box1_Box2_Box4_Box5#InBB</v>
      </c>
      <c r="O10">
        <f>IF(PartList[[#This Row],[Unique]]="Yes",_xlfn.XLOOKUP(PartList[[#This Row],[ASSLY MARK]],FilteredPL!A:A,FilteredPL!B:B,0,0),0)</f>
        <v>0</v>
      </c>
      <c r="P10">
        <f>_xlfn.XLOOKUP(PartList[[#This Row],[ASSLY MARK]],MasterPL[SplitMarkNo],MasterPL[BILL WT.(KG)],0,0)</f>
        <v>0</v>
      </c>
      <c r="Q10" cm="1">
        <f t="array" ref="Q1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0" s="2" t="str">
        <v>1BE07</v>
      </c>
      <c r="AB10" s="2">
        <f>SUMIF(PartList[ASSLY MARK],AA10,PartList[Avail. Qty])</f>
        <v>1</v>
      </c>
    </row>
    <row r="11" spans="1:28" x14ac:dyDescent="0.25">
      <c r="A11">
        <v>8</v>
      </c>
      <c r="B11" t="s">
        <v>92</v>
      </c>
      <c r="C11" t="s">
        <v>512</v>
      </c>
      <c r="D11" t="s">
        <v>90</v>
      </c>
      <c r="E11" t="s">
        <v>5</v>
      </c>
      <c r="F11" t="str" cm="1">
        <f t="array" ref="F11">IF(SUM(IF(PartList[ASSLY MARK]=PartList[[#This Row],[ASSLY MARK]],1,0))&gt;1,"No","Yes")</f>
        <v>No</v>
      </c>
      <c r="G11" t="str" cm="1">
        <f t="array" ref="G11">_xlfn.TEXTJOIN("_",TRUE,TRIM(_xlfn.TEXTSPLIT(PartList[[#This Row],[GRID LOCATION]],{"PR01","/","-"})))</f>
        <v>10_11_A'_A</v>
      </c>
      <c r="H11" t="str" cm="1">
        <f t="array" ref="H1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11" cm="1">
        <f t="array" ref="I1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1" t="str">
        <f>IF(IFERROR(SEARCH("&gt;",PartList[[#This Row],[ID]]),0),"O",IF(IFERROR(SEARCH("&lt;",PartList[[#This Row],[ID]]),0),"I",""))</f>
        <v/>
      </c>
      <c r="K11" t="str" cm="1">
        <f t="array" ref="K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" t="str" cm="1">
        <f t="array" ref="L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" t="str">
        <f>_xlfn.TEXTJOIN("#",TRUE,PartList[[#This Row],[ASSLY MARK]],PartList[[#This Row],[BOX NO]],PartList[[#This Row],[In/Out]],PartList[[#This Row],[O1-Grid]])</f>
        <v>1BE04#Box1_Box4#InBB</v>
      </c>
      <c r="N11" t="str">
        <f>_xlfn.TEXTJOIN("#",TRUE,PartList[[#This Row],[ASSLY MARK]],PartList[[#This Row],[BOX NO]],PartList[[#This Row],[In/Out]],PartList[[#This Row],[O2-Grid]])</f>
        <v>1BE04#Box1_Box4#InBB</v>
      </c>
      <c r="O11">
        <f>IF(PartList[[#This Row],[Unique]]="Yes",_xlfn.XLOOKUP(PartList[[#This Row],[ASSLY MARK]],FilteredPL!A:A,FilteredPL!B:B,0,0),0)</f>
        <v>0</v>
      </c>
      <c r="P11">
        <f>_xlfn.XLOOKUP(PartList[[#This Row],[ASSLY MARK]],MasterPL[SplitMarkNo],MasterPL[BILL WT.(KG)],0,0)</f>
        <v>0</v>
      </c>
      <c r="Q11" cm="1">
        <f t="array" ref="Q1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1" s="2" t="str">
        <v>1BE08</v>
      </c>
      <c r="AB11" s="2">
        <f>SUMIF(PartList[ASSLY MARK],AA11,PartList[Avail. Qty])</f>
        <v>1</v>
      </c>
    </row>
    <row r="12" spans="1:28" x14ac:dyDescent="0.25">
      <c r="A12">
        <v>9</v>
      </c>
      <c r="B12" t="s">
        <v>92</v>
      </c>
      <c r="C12" t="s">
        <v>511</v>
      </c>
      <c r="D12" t="s">
        <v>90</v>
      </c>
      <c r="E12" t="s">
        <v>5</v>
      </c>
      <c r="F12" t="str" cm="1">
        <f t="array" ref="F12">IF(SUM(IF(PartList[ASSLY MARK]=PartList[[#This Row],[ASSLY MARK]],1,0))&gt;1,"No","Yes")</f>
        <v>No</v>
      </c>
      <c r="G12" t="str" cm="1">
        <f t="array" ref="G12">_xlfn.TEXTJOIN("_",TRUE,TRIM(_xlfn.TEXTSPLIT(PartList[[#This Row],[GRID LOCATION]],{"PR01","/","-"})))</f>
        <v>11_12_A'_A</v>
      </c>
      <c r="H12" t="str" cm="1">
        <f t="array" ref="H1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2" cm="1">
        <f t="array" ref="I1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2" t="str">
        <f>IF(IFERROR(SEARCH("&gt;",PartList[[#This Row],[ID]]),0),"O",IF(IFERROR(SEARCH("&lt;",PartList[[#This Row],[ID]]),0),"I",""))</f>
        <v/>
      </c>
      <c r="K12" t="str" cm="1">
        <f t="array" ref="K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" t="str" cm="1">
        <f t="array" ref="L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" t="str">
        <f>_xlfn.TEXTJOIN("#",TRUE,PartList[[#This Row],[ASSLY MARK]],PartList[[#This Row],[BOX NO]],PartList[[#This Row],[In/Out]],PartList[[#This Row],[O1-Grid]])</f>
        <v>1BE04#Box1_Box2_Box4_Box5#InBB</v>
      </c>
      <c r="N12" t="str">
        <f>_xlfn.TEXTJOIN("#",TRUE,PartList[[#This Row],[ASSLY MARK]],PartList[[#This Row],[BOX NO]],PartList[[#This Row],[In/Out]],PartList[[#This Row],[O2-Grid]])</f>
        <v>1BE04#Box1_Box2_Box4_Box5#InBB</v>
      </c>
      <c r="O12">
        <f>IF(PartList[[#This Row],[Unique]]="Yes",_xlfn.XLOOKUP(PartList[[#This Row],[ASSLY MARK]],FilteredPL!A:A,FilteredPL!B:B,0,0),0)</f>
        <v>0</v>
      </c>
      <c r="P12">
        <f>_xlfn.XLOOKUP(PartList[[#This Row],[ASSLY MARK]],MasterPL[SplitMarkNo],MasterPL[BILL WT.(KG)],0,0)</f>
        <v>0</v>
      </c>
      <c r="Q12" cm="1">
        <f t="array" ref="Q1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2" s="2" t="str">
        <v>1BE09</v>
      </c>
      <c r="AB12" s="2">
        <f>SUMIF(PartList[ASSLY MARK],AA12,PartList[Avail. Qty])</f>
        <v>0</v>
      </c>
    </row>
    <row r="13" spans="1:28" x14ac:dyDescent="0.25">
      <c r="A13">
        <v>10</v>
      </c>
      <c r="B13" t="s">
        <v>92</v>
      </c>
      <c r="C13" t="s">
        <v>511</v>
      </c>
      <c r="D13" t="s">
        <v>90</v>
      </c>
      <c r="E13" t="s">
        <v>5</v>
      </c>
      <c r="F13" t="str" cm="1">
        <f t="array" ref="F13">IF(SUM(IF(PartList[ASSLY MARK]=PartList[[#This Row],[ASSLY MARK]],1,0))&gt;1,"No","Yes")</f>
        <v>No</v>
      </c>
      <c r="G13" t="str" cm="1">
        <f t="array" ref="G13">_xlfn.TEXTJOIN("_",TRUE,TRIM(_xlfn.TEXTSPLIT(PartList[[#This Row],[GRID LOCATION]],{"PR01","/","-"})))</f>
        <v>11_12_A'_A</v>
      </c>
      <c r="H13" t="str" cm="1">
        <f t="array" ref="H1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3" cm="1">
        <f t="array" ref="I1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3" t="str">
        <f>IF(IFERROR(SEARCH("&gt;",PartList[[#This Row],[ID]]),0),"O",IF(IFERROR(SEARCH("&lt;",PartList[[#This Row],[ID]]),0),"I",""))</f>
        <v/>
      </c>
      <c r="K13" t="str" cm="1">
        <f t="array" ref="K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" t="str" cm="1">
        <f t="array" ref="L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" t="str">
        <f>_xlfn.TEXTJOIN("#",TRUE,PartList[[#This Row],[ASSLY MARK]],PartList[[#This Row],[BOX NO]],PartList[[#This Row],[In/Out]],PartList[[#This Row],[O1-Grid]])</f>
        <v>1BE04#Box1_Box2_Box4_Box5#InBB</v>
      </c>
      <c r="N13" t="str">
        <f>_xlfn.TEXTJOIN("#",TRUE,PartList[[#This Row],[ASSLY MARK]],PartList[[#This Row],[BOX NO]],PartList[[#This Row],[In/Out]],PartList[[#This Row],[O2-Grid]])</f>
        <v>1BE04#Box1_Box2_Box4_Box5#InBB</v>
      </c>
      <c r="O13">
        <f>IF(PartList[[#This Row],[Unique]]="Yes",_xlfn.XLOOKUP(PartList[[#This Row],[ASSLY MARK]],FilteredPL!A:A,FilteredPL!B:B,0,0),0)</f>
        <v>0</v>
      </c>
      <c r="P13">
        <f>_xlfn.XLOOKUP(PartList[[#This Row],[ASSLY MARK]],MasterPL[SplitMarkNo],MasterPL[BILL WT.(KG)],0,0)</f>
        <v>0</v>
      </c>
      <c r="Q13" cm="1">
        <f t="array" ref="Q1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3" s="2" t="str">
        <v>1BE10</v>
      </c>
      <c r="AB13" s="2">
        <f>SUMIF(PartList[ASSLY MARK],AA13,PartList[Avail. Qty])</f>
        <v>1</v>
      </c>
    </row>
    <row r="14" spans="1:28" x14ac:dyDescent="0.25">
      <c r="A14">
        <v>11</v>
      </c>
      <c r="B14" t="s">
        <v>92</v>
      </c>
      <c r="C14" t="s">
        <v>512</v>
      </c>
      <c r="D14" t="s">
        <v>90</v>
      </c>
      <c r="E14" t="s">
        <v>5</v>
      </c>
      <c r="F14" t="str" cm="1">
        <f t="array" ref="F14">IF(SUM(IF(PartList[ASSLY MARK]=PartList[[#This Row],[ASSLY MARK]],1,0))&gt;1,"No","Yes")</f>
        <v>No</v>
      </c>
      <c r="G14" t="str" cm="1">
        <f t="array" ref="G14">_xlfn.TEXTJOIN("_",TRUE,TRIM(_xlfn.TEXTSPLIT(PartList[[#This Row],[GRID LOCATION]],{"PR01","/","-"})))</f>
        <v>10_11_A'_A</v>
      </c>
      <c r="H14" t="str" cm="1">
        <f t="array" ref="H1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14" cm="1">
        <f t="array" ref="I1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4" t="str">
        <f>IF(IFERROR(SEARCH("&gt;",PartList[[#This Row],[ID]]),0),"O",IF(IFERROR(SEARCH("&lt;",PartList[[#This Row],[ID]]),0),"I",""))</f>
        <v/>
      </c>
      <c r="K14" t="str" cm="1">
        <f t="array" ref="K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4" t="str" cm="1">
        <f t="array" ref="L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4" t="str">
        <f>_xlfn.TEXTJOIN("#",TRUE,PartList[[#This Row],[ASSLY MARK]],PartList[[#This Row],[BOX NO]],PartList[[#This Row],[In/Out]],PartList[[#This Row],[O1-Grid]])</f>
        <v>1BE04#Box1_Box4#InBB</v>
      </c>
      <c r="N14" t="str">
        <f>_xlfn.TEXTJOIN("#",TRUE,PartList[[#This Row],[ASSLY MARK]],PartList[[#This Row],[BOX NO]],PartList[[#This Row],[In/Out]],PartList[[#This Row],[O2-Grid]])</f>
        <v>1BE04#Box1_Box4#InBB</v>
      </c>
      <c r="O14">
        <f>IF(PartList[[#This Row],[Unique]]="Yes",_xlfn.XLOOKUP(PartList[[#This Row],[ASSLY MARK]],FilteredPL!A:A,FilteredPL!B:B,0,0),0)</f>
        <v>0</v>
      </c>
      <c r="P14">
        <f>_xlfn.XLOOKUP(PartList[[#This Row],[ASSLY MARK]],MasterPL[SplitMarkNo],MasterPL[BILL WT.(KG)],0,0)</f>
        <v>0</v>
      </c>
      <c r="Q14" cm="1">
        <f t="array" ref="Q1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4" s="2" t="str">
        <v>1BE11</v>
      </c>
      <c r="AB14" s="2">
        <f>SUMIF(PartList[ASSLY MARK],AA14,PartList[Avail. Qty])</f>
        <v>0</v>
      </c>
    </row>
    <row r="15" spans="1:28" x14ac:dyDescent="0.25">
      <c r="A15">
        <v>12</v>
      </c>
      <c r="B15" t="s">
        <v>92</v>
      </c>
      <c r="C15" t="s">
        <v>512</v>
      </c>
      <c r="D15" t="s">
        <v>90</v>
      </c>
      <c r="E15" t="s">
        <v>5</v>
      </c>
      <c r="F15" t="str" cm="1">
        <f t="array" ref="F15">IF(SUM(IF(PartList[ASSLY MARK]=PartList[[#This Row],[ASSLY MARK]],1,0))&gt;1,"No","Yes")</f>
        <v>No</v>
      </c>
      <c r="G15" t="str" cm="1">
        <f t="array" ref="G15">_xlfn.TEXTJOIN("_",TRUE,TRIM(_xlfn.TEXTSPLIT(PartList[[#This Row],[GRID LOCATION]],{"PR01","/","-"})))</f>
        <v>10_11_A'_A</v>
      </c>
      <c r="H15" t="str" cm="1">
        <f t="array" ref="H1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15" cm="1">
        <f t="array" ref="I1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5" t="str">
        <f>IF(IFERROR(SEARCH("&gt;",PartList[[#This Row],[ID]]),0),"O",IF(IFERROR(SEARCH("&lt;",PartList[[#This Row],[ID]]),0),"I",""))</f>
        <v/>
      </c>
      <c r="K15" t="str" cm="1">
        <f t="array" ref="K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5" t="str" cm="1">
        <f t="array" ref="L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5" t="str">
        <f>_xlfn.TEXTJOIN("#",TRUE,PartList[[#This Row],[ASSLY MARK]],PartList[[#This Row],[BOX NO]],PartList[[#This Row],[In/Out]],PartList[[#This Row],[O1-Grid]])</f>
        <v>1BE04#Box1_Box4#InBB</v>
      </c>
      <c r="N15" t="str">
        <f>_xlfn.TEXTJOIN("#",TRUE,PartList[[#This Row],[ASSLY MARK]],PartList[[#This Row],[BOX NO]],PartList[[#This Row],[In/Out]],PartList[[#This Row],[O2-Grid]])</f>
        <v>1BE04#Box1_Box4#InBB</v>
      </c>
      <c r="O15">
        <f>IF(PartList[[#This Row],[Unique]]="Yes",_xlfn.XLOOKUP(PartList[[#This Row],[ASSLY MARK]],FilteredPL!A:A,FilteredPL!B:B,0,0),0)</f>
        <v>0</v>
      </c>
      <c r="P15">
        <f>_xlfn.XLOOKUP(PartList[[#This Row],[ASSLY MARK]],MasterPL[SplitMarkNo],MasterPL[BILL WT.(KG)],0,0)</f>
        <v>0</v>
      </c>
      <c r="Q15" cm="1">
        <f t="array" ref="Q1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5" s="2" t="str">
        <v>1BE12</v>
      </c>
      <c r="AB15" s="2">
        <f>SUMIF(PartList[ASSLY MARK],AA15,PartList[Avail. Qty])</f>
        <v>0</v>
      </c>
    </row>
    <row r="16" spans="1:28" x14ac:dyDescent="0.25">
      <c r="A16">
        <v>13</v>
      </c>
      <c r="B16" t="s">
        <v>92</v>
      </c>
      <c r="C16" t="s">
        <v>512</v>
      </c>
      <c r="D16" t="s">
        <v>90</v>
      </c>
      <c r="E16" t="s">
        <v>5</v>
      </c>
      <c r="F16" t="str" cm="1">
        <f t="array" ref="F16">IF(SUM(IF(PartList[ASSLY MARK]=PartList[[#This Row],[ASSLY MARK]],1,0))&gt;1,"No","Yes")</f>
        <v>No</v>
      </c>
      <c r="G16" t="str" cm="1">
        <f t="array" ref="G16">_xlfn.TEXTJOIN("_",TRUE,TRIM(_xlfn.TEXTSPLIT(PartList[[#This Row],[GRID LOCATION]],{"PR01","/","-"})))</f>
        <v>10_11_A'_A</v>
      </c>
      <c r="H16" t="str" cm="1">
        <f t="array" ref="H1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16" cm="1">
        <f t="array" ref="I1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6" t="str">
        <f>IF(IFERROR(SEARCH("&gt;",PartList[[#This Row],[ID]]),0),"O",IF(IFERROR(SEARCH("&lt;",PartList[[#This Row],[ID]]),0),"I",""))</f>
        <v/>
      </c>
      <c r="K16" t="str" cm="1">
        <f t="array" ref="K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6" t="str" cm="1">
        <f t="array" ref="L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6" t="str">
        <f>_xlfn.TEXTJOIN("#",TRUE,PartList[[#This Row],[ASSLY MARK]],PartList[[#This Row],[BOX NO]],PartList[[#This Row],[In/Out]],PartList[[#This Row],[O1-Grid]])</f>
        <v>1BE04#Box1_Box4#InBB</v>
      </c>
      <c r="N16" t="str">
        <f>_xlfn.TEXTJOIN("#",TRUE,PartList[[#This Row],[ASSLY MARK]],PartList[[#This Row],[BOX NO]],PartList[[#This Row],[In/Out]],PartList[[#This Row],[O2-Grid]])</f>
        <v>1BE04#Box1_Box4#InBB</v>
      </c>
      <c r="O16">
        <f>IF(PartList[[#This Row],[Unique]]="Yes",_xlfn.XLOOKUP(PartList[[#This Row],[ASSLY MARK]],FilteredPL!A:A,FilteredPL!B:B,0,0),0)</f>
        <v>0</v>
      </c>
      <c r="P16">
        <f>_xlfn.XLOOKUP(PartList[[#This Row],[ASSLY MARK]],MasterPL[SplitMarkNo],MasterPL[BILL WT.(KG)],0,0)</f>
        <v>0</v>
      </c>
      <c r="Q16" cm="1">
        <f t="array" ref="Q1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6" s="2" t="str">
        <v>1BE13</v>
      </c>
      <c r="AB16" s="2">
        <f>SUMIF(PartList[ASSLY MARK],AA16,PartList[Avail. Qty])</f>
        <v>0</v>
      </c>
    </row>
    <row r="17" spans="1:28" x14ac:dyDescent="0.25">
      <c r="A17">
        <v>14</v>
      </c>
      <c r="B17" t="s">
        <v>92</v>
      </c>
      <c r="C17" t="s">
        <v>513</v>
      </c>
      <c r="D17" t="s">
        <v>90</v>
      </c>
      <c r="E17" t="s">
        <v>5</v>
      </c>
      <c r="F17" t="str" cm="1">
        <f t="array" ref="F17">IF(SUM(IF(PartList[ASSLY MARK]=PartList[[#This Row],[ASSLY MARK]],1,0))&gt;1,"No","Yes")</f>
        <v>No</v>
      </c>
      <c r="G17" t="str" cm="1">
        <f t="array" ref="G17">_xlfn.TEXTJOIN("_",TRUE,TRIM(_xlfn.TEXTSPLIT(PartList[[#This Row],[GRID LOCATION]],{"PR01","/","-"})))</f>
        <v>10_11_B&gt;</v>
      </c>
      <c r="H17" t="str" cm="1">
        <f t="array" ref="H1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7" cm="1">
        <f t="array" ref="I1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7" t="str">
        <f>IF(IFERROR(SEARCH("&gt;",PartList[[#This Row],[ID]]),0),"O",IF(IFERROR(SEARCH("&lt;",PartList[[#This Row],[ID]]),0),"I",""))</f>
        <v>O</v>
      </c>
      <c r="K17" t="str" cm="1">
        <f t="array" ref="K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7" t="str" cm="1">
        <f t="array" ref="L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7" t="str">
        <f>_xlfn.TEXTJOIN("#",TRUE,PartList[[#This Row],[ASSLY MARK]],PartList[[#This Row],[BOX NO]],PartList[[#This Row],[In/Out]],PartList[[#This Row],[O1-Grid]])</f>
        <v>1BE04#Box1#O</v>
      </c>
      <c r="N17" t="str">
        <f>_xlfn.TEXTJOIN("#",TRUE,PartList[[#This Row],[ASSLY MARK]],PartList[[#This Row],[BOX NO]],PartList[[#This Row],[In/Out]],PartList[[#This Row],[O2-Grid]])</f>
        <v>1BE04#Box1#O</v>
      </c>
      <c r="O17">
        <f>IF(PartList[[#This Row],[Unique]]="Yes",_xlfn.XLOOKUP(PartList[[#This Row],[ASSLY MARK]],FilteredPL!A:A,FilteredPL!B:B,0,0),0)</f>
        <v>0</v>
      </c>
      <c r="P17">
        <f>_xlfn.XLOOKUP(PartList[[#This Row],[ASSLY MARK]],MasterPL[SplitMarkNo],MasterPL[BILL WT.(KG)],0,0)</f>
        <v>0</v>
      </c>
      <c r="Q17" cm="1">
        <f t="array" ref="Q1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7" s="2" t="str">
        <v>1BE14</v>
      </c>
      <c r="AB17" s="2">
        <f>SUMIF(PartList[ASSLY MARK],AA17,PartList[Avail. Qty])</f>
        <v>0</v>
      </c>
    </row>
    <row r="18" spans="1:28" x14ac:dyDescent="0.25">
      <c r="A18">
        <v>15</v>
      </c>
      <c r="B18" t="s">
        <v>93</v>
      </c>
      <c r="C18" t="s">
        <v>512</v>
      </c>
      <c r="D18" t="s">
        <v>90</v>
      </c>
      <c r="E18" t="s">
        <v>5</v>
      </c>
      <c r="F18" t="str" cm="1">
        <f t="array" ref="F18">IF(SUM(IF(PartList[ASSLY MARK]=PartList[[#This Row],[ASSLY MARK]],1,0))&gt;1,"No","Yes")</f>
        <v>Yes</v>
      </c>
      <c r="G18" t="str" cm="1">
        <f t="array" ref="G18">_xlfn.TEXTJOIN("_",TRUE,TRIM(_xlfn.TEXTSPLIT(PartList[[#This Row],[GRID LOCATION]],{"PR01","/","-"})))</f>
        <v>10_11_A'_A</v>
      </c>
      <c r="H18" t="str" cm="1">
        <f t="array" ref="H1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18" cm="1">
        <f t="array" ref="I1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8" t="str">
        <f>IF(IFERROR(SEARCH("&gt;",PartList[[#This Row],[ID]]),0),"O",IF(IFERROR(SEARCH("&lt;",PartList[[#This Row],[ID]]),0),"I",""))</f>
        <v/>
      </c>
      <c r="K18" t="str" cm="1">
        <f t="array" ref="K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8" t="str" cm="1">
        <f t="array" ref="L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8" t="str">
        <f>_xlfn.TEXTJOIN("#",TRUE,PartList[[#This Row],[ASSLY MARK]],PartList[[#This Row],[BOX NO]],PartList[[#This Row],[In/Out]],PartList[[#This Row],[O1-Grid]])</f>
        <v>1BE05#Box1_Box4#InBB</v>
      </c>
      <c r="N18" t="str">
        <f>_xlfn.TEXTJOIN("#",TRUE,PartList[[#This Row],[ASSLY MARK]],PartList[[#This Row],[BOX NO]],PartList[[#This Row],[In/Out]],PartList[[#This Row],[O2-Grid]])</f>
        <v>1BE05#Box1_Box4#InBB</v>
      </c>
      <c r="O18">
        <f>IF(PartList[[#This Row],[Unique]]="Yes",_xlfn.XLOOKUP(PartList[[#This Row],[ASSLY MARK]],FilteredPL!A:A,FilteredPL!B:B,0,0),0)</f>
        <v>1</v>
      </c>
      <c r="P18">
        <f>_xlfn.XLOOKUP(PartList[[#This Row],[ASSLY MARK]],MasterPL[SplitMarkNo],MasterPL[BILL WT.(KG)],0,0)</f>
        <v>346.7</v>
      </c>
      <c r="Q18" cm="1">
        <f t="array" ref="Q1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8" s="2" t="str">
        <v>1BE15</v>
      </c>
      <c r="AB18" s="2">
        <f>SUMIF(PartList[ASSLY MARK],AA18,PartList[Avail. Qty])</f>
        <v>0</v>
      </c>
    </row>
    <row r="19" spans="1:28" x14ac:dyDescent="0.25">
      <c r="A19">
        <v>16</v>
      </c>
      <c r="B19" t="s">
        <v>94</v>
      </c>
      <c r="C19" t="s">
        <v>514</v>
      </c>
      <c r="D19" t="s">
        <v>90</v>
      </c>
      <c r="E19" t="s">
        <v>5</v>
      </c>
      <c r="F19" t="str" cm="1">
        <f t="array" ref="F19">IF(SUM(IF(PartList[ASSLY MARK]=PartList[[#This Row],[ASSLY MARK]],1,0))&gt;1,"No","Yes")</f>
        <v>Yes</v>
      </c>
      <c r="G19" t="str" cm="1">
        <f t="array" ref="G19">_xlfn.TEXTJOIN("_",TRUE,TRIM(_xlfn.TEXTSPLIT(PartList[[#This Row],[GRID LOCATION]],{"PR01","/","-"})))</f>
        <v>10_11_A</v>
      </c>
      <c r="H19" t="str" cm="1">
        <f t="array" ref="H1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9" cm="1">
        <f t="array" ref="I1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9" t="str">
        <f>IF(IFERROR(SEARCH("&gt;",PartList[[#This Row],[ID]]),0),"O",IF(IFERROR(SEARCH("&lt;",PartList[[#This Row],[ID]]),0),"I",""))</f>
        <v/>
      </c>
      <c r="K19" t="str" cm="1">
        <f t="array" ref="K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9" t="str" cm="1">
        <f t="array" ref="L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19" t="str">
        <f>_xlfn.TEXTJOIN("#",TRUE,PartList[[#This Row],[ASSLY MARK]],PartList[[#This Row],[BOX NO]],PartList[[#This Row],[In/Out]],PartList[[#This Row],[O1-Grid]])</f>
        <v>1BE06#Box1#InB</v>
      </c>
      <c r="N19" t="str">
        <f>_xlfn.TEXTJOIN("#",TRUE,PartList[[#This Row],[ASSLY MARK]],PartList[[#This Row],[BOX NO]],PartList[[#This Row],[In/Out]],PartList[[#This Row],[O2-Grid]])</f>
        <v>1BE06#Box1#10_11_A</v>
      </c>
      <c r="O19">
        <f>IF(PartList[[#This Row],[Unique]]="Yes",_xlfn.XLOOKUP(PartList[[#This Row],[ASSLY MARK]],FilteredPL!A:A,FilteredPL!B:B,0,0),0)</f>
        <v>1</v>
      </c>
      <c r="P19">
        <f>_xlfn.XLOOKUP(PartList[[#This Row],[ASSLY MARK]],MasterPL[SplitMarkNo],MasterPL[BILL WT.(KG)],0,0)</f>
        <v>468.1</v>
      </c>
      <c r="Q19" cm="1">
        <f t="array" ref="Q1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9" s="2" t="str">
        <v>1BE16</v>
      </c>
      <c r="AB19" s="2">
        <f>SUMIF(PartList[ASSLY MARK],AA19,PartList[Avail. Qty])</f>
        <v>0</v>
      </c>
    </row>
    <row r="20" spans="1:28" x14ac:dyDescent="0.25">
      <c r="A20">
        <v>17</v>
      </c>
      <c r="B20" t="s">
        <v>95</v>
      </c>
      <c r="C20" t="s">
        <v>515</v>
      </c>
      <c r="D20" t="s">
        <v>90</v>
      </c>
      <c r="E20" t="s">
        <v>5</v>
      </c>
      <c r="F20" t="str" cm="1">
        <f t="array" ref="F20">IF(SUM(IF(PartList[ASSLY MARK]=PartList[[#This Row],[ASSLY MARK]],1,0))&gt;1,"No","Yes")</f>
        <v>Yes</v>
      </c>
      <c r="G20" t="str" cm="1">
        <f t="array" ref="G20">_xlfn.TEXTJOIN("_",TRUE,TRIM(_xlfn.TEXTSPLIT(PartList[[#This Row],[GRID LOCATION]],{"PR01","/","-"})))</f>
        <v>10_11_A_B</v>
      </c>
      <c r="H20" t="str" cm="1">
        <f t="array" ref="H2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0" cm="1">
        <f t="array" ref="I2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0" t="str">
        <f>IF(IFERROR(SEARCH("&gt;",PartList[[#This Row],[ID]]),0),"O",IF(IFERROR(SEARCH("&lt;",PartList[[#This Row],[ID]]),0),"I",""))</f>
        <v/>
      </c>
      <c r="K20" t="str" cm="1">
        <f t="array" ref="K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0" t="str" cm="1">
        <f t="array" ref="L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20" t="str">
        <f>_xlfn.TEXTJOIN("#",TRUE,PartList[[#This Row],[ASSLY MARK]],PartList[[#This Row],[BOX NO]],PartList[[#This Row],[In/Out]],PartList[[#This Row],[O1-Grid]])</f>
        <v>1BE07#Box1#InB</v>
      </c>
      <c r="N20" t="str">
        <f>_xlfn.TEXTJOIN("#",TRUE,PartList[[#This Row],[ASSLY MARK]],PartList[[#This Row],[BOX NO]],PartList[[#This Row],[In/Out]],PartList[[#This Row],[O2-Grid]])</f>
        <v>1BE07#Box1#InB</v>
      </c>
      <c r="O20">
        <f>IF(PartList[[#This Row],[Unique]]="Yes",_xlfn.XLOOKUP(PartList[[#This Row],[ASSLY MARK]],FilteredPL!A:A,FilteredPL!B:B,0,0),0)</f>
        <v>1</v>
      </c>
      <c r="P20">
        <f>_xlfn.XLOOKUP(PartList[[#This Row],[ASSLY MARK]],MasterPL[SplitMarkNo],MasterPL[BILL WT.(KG)],0,0)</f>
        <v>571.71</v>
      </c>
      <c r="Q20" cm="1">
        <f t="array" ref="Q2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0" s="2" t="str">
        <v>1BE19</v>
      </c>
      <c r="AB20" s="2">
        <f>SUMIF(PartList[ASSLY MARK],AA20,PartList[Avail. Qty])</f>
        <v>0</v>
      </c>
    </row>
    <row r="21" spans="1:28" x14ac:dyDescent="0.25">
      <c r="A21">
        <v>18</v>
      </c>
      <c r="B21" t="s">
        <v>96</v>
      </c>
      <c r="C21" t="s">
        <v>516</v>
      </c>
      <c r="D21" t="s">
        <v>90</v>
      </c>
      <c r="E21" t="s">
        <v>5</v>
      </c>
      <c r="F21" t="str" cm="1">
        <f t="array" ref="F21">IF(SUM(IF(PartList[ASSLY MARK]=PartList[[#This Row],[ASSLY MARK]],1,0))&gt;1,"No","Yes")</f>
        <v>Yes</v>
      </c>
      <c r="G21" t="str" cm="1">
        <f t="array" ref="G21">_xlfn.TEXTJOIN("_",TRUE,TRIM(_xlfn.TEXTSPLIT(PartList[[#This Row],[GRID LOCATION]],{"PR01","/","-"})))</f>
        <v>10_11_B</v>
      </c>
      <c r="H21" t="str" cm="1">
        <f t="array" ref="H2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1" cm="1">
        <f t="array" ref="I2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1" t="str">
        <f>IF(IFERROR(SEARCH("&gt;",PartList[[#This Row],[ID]]),0),"O",IF(IFERROR(SEARCH("&lt;",PartList[[#This Row],[ID]]),0),"I",""))</f>
        <v/>
      </c>
      <c r="K21" t="str" cm="1">
        <f t="array" ref="K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1" t="str" cm="1">
        <f t="array" ref="L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21" t="str">
        <f>_xlfn.TEXTJOIN("#",TRUE,PartList[[#This Row],[ASSLY MARK]],PartList[[#This Row],[BOX NO]],PartList[[#This Row],[In/Out]],PartList[[#This Row],[O1-Grid]])</f>
        <v>1BE08#Box1#InB</v>
      </c>
      <c r="N21" t="str">
        <f>_xlfn.TEXTJOIN("#",TRUE,PartList[[#This Row],[ASSLY MARK]],PartList[[#This Row],[BOX NO]],PartList[[#This Row],[In/Out]],PartList[[#This Row],[O2-Grid]])</f>
        <v>1BE08#Box1#10_11_B</v>
      </c>
      <c r="O21">
        <f>IF(PartList[[#This Row],[Unique]]="Yes",_xlfn.XLOOKUP(PartList[[#This Row],[ASSLY MARK]],FilteredPL!A:A,FilteredPL!B:B,0,0),0)</f>
        <v>1</v>
      </c>
      <c r="P21">
        <f>_xlfn.XLOOKUP(PartList[[#This Row],[ASSLY MARK]],MasterPL[SplitMarkNo],MasterPL[BILL WT.(KG)],0,0)</f>
        <v>447.85</v>
      </c>
      <c r="Q21" cm="1">
        <f t="array" ref="Q2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1" s="2" t="str">
        <v>1BE26</v>
      </c>
      <c r="AB21" s="2">
        <f>SUMIF(PartList[ASSLY MARK],AA21,PartList[Avail. Qty])</f>
        <v>0</v>
      </c>
    </row>
    <row r="22" spans="1:28" x14ac:dyDescent="0.25">
      <c r="A22">
        <v>19</v>
      </c>
      <c r="B22" t="s">
        <v>97</v>
      </c>
      <c r="C22" t="s">
        <v>513</v>
      </c>
      <c r="D22" t="s">
        <v>517</v>
      </c>
      <c r="E22" t="s">
        <v>5</v>
      </c>
      <c r="F22" t="str" cm="1">
        <f t="array" ref="F22">IF(SUM(IF(PartList[ASSLY MARK]=PartList[[#This Row],[ASSLY MARK]],1,0))&gt;1,"No","Yes")</f>
        <v>No</v>
      </c>
      <c r="G22" t="str" cm="1">
        <f t="array" ref="G22">_xlfn.TEXTJOIN("_",TRUE,TRIM(_xlfn.TEXTSPLIT(PartList[[#This Row],[GRID LOCATION]],{"PR01","/","-"})))</f>
        <v>10_11_B&gt;</v>
      </c>
      <c r="H22" t="str" cm="1">
        <f t="array" ref="H2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2" cm="1">
        <f t="array" ref="I2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2" t="str">
        <f>IF(IFERROR(SEARCH("&gt;",PartList[[#This Row],[ID]]),0),"O",IF(IFERROR(SEARCH("&lt;",PartList[[#This Row],[ID]]),0),"I",""))</f>
        <v>O</v>
      </c>
      <c r="K22" t="str" cm="1">
        <f t="array" ref="K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2" t="str" cm="1">
        <f t="array" ref="L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2" t="str">
        <f>_xlfn.TEXTJOIN("#",TRUE,PartList[[#This Row],[ASSLY MARK]],PartList[[#This Row],[BOX NO]],PartList[[#This Row],[In/Out]],PartList[[#This Row],[O1-Grid]])</f>
        <v>1BE09#Box1#O</v>
      </c>
      <c r="N22" t="str">
        <f>_xlfn.TEXTJOIN("#",TRUE,PartList[[#This Row],[ASSLY MARK]],PartList[[#This Row],[BOX NO]],PartList[[#This Row],[In/Out]],PartList[[#This Row],[O2-Grid]])</f>
        <v>1BE09#Box1#O</v>
      </c>
      <c r="O22">
        <f>IF(PartList[[#This Row],[Unique]]="Yes",_xlfn.XLOOKUP(PartList[[#This Row],[ASSLY MARK]],FilteredPL!A:A,FilteredPL!B:B,0,0),0)</f>
        <v>0</v>
      </c>
      <c r="P22">
        <f>_xlfn.XLOOKUP(PartList[[#This Row],[ASSLY MARK]],MasterPL[SplitMarkNo],MasterPL[BILL WT.(KG)],0,0)</f>
        <v>0</v>
      </c>
      <c r="Q22" cm="1">
        <f t="array" ref="Q2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2" s="2" t="str">
        <v>1BE27</v>
      </c>
      <c r="AB22" s="2">
        <f>SUMIF(PartList[ASSLY MARK],AA22,PartList[Avail. Qty])</f>
        <v>0</v>
      </c>
    </row>
    <row r="23" spans="1:28" x14ac:dyDescent="0.25">
      <c r="A23">
        <v>20</v>
      </c>
      <c r="B23" t="s">
        <v>97</v>
      </c>
      <c r="C23" t="s">
        <v>513</v>
      </c>
      <c r="D23" t="s">
        <v>517</v>
      </c>
      <c r="E23" t="s">
        <v>5</v>
      </c>
      <c r="F23" t="str" cm="1">
        <f t="array" ref="F23">IF(SUM(IF(PartList[ASSLY MARK]=PartList[[#This Row],[ASSLY MARK]],1,0))&gt;1,"No","Yes")</f>
        <v>No</v>
      </c>
      <c r="G23" t="str" cm="1">
        <f t="array" ref="G23">_xlfn.TEXTJOIN("_",TRUE,TRIM(_xlfn.TEXTSPLIT(PartList[[#This Row],[GRID LOCATION]],{"PR01","/","-"})))</f>
        <v>10_11_B&gt;</v>
      </c>
      <c r="H23" t="str" cm="1">
        <f t="array" ref="H2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3" cm="1">
        <f t="array" ref="I2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3" t="str">
        <f>IF(IFERROR(SEARCH("&gt;",PartList[[#This Row],[ID]]),0),"O",IF(IFERROR(SEARCH("&lt;",PartList[[#This Row],[ID]]),0),"I",""))</f>
        <v>O</v>
      </c>
      <c r="K23" t="str" cm="1">
        <f t="array" ref="K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3" t="str" cm="1">
        <f t="array" ref="L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3" t="str">
        <f>_xlfn.TEXTJOIN("#",TRUE,PartList[[#This Row],[ASSLY MARK]],PartList[[#This Row],[BOX NO]],PartList[[#This Row],[In/Out]],PartList[[#This Row],[O1-Grid]])</f>
        <v>1BE09#Box1#O</v>
      </c>
      <c r="N23" t="str">
        <f>_xlfn.TEXTJOIN("#",TRUE,PartList[[#This Row],[ASSLY MARK]],PartList[[#This Row],[BOX NO]],PartList[[#This Row],[In/Out]],PartList[[#This Row],[O2-Grid]])</f>
        <v>1BE09#Box1#O</v>
      </c>
      <c r="O23">
        <f>IF(PartList[[#This Row],[Unique]]="Yes",_xlfn.XLOOKUP(PartList[[#This Row],[ASSLY MARK]],FilteredPL!A:A,FilteredPL!B:B,0,0),0)</f>
        <v>0</v>
      </c>
      <c r="P23">
        <f>_xlfn.XLOOKUP(PartList[[#This Row],[ASSLY MARK]],MasterPL[SplitMarkNo],MasterPL[BILL WT.(KG)],0,0)</f>
        <v>0</v>
      </c>
      <c r="Q23" cm="1">
        <f t="array" ref="Q2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3" s="2" t="str">
        <v>1BE28</v>
      </c>
      <c r="AB23" s="2">
        <f>SUMIF(PartList[ASSLY MARK],AA23,PartList[Avail. Qty])</f>
        <v>1</v>
      </c>
    </row>
    <row r="24" spans="1:28" x14ac:dyDescent="0.25">
      <c r="A24">
        <v>21</v>
      </c>
      <c r="B24" t="s">
        <v>98</v>
      </c>
      <c r="C24" t="s">
        <v>513</v>
      </c>
      <c r="D24" t="s">
        <v>90</v>
      </c>
      <c r="E24" t="s">
        <v>5</v>
      </c>
      <c r="F24" t="str" cm="1">
        <f t="array" ref="F24">IF(SUM(IF(PartList[ASSLY MARK]=PartList[[#This Row],[ASSLY MARK]],1,0))&gt;1,"No","Yes")</f>
        <v>Yes</v>
      </c>
      <c r="G24" t="str" cm="1">
        <f t="array" ref="G24">_xlfn.TEXTJOIN("_",TRUE,TRIM(_xlfn.TEXTSPLIT(PartList[[#This Row],[GRID LOCATION]],{"PR01","/","-"})))</f>
        <v>10_11_B&gt;</v>
      </c>
      <c r="H24" t="str" cm="1">
        <f t="array" ref="H2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4" cm="1">
        <f t="array" ref="I2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4" t="str">
        <f>IF(IFERROR(SEARCH("&gt;",PartList[[#This Row],[ID]]),0),"O",IF(IFERROR(SEARCH("&lt;",PartList[[#This Row],[ID]]),0),"I",""))</f>
        <v>O</v>
      </c>
      <c r="K24" t="str" cm="1">
        <f t="array" ref="K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4" t="str" cm="1">
        <f t="array" ref="L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4" t="str">
        <f>_xlfn.TEXTJOIN("#",TRUE,PartList[[#This Row],[ASSLY MARK]],PartList[[#This Row],[BOX NO]],PartList[[#This Row],[In/Out]],PartList[[#This Row],[O1-Grid]])</f>
        <v>1BE10#Box1#O</v>
      </c>
      <c r="N24" t="str">
        <f>_xlfn.TEXTJOIN("#",TRUE,PartList[[#This Row],[ASSLY MARK]],PartList[[#This Row],[BOX NO]],PartList[[#This Row],[In/Out]],PartList[[#This Row],[O2-Grid]])</f>
        <v>1BE10#Box1#O</v>
      </c>
      <c r="O24">
        <f>IF(PartList[[#This Row],[Unique]]="Yes",_xlfn.XLOOKUP(PartList[[#This Row],[ASSLY MARK]],FilteredPL!A:A,FilteredPL!B:B,0,0),0)</f>
        <v>1</v>
      </c>
      <c r="P24">
        <f>_xlfn.XLOOKUP(PartList[[#This Row],[ASSLY MARK]],MasterPL[SplitMarkNo],MasterPL[BILL WT.(KG)],0,0)</f>
        <v>327.97</v>
      </c>
      <c r="Q24" cm="1">
        <f t="array" ref="Q2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4" s="2" t="str">
        <v>1BE29</v>
      </c>
      <c r="AB24" s="2">
        <f>SUMIF(PartList[ASSLY MARK],AA24,PartList[Avail. Qty])</f>
        <v>0</v>
      </c>
    </row>
    <row r="25" spans="1:28" x14ac:dyDescent="0.25">
      <c r="A25">
        <v>22</v>
      </c>
      <c r="B25" t="s">
        <v>99</v>
      </c>
      <c r="C25" t="s">
        <v>516</v>
      </c>
      <c r="D25" t="s">
        <v>517</v>
      </c>
      <c r="E25" t="s">
        <v>5</v>
      </c>
      <c r="F25" t="str" cm="1">
        <f t="array" ref="F25">IF(SUM(IF(PartList[ASSLY MARK]=PartList[[#This Row],[ASSLY MARK]],1,0))&gt;1,"No","Yes")</f>
        <v>Yes</v>
      </c>
      <c r="G25" t="str" cm="1">
        <f t="array" ref="G25">_xlfn.TEXTJOIN("_",TRUE,TRIM(_xlfn.TEXTSPLIT(PartList[[#This Row],[GRID LOCATION]],{"PR01","/","-"})))</f>
        <v>10_11_B</v>
      </c>
      <c r="H25" t="str" cm="1">
        <f t="array" ref="H2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5" cm="1">
        <f t="array" ref="I2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5" t="str">
        <f>IF(IFERROR(SEARCH("&gt;",PartList[[#This Row],[ID]]),0),"O",IF(IFERROR(SEARCH("&lt;",PartList[[#This Row],[ID]]),0),"I",""))</f>
        <v/>
      </c>
      <c r="K25" t="str" cm="1">
        <f t="array" ref="K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5" t="str" cm="1">
        <f t="array" ref="L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25" t="str">
        <f>_xlfn.TEXTJOIN("#",TRUE,PartList[[#This Row],[ASSLY MARK]],PartList[[#This Row],[BOX NO]],PartList[[#This Row],[In/Out]],PartList[[#This Row],[O1-Grid]])</f>
        <v>1BE11#Box1#InB</v>
      </c>
      <c r="N25" t="str">
        <f>_xlfn.TEXTJOIN("#",TRUE,PartList[[#This Row],[ASSLY MARK]],PartList[[#This Row],[BOX NO]],PartList[[#This Row],[In/Out]],PartList[[#This Row],[O2-Grid]])</f>
        <v>1BE11#Box1#10_11_B</v>
      </c>
      <c r="O25">
        <f>IF(PartList[[#This Row],[Unique]]="Yes",_xlfn.XLOOKUP(PartList[[#This Row],[ASSLY MARK]],FilteredPL!A:A,FilteredPL!B:B,0,0),0)</f>
        <v>0</v>
      </c>
      <c r="P25">
        <f>_xlfn.XLOOKUP(PartList[[#This Row],[ASSLY MARK]],MasterPL[SplitMarkNo],MasterPL[BILL WT.(KG)],0,0)</f>
        <v>0</v>
      </c>
      <c r="Q25" cm="1">
        <f t="array" ref="Q2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5" s="2" t="str">
        <v>1BE30</v>
      </c>
      <c r="AB25" s="2">
        <f>SUMIF(PartList[ASSLY MARK],AA25,PartList[Avail. Qty])</f>
        <v>0</v>
      </c>
    </row>
    <row r="26" spans="1:28" x14ac:dyDescent="0.25">
      <c r="A26">
        <v>23</v>
      </c>
      <c r="B26" t="s">
        <v>100</v>
      </c>
      <c r="C26" t="s">
        <v>513</v>
      </c>
      <c r="D26" t="s">
        <v>517</v>
      </c>
      <c r="E26" t="s">
        <v>5</v>
      </c>
      <c r="F26" t="str" cm="1">
        <f t="array" ref="F26">IF(SUM(IF(PartList[ASSLY MARK]=PartList[[#This Row],[ASSLY MARK]],1,0))&gt;1,"No","Yes")</f>
        <v>Yes</v>
      </c>
      <c r="G26" t="str" cm="1">
        <f t="array" ref="G26">_xlfn.TEXTJOIN("_",TRUE,TRIM(_xlfn.TEXTSPLIT(PartList[[#This Row],[GRID LOCATION]],{"PR01","/","-"})))</f>
        <v>10_11_B&gt;</v>
      </c>
      <c r="H26" t="str" cm="1">
        <f t="array" ref="H2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6" cm="1">
        <f t="array" ref="I2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6" t="str">
        <f>IF(IFERROR(SEARCH("&gt;",PartList[[#This Row],[ID]]),0),"O",IF(IFERROR(SEARCH("&lt;",PartList[[#This Row],[ID]]),0),"I",""))</f>
        <v>O</v>
      </c>
      <c r="K26" t="str" cm="1">
        <f t="array" ref="K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6" t="str" cm="1">
        <f t="array" ref="L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6" t="str">
        <f>_xlfn.TEXTJOIN("#",TRUE,PartList[[#This Row],[ASSLY MARK]],PartList[[#This Row],[BOX NO]],PartList[[#This Row],[In/Out]],PartList[[#This Row],[O1-Grid]])</f>
        <v>1BE12#Box1#O</v>
      </c>
      <c r="N26" t="str">
        <f>_xlfn.TEXTJOIN("#",TRUE,PartList[[#This Row],[ASSLY MARK]],PartList[[#This Row],[BOX NO]],PartList[[#This Row],[In/Out]],PartList[[#This Row],[O2-Grid]])</f>
        <v>1BE12#Box1#O</v>
      </c>
      <c r="O26">
        <f>IF(PartList[[#This Row],[Unique]]="Yes",_xlfn.XLOOKUP(PartList[[#This Row],[ASSLY MARK]],FilteredPL!A:A,FilteredPL!B:B,0,0),0)</f>
        <v>0</v>
      </c>
      <c r="P26">
        <f>_xlfn.XLOOKUP(PartList[[#This Row],[ASSLY MARK]],MasterPL[SplitMarkNo],MasterPL[BILL WT.(KG)],0,0)</f>
        <v>0</v>
      </c>
      <c r="Q26" cm="1">
        <f t="array" ref="Q2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6" s="2" t="str">
        <v>1BE31</v>
      </c>
      <c r="AB26" s="2">
        <f>SUMIF(PartList[ASSLY MARK],AA26,PartList[Avail. Qty])</f>
        <v>0</v>
      </c>
    </row>
    <row r="27" spans="1:28" x14ac:dyDescent="0.25">
      <c r="A27">
        <v>24</v>
      </c>
      <c r="B27" t="s">
        <v>101</v>
      </c>
      <c r="C27" t="s">
        <v>515</v>
      </c>
      <c r="D27" t="s">
        <v>90</v>
      </c>
      <c r="E27" t="s">
        <v>5</v>
      </c>
      <c r="F27" t="str" cm="1">
        <f t="array" ref="F27">IF(SUM(IF(PartList[ASSLY MARK]=PartList[[#This Row],[ASSLY MARK]],1,0))&gt;1,"No","Yes")</f>
        <v>Yes</v>
      </c>
      <c r="G27" t="str" cm="1">
        <f t="array" ref="G27">_xlfn.TEXTJOIN("_",TRUE,TRIM(_xlfn.TEXTSPLIT(PartList[[#This Row],[GRID LOCATION]],{"PR01","/","-"})))</f>
        <v>10_11_A_B</v>
      </c>
      <c r="H27" t="str" cm="1">
        <f t="array" ref="H2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7" cm="1">
        <f t="array" ref="I2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7" t="str">
        <f>IF(IFERROR(SEARCH("&gt;",PartList[[#This Row],[ID]]),0),"O",IF(IFERROR(SEARCH("&lt;",PartList[[#This Row],[ID]]),0),"I",""))</f>
        <v/>
      </c>
      <c r="K27" t="str" cm="1">
        <f t="array" ref="K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7" t="str" cm="1">
        <f t="array" ref="L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27" t="str">
        <f>_xlfn.TEXTJOIN("#",TRUE,PartList[[#This Row],[ASSLY MARK]],PartList[[#This Row],[BOX NO]],PartList[[#This Row],[In/Out]],PartList[[#This Row],[O1-Grid]])</f>
        <v>1BE13#Box1#InB</v>
      </c>
      <c r="N27" t="str">
        <f>_xlfn.TEXTJOIN("#",TRUE,PartList[[#This Row],[ASSLY MARK]],PartList[[#This Row],[BOX NO]],PartList[[#This Row],[In/Out]],PartList[[#This Row],[O2-Grid]])</f>
        <v>1BE13#Box1#InB</v>
      </c>
      <c r="O27">
        <f>IF(PartList[[#This Row],[Unique]]="Yes",_xlfn.XLOOKUP(PartList[[#This Row],[ASSLY MARK]],FilteredPL!A:A,FilteredPL!B:B,0,0),0)</f>
        <v>0</v>
      </c>
      <c r="P27">
        <f>_xlfn.XLOOKUP(PartList[[#This Row],[ASSLY MARK]],MasterPL[SplitMarkNo],MasterPL[BILL WT.(KG)],0,0)</f>
        <v>0</v>
      </c>
      <c r="Q27" cm="1">
        <f t="array" ref="Q2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7" s="2" t="str">
        <v>1BE32</v>
      </c>
      <c r="AB27" s="2">
        <f>SUMIF(PartList[ASSLY MARK],AA27,PartList[Avail. Qty])</f>
        <v>0</v>
      </c>
    </row>
    <row r="28" spans="1:28" x14ac:dyDescent="0.25">
      <c r="A28">
        <v>25</v>
      </c>
      <c r="B28" t="s">
        <v>102</v>
      </c>
      <c r="C28" t="s">
        <v>515</v>
      </c>
      <c r="D28" t="s">
        <v>90</v>
      </c>
      <c r="E28" t="s">
        <v>5</v>
      </c>
      <c r="F28" t="str" cm="1">
        <f t="array" ref="F28">IF(SUM(IF(PartList[ASSLY MARK]=PartList[[#This Row],[ASSLY MARK]],1,0))&gt;1,"No","Yes")</f>
        <v>Yes</v>
      </c>
      <c r="G28" t="str" cm="1">
        <f t="array" ref="G28">_xlfn.TEXTJOIN("_",TRUE,TRIM(_xlfn.TEXTSPLIT(PartList[[#This Row],[GRID LOCATION]],{"PR01","/","-"})))</f>
        <v>10_11_A_B</v>
      </c>
      <c r="H28" t="str" cm="1">
        <f t="array" ref="H2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8" cm="1">
        <f t="array" ref="I2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8" t="str">
        <f>IF(IFERROR(SEARCH("&gt;",PartList[[#This Row],[ID]]),0),"O",IF(IFERROR(SEARCH("&lt;",PartList[[#This Row],[ID]]),0),"I",""))</f>
        <v/>
      </c>
      <c r="K28" t="str" cm="1">
        <f t="array" ref="K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8" t="str" cm="1">
        <f t="array" ref="L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28" t="str">
        <f>_xlfn.TEXTJOIN("#",TRUE,PartList[[#This Row],[ASSLY MARK]],PartList[[#This Row],[BOX NO]],PartList[[#This Row],[In/Out]],PartList[[#This Row],[O1-Grid]])</f>
        <v>1BE14#Box1#InB</v>
      </c>
      <c r="N28" t="str">
        <f>_xlfn.TEXTJOIN("#",TRUE,PartList[[#This Row],[ASSLY MARK]],PartList[[#This Row],[BOX NO]],PartList[[#This Row],[In/Out]],PartList[[#This Row],[O2-Grid]])</f>
        <v>1BE14#Box1#InB</v>
      </c>
      <c r="O28">
        <f>IF(PartList[[#This Row],[Unique]]="Yes",_xlfn.XLOOKUP(PartList[[#This Row],[ASSLY MARK]],FilteredPL!A:A,FilteredPL!B:B,0,0),0)</f>
        <v>0</v>
      </c>
      <c r="P28">
        <f>_xlfn.XLOOKUP(PartList[[#This Row],[ASSLY MARK]],MasterPL[SplitMarkNo],MasterPL[BILL WT.(KG)],0,0)</f>
        <v>0</v>
      </c>
      <c r="Q28" cm="1">
        <f t="array" ref="Q2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8" s="2" t="str">
        <v>1BE33</v>
      </c>
      <c r="AB28" s="2">
        <f>SUMIF(PartList[ASSLY MARK],AA28,PartList[Avail. Qty])</f>
        <v>0</v>
      </c>
    </row>
    <row r="29" spans="1:28" x14ac:dyDescent="0.25">
      <c r="A29">
        <v>26</v>
      </c>
      <c r="B29" t="s">
        <v>103</v>
      </c>
      <c r="C29" t="s">
        <v>515</v>
      </c>
      <c r="D29" t="s">
        <v>90</v>
      </c>
      <c r="E29" t="s">
        <v>5</v>
      </c>
      <c r="F29" t="str" cm="1">
        <f t="array" ref="F29">IF(SUM(IF(PartList[ASSLY MARK]=PartList[[#This Row],[ASSLY MARK]],1,0))&gt;1,"No","Yes")</f>
        <v>Yes</v>
      </c>
      <c r="G29" t="str" cm="1">
        <f t="array" ref="G29">_xlfn.TEXTJOIN("_",TRUE,TRIM(_xlfn.TEXTSPLIT(PartList[[#This Row],[GRID LOCATION]],{"PR01","/","-"})))</f>
        <v>10_11_A_B</v>
      </c>
      <c r="H29" t="str" cm="1">
        <f t="array" ref="H2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9" cm="1">
        <f t="array" ref="I2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9" t="str">
        <f>IF(IFERROR(SEARCH("&gt;",PartList[[#This Row],[ID]]),0),"O",IF(IFERROR(SEARCH("&lt;",PartList[[#This Row],[ID]]),0),"I",""))</f>
        <v/>
      </c>
      <c r="K29" t="str" cm="1">
        <f t="array" ref="K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9" t="str" cm="1">
        <f t="array" ref="L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29" t="str">
        <f>_xlfn.TEXTJOIN("#",TRUE,PartList[[#This Row],[ASSLY MARK]],PartList[[#This Row],[BOX NO]],PartList[[#This Row],[In/Out]],PartList[[#This Row],[O1-Grid]])</f>
        <v>1BE15#Box1#InB</v>
      </c>
      <c r="N29" t="str">
        <f>_xlfn.TEXTJOIN("#",TRUE,PartList[[#This Row],[ASSLY MARK]],PartList[[#This Row],[BOX NO]],PartList[[#This Row],[In/Out]],PartList[[#This Row],[O2-Grid]])</f>
        <v>1BE15#Box1#InB</v>
      </c>
      <c r="O29">
        <f>IF(PartList[[#This Row],[Unique]]="Yes",_xlfn.XLOOKUP(PartList[[#This Row],[ASSLY MARK]],FilteredPL!A:A,FilteredPL!B:B,0,0),0)</f>
        <v>0</v>
      </c>
      <c r="P29">
        <f>_xlfn.XLOOKUP(PartList[[#This Row],[ASSLY MARK]],MasterPL[SplitMarkNo],MasterPL[BILL WT.(KG)],0,0)</f>
        <v>0</v>
      </c>
      <c r="Q29" cm="1">
        <f t="array" ref="Q2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9" s="2" t="str">
        <v>1BE34</v>
      </c>
      <c r="AB29" s="2">
        <f>SUMIF(PartList[ASSLY MARK],AA29,PartList[Avail. Qty])</f>
        <v>0</v>
      </c>
    </row>
    <row r="30" spans="1:28" x14ac:dyDescent="0.25">
      <c r="A30">
        <v>27</v>
      </c>
      <c r="B30" t="s">
        <v>104</v>
      </c>
      <c r="C30" t="s">
        <v>515</v>
      </c>
      <c r="D30" t="s">
        <v>90</v>
      </c>
      <c r="E30" t="s">
        <v>5</v>
      </c>
      <c r="F30" t="str" cm="1">
        <f t="array" ref="F30">IF(SUM(IF(PartList[ASSLY MARK]=PartList[[#This Row],[ASSLY MARK]],1,0))&gt;1,"No","Yes")</f>
        <v>No</v>
      </c>
      <c r="G30" t="str" cm="1">
        <f t="array" ref="G30">_xlfn.TEXTJOIN("_",TRUE,TRIM(_xlfn.TEXTSPLIT(PartList[[#This Row],[GRID LOCATION]],{"PR01","/","-"})))</f>
        <v>10_11_A_B</v>
      </c>
      <c r="H30" t="str" cm="1">
        <f t="array" ref="H3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0" cm="1">
        <f t="array" ref="I3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0" t="str">
        <f>IF(IFERROR(SEARCH("&gt;",PartList[[#This Row],[ID]]),0),"O",IF(IFERROR(SEARCH("&lt;",PartList[[#This Row],[ID]]),0),"I",""))</f>
        <v/>
      </c>
      <c r="K30" t="str" cm="1">
        <f t="array" ref="K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30" t="str" cm="1">
        <f t="array" ref="L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0" t="str">
        <f>_xlfn.TEXTJOIN("#",TRUE,PartList[[#This Row],[ASSLY MARK]],PartList[[#This Row],[BOX NO]],PartList[[#This Row],[In/Out]],PartList[[#This Row],[O1-Grid]])</f>
        <v>1BE16#Box1#InB</v>
      </c>
      <c r="N30" t="str">
        <f>_xlfn.TEXTJOIN("#",TRUE,PartList[[#This Row],[ASSLY MARK]],PartList[[#This Row],[BOX NO]],PartList[[#This Row],[In/Out]],PartList[[#This Row],[O2-Grid]])</f>
        <v>1BE16#Box1#InB</v>
      </c>
      <c r="O30">
        <f>IF(PartList[[#This Row],[Unique]]="Yes",_xlfn.XLOOKUP(PartList[[#This Row],[ASSLY MARK]],FilteredPL!A:A,FilteredPL!B:B,0,0),0)</f>
        <v>0</v>
      </c>
      <c r="P30">
        <f>_xlfn.XLOOKUP(PartList[[#This Row],[ASSLY MARK]],MasterPL[SplitMarkNo],MasterPL[BILL WT.(KG)],0,0)</f>
        <v>0</v>
      </c>
      <c r="Q30" cm="1">
        <f t="array" ref="Q3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0" s="2" t="str">
        <v>1BE35</v>
      </c>
      <c r="AB30" s="2">
        <f>SUMIF(PartList[ASSLY MARK],AA30,PartList[Avail. Qty])</f>
        <v>0</v>
      </c>
    </row>
    <row r="31" spans="1:28" x14ac:dyDescent="0.25">
      <c r="A31">
        <v>28</v>
      </c>
      <c r="B31" t="s">
        <v>104</v>
      </c>
      <c r="C31" t="s">
        <v>515</v>
      </c>
      <c r="D31" t="s">
        <v>90</v>
      </c>
      <c r="E31" t="s">
        <v>5</v>
      </c>
      <c r="F31" t="str" cm="1">
        <f t="array" ref="F31">IF(SUM(IF(PartList[ASSLY MARK]=PartList[[#This Row],[ASSLY MARK]],1,0))&gt;1,"No","Yes")</f>
        <v>No</v>
      </c>
      <c r="G31" t="str" cm="1">
        <f t="array" ref="G31">_xlfn.TEXTJOIN("_",TRUE,TRIM(_xlfn.TEXTSPLIT(PartList[[#This Row],[GRID LOCATION]],{"PR01","/","-"})))</f>
        <v>10_11_A_B</v>
      </c>
      <c r="H31" t="str" cm="1">
        <f t="array" ref="H3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1" cm="1">
        <f t="array" ref="I3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1" t="str">
        <f>IF(IFERROR(SEARCH("&gt;",PartList[[#This Row],[ID]]),0),"O",IF(IFERROR(SEARCH("&lt;",PartList[[#This Row],[ID]]),0),"I",""))</f>
        <v/>
      </c>
      <c r="K31" t="str" cm="1">
        <f t="array" ref="K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31" t="str" cm="1">
        <f t="array" ref="L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1" t="str">
        <f>_xlfn.TEXTJOIN("#",TRUE,PartList[[#This Row],[ASSLY MARK]],PartList[[#This Row],[BOX NO]],PartList[[#This Row],[In/Out]],PartList[[#This Row],[O1-Grid]])</f>
        <v>1BE16#Box1#InB</v>
      </c>
      <c r="N31" t="str">
        <f>_xlfn.TEXTJOIN("#",TRUE,PartList[[#This Row],[ASSLY MARK]],PartList[[#This Row],[BOX NO]],PartList[[#This Row],[In/Out]],PartList[[#This Row],[O2-Grid]])</f>
        <v>1BE16#Box1#InB</v>
      </c>
      <c r="O31">
        <f>IF(PartList[[#This Row],[Unique]]="Yes",_xlfn.XLOOKUP(PartList[[#This Row],[ASSLY MARK]],FilteredPL!A:A,FilteredPL!B:B,0,0),0)</f>
        <v>0</v>
      </c>
      <c r="P31">
        <f>_xlfn.XLOOKUP(PartList[[#This Row],[ASSLY MARK]],MasterPL[SplitMarkNo],MasterPL[BILL WT.(KG)],0,0)</f>
        <v>0</v>
      </c>
      <c r="Q31" cm="1">
        <f t="array" ref="Q3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1" s="2" t="str">
        <v>1BE36</v>
      </c>
      <c r="AB31" s="2">
        <f>SUMIF(PartList[ASSLY MARK],AA31,PartList[Avail. Qty])</f>
        <v>0</v>
      </c>
    </row>
    <row r="32" spans="1:28" x14ac:dyDescent="0.25">
      <c r="A32">
        <v>32</v>
      </c>
      <c r="B32" t="s">
        <v>107</v>
      </c>
      <c r="C32" t="s">
        <v>515</v>
      </c>
      <c r="D32" t="s">
        <v>90</v>
      </c>
      <c r="E32" t="s">
        <v>5</v>
      </c>
      <c r="F32" t="str" cm="1">
        <f t="array" ref="F32">IF(SUM(IF(PartList[ASSLY MARK]=PartList[[#This Row],[ASSLY MARK]],1,0))&gt;1,"No","Yes")</f>
        <v>No</v>
      </c>
      <c r="G32" t="str" cm="1">
        <f t="array" ref="G32">_xlfn.TEXTJOIN("_",TRUE,TRIM(_xlfn.TEXTSPLIT(PartList[[#This Row],[GRID LOCATION]],{"PR01","/","-"})))</f>
        <v>10_11_A_B</v>
      </c>
      <c r="H32" t="str" cm="1">
        <f t="array" ref="H3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2" cm="1">
        <f t="array" ref="I3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2" t="str">
        <f>IF(IFERROR(SEARCH("&gt;",PartList[[#This Row],[ID]]),0),"O",IF(IFERROR(SEARCH("&lt;",PartList[[#This Row],[ID]]),0),"I",""))</f>
        <v/>
      </c>
      <c r="K32" t="str" cm="1">
        <f t="array" ref="K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32" t="str" cm="1">
        <f t="array" ref="L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2" t="str">
        <f>_xlfn.TEXTJOIN("#",TRUE,PartList[[#This Row],[ASSLY MARK]],PartList[[#This Row],[BOX NO]],PartList[[#This Row],[In/Out]],PartList[[#This Row],[O1-Grid]])</f>
        <v>1BE19#Box1#InB</v>
      </c>
      <c r="N32" t="str">
        <f>_xlfn.TEXTJOIN("#",TRUE,PartList[[#This Row],[ASSLY MARK]],PartList[[#This Row],[BOX NO]],PartList[[#This Row],[In/Out]],PartList[[#This Row],[O2-Grid]])</f>
        <v>1BE19#Box1#InB</v>
      </c>
      <c r="O32">
        <f>IF(PartList[[#This Row],[Unique]]="Yes",_xlfn.XLOOKUP(PartList[[#This Row],[ASSLY MARK]],FilteredPL!A:A,FilteredPL!B:B,0,0),0)</f>
        <v>0</v>
      </c>
      <c r="P32">
        <f>_xlfn.XLOOKUP(PartList[[#This Row],[ASSLY MARK]],MasterPL[SplitMarkNo],MasterPL[BILL WT.(KG)],0,0)</f>
        <v>0</v>
      </c>
      <c r="Q32" cm="1">
        <f t="array" ref="Q3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2" s="2" t="str">
        <v>1BE37</v>
      </c>
      <c r="AB32" s="2">
        <f>SUMIF(PartList[ASSLY MARK],AA32,PartList[Avail. Qty])</f>
        <v>0</v>
      </c>
    </row>
    <row r="33" spans="1:28" x14ac:dyDescent="0.25">
      <c r="A33">
        <v>33</v>
      </c>
      <c r="B33" t="s">
        <v>107</v>
      </c>
      <c r="C33" t="s">
        <v>515</v>
      </c>
      <c r="D33" t="s">
        <v>90</v>
      </c>
      <c r="E33" t="s">
        <v>5</v>
      </c>
      <c r="F33" t="str" cm="1">
        <f t="array" ref="F33">IF(SUM(IF(PartList[ASSLY MARK]=PartList[[#This Row],[ASSLY MARK]],1,0))&gt;1,"No","Yes")</f>
        <v>No</v>
      </c>
      <c r="G33" t="str" cm="1">
        <f t="array" ref="G33">_xlfn.TEXTJOIN("_",TRUE,TRIM(_xlfn.TEXTSPLIT(PartList[[#This Row],[GRID LOCATION]],{"PR01","/","-"})))</f>
        <v>10_11_A_B</v>
      </c>
      <c r="H33" t="str" cm="1">
        <f t="array" ref="H3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3" cm="1">
        <f t="array" ref="I3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3" t="str">
        <f>IF(IFERROR(SEARCH("&gt;",PartList[[#This Row],[ID]]),0),"O",IF(IFERROR(SEARCH("&lt;",PartList[[#This Row],[ID]]),0),"I",""))</f>
        <v/>
      </c>
      <c r="K33" t="str" cm="1">
        <f t="array" ref="K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33" t="str" cm="1">
        <f t="array" ref="L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3" t="str">
        <f>_xlfn.TEXTJOIN("#",TRUE,PartList[[#This Row],[ASSLY MARK]],PartList[[#This Row],[BOX NO]],PartList[[#This Row],[In/Out]],PartList[[#This Row],[O1-Grid]])</f>
        <v>1BE19#Box1#InB</v>
      </c>
      <c r="N33" t="str">
        <f>_xlfn.TEXTJOIN("#",TRUE,PartList[[#This Row],[ASSLY MARK]],PartList[[#This Row],[BOX NO]],PartList[[#This Row],[In/Out]],PartList[[#This Row],[O2-Grid]])</f>
        <v>1BE19#Box1#InB</v>
      </c>
      <c r="O33">
        <f>IF(PartList[[#This Row],[Unique]]="Yes",_xlfn.XLOOKUP(PartList[[#This Row],[ASSLY MARK]],FilteredPL!A:A,FilteredPL!B:B,0,0),0)</f>
        <v>0</v>
      </c>
      <c r="P33">
        <f>_xlfn.XLOOKUP(PartList[[#This Row],[ASSLY MARK]],MasterPL[SplitMarkNo],MasterPL[BILL WT.(KG)],0,0)</f>
        <v>0</v>
      </c>
      <c r="Q33" cm="1">
        <f t="array" ref="Q3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3" s="2" t="str">
        <v>1BE38</v>
      </c>
      <c r="AB33" s="2">
        <f>SUMIF(PartList[ASSLY MARK],AA33,PartList[Avail. Qty])</f>
        <v>0</v>
      </c>
    </row>
    <row r="34" spans="1:28" x14ac:dyDescent="0.25">
      <c r="A34">
        <v>40</v>
      </c>
      <c r="B34" t="s">
        <v>114</v>
      </c>
      <c r="C34" t="s">
        <v>513</v>
      </c>
      <c r="D34" t="s">
        <v>90</v>
      </c>
      <c r="E34" t="s">
        <v>5</v>
      </c>
      <c r="F34" t="str" cm="1">
        <f t="array" ref="F34">IF(SUM(IF(PartList[ASSLY MARK]=PartList[[#This Row],[ASSLY MARK]],1,0))&gt;1,"No","Yes")</f>
        <v>Yes</v>
      </c>
      <c r="G34" t="str" cm="1">
        <f t="array" ref="G34">_xlfn.TEXTJOIN("_",TRUE,TRIM(_xlfn.TEXTSPLIT(PartList[[#This Row],[GRID LOCATION]],{"PR01","/","-"})))</f>
        <v>10_11_B&gt;</v>
      </c>
      <c r="H34" t="str" cm="1">
        <f t="array" ref="H3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4" cm="1">
        <f t="array" ref="I3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4" t="str">
        <f>IF(IFERROR(SEARCH("&gt;",PartList[[#This Row],[ID]]),0),"O",IF(IFERROR(SEARCH("&lt;",PartList[[#This Row],[ID]]),0),"I",""))</f>
        <v>O</v>
      </c>
      <c r="K34" t="str" cm="1">
        <f t="array" ref="K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34" t="str" cm="1">
        <f t="array" ref="L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34" t="str">
        <f>_xlfn.TEXTJOIN("#",TRUE,PartList[[#This Row],[ASSLY MARK]],PartList[[#This Row],[BOX NO]],PartList[[#This Row],[In/Out]],PartList[[#This Row],[O1-Grid]])</f>
        <v>1BE26#Box1#O</v>
      </c>
      <c r="N34" t="str">
        <f>_xlfn.TEXTJOIN("#",TRUE,PartList[[#This Row],[ASSLY MARK]],PartList[[#This Row],[BOX NO]],PartList[[#This Row],[In/Out]],PartList[[#This Row],[O2-Grid]])</f>
        <v>1BE26#Box1#O</v>
      </c>
      <c r="O34">
        <f>IF(PartList[[#This Row],[Unique]]="Yes",_xlfn.XLOOKUP(PartList[[#This Row],[ASSLY MARK]],FilteredPL!A:A,FilteredPL!B:B,0,0),0)</f>
        <v>0</v>
      </c>
      <c r="P34">
        <f>_xlfn.XLOOKUP(PartList[[#This Row],[ASSLY MARK]],MasterPL[SplitMarkNo],MasterPL[BILL WT.(KG)],0,0)</f>
        <v>0</v>
      </c>
      <c r="Q34" cm="1">
        <f t="array" ref="Q3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4" s="2" t="str">
        <v>1BE39</v>
      </c>
      <c r="AB34" s="2">
        <f>SUMIF(PartList[ASSLY MARK],AA34,PartList[Avail. Qty])</f>
        <v>0</v>
      </c>
    </row>
    <row r="35" spans="1:28" x14ac:dyDescent="0.25">
      <c r="A35">
        <v>41</v>
      </c>
      <c r="B35" t="s">
        <v>115</v>
      </c>
      <c r="C35" t="s">
        <v>528</v>
      </c>
      <c r="D35" t="s">
        <v>90</v>
      </c>
      <c r="E35" t="s">
        <v>5</v>
      </c>
      <c r="F35" t="str" cm="1">
        <f t="array" ref="F35">IF(SUM(IF(PartList[ASSLY MARK]=PartList[[#This Row],[ASSLY MARK]],1,0))&gt;1,"No","Yes")</f>
        <v>Yes</v>
      </c>
      <c r="G35" t="str" cm="1">
        <f t="array" ref="G35">_xlfn.TEXTJOIN("_",TRUE,TRIM(_xlfn.TEXTSPLIT(PartList[[#This Row],[GRID LOCATION]],{"PR01","/","-"})))</f>
        <v>11_A'_A</v>
      </c>
      <c r="H35" t="str" cm="1">
        <f t="array" ref="H3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35" cm="1">
        <f t="array" ref="I3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5" t="str">
        <f>IF(IFERROR(SEARCH("&gt;",PartList[[#This Row],[ID]]),0),"O",IF(IFERROR(SEARCH("&lt;",PartList[[#This Row],[ID]]),0),"I",""))</f>
        <v/>
      </c>
      <c r="K35" t="str" cm="1">
        <f t="array" ref="K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5" t="str" cm="1">
        <f t="array" ref="L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5" t="str">
        <f>_xlfn.TEXTJOIN("#",TRUE,PartList[[#This Row],[ASSLY MARK]],PartList[[#This Row],[BOX NO]],PartList[[#This Row],[In/Out]],PartList[[#This Row],[O1-Grid]])</f>
        <v>1BE27#Box1_Box4#InBB</v>
      </c>
      <c r="N35" t="str">
        <f>_xlfn.TEXTJOIN("#",TRUE,PartList[[#This Row],[ASSLY MARK]],PartList[[#This Row],[BOX NO]],PartList[[#This Row],[In/Out]],PartList[[#This Row],[O2-Grid]])</f>
        <v>1BE27#Box1_Box4#InBB</v>
      </c>
      <c r="O35">
        <f>IF(PartList[[#This Row],[Unique]]="Yes",_xlfn.XLOOKUP(PartList[[#This Row],[ASSLY MARK]],FilteredPL!A:A,FilteredPL!B:B,0,0),0)</f>
        <v>0</v>
      </c>
      <c r="P35">
        <f>_xlfn.XLOOKUP(PartList[[#This Row],[ASSLY MARK]],MasterPL[SplitMarkNo],MasterPL[BILL WT.(KG)],0,0)</f>
        <v>0</v>
      </c>
      <c r="Q35" cm="1">
        <f t="array" ref="Q3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5" s="2" t="str">
        <v>1BE40</v>
      </c>
      <c r="AB35" s="2">
        <f>SUMIF(PartList[ASSLY MARK],AA35,PartList[Avail. Qty])</f>
        <v>0</v>
      </c>
    </row>
    <row r="36" spans="1:28" x14ac:dyDescent="0.25">
      <c r="A36">
        <v>42</v>
      </c>
      <c r="B36" t="s">
        <v>116</v>
      </c>
      <c r="C36" t="s">
        <v>529</v>
      </c>
      <c r="D36" t="s">
        <v>90</v>
      </c>
      <c r="E36" t="s">
        <v>5</v>
      </c>
      <c r="F36" t="str" cm="1">
        <f t="array" ref="F36">IF(SUM(IF(PartList[ASSLY MARK]=PartList[[#This Row],[ASSLY MARK]],1,0))&gt;1,"No","Yes")</f>
        <v>Yes</v>
      </c>
      <c r="G36" t="str" cm="1">
        <f t="array" ref="G36">_xlfn.TEXTJOIN("_",TRUE,TRIM(_xlfn.TEXTSPLIT(PartList[[#This Row],[GRID LOCATION]],{"PR01","/","-"})))</f>
        <v>11_A_B</v>
      </c>
      <c r="H36" t="str" cm="1">
        <f t="array" ref="H3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6" cm="1">
        <f t="array" ref="I3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6" t="str">
        <f>IF(IFERROR(SEARCH("&gt;",PartList[[#This Row],[ID]]),0),"O",IF(IFERROR(SEARCH("&lt;",PartList[[#This Row],[ID]]),0),"I",""))</f>
        <v/>
      </c>
      <c r="K36" t="str" cm="1">
        <f t="array" ref="K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11_A_B</v>
      </c>
      <c r="L36" t="str" cm="1">
        <f t="array" ref="L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6" t="str">
        <f>_xlfn.TEXTJOIN("#",TRUE,PartList[[#This Row],[ASSLY MARK]],PartList[[#This Row],[BOX NO]],PartList[[#This Row],[In/Out]],PartList[[#This Row],[O1-Grid]])</f>
        <v>1BE28#Box1#11_A_B</v>
      </c>
      <c r="N36" t="str">
        <f>_xlfn.TEXTJOIN("#",TRUE,PartList[[#This Row],[ASSLY MARK]],PartList[[#This Row],[BOX NO]],PartList[[#This Row],[In/Out]],PartList[[#This Row],[O2-Grid]])</f>
        <v>1BE28#Box1#InB</v>
      </c>
      <c r="O36">
        <f>IF(PartList[[#This Row],[Unique]]="Yes",_xlfn.XLOOKUP(PartList[[#This Row],[ASSLY MARK]],FilteredPL!A:A,FilteredPL!B:B,0,0),0)</f>
        <v>1</v>
      </c>
      <c r="P36">
        <f>_xlfn.XLOOKUP(PartList[[#This Row],[ASSLY MARK]],MasterPL[SplitMarkNo],MasterPL[BILL WT.(KG)],0,0)</f>
        <v>1605.12</v>
      </c>
      <c r="Q36" cm="1">
        <f t="array" ref="Q3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6" s="2" t="str">
        <v>1BE99</v>
      </c>
      <c r="AB36" s="2">
        <f>SUMIF(PartList[ASSLY MARK],AA36,PartList[Avail. Qty])</f>
        <v>0</v>
      </c>
    </row>
    <row r="37" spans="1:28" x14ac:dyDescent="0.25">
      <c r="A37">
        <v>43</v>
      </c>
      <c r="B37" t="s">
        <v>117</v>
      </c>
      <c r="C37" t="s">
        <v>530</v>
      </c>
      <c r="D37" t="s">
        <v>90</v>
      </c>
      <c r="E37" t="s">
        <v>5</v>
      </c>
      <c r="F37" t="str" cm="1">
        <f t="array" ref="F37">IF(SUM(IF(PartList[ASSLY MARK]=PartList[[#This Row],[ASSLY MARK]],1,0))&gt;1,"No","Yes")</f>
        <v>Yes</v>
      </c>
      <c r="G37" t="str" cm="1">
        <f t="array" ref="G37">_xlfn.TEXTJOIN("_",TRUE,TRIM(_xlfn.TEXTSPLIT(PartList[[#This Row],[GRID LOCATION]],{"PR01","/","-"})))</f>
        <v>11_B&gt;</v>
      </c>
      <c r="H37" t="str" cm="1">
        <f t="array" ref="H3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7" cm="1">
        <f t="array" ref="I3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7" t="str">
        <f>IF(IFERROR(SEARCH("&gt;",PartList[[#This Row],[ID]]),0),"O",IF(IFERROR(SEARCH("&lt;",PartList[[#This Row],[ID]]),0),"I",""))</f>
        <v>O</v>
      </c>
      <c r="K37" t="str" cm="1">
        <f t="array" ref="K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37" t="str" cm="1">
        <f t="array" ref="L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37" t="str">
        <f>_xlfn.TEXTJOIN("#",TRUE,PartList[[#This Row],[ASSLY MARK]],PartList[[#This Row],[BOX NO]],PartList[[#This Row],[In/Out]],PartList[[#This Row],[O1-Grid]])</f>
        <v>1BE29#Box1#O</v>
      </c>
      <c r="N37" t="str">
        <f>_xlfn.TEXTJOIN("#",TRUE,PartList[[#This Row],[ASSLY MARK]],PartList[[#This Row],[BOX NO]],PartList[[#This Row],[In/Out]],PartList[[#This Row],[O2-Grid]])</f>
        <v>1BE29#Box1#O</v>
      </c>
      <c r="O37">
        <f>IF(PartList[[#This Row],[Unique]]="Yes",_xlfn.XLOOKUP(PartList[[#This Row],[ASSLY MARK]],FilteredPL!A:A,FilteredPL!B:B,0,0),0)</f>
        <v>0</v>
      </c>
      <c r="P37">
        <f>_xlfn.XLOOKUP(PartList[[#This Row],[ASSLY MARK]],MasterPL[SplitMarkNo],MasterPL[BILL WT.(KG)],0,0)</f>
        <v>0</v>
      </c>
      <c r="Q37" cm="1">
        <f t="array" ref="Q3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7" s="2" t="str">
        <v>1BE100</v>
      </c>
      <c r="AB37" s="2">
        <f>SUMIF(PartList[ASSLY MARK],AA37,PartList[Avail. Qty])</f>
        <v>0</v>
      </c>
    </row>
    <row r="38" spans="1:28" x14ac:dyDescent="0.25">
      <c r="A38">
        <v>44</v>
      </c>
      <c r="B38" t="s">
        <v>118</v>
      </c>
      <c r="C38" t="s">
        <v>531</v>
      </c>
      <c r="D38" t="s">
        <v>90</v>
      </c>
      <c r="E38" t="s">
        <v>5</v>
      </c>
      <c r="F38" t="str" cm="1">
        <f t="array" ref="F38">IF(SUM(IF(PartList[ASSLY MARK]=PartList[[#This Row],[ASSLY MARK]],1,0))&gt;1,"No","Yes")</f>
        <v>No</v>
      </c>
      <c r="G38" t="str" cm="1">
        <f t="array" ref="G38">_xlfn.TEXTJOIN("_",TRUE,TRIM(_xlfn.TEXTSPLIT(PartList[[#This Row],[GRID LOCATION]],{"PR01","/","-"})))</f>
        <v>11_12_B&gt;</v>
      </c>
      <c r="H38" t="str" cm="1">
        <f t="array" ref="H3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8" cm="1">
        <f t="array" ref="I3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8" t="str">
        <f>IF(IFERROR(SEARCH("&gt;",PartList[[#This Row],[ID]]),0),"O",IF(IFERROR(SEARCH("&lt;",PartList[[#This Row],[ID]]),0),"I",""))</f>
        <v>O</v>
      </c>
      <c r="K38" t="str" cm="1">
        <f t="array" ref="K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38" t="str" cm="1">
        <f t="array" ref="L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38" t="str">
        <f>_xlfn.TEXTJOIN("#",TRUE,PartList[[#This Row],[ASSLY MARK]],PartList[[#This Row],[BOX NO]],PartList[[#This Row],[In/Out]],PartList[[#This Row],[O1-Grid]])</f>
        <v>1BE30#Box1_Box2#O</v>
      </c>
      <c r="N38" t="str">
        <f>_xlfn.TEXTJOIN("#",TRUE,PartList[[#This Row],[ASSLY MARK]],PartList[[#This Row],[BOX NO]],PartList[[#This Row],[In/Out]],PartList[[#This Row],[O2-Grid]])</f>
        <v>1BE30#Box1_Box2#O</v>
      </c>
      <c r="O38">
        <f>IF(PartList[[#This Row],[Unique]]="Yes",_xlfn.XLOOKUP(PartList[[#This Row],[ASSLY MARK]],FilteredPL!A:A,FilteredPL!B:B,0,0),0)</f>
        <v>0</v>
      </c>
      <c r="P38">
        <f>_xlfn.XLOOKUP(PartList[[#This Row],[ASSLY MARK]],MasterPL[SplitMarkNo],MasterPL[BILL WT.(KG)],0,0)</f>
        <v>0</v>
      </c>
      <c r="Q38" cm="1">
        <f t="array" ref="Q3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8" s="2" t="str">
        <v>1FR01</v>
      </c>
      <c r="AB38" s="2">
        <f>SUMIF(PartList[ASSLY MARK],AA38,PartList[Avail. Qty])</f>
        <v>0</v>
      </c>
    </row>
    <row r="39" spans="1:28" x14ac:dyDescent="0.25">
      <c r="A39">
        <v>45</v>
      </c>
      <c r="B39" t="s">
        <v>118</v>
      </c>
      <c r="C39" t="s">
        <v>531</v>
      </c>
      <c r="D39" t="s">
        <v>90</v>
      </c>
      <c r="E39" t="s">
        <v>5</v>
      </c>
      <c r="F39" t="str" cm="1">
        <f t="array" ref="F39">IF(SUM(IF(PartList[ASSLY MARK]=PartList[[#This Row],[ASSLY MARK]],1,0))&gt;1,"No","Yes")</f>
        <v>No</v>
      </c>
      <c r="G39" t="str" cm="1">
        <f t="array" ref="G39">_xlfn.TEXTJOIN("_",TRUE,TRIM(_xlfn.TEXTSPLIT(PartList[[#This Row],[GRID LOCATION]],{"PR01","/","-"})))</f>
        <v>11_12_B&gt;</v>
      </c>
      <c r="H39" t="str" cm="1">
        <f t="array" ref="H3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9" cm="1">
        <f t="array" ref="I3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9" t="str">
        <f>IF(IFERROR(SEARCH("&gt;",PartList[[#This Row],[ID]]),0),"O",IF(IFERROR(SEARCH("&lt;",PartList[[#This Row],[ID]]),0),"I",""))</f>
        <v>O</v>
      </c>
      <c r="K39" t="str" cm="1">
        <f t="array" ref="K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39" t="str" cm="1">
        <f t="array" ref="L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39" t="str">
        <f>_xlfn.TEXTJOIN("#",TRUE,PartList[[#This Row],[ASSLY MARK]],PartList[[#This Row],[BOX NO]],PartList[[#This Row],[In/Out]],PartList[[#This Row],[O1-Grid]])</f>
        <v>1BE30#Box1_Box2#O</v>
      </c>
      <c r="N39" t="str">
        <f>_xlfn.TEXTJOIN("#",TRUE,PartList[[#This Row],[ASSLY MARK]],PartList[[#This Row],[BOX NO]],PartList[[#This Row],[In/Out]],PartList[[#This Row],[O2-Grid]])</f>
        <v>1BE30#Box1_Box2#O</v>
      </c>
      <c r="O39">
        <f>IF(PartList[[#This Row],[Unique]]="Yes",_xlfn.XLOOKUP(PartList[[#This Row],[ASSLY MARK]],FilteredPL!A:A,FilteredPL!B:B,0,0),0)</f>
        <v>0</v>
      </c>
      <c r="P39">
        <f>_xlfn.XLOOKUP(PartList[[#This Row],[ASSLY MARK]],MasterPL[SplitMarkNo],MasterPL[BILL WT.(KG)],0,0)</f>
        <v>0</v>
      </c>
      <c r="Q39" cm="1">
        <f t="array" ref="Q3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9" s="2" t="str">
        <v>1FR02</v>
      </c>
      <c r="AB39" s="2">
        <f>SUMIF(PartList[ASSLY MARK],AA39,PartList[Avail. Qty])</f>
        <v>0</v>
      </c>
    </row>
    <row r="40" spans="1:28" x14ac:dyDescent="0.25">
      <c r="A40">
        <v>46</v>
      </c>
      <c r="B40" t="s">
        <v>118</v>
      </c>
      <c r="C40" t="s">
        <v>531</v>
      </c>
      <c r="D40" t="s">
        <v>90</v>
      </c>
      <c r="E40" t="s">
        <v>5</v>
      </c>
      <c r="F40" t="str" cm="1">
        <f t="array" ref="F40">IF(SUM(IF(PartList[ASSLY MARK]=PartList[[#This Row],[ASSLY MARK]],1,0))&gt;1,"No","Yes")</f>
        <v>No</v>
      </c>
      <c r="G40" t="str" cm="1">
        <f t="array" ref="G40">_xlfn.TEXTJOIN("_",TRUE,TRIM(_xlfn.TEXTSPLIT(PartList[[#This Row],[GRID LOCATION]],{"PR01","/","-"})))</f>
        <v>11_12_B&gt;</v>
      </c>
      <c r="H40" t="str" cm="1">
        <f t="array" ref="H4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40" cm="1">
        <f t="array" ref="I4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0" t="str">
        <f>IF(IFERROR(SEARCH("&gt;",PartList[[#This Row],[ID]]),0),"O",IF(IFERROR(SEARCH("&lt;",PartList[[#This Row],[ID]]),0),"I",""))</f>
        <v>O</v>
      </c>
      <c r="K40" t="str" cm="1">
        <f t="array" ref="K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40" t="str" cm="1">
        <f t="array" ref="L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40" t="str">
        <f>_xlfn.TEXTJOIN("#",TRUE,PartList[[#This Row],[ASSLY MARK]],PartList[[#This Row],[BOX NO]],PartList[[#This Row],[In/Out]],PartList[[#This Row],[O1-Grid]])</f>
        <v>1BE30#Box1_Box2#O</v>
      </c>
      <c r="N40" t="str">
        <f>_xlfn.TEXTJOIN("#",TRUE,PartList[[#This Row],[ASSLY MARK]],PartList[[#This Row],[BOX NO]],PartList[[#This Row],[In/Out]],PartList[[#This Row],[O2-Grid]])</f>
        <v>1BE30#Box1_Box2#O</v>
      </c>
      <c r="O40">
        <f>IF(PartList[[#This Row],[Unique]]="Yes",_xlfn.XLOOKUP(PartList[[#This Row],[ASSLY MARK]],FilteredPL!A:A,FilteredPL!B:B,0,0),0)</f>
        <v>0</v>
      </c>
      <c r="P40">
        <f>_xlfn.XLOOKUP(PartList[[#This Row],[ASSLY MARK]],MasterPL[SplitMarkNo],MasterPL[BILL WT.(KG)],0,0)</f>
        <v>0</v>
      </c>
      <c r="Q40" cm="1">
        <f t="array" ref="Q4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0" s="2" t="str">
        <v>1HA02</v>
      </c>
      <c r="AB40" s="2">
        <f>SUMIF(PartList[ASSLY MARK],AA40,PartList[Avail. Qty])</f>
        <v>0</v>
      </c>
    </row>
    <row r="41" spans="1:28" x14ac:dyDescent="0.25">
      <c r="A41">
        <v>47</v>
      </c>
      <c r="B41" t="s">
        <v>118</v>
      </c>
      <c r="C41" t="s">
        <v>531</v>
      </c>
      <c r="D41" t="s">
        <v>90</v>
      </c>
      <c r="E41" t="s">
        <v>5</v>
      </c>
      <c r="F41" t="str" cm="1">
        <f t="array" ref="F41">IF(SUM(IF(PartList[ASSLY MARK]=PartList[[#This Row],[ASSLY MARK]],1,0))&gt;1,"No","Yes")</f>
        <v>No</v>
      </c>
      <c r="G41" t="str" cm="1">
        <f t="array" ref="G41">_xlfn.TEXTJOIN("_",TRUE,TRIM(_xlfn.TEXTSPLIT(PartList[[#This Row],[GRID LOCATION]],{"PR01","/","-"})))</f>
        <v>11_12_B&gt;</v>
      </c>
      <c r="H41" t="str" cm="1">
        <f t="array" ref="H4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41" cm="1">
        <f t="array" ref="I4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1" t="str">
        <f>IF(IFERROR(SEARCH("&gt;",PartList[[#This Row],[ID]]),0),"O",IF(IFERROR(SEARCH("&lt;",PartList[[#This Row],[ID]]),0),"I",""))</f>
        <v>O</v>
      </c>
      <c r="K41" t="str" cm="1">
        <f t="array" ref="K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41" t="str" cm="1">
        <f t="array" ref="L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41" t="str">
        <f>_xlfn.TEXTJOIN("#",TRUE,PartList[[#This Row],[ASSLY MARK]],PartList[[#This Row],[BOX NO]],PartList[[#This Row],[In/Out]],PartList[[#This Row],[O1-Grid]])</f>
        <v>1BE30#Box1_Box2#O</v>
      </c>
      <c r="N41" t="str">
        <f>_xlfn.TEXTJOIN("#",TRUE,PartList[[#This Row],[ASSLY MARK]],PartList[[#This Row],[BOX NO]],PartList[[#This Row],[In/Out]],PartList[[#This Row],[O2-Grid]])</f>
        <v>1BE30#Box1_Box2#O</v>
      </c>
      <c r="O41">
        <f>IF(PartList[[#This Row],[Unique]]="Yes",_xlfn.XLOOKUP(PartList[[#This Row],[ASSLY MARK]],FilteredPL!A:A,FilteredPL!B:B,0,0),0)</f>
        <v>0</v>
      </c>
      <c r="P41">
        <f>_xlfn.XLOOKUP(PartList[[#This Row],[ASSLY MARK]],MasterPL[SplitMarkNo],MasterPL[BILL WT.(KG)],0,0)</f>
        <v>0</v>
      </c>
      <c r="Q41" cm="1">
        <f t="array" ref="Q4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1" s="2" t="str">
        <v>1HA03</v>
      </c>
      <c r="AB41" s="2">
        <f>SUMIF(PartList[ASSLY MARK],AA41,PartList[Avail. Qty])</f>
        <v>0</v>
      </c>
    </row>
    <row r="42" spans="1:28" x14ac:dyDescent="0.25">
      <c r="A42">
        <v>48</v>
      </c>
      <c r="B42" t="s">
        <v>119</v>
      </c>
      <c r="C42" t="s">
        <v>531</v>
      </c>
      <c r="D42" t="s">
        <v>90</v>
      </c>
      <c r="E42" t="s">
        <v>5</v>
      </c>
      <c r="F42" t="str" cm="1">
        <f t="array" ref="F42">IF(SUM(IF(PartList[ASSLY MARK]=PartList[[#This Row],[ASSLY MARK]],1,0))&gt;1,"No","Yes")</f>
        <v>Yes</v>
      </c>
      <c r="G42" t="str" cm="1">
        <f t="array" ref="G42">_xlfn.TEXTJOIN("_",TRUE,TRIM(_xlfn.TEXTSPLIT(PartList[[#This Row],[GRID LOCATION]],{"PR01","/","-"})))</f>
        <v>11_12_B&gt;</v>
      </c>
      <c r="H42" t="str" cm="1">
        <f t="array" ref="H4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42" cm="1">
        <f t="array" ref="I4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2" t="str">
        <f>IF(IFERROR(SEARCH("&gt;",PartList[[#This Row],[ID]]),0),"O",IF(IFERROR(SEARCH("&lt;",PartList[[#This Row],[ID]]),0),"I",""))</f>
        <v>O</v>
      </c>
      <c r="K42" t="str" cm="1">
        <f t="array" ref="K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42" t="str" cm="1">
        <f t="array" ref="L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42" t="str">
        <f>_xlfn.TEXTJOIN("#",TRUE,PartList[[#This Row],[ASSLY MARK]],PartList[[#This Row],[BOX NO]],PartList[[#This Row],[In/Out]],PartList[[#This Row],[O1-Grid]])</f>
        <v>1BE31#Box1_Box2#O</v>
      </c>
      <c r="N42" t="str">
        <f>_xlfn.TEXTJOIN("#",TRUE,PartList[[#This Row],[ASSLY MARK]],PartList[[#This Row],[BOX NO]],PartList[[#This Row],[In/Out]],PartList[[#This Row],[O2-Grid]])</f>
        <v>1BE31#Box1_Box2#O</v>
      </c>
      <c r="O42">
        <f>IF(PartList[[#This Row],[Unique]]="Yes",_xlfn.XLOOKUP(PartList[[#This Row],[ASSLY MARK]],FilteredPL!A:A,FilteredPL!B:B,0,0),0)</f>
        <v>0</v>
      </c>
      <c r="P42">
        <f>_xlfn.XLOOKUP(PartList[[#This Row],[ASSLY MARK]],MasterPL[SplitMarkNo],MasterPL[BILL WT.(KG)],0,0)</f>
        <v>0</v>
      </c>
      <c r="Q42" cm="1">
        <f t="array" ref="Q4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2" s="2" t="str">
        <v>1HA04</v>
      </c>
      <c r="AB42" s="2">
        <f>SUMIF(PartList[ASSLY MARK],AA42,PartList[Avail. Qty])</f>
        <v>0</v>
      </c>
    </row>
    <row r="43" spans="1:28" x14ac:dyDescent="0.25">
      <c r="A43">
        <v>49</v>
      </c>
      <c r="B43" t="s">
        <v>120</v>
      </c>
      <c r="C43" t="s">
        <v>532</v>
      </c>
      <c r="D43" t="s">
        <v>88</v>
      </c>
      <c r="E43" t="s">
        <v>5</v>
      </c>
      <c r="F43" t="str" cm="1">
        <f t="array" ref="F43">IF(SUM(IF(PartList[ASSLY MARK]=PartList[[#This Row],[ASSLY MARK]],1,0))&gt;1,"No","Yes")</f>
        <v>Yes</v>
      </c>
      <c r="G43" t="str" cm="1">
        <f t="array" ref="G43">_xlfn.TEXTJOIN("_",TRUE,TRIM(_xlfn.TEXTSPLIT(PartList[[#This Row],[GRID LOCATION]],{"PR01","/","-"})))</f>
        <v>11_12_A_B</v>
      </c>
      <c r="H43" t="str" cm="1">
        <f t="array" ref="H4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43" cm="1">
        <f t="array" ref="I4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3" t="str">
        <f>IF(IFERROR(SEARCH("&gt;",PartList[[#This Row],[ID]]),0),"O",IF(IFERROR(SEARCH("&lt;",PartList[[#This Row],[ID]]),0),"I",""))</f>
        <v/>
      </c>
      <c r="K43" t="str" cm="1">
        <f t="array" ref="K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3" t="str" cm="1">
        <f t="array" ref="L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3" t="str">
        <f>_xlfn.TEXTJOIN("#",TRUE,PartList[[#This Row],[ASSLY MARK]],PartList[[#This Row],[BOX NO]],PartList[[#This Row],[In/Out]],PartList[[#This Row],[O1-Grid]])</f>
        <v>1BE32#Box1_Box2#InBB</v>
      </c>
      <c r="N43" t="str">
        <f>_xlfn.TEXTJOIN("#",TRUE,PartList[[#This Row],[ASSLY MARK]],PartList[[#This Row],[BOX NO]],PartList[[#This Row],[In/Out]],PartList[[#This Row],[O2-Grid]])</f>
        <v>1BE32#Box1_Box2#InBB</v>
      </c>
      <c r="O43">
        <f>IF(PartList[[#This Row],[Unique]]="Yes",_xlfn.XLOOKUP(PartList[[#This Row],[ASSLY MARK]],FilteredPL!A:A,FilteredPL!B:B,0,0),0)</f>
        <v>0</v>
      </c>
      <c r="P43">
        <f>_xlfn.XLOOKUP(PartList[[#This Row],[ASSLY MARK]],MasterPL[SplitMarkNo],MasterPL[BILL WT.(KG)],0,0)</f>
        <v>0</v>
      </c>
      <c r="Q43" cm="1">
        <f t="array" ref="Q4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3" s="2" t="str">
        <v>1HB01</v>
      </c>
      <c r="AB43" s="2">
        <f>SUMIF(PartList[ASSLY MARK],AA43,PartList[Avail. Qty])</f>
        <v>0</v>
      </c>
    </row>
    <row r="44" spans="1:28" x14ac:dyDescent="0.25">
      <c r="A44">
        <v>50</v>
      </c>
      <c r="B44" t="s">
        <v>121</v>
      </c>
      <c r="C44" t="s">
        <v>531</v>
      </c>
      <c r="D44" t="s">
        <v>90</v>
      </c>
      <c r="E44" t="s">
        <v>5</v>
      </c>
      <c r="F44" t="str" cm="1">
        <f t="array" ref="F44">IF(SUM(IF(PartList[ASSLY MARK]=PartList[[#This Row],[ASSLY MARK]],1,0))&gt;1,"No","Yes")</f>
        <v>Yes</v>
      </c>
      <c r="G44" t="str" cm="1">
        <f t="array" ref="G44">_xlfn.TEXTJOIN("_",TRUE,TRIM(_xlfn.TEXTSPLIT(PartList[[#This Row],[GRID LOCATION]],{"PR01","/","-"})))</f>
        <v>11_12_B&gt;</v>
      </c>
      <c r="H44" t="str" cm="1">
        <f t="array" ref="H4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44" cm="1">
        <f t="array" ref="I4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4" t="str">
        <f>IF(IFERROR(SEARCH("&gt;",PartList[[#This Row],[ID]]),0),"O",IF(IFERROR(SEARCH("&lt;",PartList[[#This Row],[ID]]),0),"I",""))</f>
        <v>O</v>
      </c>
      <c r="K44" t="str" cm="1">
        <f t="array" ref="K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44" t="str" cm="1">
        <f t="array" ref="L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44" t="str">
        <f>_xlfn.TEXTJOIN("#",TRUE,PartList[[#This Row],[ASSLY MARK]],PartList[[#This Row],[BOX NO]],PartList[[#This Row],[In/Out]],PartList[[#This Row],[O1-Grid]])</f>
        <v>1BE33#Box1_Box2#O</v>
      </c>
      <c r="N44" t="str">
        <f>_xlfn.TEXTJOIN("#",TRUE,PartList[[#This Row],[ASSLY MARK]],PartList[[#This Row],[BOX NO]],PartList[[#This Row],[In/Out]],PartList[[#This Row],[O2-Grid]])</f>
        <v>1BE33#Box1_Box2#O</v>
      </c>
      <c r="O44">
        <f>IF(PartList[[#This Row],[Unique]]="Yes",_xlfn.XLOOKUP(PartList[[#This Row],[ASSLY MARK]],FilteredPL!A:A,FilteredPL!B:B,0,0),0)</f>
        <v>0</v>
      </c>
      <c r="P44">
        <f>_xlfn.XLOOKUP(PartList[[#This Row],[ASSLY MARK]],MasterPL[SplitMarkNo],MasterPL[BILL WT.(KG)],0,0)</f>
        <v>0</v>
      </c>
      <c r="Q44" cm="1">
        <f t="array" ref="Q4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4" s="2" t="str">
        <v>1HB02</v>
      </c>
      <c r="AB44" s="2">
        <f>SUMIF(PartList[ASSLY MARK],AA44,PartList[Avail. Qty])</f>
        <v>0</v>
      </c>
    </row>
    <row r="45" spans="1:28" x14ac:dyDescent="0.25">
      <c r="A45">
        <v>51</v>
      </c>
      <c r="B45" t="s">
        <v>122</v>
      </c>
      <c r="C45" t="s">
        <v>511</v>
      </c>
      <c r="D45" t="s">
        <v>90</v>
      </c>
      <c r="E45" t="s">
        <v>5</v>
      </c>
      <c r="F45" t="str" cm="1">
        <f t="array" ref="F45">IF(SUM(IF(PartList[ASSLY MARK]=PartList[[#This Row],[ASSLY MARK]],1,0))&gt;1,"No","Yes")</f>
        <v>Yes</v>
      </c>
      <c r="G45" t="str" cm="1">
        <f t="array" ref="G45">_xlfn.TEXTJOIN("_",TRUE,TRIM(_xlfn.TEXTSPLIT(PartList[[#This Row],[GRID LOCATION]],{"PR01","/","-"})))</f>
        <v>11_12_A'_A</v>
      </c>
      <c r="H45" t="str" cm="1">
        <f t="array" ref="H4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45" cm="1">
        <f t="array" ref="I4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5" t="str">
        <f>IF(IFERROR(SEARCH("&gt;",PartList[[#This Row],[ID]]),0),"O",IF(IFERROR(SEARCH("&lt;",PartList[[#This Row],[ID]]),0),"I",""))</f>
        <v/>
      </c>
      <c r="K45" t="str" cm="1">
        <f t="array" ref="K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5" t="str" cm="1">
        <f t="array" ref="L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5" t="str">
        <f>_xlfn.TEXTJOIN("#",TRUE,PartList[[#This Row],[ASSLY MARK]],PartList[[#This Row],[BOX NO]],PartList[[#This Row],[In/Out]],PartList[[#This Row],[O1-Grid]])</f>
        <v>1BE34#Box1_Box2_Box4_Box5#InBB</v>
      </c>
      <c r="N45" t="str">
        <f>_xlfn.TEXTJOIN("#",TRUE,PartList[[#This Row],[ASSLY MARK]],PartList[[#This Row],[BOX NO]],PartList[[#This Row],[In/Out]],PartList[[#This Row],[O2-Grid]])</f>
        <v>1BE34#Box1_Box2_Box4_Box5#InBB</v>
      </c>
      <c r="O45">
        <f>IF(PartList[[#This Row],[Unique]]="Yes",_xlfn.XLOOKUP(PartList[[#This Row],[ASSLY MARK]],FilteredPL!A:A,FilteredPL!B:B,0,0),0)</f>
        <v>0</v>
      </c>
      <c r="P45">
        <f>_xlfn.XLOOKUP(PartList[[#This Row],[ASSLY MARK]],MasterPL[SplitMarkNo],MasterPL[BILL WT.(KG)],0,0)</f>
        <v>0</v>
      </c>
      <c r="Q45" cm="1">
        <f t="array" ref="Q4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5" s="2" t="str">
        <v>1HB03</v>
      </c>
      <c r="AB45" s="2">
        <f>SUMIF(PartList[ASSLY MARK],AA45,PartList[Avail. Qty])</f>
        <v>0</v>
      </c>
    </row>
    <row r="46" spans="1:28" x14ac:dyDescent="0.25">
      <c r="A46">
        <v>52</v>
      </c>
      <c r="B46" t="s">
        <v>123</v>
      </c>
      <c r="C46" t="s">
        <v>533</v>
      </c>
      <c r="D46" t="s">
        <v>90</v>
      </c>
      <c r="E46" t="s">
        <v>5</v>
      </c>
      <c r="F46" t="str" cm="1">
        <f t="array" ref="F46">IF(SUM(IF(PartList[ASSLY MARK]=PartList[[#This Row],[ASSLY MARK]],1,0))&gt;1,"No","Yes")</f>
        <v>Yes</v>
      </c>
      <c r="G46" t="str" cm="1">
        <f t="array" ref="G46">_xlfn.TEXTJOIN("_",TRUE,TRIM(_xlfn.TEXTSPLIT(PartList[[#This Row],[GRID LOCATION]],{"PR01","/","-"})))</f>
        <v>11_12_A</v>
      </c>
      <c r="H46" t="str" cm="1">
        <f t="array" ref="H4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46" cm="1">
        <f t="array" ref="I4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6" t="str">
        <f>IF(IFERROR(SEARCH("&gt;",PartList[[#This Row],[ID]]),0),"O",IF(IFERROR(SEARCH("&lt;",PartList[[#This Row],[ID]]),0),"I",""))</f>
        <v/>
      </c>
      <c r="K46" t="str" cm="1">
        <f t="array" ref="K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6" t="str" cm="1">
        <f t="array" ref="L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6" t="str">
        <f>_xlfn.TEXTJOIN("#",TRUE,PartList[[#This Row],[ASSLY MARK]],PartList[[#This Row],[BOX NO]],PartList[[#This Row],[In/Out]],PartList[[#This Row],[O1-Grid]])</f>
        <v>1BE35#Box1_Box2#InBB</v>
      </c>
      <c r="N46" t="str">
        <f>_xlfn.TEXTJOIN("#",TRUE,PartList[[#This Row],[ASSLY MARK]],PartList[[#This Row],[BOX NO]],PartList[[#This Row],[In/Out]],PartList[[#This Row],[O2-Grid]])</f>
        <v>1BE35#Box1_Box2#InBB</v>
      </c>
      <c r="O46">
        <f>IF(PartList[[#This Row],[Unique]]="Yes",_xlfn.XLOOKUP(PartList[[#This Row],[ASSLY MARK]],FilteredPL!A:A,FilteredPL!B:B,0,0),0)</f>
        <v>0</v>
      </c>
      <c r="P46">
        <f>_xlfn.XLOOKUP(PartList[[#This Row],[ASSLY MARK]],MasterPL[SplitMarkNo],MasterPL[BILL WT.(KG)],0,0)</f>
        <v>0</v>
      </c>
      <c r="Q46" cm="1">
        <f t="array" ref="Q4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6" s="2" t="str">
        <v>1HB04</v>
      </c>
      <c r="AB46" s="2">
        <f>SUMIF(PartList[ASSLY MARK],AA46,PartList[Avail. Qty])</f>
        <v>0</v>
      </c>
    </row>
    <row r="47" spans="1:28" x14ac:dyDescent="0.25">
      <c r="A47">
        <v>53</v>
      </c>
      <c r="B47" t="s">
        <v>124</v>
      </c>
      <c r="C47" t="s">
        <v>532</v>
      </c>
      <c r="D47" t="s">
        <v>90</v>
      </c>
      <c r="E47" t="s">
        <v>5</v>
      </c>
      <c r="F47" t="str" cm="1">
        <f t="array" ref="F47">IF(SUM(IF(PartList[ASSLY MARK]=PartList[[#This Row],[ASSLY MARK]],1,0))&gt;1,"No","Yes")</f>
        <v>Yes</v>
      </c>
      <c r="G47" t="str" cm="1">
        <f t="array" ref="G47">_xlfn.TEXTJOIN("_",TRUE,TRIM(_xlfn.TEXTSPLIT(PartList[[#This Row],[GRID LOCATION]],{"PR01","/","-"})))</f>
        <v>11_12_A_B</v>
      </c>
      <c r="H47" t="str" cm="1">
        <f t="array" ref="H4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47" cm="1">
        <f t="array" ref="I4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7" t="str">
        <f>IF(IFERROR(SEARCH("&gt;",PartList[[#This Row],[ID]]),0),"O",IF(IFERROR(SEARCH("&lt;",PartList[[#This Row],[ID]]),0),"I",""))</f>
        <v/>
      </c>
      <c r="K47" t="str" cm="1">
        <f t="array" ref="K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7" t="str" cm="1">
        <f t="array" ref="L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7" t="str">
        <f>_xlfn.TEXTJOIN("#",TRUE,PartList[[#This Row],[ASSLY MARK]],PartList[[#This Row],[BOX NO]],PartList[[#This Row],[In/Out]],PartList[[#This Row],[O1-Grid]])</f>
        <v>1BE36#Box1_Box2#InBB</v>
      </c>
      <c r="N47" t="str">
        <f>_xlfn.TEXTJOIN("#",TRUE,PartList[[#This Row],[ASSLY MARK]],PartList[[#This Row],[BOX NO]],PartList[[#This Row],[In/Out]],PartList[[#This Row],[O2-Grid]])</f>
        <v>1BE36#Box1_Box2#InBB</v>
      </c>
      <c r="O47">
        <f>IF(PartList[[#This Row],[Unique]]="Yes",_xlfn.XLOOKUP(PartList[[#This Row],[ASSLY MARK]],FilteredPL!A:A,FilteredPL!B:B,0,0),0)</f>
        <v>0</v>
      </c>
      <c r="P47">
        <f>_xlfn.XLOOKUP(PartList[[#This Row],[ASSLY MARK]],MasterPL[SplitMarkNo],MasterPL[BILL WT.(KG)],0,0)</f>
        <v>0</v>
      </c>
      <c r="Q47" cm="1">
        <f t="array" ref="Q4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7" s="2" t="str">
        <v>1HB05</v>
      </c>
      <c r="AB47" s="2">
        <f>SUMIF(PartList[ASSLY MARK],AA47,PartList[Avail. Qty])</f>
        <v>0</v>
      </c>
    </row>
    <row r="48" spans="1:28" x14ac:dyDescent="0.25">
      <c r="A48">
        <v>54</v>
      </c>
      <c r="B48" t="s">
        <v>125</v>
      </c>
      <c r="C48" t="s">
        <v>534</v>
      </c>
      <c r="D48" t="s">
        <v>90</v>
      </c>
      <c r="E48" t="s">
        <v>5</v>
      </c>
      <c r="F48" t="str" cm="1">
        <f t="array" ref="F48">IF(SUM(IF(PartList[ASSLY MARK]=PartList[[#This Row],[ASSLY MARK]],1,0))&gt;1,"No","Yes")</f>
        <v>Yes</v>
      </c>
      <c r="G48" t="str" cm="1">
        <f t="array" ref="G48">_xlfn.TEXTJOIN("_",TRUE,TRIM(_xlfn.TEXTSPLIT(PartList[[#This Row],[GRID LOCATION]],{"PR01","/","-"})))</f>
        <v>11_12_B</v>
      </c>
      <c r="H48" t="str" cm="1">
        <f t="array" ref="H4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48" cm="1">
        <f t="array" ref="I4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8" t="str">
        <f>IF(IFERROR(SEARCH("&gt;",PartList[[#This Row],[ID]]),0),"O",IF(IFERROR(SEARCH("&lt;",PartList[[#This Row],[ID]]),0),"I",""))</f>
        <v/>
      </c>
      <c r="K48" t="str" cm="1">
        <f t="array" ref="K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8" t="str" cm="1">
        <f t="array" ref="L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8" t="str">
        <f>_xlfn.TEXTJOIN("#",TRUE,PartList[[#This Row],[ASSLY MARK]],PartList[[#This Row],[BOX NO]],PartList[[#This Row],[In/Out]],PartList[[#This Row],[O1-Grid]])</f>
        <v>1BE37#Box1_Box2#InBB</v>
      </c>
      <c r="N48" t="str">
        <f>_xlfn.TEXTJOIN("#",TRUE,PartList[[#This Row],[ASSLY MARK]],PartList[[#This Row],[BOX NO]],PartList[[#This Row],[In/Out]],PartList[[#This Row],[O2-Grid]])</f>
        <v>1BE37#Box1_Box2#InBB</v>
      </c>
      <c r="O48">
        <f>IF(PartList[[#This Row],[Unique]]="Yes",_xlfn.XLOOKUP(PartList[[#This Row],[ASSLY MARK]],FilteredPL!A:A,FilteredPL!B:B,0,0),0)</f>
        <v>0</v>
      </c>
      <c r="P48">
        <f>_xlfn.XLOOKUP(PartList[[#This Row],[ASSLY MARK]],MasterPL[SplitMarkNo],MasterPL[BILL WT.(KG)],0,0)</f>
        <v>0</v>
      </c>
      <c r="Q48" cm="1">
        <f t="array" ref="Q4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8" s="2" t="str">
        <v>1HB06</v>
      </c>
      <c r="AB48" s="2">
        <f>SUMIF(PartList[ASSLY MARK],AA48,PartList[Avail. Qty])</f>
        <v>0</v>
      </c>
    </row>
    <row r="49" spans="1:28" x14ac:dyDescent="0.25">
      <c r="A49">
        <v>55</v>
      </c>
      <c r="B49" t="s">
        <v>126</v>
      </c>
      <c r="C49" t="s">
        <v>531</v>
      </c>
      <c r="D49" t="s">
        <v>90</v>
      </c>
      <c r="E49" t="s">
        <v>5</v>
      </c>
      <c r="F49" t="str" cm="1">
        <f t="array" ref="F49">IF(SUM(IF(PartList[ASSLY MARK]=PartList[[#This Row],[ASSLY MARK]],1,0))&gt;1,"No","Yes")</f>
        <v>Yes</v>
      </c>
      <c r="G49" t="str" cm="1">
        <f t="array" ref="G49">_xlfn.TEXTJOIN("_",TRUE,TRIM(_xlfn.TEXTSPLIT(PartList[[#This Row],[GRID LOCATION]],{"PR01","/","-"})))</f>
        <v>11_12_B&gt;</v>
      </c>
      <c r="H49" t="str" cm="1">
        <f t="array" ref="H4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49" cm="1">
        <f t="array" ref="I4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9" t="str">
        <f>IF(IFERROR(SEARCH("&gt;",PartList[[#This Row],[ID]]),0),"O",IF(IFERROR(SEARCH("&lt;",PartList[[#This Row],[ID]]),0),"I",""))</f>
        <v>O</v>
      </c>
      <c r="K49" t="str" cm="1">
        <f t="array" ref="K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49" t="str" cm="1">
        <f t="array" ref="L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49" t="str">
        <f>_xlfn.TEXTJOIN("#",TRUE,PartList[[#This Row],[ASSLY MARK]],PartList[[#This Row],[BOX NO]],PartList[[#This Row],[In/Out]],PartList[[#This Row],[O1-Grid]])</f>
        <v>1BE38#Box1_Box2#O</v>
      </c>
      <c r="N49" t="str">
        <f>_xlfn.TEXTJOIN("#",TRUE,PartList[[#This Row],[ASSLY MARK]],PartList[[#This Row],[BOX NO]],PartList[[#This Row],[In/Out]],PartList[[#This Row],[O2-Grid]])</f>
        <v>1BE38#Box1_Box2#O</v>
      </c>
      <c r="O49">
        <f>IF(PartList[[#This Row],[Unique]]="Yes",_xlfn.XLOOKUP(PartList[[#This Row],[ASSLY MARK]],FilteredPL!A:A,FilteredPL!B:B,0,0),0)</f>
        <v>0</v>
      </c>
      <c r="P49">
        <f>_xlfn.XLOOKUP(PartList[[#This Row],[ASSLY MARK]],MasterPL[SplitMarkNo],MasterPL[BILL WT.(KG)],0,0)</f>
        <v>0</v>
      </c>
      <c r="Q49" cm="1">
        <f t="array" ref="Q4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9" s="2" t="str">
        <v>1HB07</v>
      </c>
      <c r="AB49" s="2">
        <f>SUMIF(PartList[ASSLY MARK],AA49,PartList[Avail. Qty])</f>
        <v>0</v>
      </c>
    </row>
    <row r="50" spans="1:28" x14ac:dyDescent="0.25">
      <c r="A50">
        <v>56</v>
      </c>
      <c r="B50" t="s">
        <v>535</v>
      </c>
      <c r="C50" t="s">
        <v>532</v>
      </c>
      <c r="D50" t="s">
        <v>88</v>
      </c>
      <c r="E50" t="s">
        <v>5</v>
      </c>
      <c r="F50" t="str" cm="1">
        <f t="array" ref="F50">IF(SUM(IF(PartList[ASSLY MARK]=PartList[[#This Row],[ASSLY MARK]],1,0))&gt;1,"No","Yes")</f>
        <v>Yes</v>
      </c>
      <c r="G50" t="str" cm="1">
        <f t="array" ref="G50">_xlfn.TEXTJOIN("_",TRUE,TRIM(_xlfn.TEXTSPLIT(PartList[[#This Row],[GRID LOCATION]],{"PR01","/","-"})))</f>
        <v>11_12_A_B</v>
      </c>
      <c r="H50" t="str" cm="1">
        <f t="array" ref="H5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0" cm="1">
        <f t="array" ref="I5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0" t="str">
        <f>IF(IFERROR(SEARCH("&gt;",PartList[[#This Row],[ID]]),0),"O",IF(IFERROR(SEARCH("&lt;",PartList[[#This Row],[ID]]),0),"I",""))</f>
        <v/>
      </c>
      <c r="K50" t="str" cm="1">
        <f t="array" ref="K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0" t="str" cm="1">
        <f t="array" ref="L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0" t="str">
        <f>_xlfn.TEXTJOIN("#",TRUE,PartList[[#This Row],[ASSLY MARK]],PartList[[#This Row],[BOX NO]],PartList[[#This Row],[In/Out]],PartList[[#This Row],[O1-Grid]])</f>
        <v>1BE39#Box1_Box2#InBB</v>
      </c>
      <c r="N50" t="str">
        <f>_xlfn.TEXTJOIN("#",TRUE,PartList[[#This Row],[ASSLY MARK]],PartList[[#This Row],[BOX NO]],PartList[[#This Row],[In/Out]],PartList[[#This Row],[O2-Grid]])</f>
        <v>1BE39#Box1_Box2#InBB</v>
      </c>
      <c r="O50">
        <f>IF(PartList[[#This Row],[Unique]]="Yes",_xlfn.XLOOKUP(PartList[[#This Row],[ASSLY MARK]],FilteredPL!A:A,FilteredPL!B:B,0,0),0)</f>
        <v>0</v>
      </c>
      <c r="P50">
        <f>_xlfn.XLOOKUP(PartList[[#This Row],[ASSLY MARK]],MasterPL[SplitMarkNo],MasterPL[BILL WT.(KG)],0,0)</f>
        <v>0</v>
      </c>
      <c r="Q50" cm="1">
        <f t="array" ref="Q5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0" s="2" t="str">
        <v>1HB08</v>
      </c>
      <c r="AB50" s="2">
        <f>SUMIF(PartList[ASSLY MARK],AA50,PartList[Avail. Qty])</f>
        <v>0</v>
      </c>
    </row>
    <row r="51" spans="1:28" x14ac:dyDescent="0.25">
      <c r="A51">
        <v>57</v>
      </c>
      <c r="B51" t="s">
        <v>536</v>
      </c>
      <c r="C51" t="s">
        <v>531</v>
      </c>
      <c r="D51" t="s">
        <v>90</v>
      </c>
      <c r="E51" t="s">
        <v>5</v>
      </c>
      <c r="F51" t="str" cm="1">
        <f t="array" ref="F51">IF(SUM(IF(PartList[ASSLY MARK]=PartList[[#This Row],[ASSLY MARK]],1,0))&gt;1,"No","Yes")</f>
        <v>Yes</v>
      </c>
      <c r="G51" t="str" cm="1">
        <f t="array" ref="G51">_xlfn.TEXTJOIN("_",TRUE,TRIM(_xlfn.TEXTSPLIT(PartList[[#This Row],[GRID LOCATION]],{"PR01","/","-"})))</f>
        <v>11_12_B&gt;</v>
      </c>
      <c r="H51" t="str" cm="1">
        <f t="array" ref="H5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1" cm="1">
        <f t="array" ref="I5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1" t="str">
        <f>IF(IFERROR(SEARCH("&gt;",PartList[[#This Row],[ID]]),0),"O",IF(IFERROR(SEARCH("&lt;",PartList[[#This Row],[ID]]),0),"I",""))</f>
        <v>O</v>
      </c>
      <c r="K51" t="str" cm="1">
        <f t="array" ref="K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51" t="str" cm="1">
        <f t="array" ref="L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51" t="str">
        <f>_xlfn.TEXTJOIN("#",TRUE,PartList[[#This Row],[ASSLY MARK]],PartList[[#This Row],[BOX NO]],PartList[[#This Row],[In/Out]],PartList[[#This Row],[O1-Grid]])</f>
        <v>1BE40#Box1_Box2#O</v>
      </c>
      <c r="N51" t="str">
        <f>_xlfn.TEXTJOIN("#",TRUE,PartList[[#This Row],[ASSLY MARK]],PartList[[#This Row],[BOX NO]],PartList[[#This Row],[In/Out]],PartList[[#This Row],[O2-Grid]])</f>
        <v>1BE40#Box1_Box2#O</v>
      </c>
      <c r="O51">
        <f>IF(PartList[[#This Row],[Unique]]="Yes",_xlfn.XLOOKUP(PartList[[#This Row],[ASSLY MARK]],FilteredPL!A:A,FilteredPL!B:B,0,0),0)</f>
        <v>0</v>
      </c>
      <c r="P51">
        <f>_xlfn.XLOOKUP(PartList[[#This Row],[ASSLY MARK]],MasterPL[SplitMarkNo],MasterPL[BILL WT.(KG)],0,0)</f>
        <v>0</v>
      </c>
      <c r="Q51" cm="1">
        <f t="array" ref="Q5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1" s="2" t="str">
        <v>1HB09</v>
      </c>
      <c r="AB51" s="2">
        <f>SUMIF(PartList[ASSLY MARK],AA51,PartList[Avail. Qty])</f>
        <v>0</v>
      </c>
    </row>
    <row r="52" spans="1:28" x14ac:dyDescent="0.25">
      <c r="A52">
        <v>140</v>
      </c>
      <c r="B52" t="s">
        <v>616</v>
      </c>
      <c r="C52" t="s">
        <v>617</v>
      </c>
      <c r="D52" t="s">
        <v>90</v>
      </c>
      <c r="E52" t="s">
        <v>5</v>
      </c>
      <c r="F52" t="str" cm="1">
        <f t="array" ref="F52">IF(SUM(IF(PartList[ASSLY MARK]=PartList[[#This Row],[ASSLY MARK]],1,0))&gt;1,"No","Yes")</f>
        <v>Yes</v>
      </c>
      <c r="G52" t="str" cm="1">
        <f t="array" ref="G52">_xlfn.TEXTJOIN("_",TRUE,TRIM(_xlfn.TEXTSPLIT(PartList[[#This Row],[GRID LOCATION]],{"PR01","/","-"})))</f>
        <v>14_A_B</v>
      </c>
      <c r="H52" t="str" cm="1">
        <f t="array" ref="H5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</v>
      </c>
      <c r="I52" cm="1">
        <f t="array" ref="I5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2" t="str">
        <f>IF(IFERROR(SEARCH("&gt;",PartList[[#This Row],[ID]]),0),"O",IF(IFERROR(SEARCH("&lt;",PartList[[#This Row],[ID]]),0),"I",""))</f>
        <v/>
      </c>
      <c r="K52" t="str" cm="1">
        <f t="array" ref="K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2" t="str" cm="1">
        <f t="array" ref="L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2" t="str">
        <f>_xlfn.TEXTJOIN("#",TRUE,PartList[[#This Row],[ASSLY MARK]],PartList[[#This Row],[BOX NO]],PartList[[#This Row],[In/Out]],PartList[[#This Row],[O1-Grid]])</f>
        <v>1BE99#Box1_Box2_Box3#InBB</v>
      </c>
      <c r="N52" t="str">
        <f>_xlfn.TEXTJOIN("#",TRUE,PartList[[#This Row],[ASSLY MARK]],PartList[[#This Row],[BOX NO]],PartList[[#This Row],[In/Out]],PartList[[#This Row],[O2-Grid]])</f>
        <v>1BE99#Box1_Box2_Box3#InBB</v>
      </c>
      <c r="O52">
        <f>IF(PartList[[#This Row],[Unique]]="Yes",_xlfn.XLOOKUP(PartList[[#This Row],[ASSLY MARK]],FilteredPL!A:A,FilteredPL!B:B,0,0),0)</f>
        <v>0</v>
      </c>
      <c r="P52">
        <f>_xlfn.XLOOKUP(PartList[[#This Row],[ASSLY MARK]],MasterPL[SplitMarkNo],MasterPL[BILL WT.(KG)],0,0)</f>
        <v>0</v>
      </c>
      <c r="Q52" cm="1">
        <f t="array" ref="Q5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2" s="2" t="str">
        <v>1HB10</v>
      </c>
      <c r="AB52" s="2">
        <f>SUMIF(PartList[ASSLY MARK],AA52,PartList[Avail. Qty])</f>
        <v>0</v>
      </c>
    </row>
    <row r="53" spans="1:28" x14ac:dyDescent="0.25">
      <c r="A53">
        <v>141</v>
      </c>
      <c r="B53" t="s">
        <v>618</v>
      </c>
      <c r="C53" t="s">
        <v>619</v>
      </c>
      <c r="D53" t="s">
        <v>90</v>
      </c>
      <c r="E53" t="s">
        <v>5</v>
      </c>
      <c r="F53" t="str" cm="1">
        <f t="array" ref="F53">IF(SUM(IF(PartList[ASSLY MARK]=PartList[[#This Row],[ASSLY MARK]],1,0))&gt;1,"No","Yes")</f>
        <v>Yes</v>
      </c>
      <c r="G53" t="str" cm="1">
        <f t="array" ref="G53">_xlfn.TEXTJOIN("_",TRUE,TRIM(_xlfn.TEXTSPLIT(PartList[[#This Row],[GRID LOCATION]],{"PR01","/","-"})))</f>
        <v>14_B&gt;</v>
      </c>
      <c r="H53" t="str" cm="1">
        <f t="array" ref="H5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53" cm="1">
        <f t="array" ref="I5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3" t="str">
        <f>IF(IFERROR(SEARCH("&gt;",PartList[[#This Row],[ID]]),0),"O",IF(IFERROR(SEARCH("&lt;",PartList[[#This Row],[ID]]),0),"I",""))</f>
        <v>O</v>
      </c>
      <c r="K53" t="str" cm="1">
        <f t="array" ref="K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53" t="str" cm="1">
        <f t="array" ref="L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53" t="str">
        <f>_xlfn.TEXTJOIN("#",TRUE,PartList[[#This Row],[ASSLY MARK]],PartList[[#This Row],[BOX NO]],PartList[[#This Row],[In/Out]],PartList[[#This Row],[O1-Grid]])</f>
        <v>1BE100#Box1_Box2_Box3_Box6#O</v>
      </c>
      <c r="N53" t="str">
        <f>_xlfn.TEXTJOIN("#",TRUE,PartList[[#This Row],[ASSLY MARK]],PartList[[#This Row],[BOX NO]],PartList[[#This Row],[In/Out]],PartList[[#This Row],[O2-Grid]])</f>
        <v>1BE100#Box1_Box2_Box3_Box6#O</v>
      </c>
      <c r="O53">
        <f>IF(PartList[[#This Row],[Unique]]="Yes",_xlfn.XLOOKUP(PartList[[#This Row],[ASSLY MARK]],FilteredPL!A:A,FilteredPL!B:B,0,0),0)</f>
        <v>0</v>
      </c>
      <c r="P53">
        <f>_xlfn.XLOOKUP(PartList[[#This Row],[ASSLY MARK]],MasterPL[SplitMarkNo],MasterPL[BILL WT.(KG)],0,0)</f>
        <v>0</v>
      </c>
      <c r="Q53" cm="1">
        <f t="array" ref="Q5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3" s="2" t="str">
        <v>1HB11</v>
      </c>
      <c r="AB53" s="2">
        <f>SUMIF(PartList[ASSLY MARK],AA53,PartList[Avail. Qty])</f>
        <v>0</v>
      </c>
    </row>
    <row r="54" spans="1:28" x14ac:dyDescent="0.25">
      <c r="A54">
        <v>144</v>
      </c>
      <c r="B54" t="s">
        <v>127</v>
      </c>
      <c r="C54" t="s">
        <v>515</v>
      </c>
      <c r="D54" t="s">
        <v>622</v>
      </c>
      <c r="E54" t="s">
        <v>128</v>
      </c>
      <c r="F54" t="str" cm="1">
        <f t="array" ref="F54">IF(SUM(IF(PartList[ASSLY MARK]=PartList[[#This Row],[ASSLY MARK]],1,0))&gt;1,"No","Yes")</f>
        <v>Yes</v>
      </c>
      <c r="G54" t="str" cm="1">
        <f t="array" ref="G54">_xlfn.TEXTJOIN("_",TRUE,TRIM(_xlfn.TEXTSPLIT(PartList[[#This Row],[GRID LOCATION]],{"PR01","/","-"})))</f>
        <v>10_11_A_B</v>
      </c>
      <c r="H54" t="str" cm="1">
        <f t="array" ref="H5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4" cm="1">
        <f t="array" ref="I5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4" t="str">
        <f>IF(IFERROR(SEARCH("&gt;",PartList[[#This Row],[ID]]),0),"O",IF(IFERROR(SEARCH("&lt;",PartList[[#This Row],[ID]]),0),"I",""))</f>
        <v/>
      </c>
      <c r="K54" t="str" cm="1">
        <f t="array" ref="K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54" t="str" cm="1">
        <f t="array" ref="L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54" t="str">
        <f>_xlfn.TEXTJOIN("#",TRUE,PartList[[#This Row],[ASSLY MARK]],PartList[[#This Row],[BOX NO]],PartList[[#This Row],[In/Out]],PartList[[#This Row],[O1-Grid]])</f>
        <v>1FR01#Box1#InB</v>
      </c>
      <c r="N54" t="str">
        <f>_xlfn.TEXTJOIN("#",TRUE,PartList[[#This Row],[ASSLY MARK]],PartList[[#This Row],[BOX NO]],PartList[[#This Row],[In/Out]],PartList[[#This Row],[O2-Grid]])</f>
        <v>1FR01#Box1#InB</v>
      </c>
      <c r="O54">
        <f>IF(PartList[[#This Row],[Unique]]="Yes",_xlfn.XLOOKUP(PartList[[#This Row],[ASSLY MARK]],FilteredPL!A:A,FilteredPL!B:B,0,0),0)</f>
        <v>0</v>
      </c>
      <c r="P54">
        <f>_xlfn.XLOOKUP(PartList[[#This Row],[ASSLY MARK]],MasterPL[SplitMarkNo],MasterPL[BILL WT.(KG)],0,0)</f>
        <v>0</v>
      </c>
      <c r="Q54" cm="1">
        <f t="array" ref="Q5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4" s="2" t="str">
        <v>1SC01</v>
      </c>
      <c r="AB54" s="2">
        <f>SUMIF(PartList[ASSLY MARK],AA54,PartList[Avail. Qty])</f>
        <v>0</v>
      </c>
    </row>
    <row r="55" spans="1:28" x14ac:dyDescent="0.25">
      <c r="A55">
        <v>145</v>
      </c>
      <c r="B55" t="s">
        <v>129</v>
      </c>
      <c r="C55" t="s">
        <v>515</v>
      </c>
      <c r="D55" t="s">
        <v>623</v>
      </c>
      <c r="E55" t="s">
        <v>128</v>
      </c>
      <c r="F55" t="str" cm="1">
        <f t="array" ref="F55">IF(SUM(IF(PartList[ASSLY MARK]=PartList[[#This Row],[ASSLY MARK]],1,0))&gt;1,"No","Yes")</f>
        <v>Yes</v>
      </c>
      <c r="G55" t="str" cm="1">
        <f t="array" ref="G55">_xlfn.TEXTJOIN("_",TRUE,TRIM(_xlfn.TEXTSPLIT(PartList[[#This Row],[GRID LOCATION]],{"PR01","/","-"})))</f>
        <v>10_11_A_B</v>
      </c>
      <c r="H55" t="str" cm="1">
        <f t="array" ref="H5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5" cm="1">
        <f t="array" ref="I5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5" t="str">
        <f>IF(IFERROR(SEARCH("&gt;",PartList[[#This Row],[ID]]),0),"O",IF(IFERROR(SEARCH("&lt;",PartList[[#This Row],[ID]]),0),"I",""))</f>
        <v/>
      </c>
      <c r="K55" t="str" cm="1">
        <f t="array" ref="K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55" t="str" cm="1">
        <f t="array" ref="L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55" t="str">
        <f>_xlfn.TEXTJOIN("#",TRUE,PartList[[#This Row],[ASSLY MARK]],PartList[[#This Row],[BOX NO]],PartList[[#This Row],[In/Out]],PartList[[#This Row],[O1-Grid]])</f>
        <v>1FR02#Box1#InB</v>
      </c>
      <c r="N55" t="str">
        <f>_xlfn.TEXTJOIN("#",TRUE,PartList[[#This Row],[ASSLY MARK]],PartList[[#This Row],[BOX NO]],PartList[[#This Row],[In/Out]],PartList[[#This Row],[O2-Grid]])</f>
        <v>1FR02#Box1#InB</v>
      </c>
      <c r="O55">
        <f>IF(PartList[[#This Row],[Unique]]="Yes",_xlfn.XLOOKUP(PartList[[#This Row],[ASSLY MARK]],FilteredPL!A:A,FilteredPL!B:B,0,0),0)</f>
        <v>0</v>
      </c>
      <c r="P55">
        <f>_xlfn.XLOOKUP(PartList[[#This Row],[ASSLY MARK]],MasterPL[SplitMarkNo],MasterPL[BILL WT.(KG)],0,0)</f>
        <v>0</v>
      </c>
      <c r="Q55" cm="1">
        <f t="array" ref="Q5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5" s="2" t="str">
        <v>1SC02</v>
      </c>
      <c r="AB55" s="2">
        <f>SUMIF(PartList[ASSLY MARK],AA55,PartList[Avail. Qty])</f>
        <v>0</v>
      </c>
    </row>
    <row r="56" spans="1:28" x14ac:dyDescent="0.25">
      <c r="A56">
        <v>149</v>
      </c>
      <c r="B56" t="s">
        <v>626</v>
      </c>
      <c r="C56" t="s">
        <v>516</v>
      </c>
      <c r="D56" t="s">
        <v>627</v>
      </c>
      <c r="E56" t="s">
        <v>8</v>
      </c>
      <c r="F56" t="str" cm="1">
        <f t="array" ref="F56">IF(SUM(IF(PartList[ASSLY MARK]=PartList[[#This Row],[ASSLY MARK]],1,0))&gt;1,"No","Yes")</f>
        <v>Yes</v>
      </c>
      <c r="G56" t="str" cm="1">
        <f t="array" ref="G56">_xlfn.TEXTJOIN("_",TRUE,TRIM(_xlfn.TEXTSPLIT(PartList[[#This Row],[GRID LOCATION]],{"PR01","/","-"})))</f>
        <v>10_11_B</v>
      </c>
      <c r="H56" t="str" cm="1">
        <f t="array" ref="H5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6" cm="1">
        <f t="array" ref="I5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6" t="str">
        <f>IF(IFERROR(SEARCH("&gt;",PartList[[#This Row],[ID]]),0),"O",IF(IFERROR(SEARCH("&lt;",PartList[[#This Row],[ID]]),0),"I",""))</f>
        <v/>
      </c>
      <c r="K56" t="str" cm="1">
        <f t="array" ref="K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56" t="str" cm="1">
        <f t="array" ref="L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56" t="str">
        <f>_xlfn.TEXTJOIN("#",TRUE,PartList[[#This Row],[ASSLY MARK]],PartList[[#This Row],[BOX NO]],PartList[[#This Row],[In/Out]],PartList[[#This Row],[O1-Grid]])</f>
        <v>1HA02#Box1#InB</v>
      </c>
      <c r="N56" t="str">
        <f>_xlfn.TEXTJOIN("#",TRUE,PartList[[#This Row],[ASSLY MARK]],PartList[[#This Row],[BOX NO]],PartList[[#This Row],[In/Out]],PartList[[#This Row],[O2-Grid]])</f>
        <v>1HA02#Box1#10_11_B</v>
      </c>
      <c r="O56">
        <f>IF(PartList[[#This Row],[Unique]]="Yes",_xlfn.XLOOKUP(PartList[[#This Row],[ASSLY MARK]],FilteredPL!A:A,FilteredPL!B:B,0,0),0)</f>
        <v>0</v>
      </c>
      <c r="P56">
        <f>_xlfn.XLOOKUP(PartList[[#This Row],[ASSLY MARK]],MasterPL[SplitMarkNo],MasterPL[BILL WT.(KG)],0,0)</f>
        <v>0</v>
      </c>
      <c r="Q56" cm="1">
        <f t="array" ref="Q5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6" s="2" t="str">
        <v>1SC03</v>
      </c>
      <c r="AB56" s="2">
        <f>SUMIF(PartList[ASSLY MARK],AA56,PartList[Avail. Qty])</f>
        <v>0</v>
      </c>
    </row>
    <row r="57" spans="1:28" x14ac:dyDescent="0.25">
      <c r="A57">
        <v>150</v>
      </c>
      <c r="B57" t="s">
        <v>628</v>
      </c>
      <c r="C57" t="s">
        <v>511</v>
      </c>
      <c r="D57" t="s">
        <v>539</v>
      </c>
      <c r="E57" t="s">
        <v>8</v>
      </c>
      <c r="F57" t="str" cm="1">
        <f t="array" ref="F57">IF(SUM(IF(PartList[ASSLY MARK]=PartList[[#This Row],[ASSLY MARK]],1,0))&gt;1,"No","Yes")</f>
        <v>Yes</v>
      </c>
      <c r="G57" t="str" cm="1">
        <f t="array" ref="G57">_xlfn.TEXTJOIN("_",TRUE,TRIM(_xlfn.TEXTSPLIT(PartList[[#This Row],[GRID LOCATION]],{"PR01","/","-"})))</f>
        <v>11_12_A'_A</v>
      </c>
      <c r="H57" t="str" cm="1">
        <f t="array" ref="H5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57" cm="1">
        <f t="array" ref="I5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7" t="str">
        <f>IF(IFERROR(SEARCH("&gt;",PartList[[#This Row],[ID]]),0),"O",IF(IFERROR(SEARCH("&lt;",PartList[[#This Row],[ID]]),0),"I",""))</f>
        <v/>
      </c>
      <c r="K57" t="str" cm="1">
        <f t="array" ref="K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7" t="str" cm="1">
        <f t="array" ref="L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7" t="str">
        <f>_xlfn.TEXTJOIN("#",TRUE,PartList[[#This Row],[ASSLY MARK]],PartList[[#This Row],[BOX NO]],PartList[[#This Row],[In/Out]],PartList[[#This Row],[O1-Grid]])</f>
        <v>1HA03#Box1_Box2_Box4_Box5#InBB</v>
      </c>
      <c r="N57" t="str">
        <f>_xlfn.TEXTJOIN("#",TRUE,PartList[[#This Row],[ASSLY MARK]],PartList[[#This Row],[BOX NO]],PartList[[#This Row],[In/Out]],PartList[[#This Row],[O2-Grid]])</f>
        <v>1HA03#Box1_Box2_Box4_Box5#InBB</v>
      </c>
      <c r="O57">
        <f>IF(PartList[[#This Row],[Unique]]="Yes",_xlfn.XLOOKUP(PartList[[#This Row],[ASSLY MARK]],FilteredPL!A:A,FilteredPL!B:B,0,0),0)</f>
        <v>0</v>
      </c>
      <c r="P57">
        <f>_xlfn.XLOOKUP(PartList[[#This Row],[ASSLY MARK]],MasterPL[SplitMarkNo],MasterPL[BILL WT.(KG)],0,0)</f>
        <v>0</v>
      </c>
      <c r="Q57" cm="1">
        <f t="array" ref="Q5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7" s="2" t="str">
        <v>1SC04</v>
      </c>
      <c r="AB57" s="2">
        <f>SUMIF(PartList[ASSLY MARK],AA57,PartList[Avail. Qty])</f>
        <v>0</v>
      </c>
    </row>
    <row r="58" spans="1:28" x14ac:dyDescent="0.25">
      <c r="A58">
        <v>151</v>
      </c>
      <c r="B58" t="s">
        <v>629</v>
      </c>
      <c r="C58" t="s">
        <v>511</v>
      </c>
      <c r="D58" t="s">
        <v>539</v>
      </c>
      <c r="E58" t="s">
        <v>8</v>
      </c>
      <c r="F58" t="str" cm="1">
        <f t="array" ref="F58">IF(SUM(IF(PartList[ASSLY MARK]=PartList[[#This Row],[ASSLY MARK]],1,0))&gt;1,"No","Yes")</f>
        <v>Yes</v>
      </c>
      <c r="G58" t="str" cm="1">
        <f t="array" ref="G58">_xlfn.TEXTJOIN("_",TRUE,TRIM(_xlfn.TEXTSPLIT(PartList[[#This Row],[GRID LOCATION]],{"PR01","/","-"})))</f>
        <v>11_12_A'_A</v>
      </c>
      <c r="H58" t="str" cm="1">
        <f t="array" ref="H5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58" cm="1">
        <f t="array" ref="I5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8" t="str">
        <f>IF(IFERROR(SEARCH("&gt;",PartList[[#This Row],[ID]]),0),"O",IF(IFERROR(SEARCH("&lt;",PartList[[#This Row],[ID]]),0),"I",""))</f>
        <v/>
      </c>
      <c r="K58" t="str" cm="1">
        <f t="array" ref="K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8" t="str" cm="1">
        <f t="array" ref="L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8" t="str">
        <f>_xlfn.TEXTJOIN("#",TRUE,PartList[[#This Row],[ASSLY MARK]],PartList[[#This Row],[BOX NO]],PartList[[#This Row],[In/Out]],PartList[[#This Row],[O1-Grid]])</f>
        <v>1HA04#Box1_Box2_Box4_Box5#InBB</v>
      </c>
      <c r="N58" t="str">
        <f>_xlfn.TEXTJOIN("#",TRUE,PartList[[#This Row],[ASSLY MARK]],PartList[[#This Row],[BOX NO]],PartList[[#This Row],[In/Out]],PartList[[#This Row],[O2-Grid]])</f>
        <v>1HA04#Box1_Box2_Box4_Box5#InBB</v>
      </c>
      <c r="O58">
        <f>IF(PartList[[#This Row],[Unique]]="Yes",_xlfn.XLOOKUP(PartList[[#This Row],[ASSLY MARK]],FilteredPL!A:A,FilteredPL!B:B,0,0),0)</f>
        <v>0</v>
      </c>
      <c r="P58">
        <f>_xlfn.XLOOKUP(PartList[[#This Row],[ASSLY MARK]],MasterPL[SplitMarkNo],MasterPL[BILL WT.(KG)],0,0)</f>
        <v>0</v>
      </c>
      <c r="Q58" cm="1">
        <f t="array" ref="Q5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8" s="2" t="str">
        <v>1SC05</v>
      </c>
      <c r="AB58" s="2">
        <f>SUMIF(PartList[ASSLY MARK],AA58,PartList[Avail. Qty])</f>
        <v>0</v>
      </c>
    </row>
    <row r="59" spans="1:28" x14ac:dyDescent="0.25">
      <c r="A59">
        <v>152</v>
      </c>
      <c r="B59" t="s">
        <v>131</v>
      </c>
      <c r="C59" t="s">
        <v>515</v>
      </c>
      <c r="D59" t="s">
        <v>88</v>
      </c>
      <c r="E59" t="s">
        <v>6</v>
      </c>
      <c r="F59" t="str" cm="1">
        <f t="array" ref="F59">IF(SUM(IF(PartList[ASSLY MARK]=PartList[[#This Row],[ASSLY MARK]],1,0))&gt;1,"No","Yes")</f>
        <v>Yes</v>
      </c>
      <c r="G59" t="str" cm="1">
        <f t="array" ref="G59">_xlfn.TEXTJOIN("_",TRUE,TRIM(_xlfn.TEXTSPLIT(PartList[[#This Row],[GRID LOCATION]],{"PR01","/","-"})))</f>
        <v>10_11_A_B</v>
      </c>
      <c r="H59" t="str" cm="1">
        <f t="array" ref="H5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9" cm="1">
        <f t="array" ref="I5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9" t="str">
        <f>IF(IFERROR(SEARCH("&gt;",PartList[[#This Row],[ID]]),0),"O",IF(IFERROR(SEARCH("&lt;",PartList[[#This Row],[ID]]),0),"I",""))</f>
        <v/>
      </c>
      <c r="K59" t="str" cm="1">
        <f t="array" ref="K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59" t="str" cm="1">
        <f t="array" ref="L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59" t="str">
        <f>_xlfn.TEXTJOIN("#",TRUE,PartList[[#This Row],[ASSLY MARK]],PartList[[#This Row],[BOX NO]],PartList[[#This Row],[In/Out]],PartList[[#This Row],[O1-Grid]])</f>
        <v>1HB01#Box1#InB</v>
      </c>
      <c r="N59" t="str">
        <f>_xlfn.TEXTJOIN("#",TRUE,PartList[[#This Row],[ASSLY MARK]],PartList[[#This Row],[BOX NO]],PartList[[#This Row],[In/Out]],PartList[[#This Row],[O2-Grid]])</f>
        <v>1HB01#Box1#InB</v>
      </c>
      <c r="O59">
        <f>IF(PartList[[#This Row],[Unique]]="Yes",_xlfn.XLOOKUP(PartList[[#This Row],[ASSLY MARK]],FilteredPL!A:A,FilteredPL!B:B,0,0),0)</f>
        <v>0</v>
      </c>
      <c r="P59">
        <f>_xlfn.XLOOKUP(PartList[[#This Row],[ASSLY MARK]],MasterPL[SplitMarkNo],MasterPL[BILL WT.(KG)],0,0)</f>
        <v>0</v>
      </c>
      <c r="Q59" cm="1">
        <f t="array" ref="Q5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9" s="2" t="str">
        <v>1SC06</v>
      </c>
      <c r="AB59" s="2">
        <f>SUMIF(PartList[ASSLY MARK],AA59,PartList[Avail. Qty])</f>
        <v>0</v>
      </c>
    </row>
    <row r="60" spans="1:28" x14ac:dyDescent="0.25">
      <c r="A60">
        <v>153</v>
      </c>
      <c r="B60" t="s">
        <v>132</v>
      </c>
      <c r="C60" t="s">
        <v>515</v>
      </c>
      <c r="D60" t="s">
        <v>630</v>
      </c>
      <c r="E60" t="s">
        <v>6</v>
      </c>
      <c r="F60" t="str" cm="1">
        <f t="array" ref="F60">IF(SUM(IF(PartList[ASSLY MARK]=PartList[[#This Row],[ASSLY MARK]],1,0))&gt;1,"No","Yes")</f>
        <v>No</v>
      </c>
      <c r="G60" t="str" cm="1">
        <f t="array" ref="G60">_xlfn.TEXTJOIN("_",TRUE,TRIM(_xlfn.TEXTSPLIT(PartList[[#This Row],[GRID LOCATION]],{"PR01","/","-"})))</f>
        <v>10_11_A_B</v>
      </c>
      <c r="H60" t="str" cm="1">
        <f t="array" ref="H6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60" cm="1">
        <f t="array" ref="I6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60" t="str">
        <f>IF(IFERROR(SEARCH("&gt;",PartList[[#This Row],[ID]]),0),"O",IF(IFERROR(SEARCH("&lt;",PartList[[#This Row],[ID]]),0),"I",""))</f>
        <v/>
      </c>
      <c r="K60" t="str" cm="1">
        <f t="array" ref="K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0" t="str" cm="1">
        <f t="array" ref="L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0" t="str">
        <f>_xlfn.TEXTJOIN("#",TRUE,PartList[[#This Row],[ASSLY MARK]],PartList[[#This Row],[BOX NO]],PartList[[#This Row],[In/Out]],PartList[[#This Row],[O1-Grid]])</f>
        <v>1HB02#Box1#InB</v>
      </c>
      <c r="N60" t="str">
        <f>_xlfn.TEXTJOIN("#",TRUE,PartList[[#This Row],[ASSLY MARK]],PartList[[#This Row],[BOX NO]],PartList[[#This Row],[In/Out]],PartList[[#This Row],[O2-Grid]])</f>
        <v>1HB02#Box1#InB</v>
      </c>
      <c r="O60">
        <f>IF(PartList[[#This Row],[Unique]]="Yes",_xlfn.XLOOKUP(PartList[[#This Row],[ASSLY MARK]],FilteredPL!A:A,FilteredPL!B:B,0,0),0)</f>
        <v>0</v>
      </c>
      <c r="P60">
        <f>_xlfn.XLOOKUP(PartList[[#This Row],[ASSLY MARK]],MasterPL[SplitMarkNo],MasterPL[BILL WT.(KG)],0,0)</f>
        <v>0</v>
      </c>
      <c r="Q60" cm="1">
        <f t="array" ref="Q6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0" s="2" t="str">
        <v>2BE01</v>
      </c>
      <c r="AB60" s="2">
        <f>SUMIF(PartList[ASSLY MARK],AA60,PartList[Avail. Qty])</f>
        <v>0</v>
      </c>
    </row>
    <row r="61" spans="1:28" x14ac:dyDescent="0.25">
      <c r="A61">
        <v>154</v>
      </c>
      <c r="B61" t="s">
        <v>132</v>
      </c>
      <c r="C61" t="s">
        <v>515</v>
      </c>
      <c r="D61" t="s">
        <v>630</v>
      </c>
      <c r="E61" t="s">
        <v>6</v>
      </c>
      <c r="F61" t="str" cm="1">
        <f t="array" ref="F61">IF(SUM(IF(PartList[ASSLY MARK]=PartList[[#This Row],[ASSLY MARK]],1,0))&gt;1,"No","Yes")</f>
        <v>No</v>
      </c>
      <c r="G61" t="str" cm="1">
        <f t="array" ref="G61">_xlfn.TEXTJOIN("_",TRUE,TRIM(_xlfn.TEXTSPLIT(PartList[[#This Row],[GRID LOCATION]],{"PR01","/","-"})))</f>
        <v>10_11_A_B</v>
      </c>
      <c r="H61" t="str" cm="1">
        <f t="array" ref="H6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61" cm="1">
        <f t="array" ref="I6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61" t="str">
        <f>IF(IFERROR(SEARCH("&gt;",PartList[[#This Row],[ID]]),0),"O",IF(IFERROR(SEARCH("&lt;",PartList[[#This Row],[ID]]),0),"I",""))</f>
        <v/>
      </c>
      <c r="K61" t="str" cm="1">
        <f t="array" ref="K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1" t="str" cm="1">
        <f t="array" ref="L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1" t="str">
        <f>_xlfn.TEXTJOIN("#",TRUE,PartList[[#This Row],[ASSLY MARK]],PartList[[#This Row],[BOX NO]],PartList[[#This Row],[In/Out]],PartList[[#This Row],[O1-Grid]])</f>
        <v>1HB02#Box1#InB</v>
      </c>
      <c r="N61" t="str">
        <f>_xlfn.TEXTJOIN("#",TRUE,PartList[[#This Row],[ASSLY MARK]],PartList[[#This Row],[BOX NO]],PartList[[#This Row],[In/Out]],PartList[[#This Row],[O2-Grid]])</f>
        <v>1HB02#Box1#InB</v>
      </c>
      <c r="O61">
        <f>IF(PartList[[#This Row],[Unique]]="Yes",_xlfn.XLOOKUP(PartList[[#This Row],[ASSLY MARK]],FilteredPL!A:A,FilteredPL!B:B,0,0),0)</f>
        <v>0</v>
      </c>
      <c r="P61">
        <f>_xlfn.XLOOKUP(PartList[[#This Row],[ASSLY MARK]],MasterPL[SplitMarkNo],MasterPL[BILL WT.(KG)],0,0)</f>
        <v>0</v>
      </c>
      <c r="Q61" cm="1">
        <f t="array" ref="Q6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1" s="2" t="str">
        <v>2BE02</v>
      </c>
      <c r="AB61" s="2">
        <f>SUMIF(PartList[ASSLY MARK],AA61,PartList[Avail. Qty])</f>
        <v>0</v>
      </c>
    </row>
    <row r="62" spans="1:28" x14ac:dyDescent="0.25">
      <c r="A62">
        <v>155</v>
      </c>
      <c r="B62" t="s">
        <v>133</v>
      </c>
      <c r="C62" t="s">
        <v>515</v>
      </c>
      <c r="D62" t="s">
        <v>630</v>
      </c>
      <c r="E62" t="s">
        <v>6</v>
      </c>
      <c r="F62" t="str" cm="1">
        <f t="array" ref="F62">IF(SUM(IF(PartList[ASSLY MARK]=PartList[[#This Row],[ASSLY MARK]],1,0))&gt;1,"No","Yes")</f>
        <v>No</v>
      </c>
      <c r="G62" t="str" cm="1">
        <f t="array" ref="G62">_xlfn.TEXTJOIN("_",TRUE,TRIM(_xlfn.TEXTSPLIT(PartList[[#This Row],[GRID LOCATION]],{"PR01","/","-"})))</f>
        <v>10_11_A_B</v>
      </c>
      <c r="H62" t="str" cm="1">
        <f t="array" ref="H6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62" cm="1">
        <f t="array" ref="I6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62" t="str">
        <f>IF(IFERROR(SEARCH("&gt;",PartList[[#This Row],[ID]]),0),"O",IF(IFERROR(SEARCH("&lt;",PartList[[#This Row],[ID]]),0),"I",""))</f>
        <v/>
      </c>
      <c r="K62" t="str" cm="1">
        <f t="array" ref="K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2" t="str" cm="1">
        <f t="array" ref="L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2" t="str">
        <f>_xlfn.TEXTJOIN("#",TRUE,PartList[[#This Row],[ASSLY MARK]],PartList[[#This Row],[BOX NO]],PartList[[#This Row],[In/Out]],PartList[[#This Row],[O1-Grid]])</f>
        <v>1HB03#Box1#InB</v>
      </c>
      <c r="N62" t="str">
        <f>_xlfn.TEXTJOIN("#",TRUE,PartList[[#This Row],[ASSLY MARK]],PartList[[#This Row],[BOX NO]],PartList[[#This Row],[In/Out]],PartList[[#This Row],[O2-Grid]])</f>
        <v>1HB03#Box1#InB</v>
      </c>
      <c r="O62">
        <f>IF(PartList[[#This Row],[Unique]]="Yes",_xlfn.XLOOKUP(PartList[[#This Row],[ASSLY MARK]],FilteredPL!A:A,FilteredPL!B:B,0,0),0)</f>
        <v>0</v>
      </c>
      <c r="P62">
        <f>_xlfn.XLOOKUP(PartList[[#This Row],[ASSLY MARK]],MasterPL[SplitMarkNo],MasterPL[BILL WT.(KG)],0,0)</f>
        <v>0</v>
      </c>
      <c r="Q62" cm="1">
        <f t="array" ref="Q6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2" s="2" t="str">
        <v>2BE04</v>
      </c>
      <c r="AB62" s="2">
        <f>SUMIF(PartList[ASSLY MARK],AA62,PartList[Avail. Qty])</f>
        <v>0</v>
      </c>
    </row>
    <row r="63" spans="1:28" x14ac:dyDescent="0.25">
      <c r="A63">
        <v>156</v>
      </c>
      <c r="B63" t="s">
        <v>133</v>
      </c>
      <c r="C63" t="s">
        <v>515</v>
      </c>
      <c r="D63" t="s">
        <v>630</v>
      </c>
      <c r="E63" t="s">
        <v>6</v>
      </c>
      <c r="F63" t="str" cm="1">
        <f t="array" ref="F63">IF(SUM(IF(PartList[ASSLY MARK]=PartList[[#This Row],[ASSLY MARK]],1,0))&gt;1,"No","Yes")</f>
        <v>No</v>
      </c>
      <c r="G63" t="str" cm="1">
        <f t="array" ref="G63">_xlfn.TEXTJOIN("_",TRUE,TRIM(_xlfn.TEXTSPLIT(PartList[[#This Row],[GRID LOCATION]],{"PR01","/","-"})))</f>
        <v>10_11_A_B</v>
      </c>
      <c r="H63" t="str" cm="1">
        <f t="array" ref="H6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63" cm="1">
        <f t="array" ref="I6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63" t="str">
        <f>IF(IFERROR(SEARCH("&gt;",PartList[[#This Row],[ID]]),0),"O",IF(IFERROR(SEARCH("&lt;",PartList[[#This Row],[ID]]),0),"I",""))</f>
        <v/>
      </c>
      <c r="K63" t="str" cm="1">
        <f t="array" ref="K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3" t="str" cm="1">
        <f t="array" ref="L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3" t="str">
        <f>_xlfn.TEXTJOIN("#",TRUE,PartList[[#This Row],[ASSLY MARK]],PartList[[#This Row],[BOX NO]],PartList[[#This Row],[In/Out]],PartList[[#This Row],[O1-Grid]])</f>
        <v>1HB03#Box1#InB</v>
      </c>
      <c r="N63" t="str">
        <f>_xlfn.TEXTJOIN("#",TRUE,PartList[[#This Row],[ASSLY MARK]],PartList[[#This Row],[BOX NO]],PartList[[#This Row],[In/Out]],PartList[[#This Row],[O2-Grid]])</f>
        <v>1HB03#Box1#InB</v>
      </c>
      <c r="O63">
        <f>IF(PartList[[#This Row],[Unique]]="Yes",_xlfn.XLOOKUP(PartList[[#This Row],[ASSLY MARK]],FilteredPL!A:A,FilteredPL!B:B,0,0),0)</f>
        <v>0</v>
      </c>
      <c r="P63">
        <f>_xlfn.XLOOKUP(PartList[[#This Row],[ASSLY MARK]],MasterPL[SplitMarkNo],MasterPL[BILL WT.(KG)],0,0)</f>
        <v>0</v>
      </c>
      <c r="Q63" cm="1">
        <f t="array" ref="Q6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3" s="2" t="str">
        <v>2BE05</v>
      </c>
      <c r="AB63" s="2">
        <f>SUMIF(PartList[ASSLY MARK],AA63,PartList[Avail. Qty])</f>
        <v>0</v>
      </c>
    </row>
    <row r="64" spans="1:28" x14ac:dyDescent="0.25">
      <c r="A64">
        <v>157</v>
      </c>
      <c r="B64" t="s">
        <v>134</v>
      </c>
      <c r="C64" t="s">
        <v>513</v>
      </c>
      <c r="D64" t="s">
        <v>135</v>
      </c>
      <c r="E64" t="s">
        <v>6</v>
      </c>
      <c r="F64" t="str" cm="1">
        <f t="array" ref="F64">IF(SUM(IF(PartList[ASSLY MARK]=PartList[[#This Row],[ASSLY MARK]],1,0))&gt;1,"No","Yes")</f>
        <v>Yes</v>
      </c>
      <c r="G64" t="str" cm="1">
        <f t="array" ref="G64">_xlfn.TEXTJOIN("_",TRUE,TRIM(_xlfn.TEXTSPLIT(PartList[[#This Row],[GRID LOCATION]],{"PR01","/","-"})))</f>
        <v>10_11_B&gt;</v>
      </c>
      <c r="H64" t="str" cm="1">
        <f t="array" ref="H6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64" cm="1">
        <f t="array" ref="I6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64" t="str">
        <f>IF(IFERROR(SEARCH("&gt;",PartList[[#This Row],[ID]]),0),"O",IF(IFERROR(SEARCH("&lt;",PartList[[#This Row],[ID]]),0),"I",""))</f>
        <v>O</v>
      </c>
      <c r="K64" t="str" cm="1">
        <f t="array" ref="K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64" t="str" cm="1">
        <f t="array" ref="L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64" t="str">
        <f>_xlfn.TEXTJOIN("#",TRUE,PartList[[#This Row],[ASSLY MARK]],PartList[[#This Row],[BOX NO]],PartList[[#This Row],[In/Out]],PartList[[#This Row],[O1-Grid]])</f>
        <v>1HB04#Box1#O</v>
      </c>
      <c r="N64" t="str">
        <f>_xlfn.TEXTJOIN("#",TRUE,PartList[[#This Row],[ASSLY MARK]],PartList[[#This Row],[BOX NO]],PartList[[#This Row],[In/Out]],PartList[[#This Row],[O2-Grid]])</f>
        <v>1HB04#Box1#O</v>
      </c>
      <c r="O64">
        <f>IF(PartList[[#This Row],[Unique]]="Yes",_xlfn.XLOOKUP(PartList[[#This Row],[ASSLY MARK]],FilteredPL!A:A,FilteredPL!B:B,0,0),0)</f>
        <v>0</v>
      </c>
      <c r="P64">
        <f>_xlfn.XLOOKUP(PartList[[#This Row],[ASSLY MARK]],MasterPL[SplitMarkNo],MasterPL[BILL WT.(KG)],0,0)</f>
        <v>0</v>
      </c>
      <c r="Q64" cm="1">
        <f t="array" ref="Q6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4" s="2" t="str">
        <v>2BE06</v>
      </c>
      <c r="AB64" s="2">
        <f>SUMIF(PartList[ASSLY MARK],AA64,PartList[Avail. Qty])</f>
        <v>0</v>
      </c>
    </row>
    <row r="65" spans="1:28" x14ac:dyDescent="0.25">
      <c r="A65">
        <v>158</v>
      </c>
      <c r="B65" t="s">
        <v>136</v>
      </c>
      <c r="C65" t="s">
        <v>511</v>
      </c>
      <c r="D65" t="s">
        <v>135</v>
      </c>
      <c r="E65" t="s">
        <v>6</v>
      </c>
      <c r="F65" t="str" cm="1">
        <f t="array" ref="F65">IF(SUM(IF(PartList[ASSLY MARK]=PartList[[#This Row],[ASSLY MARK]],1,0))&gt;1,"No","Yes")</f>
        <v>No</v>
      </c>
      <c r="G65" t="str" cm="1">
        <f t="array" ref="G65">_xlfn.TEXTJOIN("_",TRUE,TRIM(_xlfn.TEXTSPLIT(PartList[[#This Row],[GRID LOCATION]],{"PR01","/","-"})))</f>
        <v>11_12_A'_A</v>
      </c>
      <c r="H65" t="str" cm="1">
        <f t="array" ref="H6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65" cm="1">
        <f t="array" ref="I6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65" t="str">
        <f>IF(IFERROR(SEARCH("&gt;",PartList[[#This Row],[ID]]),0),"O",IF(IFERROR(SEARCH("&lt;",PartList[[#This Row],[ID]]),0),"I",""))</f>
        <v/>
      </c>
      <c r="K65" t="str" cm="1">
        <f t="array" ref="K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5" t="str" cm="1">
        <f t="array" ref="L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5" t="str">
        <f>_xlfn.TEXTJOIN("#",TRUE,PartList[[#This Row],[ASSLY MARK]],PartList[[#This Row],[BOX NO]],PartList[[#This Row],[In/Out]],PartList[[#This Row],[O1-Grid]])</f>
        <v>1HB05#Box1_Box2_Box4_Box5#InBB</v>
      </c>
      <c r="N65" t="str">
        <f>_xlfn.TEXTJOIN("#",TRUE,PartList[[#This Row],[ASSLY MARK]],PartList[[#This Row],[BOX NO]],PartList[[#This Row],[In/Out]],PartList[[#This Row],[O2-Grid]])</f>
        <v>1HB05#Box1_Box2_Box4_Box5#InBB</v>
      </c>
      <c r="O65">
        <f>IF(PartList[[#This Row],[Unique]]="Yes",_xlfn.XLOOKUP(PartList[[#This Row],[ASSLY MARK]],FilteredPL!A:A,FilteredPL!B:B,0,0),0)</f>
        <v>0</v>
      </c>
      <c r="P65">
        <f>_xlfn.XLOOKUP(PartList[[#This Row],[ASSLY MARK]],MasterPL[SplitMarkNo],MasterPL[BILL WT.(KG)],0,0)</f>
        <v>0</v>
      </c>
      <c r="Q65" cm="1">
        <f t="array" ref="Q6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5" s="2" t="str">
        <v>2BE07</v>
      </c>
      <c r="AB65" s="2">
        <f>SUMIF(PartList[ASSLY MARK],AA65,PartList[Avail. Qty])</f>
        <v>0</v>
      </c>
    </row>
    <row r="66" spans="1:28" x14ac:dyDescent="0.25">
      <c r="A66">
        <v>159</v>
      </c>
      <c r="B66" t="s">
        <v>136</v>
      </c>
      <c r="C66" t="s">
        <v>512</v>
      </c>
      <c r="D66" t="s">
        <v>135</v>
      </c>
      <c r="E66" t="s">
        <v>6</v>
      </c>
      <c r="F66" t="str" cm="1">
        <f t="array" ref="F66">IF(SUM(IF(PartList[ASSLY MARK]=PartList[[#This Row],[ASSLY MARK]],1,0))&gt;1,"No","Yes")</f>
        <v>No</v>
      </c>
      <c r="G66" t="str" cm="1">
        <f t="array" ref="G66">_xlfn.TEXTJOIN("_",TRUE,TRIM(_xlfn.TEXTSPLIT(PartList[[#This Row],[GRID LOCATION]],{"PR01","/","-"})))</f>
        <v>10_11_A'_A</v>
      </c>
      <c r="H66" t="str" cm="1">
        <f t="array" ref="H6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66" cm="1">
        <f t="array" ref="I6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66" t="str">
        <f>IF(IFERROR(SEARCH("&gt;",PartList[[#This Row],[ID]]),0),"O",IF(IFERROR(SEARCH("&lt;",PartList[[#This Row],[ID]]),0),"I",""))</f>
        <v/>
      </c>
      <c r="K66" t="str" cm="1">
        <f t="array" ref="K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6" t="str" cm="1">
        <f t="array" ref="L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6" t="str">
        <f>_xlfn.TEXTJOIN("#",TRUE,PartList[[#This Row],[ASSLY MARK]],PartList[[#This Row],[BOX NO]],PartList[[#This Row],[In/Out]],PartList[[#This Row],[O1-Grid]])</f>
        <v>1HB05#Box1_Box4#InBB</v>
      </c>
      <c r="N66" t="str">
        <f>_xlfn.TEXTJOIN("#",TRUE,PartList[[#This Row],[ASSLY MARK]],PartList[[#This Row],[BOX NO]],PartList[[#This Row],[In/Out]],PartList[[#This Row],[O2-Grid]])</f>
        <v>1HB05#Box1_Box4#InBB</v>
      </c>
      <c r="O66">
        <f>IF(PartList[[#This Row],[Unique]]="Yes",_xlfn.XLOOKUP(PartList[[#This Row],[ASSLY MARK]],FilteredPL!A:A,FilteredPL!B:B,0,0),0)</f>
        <v>0</v>
      </c>
      <c r="P66">
        <f>_xlfn.XLOOKUP(PartList[[#This Row],[ASSLY MARK]],MasterPL[SplitMarkNo],MasterPL[BILL WT.(KG)],0,0)</f>
        <v>0</v>
      </c>
      <c r="Q66" cm="1">
        <f t="array" ref="Q6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6" s="2" t="str">
        <v>2BE08</v>
      </c>
      <c r="AB66" s="2">
        <f>SUMIF(PartList[ASSLY MARK],AA66,PartList[Avail. Qty])</f>
        <v>0</v>
      </c>
    </row>
    <row r="67" spans="1:28" x14ac:dyDescent="0.25">
      <c r="A67">
        <v>162</v>
      </c>
      <c r="B67" t="s">
        <v>137</v>
      </c>
      <c r="C67" t="s">
        <v>513</v>
      </c>
      <c r="D67" t="s">
        <v>135</v>
      </c>
      <c r="E67" t="s">
        <v>6</v>
      </c>
      <c r="F67" t="str" cm="1">
        <f t="array" ref="F67">IF(SUM(IF(PartList[ASSLY MARK]=PartList[[#This Row],[ASSLY MARK]],1,0))&gt;1,"No","Yes")</f>
        <v>Yes</v>
      </c>
      <c r="G67" t="str" cm="1">
        <f t="array" ref="G67">_xlfn.TEXTJOIN("_",TRUE,TRIM(_xlfn.TEXTSPLIT(PartList[[#This Row],[GRID LOCATION]],{"PR01","/","-"})))</f>
        <v>10_11_B&gt;</v>
      </c>
      <c r="H67" t="str" cm="1">
        <f t="array" ref="H6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67" cm="1">
        <f t="array" ref="I6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67" t="str">
        <f>IF(IFERROR(SEARCH("&gt;",PartList[[#This Row],[ID]]),0),"O",IF(IFERROR(SEARCH("&lt;",PartList[[#This Row],[ID]]),0),"I",""))</f>
        <v>O</v>
      </c>
      <c r="K67" t="str" cm="1">
        <f t="array" ref="K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67" t="str" cm="1">
        <f t="array" ref="L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67" t="str">
        <f>_xlfn.TEXTJOIN("#",TRUE,PartList[[#This Row],[ASSLY MARK]],PartList[[#This Row],[BOX NO]],PartList[[#This Row],[In/Out]],PartList[[#This Row],[O1-Grid]])</f>
        <v>1HB06#Box1#O</v>
      </c>
      <c r="N67" t="str">
        <f>_xlfn.TEXTJOIN("#",TRUE,PartList[[#This Row],[ASSLY MARK]],PartList[[#This Row],[BOX NO]],PartList[[#This Row],[In/Out]],PartList[[#This Row],[O2-Grid]])</f>
        <v>1HB06#Box1#O</v>
      </c>
      <c r="O67">
        <f>IF(PartList[[#This Row],[Unique]]="Yes",_xlfn.XLOOKUP(PartList[[#This Row],[ASSLY MARK]],FilteredPL!A:A,FilteredPL!B:B,0,0),0)</f>
        <v>0</v>
      </c>
      <c r="P67">
        <f>_xlfn.XLOOKUP(PartList[[#This Row],[ASSLY MARK]],MasterPL[SplitMarkNo],MasterPL[BILL WT.(KG)],0,0)</f>
        <v>0</v>
      </c>
      <c r="Q67" cm="1">
        <f t="array" ref="Q6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7" s="2" t="str">
        <v>2BE09</v>
      </c>
      <c r="AB67" s="2">
        <f>SUMIF(PartList[ASSLY MARK],AA67,PartList[Avail. Qty])</f>
        <v>0</v>
      </c>
    </row>
    <row r="68" spans="1:28" x14ac:dyDescent="0.25">
      <c r="A68">
        <v>163</v>
      </c>
      <c r="B68" t="s">
        <v>138</v>
      </c>
      <c r="C68" t="s">
        <v>532</v>
      </c>
      <c r="D68" t="s">
        <v>88</v>
      </c>
      <c r="E68" t="s">
        <v>6</v>
      </c>
      <c r="F68" t="str" cm="1">
        <f t="array" ref="F68">IF(SUM(IF(PartList[ASSLY MARK]=PartList[[#This Row],[ASSLY MARK]],1,0))&gt;1,"No","Yes")</f>
        <v>Yes</v>
      </c>
      <c r="G68" t="str" cm="1">
        <f t="array" ref="G68">_xlfn.TEXTJOIN("_",TRUE,TRIM(_xlfn.TEXTSPLIT(PartList[[#This Row],[GRID LOCATION]],{"PR01","/","-"})))</f>
        <v>11_12_A_B</v>
      </c>
      <c r="H68" t="str" cm="1">
        <f t="array" ref="H6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68" cm="1">
        <f t="array" ref="I6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68" t="str">
        <f>IF(IFERROR(SEARCH("&gt;",PartList[[#This Row],[ID]]),0),"O",IF(IFERROR(SEARCH("&lt;",PartList[[#This Row],[ID]]),0),"I",""))</f>
        <v/>
      </c>
      <c r="K68" t="str" cm="1">
        <f t="array" ref="K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8" t="str" cm="1">
        <f t="array" ref="L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8" t="str">
        <f>_xlfn.TEXTJOIN("#",TRUE,PartList[[#This Row],[ASSLY MARK]],PartList[[#This Row],[BOX NO]],PartList[[#This Row],[In/Out]],PartList[[#This Row],[O1-Grid]])</f>
        <v>1HB07#Box1_Box2#InBB</v>
      </c>
      <c r="N68" t="str">
        <f>_xlfn.TEXTJOIN("#",TRUE,PartList[[#This Row],[ASSLY MARK]],PartList[[#This Row],[BOX NO]],PartList[[#This Row],[In/Out]],PartList[[#This Row],[O2-Grid]])</f>
        <v>1HB07#Box1_Box2#InBB</v>
      </c>
      <c r="O68">
        <f>IF(PartList[[#This Row],[Unique]]="Yes",_xlfn.XLOOKUP(PartList[[#This Row],[ASSLY MARK]],FilteredPL!A:A,FilteredPL!B:B,0,0),0)</f>
        <v>0</v>
      </c>
      <c r="P68">
        <f>_xlfn.XLOOKUP(PartList[[#This Row],[ASSLY MARK]],MasterPL[SplitMarkNo],MasterPL[BILL WT.(KG)],0,0)</f>
        <v>0</v>
      </c>
      <c r="Q68" cm="1">
        <f t="array" ref="Q6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8" s="2" t="str">
        <v>2BE10</v>
      </c>
      <c r="AB68" s="2">
        <f>SUMIF(PartList[ASSLY MARK],AA68,PartList[Avail. Qty])</f>
        <v>0</v>
      </c>
    </row>
    <row r="69" spans="1:28" x14ac:dyDescent="0.25">
      <c r="A69">
        <v>164</v>
      </c>
      <c r="B69" t="s">
        <v>139</v>
      </c>
      <c r="C69" t="s">
        <v>532</v>
      </c>
      <c r="D69" t="s">
        <v>88</v>
      </c>
      <c r="E69" t="s">
        <v>6</v>
      </c>
      <c r="F69" t="str" cm="1">
        <f t="array" ref="F69">IF(SUM(IF(PartList[ASSLY MARK]=PartList[[#This Row],[ASSLY MARK]],1,0))&gt;1,"No","Yes")</f>
        <v>Yes</v>
      </c>
      <c r="G69" t="str" cm="1">
        <f t="array" ref="G69">_xlfn.TEXTJOIN("_",TRUE,TRIM(_xlfn.TEXTSPLIT(PartList[[#This Row],[GRID LOCATION]],{"PR01","/","-"})))</f>
        <v>11_12_A_B</v>
      </c>
      <c r="H69" t="str" cm="1">
        <f t="array" ref="H6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69" cm="1">
        <f t="array" ref="I6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69" t="str">
        <f>IF(IFERROR(SEARCH("&gt;",PartList[[#This Row],[ID]]),0),"O",IF(IFERROR(SEARCH("&lt;",PartList[[#This Row],[ID]]),0),"I",""))</f>
        <v/>
      </c>
      <c r="K69" t="str" cm="1">
        <f t="array" ref="K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9" t="str" cm="1">
        <f t="array" ref="L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9" t="str">
        <f>_xlfn.TEXTJOIN("#",TRUE,PartList[[#This Row],[ASSLY MARK]],PartList[[#This Row],[BOX NO]],PartList[[#This Row],[In/Out]],PartList[[#This Row],[O1-Grid]])</f>
        <v>1HB08#Box1_Box2#InBB</v>
      </c>
      <c r="N69" t="str">
        <f>_xlfn.TEXTJOIN("#",TRUE,PartList[[#This Row],[ASSLY MARK]],PartList[[#This Row],[BOX NO]],PartList[[#This Row],[In/Out]],PartList[[#This Row],[O2-Grid]])</f>
        <v>1HB08#Box1_Box2#InBB</v>
      </c>
      <c r="O69">
        <f>IF(PartList[[#This Row],[Unique]]="Yes",_xlfn.XLOOKUP(PartList[[#This Row],[ASSLY MARK]],FilteredPL!A:A,FilteredPL!B:B,0,0),0)</f>
        <v>0</v>
      </c>
      <c r="P69">
        <f>_xlfn.XLOOKUP(PartList[[#This Row],[ASSLY MARK]],MasterPL[SplitMarkNo],MasterPL[BILL WT.(KG)],0,0)</f>
        <v>0</v>
      </c>
      <c r="Q69" cm="1">
        <f t="array" ref="Q6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9" s="2" t="str">
        <v>2BE11</v>
      </c>
      <c r="AB69" s="2">
        <f>SUMIF(PartList[ASSLY MARK],AA69,PartList[Avail. Qty])</f>
        <v>0</v>
      </c>
    </row>
    <row r="70" spans="1:28" x14ac:dyDescent="0.25">
      <c r="A70">
        <v>165</v>
      </c>
      <c r="B70" t="s">
        <v>140</v>
      </c>
      <c r="C70" t="s">
        <v>532</v>
      </c>
      <c r="D70" t="s">
        <v>88</v>
      </c>
      <c r="E70" t="s">
        <v>6</v>
      </c>
      <c r="F70" t="str" cm="1">
        <f t="array" ref="F70">IF(SUM(IF(PartList[ASSLY MARK]=PartList[[#This Row],[ASSLY MARK]],1,0))&gt;1,"No","Yes")</f>
        <v>Yes</v>
      </c>
      <c r="G70" t="str" cm="1">
        <f t="array" ref="G70">_xlfn.TEXTJOIN("_",TRUE,TRIM(_xlfn.TEXTSPLIT(PartList[[#This Row],[GRID LOCATION]],{"PR01","/","-"})))</f>
        <v>11_12_A_B</v>
      </c>
      <c r="H70" t="str" cm="1">
        <f t="array" ref="H7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70" cm="1">
        <f t="array" ref="I7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70" t="str">
        <f>IF(IFERROR(SEARCH("&gt;",PartList[[#This Row],[ID]]),0),"O",IF(IFERROR(SEARCH("&lt;",PartList[[#This Row],[ID]]),0),"I",""))</f>
        <v/>
      </c>
      <c r="K70" t="str" cm="1">
        <f t="array" ref="K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0" t="str" cm="1">
        <f t="array" ref="L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0" t="str">
        <f>_xlfn.TEXTJOIN("#",TRUE,PartList[[#This Row],[ASSLY MARK]],PartList[[#This Row],[BOX NO]],PartList[[#This Row],[In/Out]],PartList[[#This Row],[O1-Grid]])</f>
        <v>1HB09#Box1_Box2#InBB</v>
      </c>
      <c r="N70" t="str">
        <f>_xlfn.TEXTJOIN("#",TRUE,PartList[[#This Row],[ASSLY MARK]],PartList[[#This Row],[BOX NO]],PartList[[#This Row],[In/Out]],PartList[[#This Row],[O2-Grid]])</f>
        <v>1HB09#Box1_Box2#InBB</v>
      </c>
      <c r="O70">
        <f>IF(PartList[[#This Row],[Unique]]="Yes",_xlfn.XLOOKUP(PartList[[#This Row],[ASSLY MARK]],FilteredPL!A:A,FilteredPL!B:B,0,0),0)</f>
        <v>0</v>
      </c>
      <c r="P70">
        <f>_xlfn.XLOOKUP(PartList[[#This Row],[ASSLY MARK]],MasterPL[SplitMarkNo],MasterPL[BILL WT.(KG)],0,0)</f>
        <v>0</v>
      </c>
      <c r="Q70" cm="1">
        <f t="array" ref="Q7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0" s="2" t="str">
        <v>2BE12</v>
      </c>
      <c r="AB70" s="2">
        <f>SUMIF(PartList[ASSLY MARK],AA70,PartList[Avail. Qty])</f>
        <v>0</v>
      </c>
    </row>
    <row r="71" spans="1:28" x14ac:dyDescent="0.25">
      <c r="A71">
        <v>166</v>
      </c>
      <c r="B71" t="s">
        <v>141</v>
      </c>
      <c r="C71" t="s">
        <v>532</v>
      </c>
      <c r="D71" t="s">
        <v>88</v>
      </c>
      <c r="E71" t="s">
        <v>6</v>
      </c>
      <c r="F71" t="str" cm="1">
        <f t="array" ref="F71">IF(SUM(IF(PartList[ASSLY MARK]=PartList[[#This Row],[ASSLY MARK]],1,0))&gt;1,"No","Yes")</f>
        <v>Yes</v>
      </c>
      <c r="G71" t="str" cm="1">
        <f t="array" ref="G71">_xlfn.TEXTJOIN("_",TRUE,TRIM(_xlfn.TEXTSPLIT(PartList[[#This Row],[GRID LOCATION]],{"PR01","/","-"})))</f>
        <v>11_12_A_B</v>
      </c>
      <c r="H71" t="str" cm="1">
        <f t="array" ref="H7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71" cm="1">
        <f t="array" ref="I7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71" t="str">
        <f>IF(IFERROR(SEARCH("&gt;",PartList[[#This Row],[ID]]),0),"O",IF(IFERROR(SEARCH("&lt;",PartList[[#This Row],[ID]]),0),"I",""))</f>
        <v/>
      </c>
      <c r="K71" t="str" cm="1">
        <f t="array" ref="K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1" t="str" cm="1">
        <f t="array" ref="L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1" t="str">
        <f>_xlfn.TEXTJOIN("#",TRUE,PartList[[#This Row],[ASSLY MARK]],PartList[[#This Row],[BOX NO]],PartList[[#This Row],[In/Out]],PartList[[#This Row],[O1-Grid]])</f>
        <v>1HB10#Box1_Box2#InBB</v>
      </c>
      <c r="N71" t="str">
        <f>_xlfn.TEXTJOIN("#",TRUE,PartList[[#This Row],[ASSLY MARK]],PartList[[#This Row],[BOX NO]],PartList[[#This Row],[In/Out]],PartList[[#This Row],[O2-Grid]])</f>
        <v>1HB10#Box1_Box2#InBB</v>
      </c>
      <c r="O71">
        <f>IF(PartList[[#This Row],[Unique]]="Yes",_xlfn.XLOOKUP(PartList[[#This Row],[ASSLY MARK]],FilteredPL!A:A,FilteredPL!B:B,0,0),0)</f>
        <v>0</v>
      </c>
      <c r="P71">
        <f>_xlfn.XLOOKUP(PartList[[#This Row],[ASSLY MARK]],MasterPL[SplitMarkNo],MasterPL[BILL WT.(KG)],0,0)</f>
        <v>0</v>
      </c>
      <c r="Q71" cm="1">
        <f t="array" ref="Q7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1" s="2" t="str">
        <v>2BE14</v>
      </c>
      <c r="AB71" s="2">
        <f>SUMIF(PartList[ASSLY MARK],AA71,PartList[Avail. Qty])</f>
        <v>0</v>
      </c>
    </row>
    <row r="72" spans="1:28" x14ac:dyDescent="0.25">
      <c r="A72">
        <v>167</v>
      </c>
      <c r="B72" t="s">
        <v>142</v>
      </c>
      <c r="C72" t="s">
        <v>531</v>
      </c>
      <c r="D72" t="s">
        <v>135</v>
      </c>
      <c r="E72" t="s">
        <v>6</v>
      </c>
      <c r="F72" t="str" cm="1">
        <f t="array" ref="F72">IF(SUM(IF(PartList[ASSLY MARK]=PartList[[#This Row],[ASSLY MARK]],1,0))&gt;1,"No","Yes")</f>
        <v>Yes</v>
      </c>
      <c r="G72" t="str" cm="1">
        <f t="array" ref="G72">_xlfn.TEXTJOIN("_",TRUE,TRIM(_xlfn.TEXTSPLIT(PartList[[#This Row],[GRID LOCATION]],{"PR01","/","-"})))</f>
        <v>11_12_B&gt;</v>
      </c>
      <c r="H72" t="str" cm="1">
        <f t="array" ref="H7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72" cm="1">
        <f t="array" ref="I7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72" t="str">
        <f>IF(IFERROR(SEARCH("&gt;",PartList[[#This Row],[ID]]),0),"O",IF(IFERROR(SEARCH("&lt;",PartList[[#This Row],[ID]]),0),"I",""))</f>
        <v>O</v>
      </c>
      <c r="K72" t="str" cm="1">
        <f t="array" ref="K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2" t="str" cm="1">
        <f t="array" ref="L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2" t="str">
        <f>_xlfn.TEXTJOIN("#",TRUE,PartList[[#This Row],[ASSLY MARK]],PartList[[#This Row],[BOX NO]],PartList[[#This Row],[In/Out]],PartList[[#This Row],[O1-Grid]])</f>
        <v>1HB11#Box1_Box2#O</v>
      </c>
      <c r="N72" t="str">
        <f>_xlfn.TEXTJOIN("#",TRUE,PartList[[#This Row],[ASSLY MARK]],PartList[[#This Row],[BOX NO]],PartList[[#This Row],[In/Out]],PartList[[#This Row],[O2-Grid]])</f>
        <v>1HB11#Box1_Box2#O</v>
      </c>
      <c r="O72">
        <f>IF(PartList[[#This Row],[Unique]]="Yes",_xlfn.XLOOKUP(PartList[[#This Row],[ASSLY MARK]],FilteredPL!A:A,FilteredPL!B:B,0,0),0)</f>
        <v>0</v>
      </c>
      <c r="P72">
        <f>_xlfn.XLOOKUP(PartList[[#This Row],[ASSLY MARK]],MasterPL[SplitMarkNo],MasterPL[BILL WT.(KG)],0,0)</f>
        <v>0</v>
      </c>
      <c r="Q72" cm="1">
        <f t="array" ref="Q7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2" s="2" t="str">
        <v>2BE15</v>
      </c>
      <c r="AB72" s="2">
        <f>SUMIF(PartList[ASSLY MARK],AA72,PartList[Avail. Qty])</f>
        <v>0</v>
      </c>
    </row>
    <row r="73" spans="1:28" x14ac:dyDescent="0.25">
      <c r="A73">
        <v>181</v>
      </c>
      <c r="B73" t="s">
        <v>144</v>
      </c>
      <c r="C73" t="s">
        <v>516</v>
      </c>
      <c r="D73" t="s">
        <v>517</v>
      </c>
      <c r="E73" t="s">
        <v>645</v>
      </c>
      <c r="F73" t="str" cm="1">
        <f t="array" ref="F73">IF(SUM(IF(PartList[ASSLY MARK]=PartList[[#This Row],[ASSLY MARK]],1,0))&gt;1,"No","Yes")</f>
        <v>Yes</v>
      </c>
      <c r="G73" t="str" cm="1">
        <f t="array" ref="G73">_xlfn.TEXTJOIN("_",TRUE,TRIM(_xlfn.TEXTSPLIT(PartList[[#This Row],[GRID LOCATION]],{"PR01","/","-"})))</f>
        <v>10_11_B</v>
      </c>
      <c r="H73" t="str" cm="1">
        <f t="array" ref="H7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73" cm="1">
        <f t="array" ref="I7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73" t="str">
        <f>IF(IFERROR(SEARCH("&gt;",PartList[[#This Row],[ID]]),0),"O",IF(IFERROR(SEARCH("&lt;",PartList[[#This Row],[ID]]),0),"I",""))</f>
        <v/>
      </c>
      <c r="K73" t="str" cm="1">
        <f t="array" ref="K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3" t="str" cm="1">
        <f t="array" ref="L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73" t="str">
        <f>_xlfn.TEXTJOIN("#",TRUE,PartList[[#This Row],[ASSLY MARK]],PartList[[#This Row],[BOX NO]],PartList[[#This Row],[In/Out]],PartList[[#This Row],[O1-Grid]])</f>
        <v>1SC01#Box1#InB</v>
      </c>
      <c r="N73" t="str">
        <f>_xlfn.TEXTJOIN("#",TRUE,PartList[[#This Row],[ASSLY MARK]],PartList[[#This Row],[BOX NO]],PartList[[#This Row],[In/Out]],PartList[[#This Row],[O2-Grid]])</f>
        <v>1SC01#Box1#10_11_B</v>
      </c>
      <c r="O73">
        <f>IF(PartList[[#This Row],[Unique]]="Yes",_xlfn.XLOOKUP(PartList[[#This Row],[ASSLY MARK]],FilteredPL!A:A,FilteredPL!B:B,0,0),0)</f>
        <v>0</v>
      </c>
      <c r="P73">
        <f>_xlfn.XLOOKUP(PartList[[#This Row],[ASSLY MARK]],MasterPL[SplitMarkNo],MasterPL[BILL WT.(KG)],0,0)</f>
        <v>0</v>
      </c>
      <c r="Q73" cm="1">
        <f t="array" ref="Q7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3" s="2" t="str">
        <v>2BE16</v>
      </c>
      <c r="AB73" s="2">
        <f>SUMIF(PartList[ASSLY MARK],AA73,PartList[Avail. Qty])</f>
        <v>0</v>
      </c>
    </row>
    <row r="74" spans="1:28" x14ac:dyDescent="0.25">
      <c r="A74">
        <v>182</v>
      </c>
      <c r="B74" t="s">
        <v>146</v>
      </c>
      <c r="C74" t="s">
        <v>513</v>
      </c>
      <c r="D74" t="s">
        <v>517</v>
      </c>
      <c r="E74" t="s">
        <v>645</v>
      </c>
      <c r="F74" t="str" cm="1">
        <f t="array" ref="F74">IF(SUM(IF(PartList[ASSLY MARK]=PartList[[#This Row],[ASSLY MARK]],1,0))&gt;1,"No","Yes")</f>
        <v>Yes</v>
      </c>
      <c r="G74" t="str" cm="1">
        <f t="array" ref="G74">_xlfn.TEXTJOIN("_",TRUE,TRIM(_xlfn.TEXTSPLIT(PartList[[#This Row],[GRID LOCATION]],{"PR01","/","-"})))</f>
        <v>10_11_B&gt;</v>
      </c>
      <c r="H74" t="str" cm="1">
        <f t="array" ref="H7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74" cm="1">
        <f t="array" ref="I7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74" t="str">
        <f>IF(IFERROR(SEARCH("&gt;",PartList[[#This Row],[ID]]),0),"O",IF(IFERROR(SEARCH("&lt;",PartList[[#This Row],[ID]]),0),"I",""))</f>
        <v>O</v>
      </c>
      <c r="K74" t="str" cm="1">
        <f t="array" ref="K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4" t="str" cm="1">
        <f t="array" ref="L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4" t="str">
        <f>_xlfn.TEXTJOIN("#",TRUE,PartList[[#This Row],[ASSLY MARK]],PartList[[#This Row],[BOX NO]],PartList[[#This Row],[In/Out]],PartList[[#This Row],[O1-Grid]])</f>
        <v>1SC02#Box1#O</v>
      </c>
      <c r="N74" t="str">
        <f>_xlfn.TEXTJOIN("#",TRUE,PartList[[#This Row],[ASSLY MARK]],PartList[[#This Row],[BOX NO]],PartList[[#This Row],[In/Out]],PartList[[#This Row],[O2-Grid]])</f>
        <v>1SC02#Box1#O</v>
      </c>
      <c r="O74">
        <f>IF(PartList[[#This Row],[Unique]]="Yes",_xlfn.XLOOKUP(PartList[[#This Row],[ASSLY MARK]],FilteredPL!A:A,FilteredPL!B:B,0,0),0)</f>
        <v>0</v>
      </c>
      <c r="P74">
        <f>_xlfn.XLOOKUP(PartList[[#This Row],[ASSLY MARK]],MasterPL[SplitMarkNo],MasterPL[BILL WT.(KG)],0,0)</f>
        <v>0</v>
      </c>
      <c r="Q74" cm="1">
        <f t="array" ref="Q7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4" s="2" t="str">
        <v>2BE17</v>
      </c>
      <c r="AB74" s="2">
        <f>SUMIF(PartList[ASSLY MARK],AA74,PartList[Avail. Qty])</f>
        <v>0</v>
      </c>
    </row>
    <row r="75" spans="1:28" x14ac:dyDescent="0.25">
      <c r="A75">
        <v>183</v>
      </c>
      <c r="B75" t="s">
        <v>646</v>
      </c>
      <c r="C75" t="s">
        <v>516</v>
      </c>
      <c r="D75" t="s">
        <v>517</v>
      </c>
      <c r="E75" t="s">
        <v>645</v>
      </c>
      <c r="F75" t="str" cm="1">
        <f t="array" ref="F75">IF(SUM(IF(PartList[ASSLY MARK]=PartList[[#This Row],[ASSLY MARK]],1,0))&gt;1,"No","Yes")</f>
        <v>Yes</v>
      </c>
      <c r="G75" t="str" cm="1">
        <f t="array" ref="G75">_xlfn.TEXTJOIN("_",TRUE,TRIM(_xlfn.TEXTSPLIT(PartList[[#This Row],[GRID LOCATION]],{"PR01","/","-"})))</f>
        <v>10_11_B</v>
      </c>
      <c r="H75" t="str" cm="1">
        <f t="array" ref="H7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75" cm="1">
        <f t="array" ref="I7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75" t="str">
        <f>IF(IFERROR(SEARCH("&gt;",PartList[[#This Row],[ID]]),0),"O",IF(IFERROR(SEARCH("&lt;",PartList[[#This Row],[ID]]),0),"I",""))</f>
        <v/>
      </c>
      <c r="K75" t="str" cm="1">
        <f t="array" ref="K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5" t="str" cm="1">
        <f t="array" ref="L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75" t="str">
        <f>_xlfn.TEXTJOIN("#",TRUE,PartList[[#This Row],[ASSLY MARK]],PartList[[#This Row],[BOX NO]],PartList[[#This Row],[In/Out]],PartList[[#This Row],[O1-Grid]])</f>
        <v>1SC03#Box1#InB</v>
      </c>
      <c r="N75" t="str">
        <f>_xlfn.TEXTJOIN("#",TRUE,PartList[[#This Row],[ASSLY MARK]],PartList[[#This Row],[BOX NO]],PartList[[#This Row],[In/Out]],PartList[[#This Row],[O2-Grid]])</f>
        <v>1SC03#Box1#10_11_B</v>
      </c>
      <c r="O75">
        <f>IF(PartList[[#This Row],[Unique]]="Yes",_xlfn.XLOOKUP(PartList[[#This Row],[ASSLY MARK]],FilteredPL!A:A,FilteredPL!B:B,0,0),0)</f>
        <v>0</v>
      </c>
      <c r="P75">
        <f>_xlfn.XLOOKUP(PartList[[#This Row],[ASSLY MARK]],MasterPL[SplitMarkNo],MasterPL[BILL WT.(KG)],0,0)</f>
        <v>0</v>
      </c>
      <c r="Q75" cm="1">
        <f t="array" ref="Q7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5" s="2" t="str">
        <v>2BE18</v>
      </c>
      <c r="AB75" s="2">
        <f>SUMIF(PartList[ASSLY MARK],AA75,PartList[Avail. Qty])</f>
        <v>0</v>
      </c>
    </row>
    <row r="76" spans="1:28" x14ac:dyDescent="0.25">
      <c r="A76">
        <v>184</v>
      </c>
      <c r="B76" t="s">
        <v>647</v>
      </c>
      <c r="C76" t="s">
        <v>513</v>
      </c>
      <c r="D76" t="s">
        <v>517</v>
      </c>
      <c r="E76" t="s">
        <v>645</v>
      </c>
      <c r="F76" t="str" cm="1">
        <f t="array" ref="F76">IF(SUM(IF(PartList[ASSLY MARK]=PartList[[#This Row],[ASSLY MARK]],1,0))&gt;1,"No","Yes")</f>
        <v>Yes</v>
      </c>
      <c r="G76" t="str" cm="1">
        <f t="array" ref="G76">_xlfn.TEXTJOIN("_",TRUE,TRIM(_xlfn.TEXTSPLIT(PartList[[#This Row],[GRID LOCATION]],{"PR01","/","-"})))</f>
        <v>10_11_B&gt;</v>
      </c>
      <c r="H76" t="str" cm="1">
        <f t="array" ref="H7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76" cm="1">
        <f t="array" ref="I7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76" t="str">
        <f>IF(IFERROR(SEARCH("&gt;",PartList[[#This Row],[ID]]),0),"O",IF(IFERROR(SEARCH("&lt;",PartList[[#This Row],[ID]]),0),"I",""))</f>
        <v>O</v>
      </c>
      <c r="K76" t="str" cm="1">
        <f t="array" ref="K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6" t="str" cm="1">
        <f t="array" ref="L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6" t="str">
        <f>_xlfn.TEXTJOIN("#",TRUE,PartList[[#This Row],[ASSLY MARK]],PartList[[#This Row],[BOX NO]],PartList[[#This Row],[In/Out]],PartList[[#This Row],[O1-Grid]])</f>
        <v>1SC04#Box1#O</v>
      </c>
      <c r="N76" t="str">
        <f>_xlfn.TEXTJOIN("#",TRUE,PartList[[#This Row],[ASSLY MARK]],PartList[[#This Row],[BOX NO]],PartList[[#This Row],[In/Out]],PartList[[#This Row],[O2-Grid]])</f>
        <v>1SC04#Box1#O</v>
      </c>
      <c r="O76">
        <f>IF(PartList[[#This Row],[Unique]]="Yes",_xlfn.XLOOKUP(PartList[[#This Row],[ASSLY MARK]],FilteredPL!A:A,FilteredPL!B:B,0,0),0)</f>
        <v>0</v>
      </c>
      <c r="P76">
        <f>_xlfn.XLOOKUP(PartList[[#This Row],[ASSLY MARK]],MasterPL[SplitMarkNo],MasterPL[BILL WT.(KG)],0,0)</f>
        <v>0</v>
      </c>
      <c r="Q76" cm="1">
        <f t="array" ref="Q7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6" s="2" t="str">
        <v>2BE19</v>
      </c>
      <c r="AB76" s="2">
        <f>SUMIF(PartList[ASSLY MARK],AA76,PartList[Avail. Qty])</f>
        <v>0</v>
      </c>
    </row>
    <row r="77" spans="1:28" x14ac:dyDescent="0.25">
      <c r="A77">
        <v>185</v>
      </c>
      <c r="B77" t="s">
        <v>648</v>
      </c>
      <c r="C77" t="s">
        <v>512</v>
      </c>
      <c r="D77" t="s">
        <v>649</v>
      </c>
      <c r="E77" t="s">
        <v>645</v>
      </c>
      <c r="F77" t="str" cm="1">
        <f t="array" ref="F77">IF(SUM(IF(PartList[ASSLY MARK]=PartList[[#This Row],[ASSLY MARK]],1,0))&gt;1,"No","Yes")</f>
        <v>Yes</v>
      </c>
      <c r="G77" t="str" cm="1">
        <f t="array" ref="G77">_xlfn.TEXTJOIN("_",TRUE,TRIM(_xlfn.TEXTSPLIT(PartList[[#This Row],[GRID LOCATION]],{"PR01","/","-"})))</f>
        <v>10_11_A'_A</v>
      </c>
      <c r="H77" t="str" cm="1">
        <f t="array" ref="H7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77" cm="1">
        <f t="array" ref="I7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77" t="str">
        <f>IF(IFERROR(SEARCH("&gt;",PartList[[#This Row],[ID]]),0),"O",IF(IFERROR(SEARCH("&lt;",PartList[[#This Row],[ID]]),0),"I",""))</f>
        <v/>
      </c>
      <c r="K77" t="str" cm="1">
        <f t="array" ref="K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7" t="str" cm="1">
        <f t="array" ref="L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7" t="str">
        <f>_xlfn.TEXTJOIN("#",TRUE,PartList[[#This Row],[ASSLY MARK]],PartList[[#This Row],[BOX NO]],PartList[[#This Row],[In/Out]],PartList[[#This Row],[O1-Grid]])</f>
        <v>1SC05#Box1_Box4#InBB</v>
      </c>
      <c r="N77" t="str">
        <f>_xlfn.TEXTJOIN("#",TRUE,PartList[[#This Row],[ASSLY MARK]],PartList[[#This Row],[BOX NO]],PartList[[#This Row],[In/Out]],PartList[[#This Row],[O2-Grid]])</f>
        <v>1SC05#Box1_Box4#InBB</v>
      </c>
      <c r="O77">
        <f>IF(PartList[[#This Row],[Unique]]="Yes",_xlfn.XLOOKUP(PartList[[#This Row],[ASSLY MARK]],FilteredPL!A:A,FilteredPL!B:B,0,0),0)</f>
        <v>0</v>
      </c>
      <c r="P77">
        <f>_xlfn.XLOOKUP(PartList[[#This Row],[ASSLY MARK]],MasterPL[SplitMarkNo],MasterPL[BILL WT.(KG)],0,0)</f>
        <v>0</v>
      </c>
      <c r="Q77" cm="1">
        <f t="array" ref="Q7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7" s="2" t="str">
        <v>2BE20</v>
      </c>
      <c r="AB77" s="2">
        <f>SUMIF(PartList[ASSLY MARK],AA77,PartList[Avail. Qty])</f>
        <v>0</v>
      </c>
    </row>
    <row r="78" spans="1:28" x14ac:dyDescent="0.25">
      <c r="A78">
        <v>186</v>
      </c>
      <c r="B78" t="s">
        <v>650</v>
      </c>
      <c r="C78" t="s">
        <v>530</v>
      </c>
      <c r="D78" t="s">
        <v>651</v>
      </c>
      <c r="E78" t="s">
        <v>645</v>
      </c>
      <c r="F78" t="str" cm="1">
        <f t="array" ref="F78">IF(SUM(IF(PartList[ASSLY MARK]=PartList[[#This Row],[ASSLY MARK]],1,0))&gt;1,"No","Yes")</f>
        <v>Yes</v>
      </c>
      <c r="G78" t="str" cm="1">
        <f t="array" ref="G78">_xlfn.TEXTJOIN("_",TRUE,TRIM(_xlfn.TEXTSPLIT(PartList[[#This Row],[GRID LOCATION]],{"PR01","/","-"})))</f>
        <v>11_B&gt;</v>
      </c>
      <c r="H78" t="str" cm="1">
        <f t="array" ref="H7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78" cm="1">
        <f t="array" ref="I7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78" t="str">
        <f>IF(IFERROR(SEARCH("&gt;",PartList[[#This Row],[ID]]),0),"O",IF(IFERROR(SEARCH("&lt;",PartList[[#This Row],[ID]]),0),"I",""))</f>
        <v>O</v>
      </c>
      <c r="K78" t="str" cm="1">
        <f t="array" ref="K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8" t="str" cm="1">
        <f t="array" ref="L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8" t="str">
        <f>_xlfn.TEXTJOIN("#",TRUE,PartList[[#This Row],[ASSLY MARK]],PartList[[#This Row],[BOX NO]],PartList[[#This Row],[In/Out]],PartList[[#This Row],[O1-Grid]])</f>
        <v>1SC06#Box1#O</v>
      </c>
      <c r="N78" t="str">
        <f>_xlfn.TEXTJOIN("#",TRUE,PartList[[#This Row],[ASSLY MARK]],PartList[[#This Row],[BOX NO]],PartList[[#This Row],[In/Out]],PartList[[#This Row],[O2-Grid]])</f>
        <v>1SC06#Box1#O</v>
      </c>
      <c r="O78">
        <f>IF(PartList[[#This Row],[Unique]]="Yes",_xlfn.XLOOKUP(PartList[[#This Row],[ASSLY MARK]],FilteredPL!A:A,FilteredPL!B:B,0,0),0)</f>
        <v>0</v>
      </c>
      <c r="P78">
        <f>_xlfn.XLOOKUP(PartList[[#This Row],[ASSLY MARK]],MasterPL[SplitMarkNo],MasterPL[BILL WT.(KG)],0,0)</f>
        <v>0</v>
      </c>
      <c r="Q78" cm="1">
        <f t="array" ref="Q7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8" s="2" t="str">
        <v>2BE21</v>
      </c>
      <c r="AB78" s="2">
        <f>SUMIF(PartList[ASSLY MARK],AA78,PartList[Avail. Qty])</f>
        <v>0</v>
      </c>
    </row>
    <row r="79" spans="1:28" x14ac:dyDescent="0.25">
      <c r="A79">
        <v>197</v>
      </c>
      <c r="B79" t="s">
        <v>147</v>
      </c>
      <c r="C79" t="s">
        <v>509</v>
      </c>
      <c r="D79" t="s">
        <v>150</v>
      </c>
      <c r="E79" t="s">
        <v>5</v>
      </c>
      <c r="F79" t="str" cm="1">
        <f t="array" ref="F79">IF(SUM(IF(PartList[ASSLY MARK]=PartList[[#This Row],[ASSLY MARK]],1,0))&gt;1,"No","Yes")</f>
        <v>Yes</v>
      </c>
      <c r="G79" t="str" cm="1">
        <f t="array" ref="G79">_xlfn.TEXTJOIN("_",TRUE,TRIM(_xlfn.TEXTSPLIT(PartList[[#This Row],[GRID LOCATION]],{"PR01","/","-"})))</f>
        <v>10_A_B</v>
      </c>
      <c r="H79" t="str" cm="1">
        <f t="array" ref="H7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79" cm="1">
        <f t="array" ref="I7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79" t="str">
        <f>IF(IFERROR(SEARCH("&gt;",PartList[[#This Row],[ID]]),0),"O",IF(IFERROR(SEARCH("&lt;",PartList[[#This Row],[ID]]),0),"I",""))</f>
        <v/>
      </c>
      <c r="K79" t="str" cm="1">
        <f t="array" ref="K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10_A_B</v>
      </c>
      <c r="L79" t="str" cm="1">
        <f t="array" ref="L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9" t="str">
        <f>_xlfn.TEXTJOIN("#",TRUE,PartList[[#This Row],[ASSLY MARK]],PartList[[#This Row],[BOX NO]],PartList[[#This Row],[In/Out]],PartList[[#This Row],[O1-Grid]])</f>
        <v>2BE01#Box1#10_A_B</v>
      </c>
      <c r="N79" t="str">
        <f>_xlfn.TEXTJOIN("#",TRUE,PartList[[#This Row],[ASSLY MARK]],PartList[[#This Row],[BOX NO]],PartList[[#This Row],[In/Out]],PartList[[#This Row],[O2-Grid]])</f>
        <v>2BE01#Box1#InB</v>
      </c>
      <c r="O79">
        <f>IF(PartList[[#This Row],[Unique]]="Yes",_xlfn.XLOOKUP(PartList[[#This Row],[ASSLY MARK]],FilteredPL!A:A,FilteredPL!B:B,0,0),0)</f>
        <v>0</v>
      </c>
      <c r="P79">
        <f>_xlfn.XLOOKUP(PartList[[#This Row],[ASSLY MARK]],MasterPL[SplitMarkNo],MasterPL[BILL WT.(KG)],0,0)</f>
        <v>0</v>
      </c>
      <c r="Q79" cm="1">
        <f t="array" ref="Q7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9" s="2" t="str">
        <v>2BE23</v>
      </c>
      <c r="AB79" s="2">
        <f>SUMIF(PartList[ASSLY MARK],AA79,PartList[Avail. Qty])</f>
        <v>0</v>
      </c>
    </row>
    <row r="80" spans="1:28" x14ac:dyDescent="0.25">
      <c r="A80">
        <v>198</v>
      </c>
      <c r="B80" t="s">
        <v>149</v>
      </c>
      <c r="C80" t="s">
        <v>515</v>
      </c>
      <c r="D80" t="s">
        <v>150</v>
      </c>
      <c r="E80" t="s">
        <v>5</v>
      </c>
      <c r="F80" t="str" cm="1">
        <f t="array" ref="F80">IF(SUM(IF(PartList[ASSLY MARK]=PartList[[#This Row],[ASSLY MARK]],1,0))&gt;1,"No","Yes")</f>
        <v>Yes</v>
      </c>
      <c r="G80" t="str" cm="1">
        <f t="array" ref="G80">_xlfn.TEXTJOIN("_",TRUE,TRIM(_xlfn.TEXTSPLIT(PartList[[#This Row],[GRID LOCATION]],{"PR01","/","-"})))</f>
        <v>10_11_A_B</v>
      </c>
      <c r="H80" t="str" cm="1">
        <f t="array" ref="H8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80" cm="1">
        <f t="array" ref="I8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80" t="str">
        <f>IF(IFERROR(SEARCH("&gt;",PartList[[#This Row],[ID]]),0),"O",IF(IFERROR(SEARCH("&lt;",PartList[[#This Row],[ID]]),0),"I",""))</f>
        <v/>
      </c>
      <c r="K80" t="str" cm="1">
        <f t="array" ref="K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0" t="str" cm="1">
        <f t="array" ref="L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0" t="str">
        <f>_xlfn.TEXTJOIN("#",TRUE,PartList[[#This Row],[ASSLY MARK]],PartList[[#This Row],[BOX NO]],PartList[[#This Row],[In/Out]],PartList[[#This Row],[O1-Grid]])</f>
        <v>2BE02#Box1#InB</v>
      </c>
      <c r="N80" t="str">
        <f>_xlfn.TEXTJOIN("#",TRUE,PartList[[#This Row],[ASSLY MARK]],PartList[[#This Row],[BOX NO]],PartList[[#This Row],[In/Out]],PartList[[#This Row],[O2-Grid]])</f>
        <v>2BE02#Box1#InB</v>
      </c>
      <c r="O80">
        <f>IF(PartList[[#This Row],[Unique]]="Yes",_xlfn.XLOOKUP(PartList[[#This Row],[ASSLY MARK]],FilteredPL!A:A,FilteredPL!B:B,0,0),0)</f>
        <v>0</v>
      </c>
      <c r="P80">
        <f>_xlfn.XLOOKUP(PartList[[#This Row],[ASSLY MARK]],MasterPL[SplitMarkNo],MasterPL[BILL WT.(KG)],0,0)</f>
        <v>0</v>
      </c>
      <c r="Q80" cm="1">
        <f t="array" ref="Q8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0" s="2" t="str">
        <v>2BE55</v>
      </c>
      <c r="AB80" s="2">
        <f>SUMIF(PartList[ASSLY MARK],AA80,PartList[Avail. Qty])</f>
        <v>0</v>
      </c>
    </row>
    <row r="81" spans="1:28" x14ac:dyDescent="0.25">
      <c r="A81">
        <v>200</v>
      </c>
      <c r="B81" t="s">
        <v>152</v>
      </c>
      <c r="C81" t="s">
        <v>516</v>
      </c>
      <c r="D81" t="s">
        <v>150</v>
      </c>
      <c r="E81" t="s">
        <v>5</v>
      </c>
      <c r="F81" t="str" cm="1">
        <f t="array" ref="F81">IF(SUM(IF(PartList[ASSLY MARK]=PartList[[#This Row],[ASSLY MARK]],1,0))&gt;1,"No","Yes")</f>
        <v>Yes</v>
      </c>
      <c r="G81" t="str" cm="1">
        <f t="array" ref="G81">_xlfn.TEXTJOIN("_",TRUE,TRIM(_xlfn.TEXTSPLIT(PartList[[#This Row],[GRID LOCATION]],{"PR01","/","-"})))</f>
        <v>10_11_B</v>
      </c>
      <c r="H81" t="str" cm="1">
        <f t="array" ref="H8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81" cm="1">
        <f t="array" ref="I8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81" t="str">
        <f>IF(IFERROR(SEARCH("&gt;",PartList[[#This Row],[ID]]),0),"O",IF(IFERROR(SEARCH("&lt;",PartList[[#This Row],[ID]]),0),"I",""))</f>
        <v/>
      </c>
      <c r="K81" t="str" cm="1">
        <f t="array" ref="K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1" t="str" cm="1">
        <f t="array" ref="L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81" t="str">
        <f>_xlfn.TEXTJOIN("#",TRUE,PartList[[#This Row],[ASSLY MARK]],PartList[[#This Row],[BOX NO]],PartList[[#This Row],[In/Out]],PartList[[#This Row],[O1-Grid]])</f>
        <v>2BE04#Box1#InB</v>
      </c>
      <c r="N81" t="str">
        <f>_xlfn.TEXTJOIN("#",TRUE,PartList[[#This Row],[ASSLY MARK]],PartList[[#This Row],[BOX NO]],PartList[[#This Row],[In/Out]],PartList[[#This Row],[O2-Grid]])</f>
        <v>2BE04#Box1#10_11_B</v>
      </c>
      <c r="O81">
        <f>IF(PartList[[#This Row],[Unique]]="Yes",_xlfn.XLOOKUP(PartList[[#This Row],[ASSLY MARK]],FilteredPL!A:A,FilteredPL!B:B,0,0),0)</f>
        <v>0</v>
      </c>
      <c r="P81">
        <f>_xlfn.XLOOKUP(PartList[[#This Row],[ASSLY MARK]],MasterPL[SplitMarkNo],MasterPL[BILL WT.(KG)],0,0)</f>
        <v>0</v>
      </c>
      <c r="Q81" cm="1">
        <f t="array" ref="Q8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1" s="2" t="str">
        <v>2BE59</v>
      </c>
      <c r="AB81" s="2">
        <f>SUMIF(PartList[ASSLY MARK],AA81,PartList[Avail. Qty])</f>
        <v>0</v>
      </c>
    </row>
    <row r="82" spans="1:28" x14ac:dyDescent="0.25">
      <c r="A82">
        <v>201</v>
      </c>
      <c r="B82" t="s">
        <v>153</v>
      </c>
      <c r="C82" t="s">
        <v>515</v>
      </c>
      <c r="D82" t="s">
        <v>150</v>
      </c>
      <c r="E82" t="s">
        <v>5</v>
      </c>
      <c r="F82" t="str" cm="1">
        <f t="array" ref="F82">IF(SUM(IF(PartList[ASSLY MARK]=PartList[[#This Row],[ASSLY MARK]],1,0))&gt;1,"No","Yes")</f>
        <v>Yes</v>
      </c>
      <c r="G82" t="str" cm="1">
        <f t="array" ref="G82">_xlfn.TEXTJOIN("_",TRUE,TRIM(_xlfn.TEXTSPLIT(PartList[[#This Row],[GRID LOCATION]],{"PR01","/","-"})))</f>
        <v>10_11_A_B</v>
      </c>
      <c r="H82" t="str" cm="1">
        <f t="array" ref="H8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82" cm="1">
        <f t="array" ref="I8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82" t="str">
        <f>IF(IFERROR(SEARCH("&gt;",PartList[[#This Row],[ID]]),0),"O",IF(IFERROR(SEARCH("&lt;",PartList[[#This Row],[ID]]),0),"I",""))</f>
        <v/>
      </c>
      <c r="K82" t="str" cm="1">
        <f t="array" ref="K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2" t="str" cm="1">
        <f t="array" ref="L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2" t="str">
        <f>_xlfn.TEXTJOIN("#",TRUE,PartList[[#This Row],[ASSLY MARK]],PartList[[#This Row],[BOX NO]],PartList[[#This Row],[In/Out]],PartList[[#This Row],[O1-Grid]])</f>
        <v>2BE05#Box1#InB</v>
      </c>
      <c r="N82" t="str">
        <f>_xlfn.TEXTJOIN("#",TRUE,PartList[[#This Row],[ASSLY MARK]],PartList[[#This Row],[BOX NO]],PartList[[#This Row],[In/Out]],PartList[[#This Row],[O2-Grid]])</f>
        <v>2BE05#Box1#InB</v>
      </c>
      <c r="O82">
        <f>IF(PartList[[#This Row],[Unique]]="Yes",_xlfn.XLOOKUP(PartList[[#This Row],[ASSLY MARK]],FilteredPL!A:A,FilteredPL!B:B,0,0),0)</f>
        <v>0</v>
      </c>
      <c r="P82">
        <f>_xlfn.XLOOKUP(PartList[[#This Row],[ASSLY MARK]],MasterPL[SplitMarkNo],MasterPL[BILL WT.(KG)],0,0)</f>
        <v>0</v>
      </c>
      <c r="Q82" cm="1">
        <f t="array" ref="Q8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2" s="2" t="str">
        <v>2BE60</v>
      </c>
      <c r="AB82" s="2">
        <f>SUMIF(PartList[ASSLY MARK],AA82,PartList[Avail. Qty])</f>
        <v>0</v>
      </c>
    </row>
    <row r="83" spans="1:28" x14ac:dyDescent="0.25">
      <c r="A83">
        <v>202</v>
      </c>
      <c r="B83" t="s">
        <v>154</v>
      </c>
      <c r="C83" t="s">
        <v>516</v>
      </c>
      <c r="D83" t="s">
        <v>664</v>
      </c>
      <c r="E83" t="s">
        <v>5</v>
      </c>
      <c r="F83" t="str" cm="1">
        <f t="array" ref="F83">IF(SUM(IF(PartList[ASSLY MARK]=PartList[[#This Row],[ASSLY MARK]],1,0))&gt;1,"No","Yes")</f>
        <v>Yes</v>
      </c>
      <c r="G83" t="str" cm="1">
        <f t="array" ref="G83">_xlfn.TEXTJOIN("_",TRUE,TRIM(_xlfn.TEXTSPLIT(PartList[[#This Row],[GRID LOCATION]],{"PR01","/","-"})))</f>
        <v>10_11_B</v>
      </c>
      <c r="H83" t="str" cm="1">
        <f t="array" ref="H8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83" cm="1">
        <f t="array" ref="I8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83" t="str">
        <f>IF(IFERROR(SEARCH("&gt;",PartList[[#This Row],[ID]]),0),"O",IF(IFERROR(SEARCH("&lt;",PartList[[#This Row],[ID]]),0),"I",""))</f>
        <v/>
      </c>
      <c r="K83" t="str" cm="1">
        <f t="array" ref="K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3" t="str" cm="1">
        <f t="array" ref="L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83" t="str">
        <f>_xlfn.TEXTJOIN("#",TRUE,PartList[[#This Row],[ASSLY MARK]],PartList[[#This Row],[BOX NO]],PartList[[#This Row],[In/Out]],PartList[[#This Row],[O1-Grid]])</f>
        <v>2BE06#Box1#InB</v>
      </c>
      <c r="N83" t="str">
        <f>_xlfn.TEXTJOIN("#",TRUE,PartList[[#This Row],[ASSLY MARK]],PartList[[#This Row],[BOX NO]],PartList[[#This Row],[In/Out]],PartList[[#This Row],[O2-Grid]])</f>
        <v>2BE06#Box1#10_11_B</v>
      </c>
      <c r="O83">
        <f>IF(PartList[[#This Row],[Unique]]="Yes",_xlfn.XLOOKUP(PartList[[#This Row],[ASSLY MARK]],FilteredPL!A:A,FilteredPL!B:B,0,0),0)</f>
        <v>0</v>
      </c>
      <c r="P83">
        <f>_xlfn.XLOOKUP(PartList[[#This Row],[ASSLY MARK]],MasterPL[SplitMarkNo],MasterPL[BILL WT.(KG)],0,0)</f>
        <v>0</v>
      </c>
      <c r="Q83" cm="1">
        <f t="array" ref="Q8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3" s="2" t="str">
        <v>2BE67</v>
      </c>
      <c r="AB83" s="2">
        <f>SUMIF(PartList[ASSLY MARK],AA83,PartList[Avail. Qty])</f>
        <v>0</v>
      </c>
    </row>
    <row r="84" spans="1:28" x14ac:dyDescent="0.25">
      <c r="A84">
        <v>203</v>
      </c>
      <c r="B84" t="s">
        <v>155</v>
      </c>
      <c r="C84" t="s">
        <v>512</v>
      </c>
      <c r="D84" t="s">
        <v>649</v>
      </c>
      <c r="E84" t="s">
        <v>5</v>
      </c>
      <c r="F84" t="str" cm="1">
        <f t="array" ref="F84">IF(SUM(IF(PartList[ASSLY MARK]=PartList[[#This Row],[ASSLY MARK]],1,0))&gt;1,"No","Yes")</f>
        <v>Yes</v>
      </c>
      <c r="G84" t="str" cm="1">
        <f t="array" ref="G84">_xlfn.TEXTJOIN("_",TRUE,TRIM(_xlfn.TEXTSPLIT(PartList[[#This Row],[GRID LOCATION]],{"PR01","/","-"})))</f>
        <v>10_11_A'_A</v>
      </c>
      <c r="H84" t="str" cm="1">
        <f t="array" ref="H8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84" cm="1">
        <f t="array" ref="I8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84" t="str">
        <f>IF(IFERROR(SEARCH("&gt;",PartList[[#This Row],[ID]]),0),"O",IF(IFERROR(SEARCH("&lt;",PartList[[#This Row],[ID]]),0),"I",""))</f>
        <v/>
      </c>
      <c r="K84" t="str" cm="1">
        <f t="array" ref="K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4" t="str" cm="1">
        <f t="array" ref="L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4" t="str">
        <f>_xlfn.TEXTJOIN("#",TRUE,PartList[[#This Row],[ASSLY MARK]],PartList[[#This Row],[BOX NO]],PartList[[#This Row],[In/Out]],PartList[[#This Row],[O1-Grid]])</f>
        <v>2BE07#Box1_Box4#InBB</v>
      </c>
      <c r="N84" t="str">
        <f>_xlfn.TEXTJOIN("#",TRUE,PartList[[#This Row],[ASSLY MARK]],PartList[[#This Row],[BOX NO]],PartList[[#This Row],[In/Out]],PartList[[#This Row],[O2-Grid]])</f>
        <v>2BE07#Box1_Box4#InBB</v>
      </c>
      <c r="O84">
        <f>IF(PartList[[#This Row],[Unique]]="Yes",_xlfn.XLOOKUP(PartList[[#This Row],[ASSLY MARK]],FilteredPL!A:A,FilteredPL!B:B,0,0),0)</f>
        <v>0</v>
      </c>
      <c r="P84">
        <f>_xlfn.XLOOKUP(PartList[[#This Row],[ASSLY MARK]],MasterPL[SplitMarkNo],MasterPL[BILL WT.(KG)],0,0)</f>
        <v>0</v>
      </c>
      <c r="Q84" cm="1">
        <f t="array" ref="Q8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4" s="2" t="str">
        <v>2BE68</v>
      </c>
      <c r="AB84" s="2">
        <f>SUMIF(PartList[ASSLY MARK],AA84,PartList[Avail. Qty])</f>
        <v>0</v>
      </c>
    </row>
    <row r="85" spans="1:28" x14ac:dyDescent="0.25">
      <c r="A85">
        <v>204</v>
      </c>
      <c r="B85" t="s">
        <v>156</v>
      </c>
      <c r="C85" t="s">
        <v>514</v>
      </c>
      <c r="D85" t="s">
        <v>649</v>
      </c>
      <c r="E85" t="s">
        <v>5</v>
      </c>
      <c r="F85" t="str" cm="1">
        <f t="array" ref="F85">IF(SUM(IF(PartList[ASSLY MARK]=PartList[[#This Row],[ASSLY MARK]],1,0))&gt;1,"No","Yes")</f>
        <v>Yes</v>
      </c>
      <c r="G85" t="str" cm="1">
        <f t="array" ref="G85">_xlfn.TEXTJOIN("_",TRUE,TRIM(_xlfn.TEXTSPLIT(PartList[[#This Row],[GRID LOCATION]],{"PR01","/","-"})))</f>
        <v>10_11_A</v>
      </c>
      <c r="H85" t="str" cm="1">
        <f t="array" ref="H8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85" cm="1">
        <f t="array" ref="I8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85" t="str">
        <f>IF(IFERROR(SEARCH("&gt;",PartList[[#This Row],[ID]]),0),"O",IF(IFERROR(SEARCH("&lt;",PartList[[#This Row],[ID]]),0),"I",""))</f>
        <v/>
      </c>
      <c r="K85" t="str" cm="1">
        <f t="array" ref="K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5" t="str" cm="1">
        <f t="array" ref="L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85" t="str">
        <f>_xlfn.TEXTJOIN("#",TRUE,PartList[[#This Row],[ASSLY MARK]],PartList[[#This Row],[BOX NO]],PartList[[#This Row],[In/Out]],PartList[[#This Row],[O1-Grid]])</f>
        <v>2BE08#Box1#InB</v>
      </c>
      <c r="N85" t="str">
        <f>_xlfn.TEXTJOIN("#",TRUE,PartList[[#This Row],[ASSLY MARK]],PartList[[#This Row],[BOX NO]],PartList[[#This Row],[In/Out]],PartList[[#This Row],[O2-Grid]])</f>
        <v>2BE08#Box1#10_11_A</v>
      </c>
      <c r="O85">
        <f>IF(PartList[[#This Row],[Unique]]="Yes",_xlfn.XLOOKUP(PartList[[#This Row],[ASSLY MARK]],FilteredPL!A:A,FilteredPL!B:B,0,0),0)</f>
        <v>0</v>
      </c>
      <c r="P85">
        <f>_xlfn.XLOOKUP(PartList[[#This Row],[ASSLY MARK]],MasterPL[SplitMarkNo],MasterPL[BILL WT.(KG)],0,0)</f>
        <v>0</v>
      </c>
      <c r="Q85" cm="1">
        <f t="array" ref="Q8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5" s="2" t="str">
        <v>2BE69</v>
      </c>
      <c r="AB85" s="2">
        <f>SUMIF(PartList[ASSLY MARK],AA85,PartList[Avail. Qty])</f>
        <v>0</v>
      </c>
    </row>
    <row r="86" spans="1:28" x14ac:dyDescent="0.25">
      <c r="A86">
        <v>205</v>
      </c>
      <c r="B86" t="s">
        <v>157</v>
      </c>
      <c r="C86" t="s">
        <v>512</v>
      </c>
      <c r="D86" t="s">
        <v>649</v>
      </c>
      <c r="E86" t="s">
        <v>5</v>
      </c>
      <c r="F86" t="str" cm="1">
        <f t="array" ref="F86">IF(SUM(IF(PartList[ASSLY MARK]=PartList[[#This Row],[ASSLY MARK]],1,0))&gt;1,"No","Yes")</f>
        <v>Yes</v>
      </c>
      <c r="G86" t="str" cm="1">
        <f t="array" ref="G86">_xlfn.TEXTJOIN("_",TRUE,TRIM(_xlfn.TEXTSPLIT(PartList[[#This Row],[GRID LOCATION]],{"PR01","/","-"})))</f>
        <v>10_11_A'_A</v>
      </c>
      <c r="H86" t="str" cm="1">
        <f t="array" ref="H8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86" cm="1">
        <f t="array" ref="I8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86" t="str">
        <f>IF(IFERROR(SEARCH("&gt;",PartList[[#This Row],[ID]]),0),"O",IF(IFERROR(SEARCH("&lt;",PartList[[#This Row],[ID]]),0),"I",""))</f>
        <v/>
      </c>
      <c r="K86" t="str" cm="1">
        <f t="array" ref="K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6" t="str" cm="1">
        <f t="array" ref="L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6" t="str">
        <f>_xlfn.TEXTJOIN("#",TRUE,PartList[[#This Row],[ASSLY MARK]],PartList[[#This Row],[BOX NO]],PartList[[#This Row],[In/Out]],PartList[[#This Row],[O1-Grid]])</f>
        <v>2BE09#Box1_Box4#InBB</v>
      </c>
      <c r="N86" t="str">
        <f>_xlfn.TEXTJOIN("#",TRUE,PartList[[#This Row],[ASSLY MARK]],PartList[[#This Row],[BOX NO]],PartList[[#This Row],[In/Out]],PartList[[#This Row],[O2-Grid]])</f>
        <v>2BE09#Box1_Box4#InBB</v>
      </c>
      <c r="O86">
        <f>IF(PartList[[#This Row],[Unique]]="Yes",_xlfn.XLOOKUP(PartList[[#This Row],[ASSLY MARK]],FilteredPL!A:A,FilteredPL!B:B,0,0),0)</f>
        <v>0</v>
      </c>
      <c r="P86">
        <f>_xlfn.XLOOKUP(PartList[[#This Row],[ASSLY MARK]],MasterPL[SplitMarkNo],MasterPL[BILL WT.(KG)],0,0)</f>
        <v>0</v>
      </c>
      <c r="Q86" cm="1">
        <f t="array" ref="Q8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6" s="2" t="str">
        <v>2HA01</v>
      </c>
      <c r="AB86" s="2">
        <f>SUMIF(PartList[ASSLY MARK],AA86,PartList[Avail. Qty])</f>
        <v>0</v>
      </c>
    </row>
    <row r="87" spans="1:28" x14ac:dyDescent="0.25">
      <c r="A87">
        <v>206</v>
      </c>
      <c r="B87" t="s">
        <v>158</v>
      </c>
      <c r="C87" t="s">
        <v>528</v>
      </c>
      <c r="D87" t="s">
        <v>649</v>
      </c>
      <c r="E87" t="s">
        <v>5</v>
      </c>
      <c r="F87" t="str" cm="1">
        <f t="array" ref="F87">IF(SUM(IF(PartList[ASSLY MARK]=PartList[[#This Row],[ASSLY MARK]],1,0))&gt;1,"No","Yes")</f>
        <v>Yes</v>
      </c>
      <c r="G87" t="str" cm="1">
        <f t="array" ref="G87">_xlfn.TEXTJOIN("_",TRUE,TRIM(_xlfn.TEXTSPLIT(PartList[[#This Row],[GRID LOCATION]],{"PR01","/","-"})))</f>
        <v>11_A'_A</v>
      </c>
      <c r="H87" t="str" cm="1">
        <f t="array" ref="H8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87" cm="1">
        <f t="array" ref="I8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87" t="str">
        <f>IF(IFERROR(SEARCH("&gt;",PartList[[#This Row],[ID]]),0),"O",IF(IFERROR(SEARCH("&lt;",PartList[[#This Row],[ID]]),0),"I",""))</f>
        <v/>
      </c>
      <c r="K87" t="str" cm="1">
        <f t="array" ref="K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7" t="str" cm="1">
        <f t="array" ref="L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7" t="str">
        <f>_xlfn.TEXTJOIN("#",TRUE,PartList[[#This Row],[ASSLY MARK]],PartList[[#This Row],[BOX NO]],PartList[[#This Row],[In/Out]],PartList[[#This Row],[O1-Grid]])</f>
        <v>2BE10#Box1_Box4#InBB</v>
      </c>
      <c r="N87" t="str">
        <f>_xlfn.TEXTJOIN("#",TRUE,PartList[[#This Row],[ASSLY MARK]],PartList[[#This Row],[BOX NO]],PartList[[#This Row],[In/Out]],PartList[[#This Row],[O2-Grid]])</f>
        <v>2BE10#Box1_Box4#InBB</v>
      </c>
      <c r="O87">
        <f>IF(PartList[[#This Row],[Unique]]="Yes",_xlfn.XLOOKUP(PartList[[#This Row],[ASSLY MARK]],FilteredPL!A:A,FilteredPL!B:B,0,0),0)</f>
        <v>0</v>
      </c>
      <c r="P87">
        <f>_xlfn.XLOOKUP(PartList[[#This Row],[ASSLY MARK]],MasterPL[SplitMarkNo],MasterPL[BILL WT.(KG)],0,0)</f>
        <v>0</v>
      </c>
      <c r="Q87" cm="1">
        <f t="array" ref="Q8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7" s="2" t="str">
        <v>2HB01</v>
      </c>
      <c r="AB87" s="2">
        <f>SUMIF(PartList[ASSLY MARK],AA87,PartList[Avail. Qty])</f>
        <v>0</v>
      </c>
    </row>
    <row r="88" spans="1:28" x14ac:dyDescent="0.25">
      <c r="A88">
        <v>207</v>
      </c>
      <c r="B88" t="s">
        <v>159</v>
      </c>
      <c r="C88" t="s">
        <v>529</v>
      </c>
      <c r="D88" t="s">
        <v>150</v>
      </c>
      <c r="E88" t="s">
        <v>5</v>
      </c>
      <c r="F88" t="str" cm="1">
        <f t="array" ref="F88">IF(SUM(IF(PartList[ASSLY MARK]=PartList[[#This Row],[ASSLY MARK]],1,0))&gt;1,"No","Yes")</f>
        <v>Yes</v>
      </c>
      <c r="G88" t="str" cm="1">
        <f t="array" ref="G88">_xlfn.TEXTJOIN("_",TRUE,TRIM(_xlfn.TEXTSPLIT(PartList[[#This Row],[GRID LOCATION]],{"PR01","/","-"})))</f>
        <v>11_A_B</v>
      </c>
      <c r="H88" t="str" cm="1">
        <f t="array" ref="H8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88" cm="1">
        <f t="array" ref="I8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88" t="str">
        <f>IF(IFERROR(SEARCH("&gt;",PartList[[#This Row],[ID]]),0),"O",IF(IFERROR(SEARCH("&lt;",PartList[[#This Row],[ID]]),0),"I",""))</f>
        <v/>
      </c>
      <c r="K88" t="str" cm="1">
        <f t="array" ref="K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11_A_B</v>
      </c>
      <c r="L88" t="str" cm="1">
        <f t="array" ref="L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8" t="str">
        <f>_xlfn.TEXTJOIN("#",TRUE,PartList[[#This Row],[ASSLY MARK]],PartList[[#This Row],[BOX NO]],PartList[[#This Row],[In/Out]],PartList[[#This Row],[O1-Grid]])</f>
        <v>2BE11#Box1#11_A_B</v>
      </c>
      <c r="N88" t="str">
        <f>_xlfn.TEXTJOIN("#",TRUE,PartList[[#This Row],[ASSLY MARK]],PartList[[#This Row],[BOX NO]],PartList[[#This Row],[In/Out]],PartList[[#This Row],[O2-Grid]])</f>
        <v>2BE11#Box1#InB</v>
      </c>
      <c r="O88">
        <f>IF(PartList[[#This Row],[Unique]]="Yes",_xlfn.XLOOKUP(PartList[[#This Row],[ASSLY MARK]],FilteredPL!A:A,FilteredPL!B:B,0,0),0)</f>
        <v>0</v>
      </c>
      <c r="P88">
        <f>_xlfn.XLOOKUP(PartList[[#This Row],[ASSLY MARK]],MasterPL[SplitMarkNo],MasterPL[BILL WT.(KG)],0,0)</f>
        <v>0</v>
      </c>
      <c r="Q88" cm="1">
        <f t="array" ref="Q8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8" s="2" t="str">
        <v>2HB02</v>
      </c>
      <c r="AB88" s="2">
        <f>SUMIF(PartList[ASSLY MARK],AA88,PartList[Avail. Qty])</f>
        <v>0</v>
      </c>
    </row>
    <row r="89" spans="1:28" x14ac:dyDescent="0.25">
      <c r="A89">
        <v>208</v>
      </c>
      <c r="B89" t="s">
        <v>160</v>
      </c>
      <c r="C89" t="s">
        <v>530</v>
      </c>
      <c r="D89" t="s">
        <v>649</v>
      </c>
      <c r="E89" t="s">
        <v>5</v>
      </c>
      <c r="F89" t="str" cm="1">
        <f t="array" ref="F89">IF(SUM(IF(PartList[ASSLY MARK]=PartList[[#This Row],[ASSLY MARK]],1,0))&gt;1,"No","Yes")</f>
        <v>Yes</v>
      </c>
      <c r="G89" t="str" cm="1">
        <f t="array" ref="G89">_xlfn.TEXTJOIN("_",TRUE,TRIM(_xlfn.TEXTSPLIT(PartList[[#This Row],[GRID LOCATION]],{"PR01","/","-"})))</f>
        <v>11_B&gt;</v>
      </c>
      <c r="H89" t="str" cm="1">
        <f t="array" ref="H8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89" cm="1">
        <f t="array" ref="I8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89" t="str">
        <f>IF(IFERROR(SEARCH("&gt;",PartList[[#This Row],[ID]]),0),"O",IF(IFERROR(SEARCH("&lt;",PartList[[#This Row],[ID]]),0),"I",""))</f>
        <v>O</v>
      </c>
      <c r="K89" t="str" cm="1">
        <f t="array" ref="K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89" t="str" cm="1">
        <f t="array" ref="L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89" t="str">
        <f>_xlfn.TEXTJOIN("#",TRUE,PartList[[#This Row],[ASSLY MARK]],PartList[[#This Row],[BOX NO]],PartList[[#This Row],[In/Out]],PartList[[#This Row],[O1-Grid]])</f>
        <v>2BE12#Box1#O</v>
      </c>
      <c r="N89" t="str">
        <f>_xlfn.TEXTJOIN("#",TRUE,PartList[[#This Row],[ASSLY MARK]],PartList[[#This Row],[BOX NO]],PartList[[#This Row],[In/Out]],PartList[[#This Row],[O2-Grid]])</f>
        <v>2BE12#Box1#O</v>
      </c>
      <c r="O89">
        <f>IF(PartList[[#This Row],[Unique]]="Yes",_xlfn.XLOOKUP(PartList[[#This Row],[ASSLY MARK]],FilteredPL!A:A,FilteredPL!B:B,0,0),0)</f>
        <v>0</v>
      </c>
      <c r="P89">
        <f>_xlfn.XLOOKUP(PartList[[#This Row],[ASSLY MARK]],MasterPL[SplitMarkNo],MasterPL[BILL WT.(KG)],0,0)</f>
        <v>0</v>
      </c>
      <c r="Q89" cm="1">
        <f t="array" ref="Q8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9" s="2" t="str">
        <v>2HB03</v>
      </c>
      <c r="AB89" s="2">
        <f>SUMIF(PartList[ASSLY MARK],AA89,PartList[Avail. Qty])</f>
        <v>0</v>
      </c>
    </row>
    <row r="90" spans="1:28" x14ac:dyDescent="0.25">
      <c r="A90">
        <v>216</v>
      </c>
      <c r="B90" t="s">
        <v>162</v>
      </c>
      <c r="C90" t="s">
        <v>532</v>
      </c>
      <c r="D90" t="s">
        <v>148</v>
      </c>
      <c r="E90" t="s">
        <v>5</v>
      </c>
      <c r="F90" t="str" cm="1">
        <f t="array" ref="F90">IF(SUM(IF(PartList[ASSLY MARK]=PartList[[#This Row],[ASSLY MARK]],1,0))&gt;1,"No","Yes")</f>
        <v>No</v>
      </c>
      <c r="G90" t="str" cm="1">
        <f t="array" ref="G90">_xlfn.TEXTJOIN("_",TRUE,TRIM(_xlfn.TEXTSPLIT(PartList[[#This Row],[GRID LOCATION]],{"PR01","/","-"})))</f>
        <v>11_12_A_B</v>
      </c>
      <c r="H90" t="str" cm="1">
        <f t="array" ref="H9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90" cm="1">
        <f t="array" ref="I9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90" t="str">
        <f>IF(IFERROR(SEARCH("&gt;",PartList[[#This Row],[ID]]),0),"O",IF(IFERROR(SEARCH("&lt;",PartList[[#This Row],[ID]]),0),"I",""))</f>
        <v/>
      </c>
      <c r="K90" t="str" cm="1">
        <f t="array" ref="K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0" t="str" cm="1">
        <f t="array" ref="L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0" t="str">
        <f>_xlfn.TEXTJOIN("#",TRUE,PartList[[#This Row],[ASSLY MARK]],PartList[[#This Row],[BOX NO]],PartList[[#This Row],[In/Out]],PartList[[#This Row],[O1-Grid]])</f>
        <v>2BE14#Box1_Box2#InBB</v>
      </c>
      <c r="N90" t="str">
        <f>_xlfn.TEXTJOIN("#",TRUE,PartList[[#This Row],[ASSLY MARK]],PartList[[#This Row],[BOX NO]],PartList[[#This Row],[In/Out]],PartList[[#This Row],[O2-Grid]])</f>
        <v>2BE14#Box1_Box2#InBB</v>
      </c>
      <c r="O90">
        <f>IF(PartList[[#This Row],[Unique]]="Yes",_xlfn.XLOOKUP(PartList[[#This Row],[ASSLY MARK]],FilteredPL!A:A,FilteredPL!B:B,0,0),0)</f>
        <v>0</v>
      </c>
      <c r="P90">
        <f>_xlfn.XLOOKUP(PartList[[#This Row],[ASSLY MARK]],MasterPL[SplitMarkNo],MasterPL[BILL WT.(KG)],0,0)</f>
        <v>0</v>
      </c>
      <c r="Q90" cm="1">
        <f t="array" ref="Q9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90" s="2" t="str">
        <v>2HB04</v>
      </c>
      <c r="AB90" s="2">
        <f>SUMIF(PartList[ASSLY MARK],AA90,PartList[Avail. Qty])</f>
        <v>0</v>
      </c>
    </row>
    <row r="91" spans="1:28" x14ac:dyDescent="0.25">
      <c r="A91">
        <v>217</v>
      </c>
      <c r="B91" t="s">
        <v>162</v>
      </c>
      <c r="C91" t="s">
        <v>532</v>
      </c>
      <c r="D91" t="s">
        <v>148</v>
      </c>
      <c r="E91" t="s">
        <v>5</v>
      </c>
      <c r="F91" t="str" cm="1">
        <f t="array" ref="F91">IF(SUM(IF(PartList[ASSLY MARK]=PartList[[#This Row],[ASSLY MARK]],1,0))&gt;1,"No","Yes")</f>
        <v>No</v>
      </c>
      <c r="G91" t="str" cm="1">
        <f t="array" ref="G91">_xlfn.TEXTJOIN("_",TRUE,TRIM(_xlfn.TEXTSPLIT(PartList[[#This Row],[GRID LOCATION]],{"PR01","/","-"})))</f>
        <v>11_12_A_B</v>
      </c>
      <c r="H91" t="str" cm="1">
        <f t="array" ref="H9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91" cm="1">
        <f t="array" ref="I9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91" t="str">
        <f>IF(IFERROR(SEARCH("&gt;",PartList[[#This Row],[ID]]),0),"O",IF(IFERROR(SEARCH("&lt;",PartList[[#This Row],[ID]]),0),"I",""))</f>
        <v/>
      </c>
      <c r="K91" t="str" cm="1">
        <f t="array" ref="K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1" t="str" cm="1">
        <f t="array" ref="L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1" t="str">
        <f>_xlfn.TEXTJOIN("#",TRUE,PartList[[#This Row],[ASSLY MARK]],PartList[[#This Row],[BOX NO]],PartList[[#This Row],[In/Out]],PartList[[#This Row],[O1-Grid]])</f>
        <v>2BE14#Box1_Box2#InBB</v>
      </c>
      <c r="N91" t="str">
        <f>_xlfn.TEXTJOIN("#",TRUE,PartList[[#This Row],[ASSLY MARK]],PartList[[#This Row],[BOX NO]],PartList[[#This Row],[In/Out]],PartList[[#This Row],[O2-Grid]])</f>
        <v>2BE14#Box1_Box2#InBB</v>
      </c>
      <c r="O91">
        <f>IF(PartList[[#This Row],[Unique]]="Yes",_xlfn.XLOOKUP(PartList[[#This Row],[ASSLY MARK]],FilteredPL!A:A,FilteredPL!B:B,0,0),0)</f>
        <v>0</v>
      </c>
      <c r="P91">
        <f>_xlfn.XLOOKUP(PartList[[#This Row],[ASSLY MARK]],MasterPL[SplitMarkNo],MasterPL[BILL WT.(KG)],0,0)</f>
        <v>0</v>
      </c>
      <c r="Q91" cm="1">
        <f t="array" ref="Q9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91" s="2" t="str">
        <v>2HB05</v>
      </c>
      <c r="AB91" s="2">
        <f>SUMIF(PartList[ASSLY MARK],AA91,PartList[Avail. Qty])</f>
        <v>0</v>
      </c>
    </row>
    <row r="92" spans="1:28" x14ac:dyDescent="0.25">
      <c r="A92">
        <v>218</v>
      </c>
      <c r="B92" t="s">
        <v>163</v>
      </c>
      <c r="C92" t="s">
        <v>665</v>
      </c>
      <c r="D92" t="s">
        <v>649</v>
      </c>
      <c r="E92" t="s">
        <v>5</v>
      </c>
      <c r="F92" t="str" cm="1">
        <f t="array" ref="F92">IF(SUM(IF(PartList[ASSLY MARK]=PartList[[#This Row],[ASSLY MARK]],1,0))&gt;1,"No","Yes")</f>
        <v>Yes</v>
      </c>
      <c r="G92" t="str" cm="1">
        <f t="array" ref="G92">_xlfn.TEXTJOIN("_",TRUE,TRIM(_xlfn.TEXTSPLIT(PartList[[#This Row],[GRID LOCATION]],{"PR01","/","-"})))</f>
        <v>10_12_A'_A</v>
      </c>
      <c r="H92" t="str" cm="1">
        <f t="array" ref="H9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92" cm="1">
        <f t="array" ref="I9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92" t="str">
        <f>IF(IFERROR(SEARCH("&gt;",PartList[[#This Row],[ID]]),0),"O",IF(IFERROR(SEARCH("&lt;",PartList[[#This Row],[ID]]),0),"I",""))</f>
        <v/>
      </c>
      <c r="K92" t="str" cm="1">
        <f t="array" ref="K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2" t="str" cm="1">
        <f t="array" ref="L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2" t="str">
        <f>_xlfn.TEXTJOIN("#",TRUE,PartList[[#This Row],[ASSLY MARK]],PartList[[#This Row],[BOX NO]],PartList[[#This Row],[In/Out]],PartList[[#This Row],[O1-Grid]])</f>
        <v>2BE15#Box1_Box2_Box4_Box5#InBB</v>
      </c>
      <c r="N92" t="str">
        <f>_xlfn.TEXTJOIN("#",TRUE,PartList[[#This Row],[ASSLY MARK]],PartList[[#This Row],[BOX NO]],PartList[[#This Row],[In/Out]],PartList[[#This Row],[O2-Grid]])</f>
        <v>2BE15#Box1_Box2_Box4_Box5#InBB</v>
      </c>
      <c r="O92">
        <f>IF(PartList[[#This Row],[Unique]]="Yes",_xlfn.XLOOKUP(PartList[[#This Row],[ASSLY MARK]],FilteredPL!A:A,FilteredPL!B:B,0,0),0)</f>
        <v>0</v>
      </c>
      <c r="P92">
        <f>_xlfn.XLOOKUP(PartList[[#This Row],[ASSLY MARK]],MasterPL[SplitMarkNo],MasterPL[BILL WT.(KG)],0,0)</f>
        <v>0</v>
      </c>
      <c r="Q92" cm="1">
        <f t="array" ref="Q9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92" s="2" t="str">
        <v>2SC01</v>
      </c>
      <c r="AB92" s="2">
        <f>SUMIF(PartList[ASSLY MARK],AA92,PartList[Avail. Qty])</f>
        <v>0</v>
      </c>
    </row>
    <row r="93" spans="1:28" x14ac:dyDescent="0.25">
      <c r="A93">
        <v>219</v>
      </c>
      <c r="B93" t="s">
        <v>164</v>
      </c>
      <c r="C93" t="s">
        <v>533</v>
      </c>
      <c r="D93" t="s">
        <v>150</v>
      </c>
      <c r="E93" t="s">
        <v>5</v>
      </c>
      <c r="F93" t="str" cm="1">
        <f t="array" ref="F93">IF(SUM(IF(PartList[ASSLY MARK]=PartList[[#This Row],[ASSLY MARK]],1,0))&gt;1,"No","Yes")</f>
        <v>Yes</v>
      </c>
      <c r="G93" t="str" cm="1">
        <f t="array" ref="G93">_xlfn.TEXTJOIN("_",TRUE,TRIM(_xlfn.TEXTSPLIT(PartList[[#This Row],[GRID LOCATION]],{"PR01","/","-"})))</f>
        <v>11_12_A</v>
      </c>
      <c r="H93" t="str" cm="1">
        <f t="array" ref="H9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93" cm="1">
        <f t="array" ref="I9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93" t="str">
        <f>IF(IFERROR(SEARCH("&gt;",PartList[[#This Row],[ID]]),0),"O",IF(IFERROR(SEARCH("&lt;",PartList[[#This Row],[ID]]),0),"I",""))</f>
        <v/>
      </c>
      <c r="K93" t="str" cm="1">
        <f t="array" ref="K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3" t="str" cm="1">
        <f t="array" ref="L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3" t="str">
        <f>_xlfn.TEXTJOIN("#",TRUE,PartList[[#This Row],[ASSLY MARK]],PartList[[#This Row],[BOX NO]],PartList[[#This Row],[In/Out]],PartList[[#This Row],[O1-Grid]])</f>
        <v>2BE16#Box1_Box2#InBB</v>
      </c>
      <c r="N93" t="str">
        <f>_xlfn.TEXTJOIN("#",TRUE,PartList[[#This Row],[ASSLY MARK]],PartList[[#This Row],[BOX NO]],PartList[[#This Row],[In/Out]],PartList[[#This Row],[O2-Grid]])</f>
        <v>2BE16#Box1_Box2#InBB</v>
      </c>
      <c r="O93">
        <f>IF(PartList[[#This Row],[Unique]]="Yes",_xlfn.XLOOKUP(PartList[[#This Row],[ASSLY MARK]],FilteredPL!A:A,FilteredPL!B:B,0,0),0)</f>
        <v>0</v>
      </c>
      <c r="P93">
        <f>_xlfn.XLOOKUP(PartList[[#This Row],[ASSLY MARK]],MasterPL[SplitMarkNo],MasterPL[BILL WT.(KG)],0,0)</f>
        <v>0</v>
      </c>
      <c r="Q93" cm="1">
        <f t="array" ref="Q9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93" s="2" t="str">
        <v>2SC02</v>
      </c>
      <c r="AB93" s="2">
        <f>SUMIF(PartList[ASSLY MARK],AA93,PartList[Avail. Qty])</f>
        <v>0</v>
      </c>
    </row>
    <row r="94" spans="1:28" x14ac:dyDescent="0.25">
      <c r="A94">
        <v>220</v>
      </c>
      <c r="B94" t="s">
        <v>165</v>
      </c>
      <c r="C94" t="s">
        <v>533</v>
      </c>
      <c r="D94" t="s">
        <v>649</v>
      </c>
      <c r="E94" t="s">
        <v>5</v>
      </c>
      <c r="F94" t="str" cm="1">
        <f t="array" ref="F94">IF(SUM(IF(PartList[ASSLY MARK]=PartList[[#This Row],[ASSLY MARK]],1,0))&gt;1,"No","Yes")</f>
        <v>Yes</v>
      </c>
      <c r="G94" t="str" cm="1">
        <f t="array" ref="G94">_xlfn.TEXTJOIN("_",TRUE,TRIM(_xlfn.TEXTSPLIT(PartList[[#This Row],[GRID LOCATION]],{"PR01","/","-"})))</f>
        <v>11_12_A</v>
      </c>
      <c r="H94" t="str" cm="1">
        <f t="array" ref="H9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94" cm="1">
        <f t="array" ref="I9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94" t="str">
        <f>IF(IFERROR(SEARCH("&gt;",PartList[[#This Row],[ID]]),0),"O",IF(IFERROR(SEARCH("&lt;",PartList[[#This Row],[ID]]),0),"I",""))</f>
        <v/>
      </c>
      <c r="K94" t="str" cm="1">
        <f t="array" ref="K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4" t="str" cm="1">
        <f t="array" ref="L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4" t="str">
        <f>_xlfn.TEXTJOIN("#",TRUE,PartList[[#This Row],[ASSLY MARK]],PartList[[#This Row],[BOX NO]],PartList[[#This Row],[In/Out]],PartList[[#This Row],[O1-Grid]])</f>
        <v>2BE17#Box1_Box2#InBB</v>
      </c>
      <c r="N94" t="str">
        <f>_xlfn.TEXTJOIN("#",TRUE,PartList[[#This Row],[ASSLY MARK]],PartList[[#This Row],[BOX NO]],PartList[[#This Row],[In/Out]],PartList[[#This Row],[O2-Grid]])</f>
        <v>2BE17#Box1_Box2#InBB</v>
      </c>
      <c r="O94">
        <f>IF(PartList[[#This Row],[Unique]]="Yes",_xlfn.XLOOKUP(PartList[[#This Row],[ASSLY MARK]],FilteredPL!A:A,FilteredPL!B:B,0,0),0)</f>
        <v>0</v>
      </c>
      <c r="P94">
        <f>_xlfn.XLOOKUP(PartList[[#This Row],[ASSLY MARK]],MasterPL[SplitMarkNo],MasterPL[BILL WT.(KG)],0,0)</f>
        <v>0</v>
      </c>
      <c r="Q94" cm="1">
        <f t="array" ref="Q9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94" s="2" t="str">
        <v>2SC04</v>
      </c>
      <c r="AB94" s="2">
        <f>SUMIF(PartList[ASSLY MARK],AA94,PartList[Avail. Qty])</f>
        <v>0</v>
      </c>
    </row>
    <row r="95" spans="1:28" x14ac:dyDescent="0.25">
      <c r="A95">
        <v>221</v>
      </c>
      <c r="B95" t="s">
        <v>166</v>
      </c>
      <c r="C95" t="s">
        <v>532</v>
      </c>
      <c r="D95" t="s">
        <v>150</v>
      </c>
      <c r="E95" t="s">
        <v>5</v>
      </c>
      <c r="F95" t="str" cm="1">
        <f t="array" ref="F95">IF(SUM(IF(PartList[ASSLY MARK]=PartList[[#This Row],[ASSLY MARK]],1,0))&gt;1,"No","Yes")</f>
        <v>Yes</v>
      </c>
      <c r="G95" t="str" cm="1">
        <f t="array" ref="G95">_xlfn.TEXTJOIN("_",TRUE,TRIM(_xlfn.TEXTSPLIT(PartList[[#This Row],[GRID LOCATION]],{"PR01","/","-"})))</f>
        <v>11_12_A_B</v>
      </c>
      <c r="H95" t="str" cm="1">
        <f t="array" ref="H9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95" cm="1">
        <f t="array" ref="I9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95" t="str">
        <f>IF(IFERROR(SEARCH("&gt;",PartList[[#This Row],[ID]]),0),"O",IF(IFERROR(SEARCH("&lt;",PartList[[#This Row],[ID]]),0),"I",""))</f>
        <v/>
      </c>
      <c r="K95" t="str" cm="1">
        <f t="array" ref="K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5" t="str" cm="1">
        <f t="array" ref="L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5" t="str">
        <f>_xlfn.TEXTJOIN("#",TRUE,PartList[[#This Row],[ASSLY MARK]],PartList[[#This Row],[BOX NO]],PartList[[#This Row],[In/Out]],PartList[[#This Row],[O1-Grid]])</f>
        <v>2BE18#Box1_Box2#InBB</v>
      </c>
      <c r="N95" t="str">
        <f>_xlfn.TEXTJOIN("#",TRUE,PartList[[#This Row],[ASSLY MARK]],PartList[[#This Row],[BOX NO]],PartList[[#This Row],[In/Out]],PartList[[#This Row],[O2-Grid]])</f>
        <v>2BE18#Box1_Box2#InBB</v>
      </c>
      <c r="O95">
        <f>IF(PartList[[#This Row],[Unique]]="Yes",_xlfn.XLOOKUP(PartList[[#This Row],[ASSLY MARK]],FilteredPL!A:A,FilteredPL!B:B,0,0),0)</f>
        <v>0</v>
      </c>
      <c r="P95">
        <f>_xlfn.XLOOKUP(PartList[[#This Row],[ASSLY MARK]],MasterPL[SplitMarkNo],MasterPL[BILL WT.(KG)],0,0)</f>
        <v>0</v>
      </c>
      <c r="Q95" cm="1">
        <f t="array" ref="Q9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95" s="2" t="str">
        <v>3BE01</v>
      </c>
      <c r="AB95" s="2">
        <f>SUMIF(PartList[ASSLY MARK],AA95,PartList[Avail. Qty])</f>
        <v>0</v>
      </c>
    </row>
    <row r="96" spans="1:28" x14ac:dyDescent="0.25">
      <c r="A96">
        <v>222</v>
      </c>
      <c r="B96" t="s">
        <v>167</v>
      </c>
      <c r="C96" t="s">
        <v>534</v>
      </c>
      <c r="D96" t="s">
        <v>150</v>
      </c>
      <c r="E96" t="s">
        <v>5</v>
      </c>
      <c r="F96" t="str" cm="1">
        <f t="array" ref="F96">IF(SUM(IF(PartList[ASSLY MARK]=PartList[[#This Row],[ASSLY MARK]],1,0))&gt;1,"No","Yes")</f>
        <v>Yes</v>
      </c>
      <c r="G96" t="str" cm="1">
        <f t="array" ref="G96">_xlfn.TEXTJOIN("_",TRUE,TRIM(_xlfn.TEXTSPLIT(PartList[[#This Row],[GRID LOCATION]],{"PR01","/","-"})))</f>
        <v>11_12_B</v>
      </c>
      <c r="H96" t="str" cm="1">
        <f t="array" ref="H9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96" cm="1">
        <f t="array" ref="I9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96" t="str">
        <f>IF(IFERROR(SEARCH("&gt;",PartList[[#This Row],[ID]]),0),"O",IF(IFERROR(SEARCH("&lt;",PartList[[#This Row],[ID]]),0),"I",""))</f>
        <v/>
      </c>
      <c r="K96" t="str" cm="1">
        <f t="array" ref="K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6" t="str" cm="1">
        <f t="array" ref="L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6" t="str">
        <f>_xlfn.TEXTJOIN("#",TRUE,PartList[[#This Row],[ASSLY MARK]],PartList[[#This Row],[BOX NO]],PartList[[#This Row],[In/Out]],PartList[[#This Row],[O1-Grid]])</f>
        <v>2BE19#Box1_Box2#InBB</v>
      </c>
      <c r="N96" t="str">
        <f>_xlfn.TEXTJOIN("#",TRUE,PartList[[#This Row],[ASSLY MARK]],PartList[[#This Row],[BOX NO]],PartList[[#This Row],[In/Out]],PartList[[#This Row],[O2-Grid]])</f>
        <v>2BE19#Box1_Box2#InBB</v>
      </c>
      <c r="O96">
        <f>IF(PartList[[#This Row],[Unique]]="Yes",_xlfn.XLOOKUP(PartList[[#This Row],[ASSLY MARK]],FilteredPL!A:A,FilteredPL!B:B,0,0),0)</f>
        <v>0</v>
      </c>
      <c r="P96">
        <f>_xlfn.XLOOKUP(PartList[[#This Row],[ASSLY MARK]],MasterPL[SplitMarkNo],MasterPL[BILL WT.(KG)],0,0)</f>
        <v>0</v>
      </c>
      <c r="Q96" cm="1">
        <f t="array" ref="Q9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96" s="2" t="str">
        <v>3BE02</v>
      </c>
      <c r="AB96" s="2">
        <f>SUMIF(PartList[ASSLY MARK],AA96,PartList[Avail. Qty])</f>
        <v>0</v>
      </c>
    </row>
    <row r="97" spans="1:28" x14ac:dyDescent="0.25">
      <c r="A97">
        <v>223</v>
      </c>
      <c r="B97" t="s">
        <v>168</v>
      </c>
      <c r="C97" t="s">
        <v>534</v>
      </c>
      <c r="D97" t="s">
        <v>649</v>
      </c>
      <c r="E97" t="s">
        <v>5</v>
      </c>
      <c r="F97" t="str" cm="1">
        <f t="array" ref="F97">IF(SUM(IF(PartList[ASSLY MARK]=PartList[[#This Row],[ASSLY MARK]],1,0))&gt;1,"No","Yes")</f>
        <v>Yes</v>
      </c>
      <c r="G97" t="str" cm="1">
        <f t="array" ref="G97">_xlfn.TEXTJOIN("_",TRUE,TRIM(_xlfn.TEXTSPLIT(PartList[[#This Row],[GRID LOCATION]],{"PR01","/","-"})))</f>
        <v>11_12_B</v>
      </c>
      <c r="H97" t="str" cm="1">
        <f t="array" ref="H9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97" cm="1">
        <f t="array" ref="I9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97" t="str">
        <f>IF(IFERROR(SEARCH("&gt;",PartList[[#This Row],[ID]]),0),"O",IF(IFERROR(SEARCH("&lt;",PartList[[#This Row],[ID]]),0),"I",""))</f>
        <v/>
      </c>
      <c r="K97" t="str" cm="1">
        <f t="array" ref="K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7" t="str" cm="1">
        <f t="array" ref="L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7" t="str">
        <f>_xlfn.TEXTJOIN("#",TRUE,PartList[[#This Row],[ASSLY MARK]],PartList[[#This Row],[BOX NO]],PartList[[#This Row],[In/Out]],PartList[[#This Row],[O1-Grid]])</f>
        <v>2BE20#Box1_Box2#InBB</v>
      </c>
      <c r="N97" t="str">
        <f>_xlfn.TEXTJOIN("#",TRUE,PartList[[#This Row],[ASSLY MARK]],PartList[[#This Row],[BOX NO]],PartList[[#This Row],[In/Out]],PartList[[#This Row],[O2-Grid]])</f>
        <v>2BE20#Box1_Box2#InBB</v>
      </c>
      <c r="O97">
        <f>IF(PartList[[#This Row],[Unique]]="Yes",_xlfn.XLOOKUP(PartList[[#This Row],[ASSLY MARK]],FilteredPL!A:A,FilteredPL!B:B,0,0),0)</f>
        <v>0</v>
      </c>
      <c r="P97">
        <f>_xlfn.XLOOKUP(PartList[[#This Row],[ASSLY MARK]],MasterPL[SplitMarkNo],MasterPL[BILL WT.(KG)],0,0)</f>
        <v>0</v>
      </c>
      <c r="Q97" cm="1">
        <f t="array" ref="Q9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97" s="2" t="str">
        <v>3BE03</v>
      </c>
      <c r="AB97" s="2">
        <f>SUMIF(PartList[ASSLY MARK],AA97,PartList[Avail. Qty])</f>
        <v>0</v>
      </c>
    </row>
    <row r="98" spans="1:28" x14ac:dyDescent="0.25">
      <c r="A98">
        <v>224</v>
      </c>
      <c r="B98" t="s">
        <v>169</v>
      </c>
      <c r="C98" t="s">
        <v>531</v>
      </c>
      <c r="D98" t="s">
        <v>649</v>
      </c>
      <c r="E98" t="s">
        <v>5</v>
      </c>
      <c r="F98" t="str" cm="1">
        <f t="array" ref="F98">IF(SUM(IF(PartList[ASSLY MARK]=PartList[[#This Row],[ASSLY MARK]],1,0))&gt;1,"No","Yes")</f>
        <v>Yes</v>
      </c>
      <c r="G98" t="str" cm="1">
        <f t="array" ref="G98">_xlfn.TEXTJOIN("_",TRUE,TRIM(_xlfn.TEXTSPLIT(PartList[[#This Row],[GRID LOCATION]],{"PR01","/","-"})))</f>
        <v>11_12_B&gt;</v>
      </c>
      <c r="H98" t="str" cm="1">
        <f t="array" ref="H9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98" cm="1">
        <f t="array" ref="I9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98" t="str">
        <f>IF(IFERROR(SEARCH("&gt;",PartList[[#This Row],[ID]]),0),"O",IF(IFERROR(SEARCH("&lt;",PartList[[#This Row],[ID]]),0),"I",""))</f>
        <v>O</v>
      </c>
      <c r="K98" t="str" cm="1">
        <f t="array" ref="K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8" t="str" cm="1">
        <f t="array" ref="L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8" t="str">
        <f>_xlfn.TEXTJOIN("#",TRUE,PartList[[#This Row],[ASSLY MARK]],PartList[[#This Row],[BOX NO]],PartList[[#This Row],[In/Out]],PartList[[#This Row],[O1-Grid]])</f>
        <v>2BE21#Box1_Box2#O</v>
      </c>
      <c r="N98" t="str">
        <f>_xlfn.TEXTJOIN("#",TRUE,PartList[[#This Row],[ASSLY MARK]],PartList[[#This Row],[BOX NO]],PartList[[#This Row],[In/Out]],PartList[[#This Row],[O2-Grid]])</f>
        <v>2BE21#Box1_Box2#O</v>
      </c>
      <c r="O98">
        <f>IF(PartList[[#This Row],[Unique]]="Yes",_xlfn.XLOOKUP(PartList[[#This Row],[ASSLY MARK]],FilteredPL!A:A,FilteredPL!B:B,0,0),0)</f>
        <v>0</v>
      </c>
      <c r="P98">
        <f>_xlfn.XLOOKUP(PartList[[#This Row],[ASSLY MARK]],MasterPL[SplitMarkNo],MasterPL[BILL WT.(KG)],0,0)</f>
        <v>0</v>
      </c>
      <c r="Q98" cm="1">
        <f t="array" ref="Q9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98" s="2" t="str">
        <v>3BE04</v>
      </c>
      <c r="AB98" s="2">
        <f>SUMIF(PartList[ASSLY MARK],AA98,PartList[Avail. Qty])</f>
        <v>0</v>
      </c>
    </row>
    <row r="99" spans="1:28" x14ac:dyDescent="0.25">
      <c r="A99">
        <v>226</v>
      </c>
      <c r="B99" t="s">
        <v>171</v>
      </c>
      <c r="C99" t="s">
        <v>532</v>
      </c>
      <c r="D99" t="s">
        <v>649</v>
      </c>
      <c r="E99" t="s">
        <v>5</v>
      </c>
      <c r="F99" t="str" cm="1">
        <f t="array" ref="F99">IF(SUM(IF(PartList[ASSLY MARK]=PartList[[#This Row],[ASSLY MARK]],1,0))&gt;1,"No","Yes")</f>
        <v>Yes</v>
      </c>
      <c r="G99" t="str" cm="1">
        <f t="array" ref="G99">_xlfn.TEXTJOIN("_",TRUE,TRIM(_xlfn.TEXTSPLIT(PartList[[#This Row],[GRID LOCATION]],{"PR01","/","-"})))</f>
        <v>11_12_A_B</v>
      </c>
      <c r="H99" t="str" cm="1">
        <f t="array" ref="H9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99" cm="1">
        <f t="array" ref="I9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99" t="str">
        <f>IF(IFERROR(SEARCH("&gt;",PartList[[#This Row],[ID]]),0),"O",IF(IFERROR(SEARCH("&lt;",PartList[[#This Row],[ID]]),0),"I",""))</f>
        <v/>
      </c>
      <c r="K99" t="str" cm="1">
        <f t="array" ref="K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9" t="str" cm="1">
        <f t="array" ref="L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9" t="str">
        <f>_xlfn.TEXTJOIN("#",TRUE,PartList[[#This Row],[ASSLY MARK]],PartList[[#This Row],[BOX NO]],PartList[[#This Row],[In/Out]],PartList[[#This Row],[O1-Grid]])</f>
        <v>2BE23#Box1_Box2#InBB</v>
      </c>
      <c r="N99" t="str">
        <f>_xlfn.TEXTJOIN("#",TRUE,PartList[[#This Row],[ASSLY MARK]],PartList[[#This Row],[BOX NO]],PartList[[#This Row],[In/Out]],PartList[[#This Row],[O2-Grid]])</f>
        <v>2BE23#Box1_Box2#InBB</v>
      </c>
      <c r="O99">
        <f>IF(PartList[[#This Row],[Unique]]="Yes",_xlfn.XLOOKUP(PartList[[#This Row],[ASSLY MARK]],FilteredPL!A:A,FilteredPL!B:B,0,0),0)</f>
        <v>0</v>
      </c>
      <c r="P99">
        <f>_xlfn.XLOOKUP(PartList[[#This Row],[ASSLY MARK]],MasterPL[SplitMarkNo],MasterPL[BILL WT.(KG)],0,0)</f>
        <v>0</v>
      </c>
      <c r="Q99" cm="1">
        <f t="array" ref="Q9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99" s="2" t="str">
        <v>3BE05</v>
      </c>
      <c r="AB99" s="2">
        <f>SUMIF(PartList[ASSLY MARK],AA99,PartList[Avail. Qty])</f>
        <v>0</v>
      </c>
    </row>
    <row r="100" spans="1:28" x14ac:dyDescent="0.25">
      <c r="A100">
        <v>273</v>
      </c>
      <c r="B100" t="s">
        <v>689</v>
      </c>
      <c r="C100" t="s">
        <v>511</v>
      </c>
      <c r="D100" t="s">
        <v>649</v>
      </c>
      <c r="E100" t="s">
        <v>5</v>
      </c>
      <c r="F100" t="str" cm="1">
        <f t="array" ref="F100">IF(SUM(IF(PartList[ASSLY MARK]=PartList[[#This Row],[ASSLY MARK]],1,0))&gt;1,"No","Yes")</f>
        <v>No</v>
      </c>
      <c r="G100" t="str" cm="1">
        <f t="array" ref="G100">_xlfn.TEXTJOIN("_",TRUE,TRIM(_xlfn.TEXTSPLIT(PartList[[#This Row],[GRID LOCATION]],{"PR01","/","-"})))</f>
        <v>11_12_A'_A</v>
      </c>
      <c r="H100" t="str" cm="1">
        <f t="array" ref="H10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00" cm="1">
        <f t="array" ref="I10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00" t="str">
        <f>IF(IFERROR(SEARCH("&gt;",PartList[[#This Row],[ID]]),0),"O",IF(IFERROR(SEARCH("&lt;",PartList[[#This Row],[ID]]),0),"I",""))</f>
        <v/>
      </c>
      <c r="K100" t="str" cm="1">
        <f t="array" ref="K1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00" t="str" cm="1">
        <f t="array" ref="L1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00" t="str">
        <f>_xlfn.TEXTJOIN("#",TRUE,PartList[[#This Row],[ASSLY MARK]],PartList[[#This Row],[BOX NO]],PartList[[#This Row],[In/Out]],PartList[[#This Row],[O1-Grid]])</f>
        <v>2BE55#Box1_Box2_Box4_Box5#InBB</v>
      </c>
      <c r="N100" t="str">
        <f>_xlfn.TEXTJOIN("#",TRUE,PartList[[#This Row],[ASSLY MARK]],PartList[[#This Row],[BOX NO]],PartList[[#This Row],[In/Out]],PartList[[#This Row],[O2-Grid]])</f>
        <v>2BE55#Box1_Box2_Box4_Box5#InBB</v>
      </c>
      <c r="O100">
        <f>IF(PartList[[#This Row],[Unique]]="Yes",_xlfn.XLOOKUP(PartList[[#This Row],[ASSLY MARK]],FilteredPL!A:A,FilteredPL!B:B,0,0),0)</f>
        <v>0</v>
      </c>
      <c r="P100">
        <f>_xlfn.XLOOKUP(PartList[[#This Row],[ASSLY MARK]],MasterPL[SplitMarkNo],MasterPL[BILL WT.(KG)],0,0)</f>
        <v>0</v>
      </c>
      <c r="Q100" cm="1">
        <f t="array" ref="Q10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00" s="2" t="str">
        <v>3BE06</v>
      </c>
      <c r="AB100" s="2">
        <f>SUMIF(PartList[ASSLY MARK],AA100,PartList[Avail. Qty])</f>
        <v>0</v>
      </c>
    </row>
    <row r="101" spans="1:28" x14ac:dyDescent="0.25">
      <c r="A101">
        <v>274</v>
      </c>
      <c r="B101" t="s">
        <v>689</v>
      </c>
      <c r="C101" t="s">
        <v>511</v>
      </c>
      <c r="D101" t="s">
        <v>649</v>
      </c>
      <c r="E101" t="s">
        <v>5</v>
      </c>
      <c r="F101" t="str" cm="1">
        <f t="array" ref="F101">IF(SUM(IF(PartList[ASSLY MARK]=PartList[[#This Row],[ASSLY MARK]],1,0))&gt;1,"No","Yes")</f>
        <v>No</v>
      </c>
      <c r="G101" t="str" cm="1">
        <f t="array" ref="G101">_xlfn.TEXTJOIN("_",TRUE,TRIM(_xlfn.TEXTSPLIT(PartList[[#This Row],[GRID LOCATION]],{"PR01","/","-"})))</f>
        <v>11_12_A'_A</v>
      </c>
      <c r="H101" t="str" cm="1">
        <f t="array" ref="H10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01" cm="1">
        <f t="array" ref="I10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01" t="str">
        <f>IF(IFERROR(SEARCH("&gt;",PartList[[#This Row],[ID]]),0),"O",IF(IFERROR(SEARCH("&lt;",PartList[[#This Row],[ID]]),0),"I",""))</f>
        <v/>
      </c>
      <c r="K101" t="str" cm="1">
        <f t="array" ref="K1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01" t="str" cm="1">
        <f t="array" ref="L1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01" t="str">
        <f>_xlfn.TEXTJOIN("#",TRUE,PartList[[#This Row],[ASSLY MARK]],PartList[[#This Row],[BOX NO]],PartList[[#This Row],[In/Out]],PartList[[#This Row],[O1-Grid]])</f>
        <v>2BE55#Box1_Box2_Box4_Box5#InBB</v>
      </c>
      <c r="N101" t="str">
        <f>_xlfn.TEXTJOIN("#",TRUE,PartList[[#This Row],[ASSLY MARK]],PartList[[#This Row],[BOX NO]],PartList[[#This Row],[In/Out]],PartList[[#This Row],[O2-Grid]])</f>
        <v>2BE55#Box1_Box2_Box4_Box5#InBB</v>
      </c>
      <c r="O101">
        <f>IF(PartList[[#This Row],[Unique]]="Yes",_xlfn.XLOOKUP(PartList[[#This Row],[ASSLY MARK]],FilteredPL!A:A,FilteredPL!B:B,0,0),0)</f>
        <v>0</v>
      </c>
      <c r="P101">
        <f>_xlfn.XLOOKUP(PartList[[#This Row],[ASSLY MARK]],MasterPL[SplitMarkNo],MasterPL[BILL WT.(KG)],0,0)</f>
        <v>0</v>
      </c>
      <c r="Q101" cm="1">
        <f t="array" ref="Q10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01" s="2" t="str">
        <v>3BE07</v>
      </c>
      <c r="AB101" s="2">
        <f>SUMIF(PartList[ASSLY MARK],AA101,PartList[Avail. Qty])</f>
        <v>0</v>
      </c>
    </row>
    <row r="102" spans="1:28" x14ac:dyDescent="0.25">
      <c r="A102">
        <v>275</v>
      </c>
      <c r="B102" t="s">
        <v>689</v>
      </c>
      <c r="C102" t="s">
        <v>511</v>
      </c>
      <c r="D102" t="s">
        <v>649</v>
      </c>
      <c r="E102" t="s">
        <v>5</v>
      </c>
      <c r="F102" t="str" cm="1">
        <f t="array" ref="F102">IF(SUM(IF(PartList[ASSLY MARK]=PartList[[#This Row],[ASSLY MARK]],1,0))&gt;1,"No","Yes")</f>
        <v>No</v>
      </c>
      <c r="G102" t="str" cm="1">
        <f t="array" ref="G102">_xlfn.TEXTJOIN("_",TRUE,TRIM(_xlfn.TEXTSPLIT(PartList[[#This Row],[GRID LOCATION]],{"PR01","/","-"})))</f>
        <v>11_12_A'_A</v>
      </c>
      <c r="H102" t="str" cm="1">
        <f t="array" ref="H10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02" cm="1">
        <f t="array" ref="I10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02" t="str">
        <f>IF(IFERROR(SEARCH("&gt;",PartList[[#This Row],[ID]]),0),"O",IF(IFERROR(SEARCH("&lt;",PartList[[#This Row],[ID]]),0),"I",""))</f>
        <v/>
      </c>
      <c r="K102" t="str" cm="1">
        <f t="array" ref="K1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02" t="str" cm="1">
        <f t="array" ref="L1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02" t="str">
        <f>_xlfn.TEXTJOIN("#",TRUE,PartList[[#This Row],[ASSLY MARK]],PartList[[#This Row],[BOX NO]],PartList[[#This Row],[In/Out]],PartList[[#This Row],[O1-Grid]])</f>
        <v>2BE55#Box1_Box2_Box4_Box5#InBB</v>
      </c>
      <c r="N102" t="str">
        <f>_xlfn.TEXTJOIN("#",TRUE,PartList[[#This Row],[ASSLY MARK]],PartList[[#This Row],[BOX NO]],PartList[[#This Row],[In/Out]],PartList[[#This Row],[O2-Grid]])</f>
        <v>2BE55#Box1_Box2_Box4_Box5#InBB</v>
      </c>
      <c r="O102">
        <f>IF(PartList[[#This Row],[Unique]]="Yes",_xlfn.XLOOKUP(PartList[[#This Row],[ASSLY MARK]],FilteredPL!A:A,FilteredPL!B:B,0,0),0)</f>
        <v>0</v>
      </c>
      <c r="P102">
        <f>_xlfn.XLOOKUP(PartList[[#This Row],[ASSLY MARK]],MasterPL[SplitMarkNo],MasterPL[BILL WT.(KG)],0,0)</f>
        <v>0</v>
      </c>
      <c r="Q102" cm="1">
        <f t="array" ref="Q10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02" s="2" t="str">
        <v>3BE08</v>
      </c>
      <c r="AB102" s="2">
        <f>SUMIF(PartList[ASSLY MARK],AA102,PartList[Avail. Qty])</f>
        <v>0</v>
      </c>
    </row>
    <row r="103" spans="1:28" x14ac:dyDescent="0.25">
      <c r="A103">
        <v>276</v>
      </c>
      <c r="B103" t="s">
        <v>689</v>
      </c>
      <c r="C103" t="s">
        <v>511</v>
      </c>
      <c r="D103" t="s">
        <v>649</v>
      </c>
      <c r="E103" t="s">
        <v>5</v>
      </c>
      <c r="F103" t="str" cm="1">
        <f t="array" ref="F103">IF(SUM(IF(PartList[ASSLY MARK]=PartList[[#This Row],[ASSLY MARK]],1,0))&gt;1,"No","Yes")</f>
        <v>No</v>
      </c>
      <c r="G103" t="str" cm="1">
        <f t="array" ref="G103">_xlfn.TEXTJOIN("_",TRUE,TRIM(_xlfn.TEXTSPLIT(PartList[[#This Row],[GRID LOCATION]],{"PR01","/","-"})))</f>
        <v>11_12_A'_A</v>
      </c>
      <c r="H103" t="str" cm="1">
        <f t="array" ref="H10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03" cm="1">
        <f t="array" ref="I10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03" t="str">
        <f>IF(IFERROR(SEARCH("&gt;",PartList[[#This Row],[ID]]),0),"O",IF(IFERROR(SEARCH("&lt;",PartList[[#This Row],[ID]]),0),"I",""))</f>
        <v/>
      </c>
      <c r="K103" t="str" cm="1">
        <f t="array" ref="K1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03" t="str" cm="1">
        <f t="array" ref="L1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03" t="str">
        <f>_xlfn.TEXTJOIN("#",TRUE,PartList[[#This Row],[ASSLY MARK]],PartList[[#This Row],[BOX NO]],PartList[[#This Row],[In/Out]],PartList[[#This Row],[O1-Grid]])</f>
        <v>2BE55#Box1_Box2_Box4_Box5#InBB</v>
      </c>
      <c r="N103" t="str">
        <f>_xlfn.TEXTJOIN("#",TRUE,PartList[[#This Row],[ASSLY MARK]],PartList[[#This Row],[BOX NO]],PartList[[#This Row],[In/Out]],PartList[[#This Row],[O2-Grid]])</f>
        <v>2BE55#Box1_Box2_Box4_Box5#InBB</v>
      </c>
      <c r="O103">
        <f>IF(PartList[[#This Row],[Unique]]="Yes",_xlfn.XLOOKUP(PartList[[#This Row],[ASSLY MARK]],FilteredPL!A:A,FilteredPL!B:B,0,0),0)</f>
        <v>0</v>
      </c>
      <c r="P103">
        <f>_xlfn.XLOOKUP(PartList[[#This Row],[ASSLY MARK]],MasterPL[SplitMarkNo],MasterPL[BILL WT.(KG)],0,0)</f>
        <v>0</v>
      </c>
      <c r="Q103" cm="1">
        <f t="array" ref="Q10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03" s="2" t="str">
        <v>3BE09</v>
      </c>
      <c r="AB103" s="2">
        <f>SUMIF(PartList[ASSLY MARK],AA103,PartList[Avail. Qty])</f>
        <v>0</v>
      </c>
    </row>
    <row r="104" spans="1:28" x14ac:dyDescent="0.25">
      <c r="A104">
        <v>277</v>
      </c>
      <c r="B104" t="s">
        <v>689</v>
      </c>
      <c r="C104" t="s">
        <v>511</v>
      </c>
      <c r="D104" t="s">
        <v>649</v>
      </c>
      <c r="E104" t="s">
        <v>5</v>
      </c>
      <c r="F104" t="str" cm="1">
        <f t="array" ref="F104">IF(SUM(IF(PartList[ASSLY MARK]=PartList[[#This Row],[ASSLY MARK]],1,0))&gt;1,"No","Yes")</f>
        <v>No</v>
      </c>
      <c r="G104" t="str" cm="1">
        <f t="array" ref="G104">_xlfn.TEXTJOIN("_",TRUE,TRIM(_xlfn.TEXTSPLIT(PartList[[#This Row],[GRID LOCATION]],{"PR01","/","-"})))</f>
        <v>11_12_A'_A</v>
      </c>
      <c r="H104" t="str" cm="1">
        <f t="array" ref="H10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04" cm="1">
        <f t="array" ref="I10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04" t="str">
        <f>IF(IFERROR(SEARCH("&gt;",PartList[[#This Row],[ID]]),0),"O",IF(IFERROR(SEARCH("&lt;",PartList[[#This Row],[ID]]),0),"I",""))</f>
        <v/>
      </c>
      <c r="K104" t="str" cm="1">
        <f t="array" ref="K1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04" t="str" cm="1">
        <f t="array" ref="L1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04" t="str">
        <f>_xlfn.TEXTJOIN("#",TRUE,PartList[[#This Row],[ASSLY MARK]],PartList[[#This Row],[BOX NO]],PartList[[#This Row],[In/Out]],PartList[[#This Row],[O1-Grid]])</f>
        <v>2BE55#Box1_Box2_Box4_Box5#InBB</v>
      </c>
      <c r="N104" t="str">
        <f>_xlfn.TEXTJOIN("#",TRUE,PartList[[#This Row],[ASSLY MARK]],PartList[[#This Row],[BOX NO]],PartList[[#This Row],[In/Out]],PartList[[#This Row],[O2-Grid]])</f>
        <v>2BE55#Box1_Box2_Box4_Box5#InBB</v>
      </c>
      <c r="O104">
        <f>IF(PartList[[#This Row],[Unique]]="Yes",_xlfn.XLOOKUP(PartList[[#This Row],[ASSLY MARK]],FilteredPL!A:A,FilteredPL!B:B,0,0),0)</f>
        <v>0</v>
      </c>
      <c r="P104">
        <f>_xlfn.XLOOKUP(PartList[[#This Row],[ASSLY MARK]],MasterPL[SplitMarkNo],MasterPL[BILL WT.(KG)],0,0)</f>
        <v>0</v>
      </c>
      <c r="Q104" cm="1">
        <f t="array" ref="Q10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04" s="2" t="str">
        <v>3BE10</v>
      </c>
      <c r="AB104" s="2">
        <f>SUMIF(PartList[ASSLY MARK],AA104,PartList[Avail. Qty])</f>
        <v>0</v>
      </c>
    </row>
    <row r="105" spans="1:28" x14ac:dyDescent="0.25">
      <c r="A105">
        <v>281</v>
      </c>
      <c r="B105" t="s">
        <v>693</v>
      </c>
      <c r="C105" t="s">
        <v>617</v>
      </c>
      <c r="D105" t="s">
        <v>150</v>
      </c>
      <c r="E105" t="s">
        <v>5</v>
      </c>
      <c r="F105" t="str" cm="1">
        <f t="array" ref="F105">IF(SUM(IF(PartList[ASSLY MARK]=PartList[[#This Row],[ASSLY MARK]],1,0))&gt;1,"No","Yes")</f>
        <v>Yes</v>
      </c>
      <c r="G105" t="str" cm="1">
        <f t="array" ref="G105">_xlfn.TEXTJOIN("_",TRUE,TRIM(_xlfn.TEXTSPLIT(PartList[[#This Row],[GRID LOCATION]],{"PR01","/","-"})))</f>
        <v>14_A_B</v>
      </c>
      <c r="H105" t="str" cm="1">
        <f t="array" ref="H10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</v>
      </c>
      <c r="I105" cm="1">
        <f t="array" ref="I10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05" t="str">
        <f>IF(IFERROR(SEARCH("&gt;",PartList[[#This Row],[ID]]),0),"O",IF(IFERROR(SEARCH("&lt;",PartList[[#This Row],[ID]]),0),"I",""))</f>
        <v/>
      </c>
      <c r="K105" t="str" cm="1">
        <f t="array" ref="K1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05" t="str" cm="1">
        <f t="array" ref="L1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05" t="str">
        <f>_xlfn.TEXTJOIN("#",TRUE,PartList[[#This Row],[ASSLY MARK]],PartList[[#This Row],[BOX NO]],PartList[[#This Row],[In/Out]],PartList[[#This Row],[O1-Grid]])</f>
        <v>2BE59#Box1_Box2_Box3#InBB</v>
      </c>
      <c r="N105" t="str">
        <f>_xlfn.TEXTJOIN("#",TRUE,PartList[[#This Row],[ASSLY MARK]],PartList[[#This Row],[BOX NO]],PartList[[#This Row],[In/Out]],PartList[[#This Row],[O2-Grid]])</f>
        <v>2BE59#Box1_Box2_Box3#InBB</v>
      </c>
      <c r="O105">
        <f>IF(PartList[[#This Row],[Unique]]="Yes",_xlfn.XLOOKUP(PartList[[#This Row],[ASSLY MARK]],FilteredPL!A:A,FilteredPL!B:B,0,0),0)</f>
        <v>0</v>
      </c>
      <c r="P105">
        <f>_xlfn.XLOOKUP(PartList[[#This Row],[ASSLY MARK]],MasterPL[SplitMarkNo],MasterPL[BILL WT.(KG)],0,0)</f>
        <v>0</v>
      </c>
      <c r="Q105" cm="1">
        <f t="array" ref="Q10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05" s="2" t="str">
        <v>3BE12</v>
      </c>
      <c r="AB105" s="2">
        <f>SUMIF(PartList[ASSLY MARK],AA105,PartList[Avail. Qty])</f>
        <v>0</v>
      </c>
    </row>
    <row r="106" spans="1:28" x14ac:dyDescent="0.25">
      <c r="A106">
        <v>282</v>
      </c>
      <c r="B106" t="s">
        <v>694</v>
      </c>
      <c r="C106" t="s">
        <v>619</v>
      </c>
      <c r="D106" t="s">
        <v>675</v>
      </c>
      <c r="E106" t="s">
        <v>5</v>
      </c>
      <c r="F106" t="str" cm="1">
        <f t="array" ref="F106">IF(SUM(IF(PartList[ASSLY MARK]=PartList[[#This Row],[ASSLY MARK]],1,0))&gt;1,"No","Yes")</f>
        <v>Yes</v>
      </c>
      <c r="G106" t="str" cm="1">
        <f t="array" ref="G106">_xlfn.TEXTJOIN("_",TRUE,TRIM(_xlfn.TEXTSPLIT(PartList[[#This Row],[GRID LOCATION]],{"PR01","/","-"})))</f>
        <v>14_B&gt;</v>
      </c>
      <c r="H106" t="str" cm="1">
        <f t="array" ref="H10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106" cm="1">
        <f t="array" ref="I10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06" t="str">
        <f>IF(IFERROR(SEARCH("&gt;",PartList[[#This Row],[ID]]),0),"O",IF(IFERROR(SEARCH("&lt;",PartList[[#This Row],[ID]]),0),"I",""))</f>
        <v>O</v>
      </c>
      <c r="K106" t="str" cm="1">
        <f t="array" ref="K1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06" t="str" cm="1">
        <f t="array" ref="L1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06" t="str">
        <f>_xlfn.TEXTJOIN("#",TRUE,PartList[[#This Row],[ASSLY MARK]],PartList[[#This Row],[BOX NO]],PartList[[#This Row],[In/Out]],PartList[[#This Row],[O1-Grid]])</f>
        <v>2BE60#Box1_Box2_Box3_Box6#O</v>
      </c>
      <c r="N106" t="str">
        <f>_xlfn.TEXTJOIN("#",TRUE,PartList[[#This Row],[ASSLY MARK]],PartList[[#This Row],[BOX NO]],PartList[[#This Row],[In/Out]],PartList[[#This Row],[O2-Grid]])</f>
        <v>2BE60#Box1_Box2_Box3_Box6#O</v>
      </c>
      <c r="O106">
        <f>IF(PartList[[#This Row],[Unique]]="Yes",_xlfn.XLOOKUP(PartList[[#This Row],[ASSLY MARK]],FilteredPL!A:A,FilteredPL!B:B,0,0),0)</f>
        <v>0</v>
      </c>
      <c r="P106">
        <f>_xlfn.XLOOKUP(PartList[[#This Row],[ASSLY MARK]],MasterPL[SplitMarkNo],MasterPL[BILL WT.(KG)],0,0)</f>
        <v>0</v>
      </c>
      <c r="Q106" cm="1">
        <f t="array" ref="Q10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06" s="2" t="str">
        <v>3BE13</v>
      </c>
      <c r="AB106" s="2">
        <f>SUMIF(PartList[ASSLY MARK],AA106,PartList[Avail. Qty])</f>
        <v>0</v>
      </c>
    </row>
    <row r="107" spans="1:28" x14ac:dyDescent="0.25">
      <c r="A107">
        <v>289</v>
      </c>
      <c r="B107" t="s">
        <v>701</v>
      </c>
      <c r="C107" t="s">
        <v>619</v>
      </c>
      <c r="D107" t="s">
        <v>523</v>
      </c>
      <c r="E107" t="s">
        <v>5</v>
      </c>
      <c r="F107" t="str" cm="1">
        <f t="array" ref="F107">IF(SUM(IF(PartList[ASSLY MARK]=PartList[[#This Row],[ASSLY MARK]],1,0))&gt;1,"No","Yes")</f>
        <v>Yes</v>
      </c>
      <c r="G107" t="str" cm="1">
        <f t="array" ref="G107">_xlfn.TEXTJOIN("_",TRUE,TRIM(_xlfn.TEXTSPLIT(PartList[[#This Row],[GRID LOCATION]],{"PR01","/","-"})))</f>
        <v>14_B&gt;</v>
      </c>
      <c r="H107" t="str" cm="1">
        <f t="array" ref="H10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107" cm="1">
        <f t="array" ref="I10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07" t="str">
        <f>IF(IFERROR(SEARCH("&gt;",PartList[[#This Row],[ID]]),0),"O",IF(IFERROR(SEARCH("&lt;",PartList[[#This Row],[ID]]),0),"I",""))</f>
        <v>O</v>
      </c>
      <c r="K107" t="str" cm="1">
        <f t="array" ref="K1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07" t="str" cm="1">
        <f t="array" ref="L1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07" t="str">
        <f>_xlfn.TEXTJOIN("#",TRUE,PartList[[#This Row],[ASSLY MARK]],PartList[[#This Row],[BOX NO]],PartList[[#This Row],[In/Out]],PartList[[#This Row],[O1-Grid]])</f>
        <v>2BE67#Box1_Box2_Box3_Box6#O</v>
      </c>
      <c r="N107" t="str">
        <f>_xlfn.TEXTJOIN("#",TRUE,PartList[[#This Row],[ASSLY MARK]],PartList[[#This Row],[BOX NO]],PartList[[#This Row],[In/Out]],PartList[[#This Row],[O2-Grid]])</f>
        <v>2BE67#Box1_Box2_Box3_Box6#O</v>
      </c>
      <c r="O107">
        <f>IF(PartList[[#This Row],[Unique]]="Yes",_xlfn.XLOOKUP(PartList[[#This Row],[ASSLY MARK]],FilteredPL!A:A,FilteredPL!B:B,0,0),0)</f>
        <v>0</v>
      </c>
      <c r="P107">
        <f>_xlfn.XLOOKUP(PartList[[#This Row],[ASSLY MARK]],MasterPL[SplitMarkNo],MasterPL[BILL WT.(KG)],0,0)</f>
        <v>0</v>
      </c>
      <c r="Q107" cm="1">
        <f t="array" ref="Q10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07" s="2" t="str">
        <v>3BE14</v>
      </c>
      <c r="AB107" s="2">
        <f>SUMIF(PartList[ASSLY MARK],AA107,PartList[Avail. Qty])</f>
        <v>0</v>
      </c>
    </row>
    <row r="108" spans="1:28" x14ac:dyDescent="0.25">
      <c r="A108">
        <v>290</v>
      </c>
      <c r="B108" t="s">
        <v>702</v>
      </c>
      <c r="C108" t="s">
        <v>514</v>
      </c>
      <c r="D108" t="s">
        <v>150</v>
      </c>
      <c r="E108" t="s">
        <v>5</v>
      </c>
      <c r="F108" t="str" cm="1">
        <f t="array" ref="F108">IF(SUM(IF(PartList[ASSLY MARK]=PartList[[#This Row],[ASSLY MARK]],1,0))&gt;1,"No","Yes")</f>
        <v>Yes</v>
      </c>
      <c r="G108" t="str" cm="1">
        <f t="array" ref="G108">_xlfn.TEXTJOIN("_",TRUE,TRIM(_xlfn.TEXTSPLIT(PartList[[#This Row],[GRID LOCATION]],{"PR01","/","-"})))</f>
        <v>10_11_A</v>
      </c>
      <c r="H108" t="str" cm="1">
        <f t="array" ref="H10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08" cm="1">
        <f t="array" ref="I10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08" t="str">
        <f>IF(IFERROR(SEARCH("&gt;",PartList[[#This Row],[ID]]),0),"O",IF(IFERROR(SEARCH("&lt;",PartList[[#This Row],[ID]]),0),"I",""))</f>
        <v/>
      </c>
      <c r="K108" t="str" cm="1">
        <f t="array" ref="K1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08" t="str" cm="1">
        <f t="array" ref="L1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108" t="str">
        <f>_xlfn.TEXTJOIN("#",TRUE,PartList[[#This Row],[ASSLY MARK]],PartList[[#This Row],[BOX NO]],PartList[[#This Row],[In/Out]],PartList[[#This Row],[O1-Grid]])</f>
        <v>2BE68#Box1#InB</v>
      </c>
      <c r="N108" t="str">
        <f>_xlfn.TEXTJOIN("#",TRUE,PartList[[#This Row],[ASSLY MARK]],PartList[[#This Row],[BOX NO]],PartList[[#This Row],[In/Out]],PartList[[#This Row],[O2-Grid]])</f>
        <v>2BE68#Box1#10_11_A</v>
      </c>
      <c r="O108">
        <f>IF(PartList[[#This Row],[Unique]]="Yes",_xlfn.XLOOKUP(PartList[[#This Row],[ASSLY MARK]],FilteredPL!A:A,FilteredPL!B:B,0,0),0)</f>
        <v>0</v>
      </c>
      <c r="P108">
        <f>_xlfn.XLOOKUP(PartList[[#This Row],[ASSLY MARK]],MasterPL[SplitMarkNo],MasterPL[BILL WT.(KG)],0,0)</f>
        <v>0</v>
      </c>
      <c r="Q108" cm="1">
        <f t="array" ref="Q10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08" s="2" t="str">
        <v>3BE15</v>
      </c>
      <c r="AB108" s="2">
        <f>SUMIF(PartList[ASSLY MARK],AA108,PartList[Avail. Qty])</f>
        <v>0</v>
      </c>
    </row>
    <row r="109" spans="1:28" x14ac:dyDescent="0.25">
      <c r="A109">
        <v>291</v>
      </c>
      <c r="B109" t="s">
        <v>703</v>
      </c>
      <c r="C109" t="s">
        <v>531</v>
      </c>
      <c r="D109" t="s">
        <v>649</v>
      </c>
      <c r="E109" t="s">
        <v>5</v>
      </c>
      <c r="F109" t="str" cm="1">
        <f t="array" ref="F109">IF(SUM(IF(PartList[ASSLY MARK]=PartList[[#This Row],[ASSLY MARK]],1,0))&gt;1,"No","Yes")</f>
        <v>Yes</v>
      </c>
      <c r="G109" t="str" cm="1">
        <f t="array" ref="G109">_xlfn.TEXTJOIN("_",TRUE,TRIM(_xlfn.TEXTSPLIT(PartList[[#This Row],[GRID LOCATION]],{"PR01","/","-"})))</f>
        <v>11_12_B&gt;</v>
      </c>
      <c r="H109" t="str" cm="1">
        <f t="array" ref="H10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09" cm="1">
        <f t="array" ref="I10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09" t="str">
        <f>IF(IFERROR(SEARCH("&gt;",PartList[[#This Row],[ID]]),0),"O",IF(IFERROR(SEARCH("&lt;",PartList[[#This Row],[ID]]),0),"I",""))</f>
        <v>O</v>
      </c>
      <c r="K109" t="str" cm="1">
        <f t="array" ref="K1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09" t="str" cm="1">
        <f t="array" ref="L1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09" t="str">
        <f>_xlfn.TEXTJOIN("#",TRUE,PartList[[#This Row],[ASSLY MARK]],PartList[[#This Row],[BOX NO]],PartList[[#This Row],[In/Out]],PartList[[#This Row],[O1-Grid]])</f>
        <v>2BE69#Box1_Box2#O</v>
      </c>
      <c r="N109" t="str">
        <f>_xlfn.TEXTJOIN("#",TRUE,PartList[[#This Row],[ASSLY MARK]],PartList[[#This Row],[BOX NO]],PartList[[#This Row],[In/Out]],PartList[[#This Row],[O2-Grid]])</f>
        <v>2BE69#Box1_Box2#O</v>
      </c>
      <c r="O109">
        <f>IF(PartList[[#This Row],[Unique]]="Yes",_xlfn.XLOOKUP(PartList[[#This Row],[ASSLY MARK]],FilteredPL!A:A,FilteredPL!B:B,0,0),0)</f>
        <v>0</v>
      </c>
      <c r="P109">
        <f>_xlfn.XLOOKUP(PartList[[#This Row],[ASSLY MARK]],MasterPL[SplitMarkNo],MasterPL[BILL WT.(KG)],0,0)</f>
        <v>0</v>
      </c>
      <c r="Q109" cm="1">
        <f t="array" ref="Q10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09" s="2" t="str">
        <v>3BE16</v>
      </c>
      <c r="AB109" s="2">
        <f>SUMIF(PartList[ASSLY MARK],AA109,PartList[Avail. Qty])</f>
        <v>0</v>
      </c>
    </row>
    <row r="110" spans="1:28" x14ac:dyDescent="0.25">
      <c r="A110">
        <v>294</v>
      </c>
      <c r="B110" t="s">
        <v>706</v>
      </c>
      <c r="C110" t="s">
        <v>515</v>
      </c>
      <c r="D110" t="s">
        <v>707</v>
      </c>
      <c r="E110" t="s">
        <v>8</v>
      </c>
      <c r="F110" t="str" cm="1">
        <f t="array" ref="F110">IF(SUM(IF(PartList[ASSLY MARK]=PartList[[#This Row],[ASSLY MARK]],1,0))&gt;1,"No","Yes")</f>
        <v>No</v>
      </c>
      <c r="G110" t="str" cm="1">
        <f t="array" ref="G110">_xlfn.TEXTJOIN("_",TRUE,TRIM(_xlfn.TEXTSPLIT(PartList[[#This Row],[GRID LOCATION]],{"PR01","/","-"})))</f>
        <v>10_11_A_B</v>
      </c>
      <c r="H110" t="str" cm="1">
        <f t="array" ref="H11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10" cm="1">
        <f t="array" ref="I11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10" t="str">
        <f>IF(IFERROR(SEARCH("&gt;",PartList[[#This Row],[ID]]),0),"O",IF(IFERROR(SEARCH("&lt;",PartList[[#This Row],[ID]]),0),"I",""))</f>
        <v/>
      </c>
      <c r="K110" t="str" cm="1">
        <f t="array" ref="K1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0" t="str" cm="1">
        <f t="array" ref="L1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0" t="str">
        <f>_xlfn.TEXTJOIN("#",TRUE,PartList[[#This Row],[ASSLY MARK]],PartList[[#This Row],[BOX NO]],PartList[[#This Row],[In/Out]],PartList[[#This Row],[O1-Grid]])</f>
        <v>2HA01#Box1#InB</v>
      </c>
      <c r="N110" t="str">
        <f>_xlfn.TEXTJOIN("#",TRUE,PartList[[#This Row],[ASSLY MARK]],PartList[[#This Row],[BOX NO]],PartList[[#This Row],[In/Out]],PartList[[#This Row],[O2-Grid]])</f>
        <v>2HA01#Box1#InB</v>
      </c>
      <c r="O110">
        <f>IF(PartList[[#This Row],[Unique]]="Yes",_xlfn.XLOOKUP(PartList[[#This Row],[ASSLY MARK]],FilteredPL!A:A,FilteredPL!B:B,0,0),0)</f>
        <v>0</v>
      </c>
      <c r="P110">
        <f>_xlfn.XLOOKUP(PartList[[#This Row],[ASSLY MARK]],MasterPL[SplitMarkNo],MasterPL[BILL WT.(KG)],0,0)</f>
        <v>0</v>
      </c>
      <c r="Q110" cm="1">
        <f t="array" ref="Q11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10" s="2" t="str">
        <v>3BE17</v>
      </c>
      <c r="AB110" s="2">
        <f>SUMIF(PartList[ASSLY MARK],AA110,PartList[Avail. Qty])</f>
        <v>0</v>
      </c>
    </row>
    <row r="111" spans="1:28" x14ac:dyDescent="0.25">
      <c r="A111">
        <v>295</v>
      </c>
      <c r="B111" t="s">
        <v>706</v>
      </c>
      <c r="C111" t="s">
        <v>515</v>
      </c>
      <c r="D111" t="s">
        <v>707</v>
      </c>
      <c r="E111" t="s">
        <v>8</v>
      </c>
      <c r="F111" t="str" cm="1">
        <f t="array" ref="F111">IF(SUM(IF(PartList[ASSLY MARK]=PartList[[#This Row],[ASSLY MARK]],1,0))&gt;1,"No","Yes")</f>
        <v>No</v>
      </c>
      <c r="G111" t="str" cm="1">
        <f t="array" ref="G111">_xlfn.TEXTJOIN("_",TRUE,TRIM(_xlfn.TEXTSPLIT(PartList[[#This Row],[GRID LOCATION]],{"PR01","/","-"})))</f>
        <v>10_11_A_B</v>
      </c>
      <c r="H111" t="str" cm="1">
        <f t="array" ref="H11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11" cm="1">
        <f t="array" ref="I11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11" t="str">
        <f>IF(IFERROR(SEARCH("&gt;",PartList[[#This Row],[ID]]),0),"O",IF(IFERROR(SEARCH("&lt;",PartList[[#This Row],[ID]]),0),"I",""))</f>
        <v/>
      </c>
      <c r="K111" t="str" cm="1">
        <f t="array" ref="K1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1" t="str" cm="1">
        <f t="array" ref="L1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1" t="str">
        <f>_xlfn.TEXTJOIN("#",TRUE,PartList[[#This Row],[ASSLY MARK]],PartList[[#This Row],[BOX NO]],PartList[[#This Row],[In/Out]],PartList[[#This Row],[O1-Grid]])</f>
        <v>2HA01#Box1#InB</v>
      </c>
      <c r="N111" t="str">
        <f>_xlfn.TEXTJOIN("#",TRUE,PartList[[#This Row],[ASSLY MARK]],PartList[[#This Row],[BOX NO]],PartList[[#This Row],[In/Out]],PartList[[#This Row],[O2-Grid]])</f>
        <v>2HA01#Box1#InB</v>
      </c>
      <c r="O111">
        <f>IF(PartList[[#This Row],[Unique]]="Yes",_xlfn.XLOOKUP(PartList[[#This Row],[ASSLY MARK]],FilteredPL!A:A,FilteredPL!B:B,0,0),0)</f>
        <v>0</v>
      </c>
      <c r="P111">
        <f>_xlfn.XLOOKUP(PartList[[#This Row],[ASSLY MARK]],MasterPL[SplitMarkNo],MasterPL[BILL WT.(KG)],0,0)</f>
        <v>0</v>
      </c>
      <c r="Q111" cm="1">
        <f t="array" ref="Q11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11" s="2" t="str">
        <v>3BE18</v>
      </c>
      <c r="AB111" s="2">
        <f>SUMIF(PartList[ASSLY MARK],AA111,PartList[Avail. Qty])</f>
        <v>0</v>
      </c>
    </row>
    <row r="112" spans="1:28" x14ac:dyDescent="0.25">
      <c r="A112">
        <v>296</v>
      </c>
      <c r="B112" t="s">
        <v>184</v>
      </c>
      <c r="C112" t="s">
        <v>512</v>
      </c>
      <c r="D112" t="s">
        <v>708</v>
      </c>
      <c r="E112" t="s">
        <v>6</v>
      </c>
      <c r="F112" t="str" cm="1">
        <f t="array" ref="F112">IF(SUM(IF(PartList[ASSLY MARK]=PartList[[#This Row],[ASSLY MARK]],1,0))&gt;1,"No","Yes")</f>
        <v>Yes</v>
      </c>
      <c r="G112" t="str" cm="1">
        <f t="array" ref="G112">_xlfn.TEXTJOIN("_",TRUE,TRIM(_xlfn.TEXTSPLIT(PartList[[#This Row],[GRID LOCATION]],{"PR01","/","-"})))</f>
        <v>10_11_A'_A</v>
      </c>
      <c r="H112" t="str" cm="1">
        <f t="array" ref="H11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112" cm="1">
        <f t="array" ref="I11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12" t="str">
        <f>IF(IFERROR(SEARCH("&gt;",PartList[[#This Row],[ID]]),0),"O",IF(IFERROR(SEARCH("&lt;",PartList[[#This Row],[ID]]),0),"I",""))</f>
        <v/>
      </c>
      <c r="K112" t="str" cm="1">
        <f t="array" ref="K1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2" t="str" cm="1">
        <f t="array" ref="L1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2" t="str">
        <f>_xlfn.TEXTJOIN("#",TRUE,PartList[[#This Row],[ASSLY MARK]],PartList[[#This Row],[BOX NO]],PartList[[#This Row],[In/Out]],PartList[[#This Row],[O1-Grid]])</f>
        <v>2HB01#Box1_Box4#InBB</v>
      </c>
      <c r="N112" t="str">
        <f>_xlfn.TEXTJOIN("#",TRUE,PartList[[#This Row],[ASSLY MARK]],PartList[[#This Row],[BOX NO]],PartList[[#This Row],[In/Out]],PartList[[#This Row],[O2-Grid]])</f>
        <v>2HB01#Box1_Box4#InBB</v>
      </c>
      <c r="O112">
        <f>IF(PartList[[#This Row],[Unique]]="Yes",_xlfn.XLOOKUP(PartList[[#This Row],[ASSLY MARK]],FilteredPL!A:A,FilteredPL!B:B,0,0),0)</f>
        <v>0</v>
      </c>
      <c r="P112">
        <f>_xlfn.XLOOKUP(PartList[[#This Row],[ASSLY MARK]],MasterPL[SplitMarkNo],MasterPL[BILL WT.(KG)],0,0)</f>
        <v>0</v>
      </c>
      <c r="Q112" cm="1">
        <f t="array" ref="Q11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12" s="2" t="str">
        <v>3BE19</v>
      </c>
      <c r="AB112" s="2">
        <f>SUMIF(PartList[ASSLY MARK],AA112,PartList[Avail. Qty])</f>
        <v>0</v>
      </c>
    </row>
    <row r="113" spans="1:28" x14ac:dyDescent="0.25">
      <c r="A113">
        <v>297</v>
      </c>
      <c r="B113" t="s">
        <v>185</v>
      </c>
      <c r="C113" t="s">
        <v>512</v>
      </c>
      <c r="D113" t="s">
        <v>708</v>
      </c>
      <c r="E113" t="s">
        <v>6</v>
      </c>
      <c r="F113" t="str" cm="1">
        <f t="array" ref="F113">IF(SUM(IF(PartList[ASSLY MARK]=PartList[[#This Row],[ASSLY MARK]],1,0))&gt;1,"No","Yes")</f>
        <v>Yes</v>
      </c>
      <c r="G113" t="str" cm="1">
        <f t="array" ref="G113">_xlfn.TEXTJOIN("_",TRUE,TRIM(_xlfn.TEXTSPLIT(PartList[[#This Row],[GRID LOCATION]],{"PR01","/","-"})))</f>
        <v>10_11_A'_A</v>
      </c>
      <c r="H113" t="str" cm="1">
        <f t="array" ref="H11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113" cm="1">
        <f t="array" ref="I11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13" t="str">
        <f>IF(IFERROR(SEARCH("&gt;",PartList[[#This Row],[ID]]),0),"O",IF(IFERROR(SEARCH("&lt;",PartList[[#This Row],[ID]]),0),"I",""))</f>
        <v/>
      </c>
      <c r="K113" t="str" cm="1">
        <f t="array" ref="K1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3" t="str" cm="1">
        <f t="array" ref="L1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3" t="str">
        <f>_xlfn.TEXTJOIN("#",TRUE,PartList[[#This Row],[ASSLY MARK]],PartList[[#This Row],[BOX NO]],PartList[[#This Row],[In/Out]],PartList[[#This Row],[O1-Grid]])</f>
        <v>2HB02#Box1_Box4#InBB</v>
      </c>
      <c r="N113" t="str">
        <f>_xlfn.TEXTJOIN("#",TRUE,PartList[[#This Row],[ASSLY MARK]],PartList[[#This Row],[BOX NO]],PartList[[#This Row],[In/Out]],PartList[[#This Row],[O2-Grid]])</f>
        <v>2HB02#Box1_Box4#InBB</v>
      </c>
      <c r="O113">
        <f>IF(PartList[[#This Row],[Unique]]="Yes",_xlfn.XLOOKUP(PartList[[#This Row],[ASSLY MARK]],FilteredPL!A:A,FilteredPL!B:B,0,0),0)</f>
        <v>0</v>
      </c>
      <c r="P113">
        <f>_xlfn.XLOOKUP(PartList[[#This Row],[ASSLY MARK]],MasterPL[SplitMarkNo],MasterPL[BILL WT.(KG)],0,0)</f>
        <v>0</v>
      </c>
      <c r="Q113" cm="1">
        <f t="array" ref="Q11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13" s="2" t="str">
        <v>3BE20</v>
      </c>
      <c r="AB113" s="2">
        <f>SUMIF(PartList[ASSLY MARK],AA113,PartList[Avail. Qty])</f>
        <v>0</v>
      </c>
    </row>
    <row r="114" spans="1:28" x14ac:dyDescent="0.25">
      <c r="A114">
        <v>300</v>
      </c>
      <c r="B114" t="s">
        <v>186</v>
      </c>
      <c r="C114" t="s">
        <v>511</v>
      </c>
      <c r="D114" t="s">
        <v>708</v>
      </c>
      <c r="E114" t="s">
        <v>6</v>
      </c>
      <c r="F114" t="str" cm="1">
        <f t="array" ref="F114">IF(SUM(IF(PartList[ASSLY MARK]=PartList[[#This Row],[ASSLY MARK]],1,0))&gt;1,"No","Yes")</f>
        <v>No</v>
      </c>
      <c r="G114" t="str" cm="1">
        <f t="array" ref="G114">_xlfn.TEXTJOIN("_",TRUE,TRIM(_xlfn.TEXTSPLIT(PartList[[#This Row],[GRID LOCATION]],{"PR01","/","-"})))</f>
        <v>11_12_A'_A</v>
      </c>
      <c r="H114" t="str" cm="1">
        <f t="array" ref="H11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14" cm="1">
        <f t="array" ref="I11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14" t="str">
        <f>IF(IFERROR(SEARCH("&gt;",PartList[[#This Row],[ID]]),0),"O",IF(IFERROR(SEARCH("&lt;",PartList[[#This Row],[ID]]),0),"I",""))</f>
        <v/>
      </c>
      <c r="K114" t="str" cm="1">
        <f t="array" ref="K1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4" t="str" cm="1">
        <f t="array" ref="L1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4" t="str">
        <f>_xlfn.TEXTJOIN("#",TRUE,PartList[[#This Row],[ASSLY MARK]],PartList[[#This Row],[BOX NO]],PartList[[#This Row],[In/Out]],PartList[[#This Row],[O1-Grid]])</f>
        <v>2HB03#Box1_Box2_Box4_Box5#InBB</v>
      </c>
      <c r="N114" t="str">
        <f>_xlfn.TEXTJOIN("#",TRUE,PartList[[#This Row],[ASSLY MARK]],PartList[[#This Row],[BOX NO]],PartList[[#This Row],[In/Out]],PartList[[#This Row],[O2-Grid]])</f>
        <v>2HB03#Box1_Box2_Box4_Box5#InBB</v>
      </c>
      <c r="O114">
        <f>IF(PartList[[#This Row],[Unique]]="Yes",_xlfn.XLOOKUP(PartList[[#This Row],[ASSLY MARK]],FilteredPL!A:A,FilteredPL!B:B,0,0),0)</f>
        <v>0</v>
      </c>
      <c r="P114">
        <f>_xlfn.XLOOKUP(PartList[[#This Row],[ASSLY MARK]],MasterPL[SplitMarkNo],MasterPL[BILL WT.(KG)],0,0)</f>
        <v>0</v>
      </c>
      <c r="Q114" cm="1">
        <f t="array" ref="Q11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14" s="2" t="str">
        <v>3BE21</v>
      </c>
      <c r="AB114" s="2">
        <f>SUMIF(PartList[ASSLY MARK],AA114,PartList[Avail. Qty])</f>
        <v>0</v>
      </c>
    </row>
    <row r="115" spans="1:28" x14ac:dyDescent="0.25">
      <c r="A115">
        <v>301</v>
      </c>
      <c r="B115" t="s">
        <v>186</v>
      </c>
      <c r="C115" t="s">
        <v>511</v>
      </c>
      <c r="D115" t="s">
        <v>708</v>
      </c>
      <c r="E115" t="s">
        <v>6</v>
      </c>
      <c r="F115" t="str" cm="1">
        <f t="array" ref="F115">IF(SUM(IF(PartList[ASSLY MARK]=PartList[[#This Row],[ASSLY MARK]],1,0))&gt;1,"No","Yes")</f>
        <v>No</v>
      </c>
      <c r="G115" t="str" cm="1">
        <f t="array" ref="G115">_xlfn.TEXTJOIN("_",TRUE,TRIM(_xlfn.TEXTSPLIT(PartList[[#This Row],[GRID LOCATION]],{"PR01","/","-"})))</f>
        <v>11_12_A'_A</v>
      </c>
      <c r="H115" t="str" cm="1">
        <f t="array" ref="H11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15" cm="1">
        <f t="array" ref="I11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15" t="str">
        <f>IF(IFERROR(SEARCH("&gt;",PartList[[#This Row],[ID]]),0),"O",IF(IFERROR(SEARCH("&lt;",PartList[[#This Row],[ID]]),0),"I",""))</f>
        <v/>
      </c>
      <c r="K115" t="str" cm="1">
        <f t="array" ref="K1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5" t="str" cm="1">
        <f t="array" ref="L1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5" t="str">
        <f>_xlfn.TEXTJOIN("#",TRUE,PartList[[#This Row],[ASSLY MARK]],PartList[[#This Row],[BOX NO]],PartList[[#This Row],[In/Out]],PartList[[#This Row],[O1-Grid]])</f>
        <v>2HB03#Box1_Box2_Box4_Box5#InBB</v>
      </c>
      <c r="N115" t="str">
        <f>_xlfn.TEXTJOIN("#",TRUE,PartList[[#This Row],[ASSLY MARK]],PartList[[#This Row],[BOX NO]],PartList[[#This Row],[In/Out]],PartList[[#This Row],[O2-Grid]])</f>
        <v>2HB03#Box1_Box2_Box4_Box5#InBB</v>
      </c>
      <c r="O115">
        <f>IF(PartList[[#This Row],[Unique]]="Yes",_xlfn.XLOOKUP(PartList[[#This Row],[ASSLY MARK]],FilteredPL!A:A,FilteredPL!B:B,0,0),0)</f>
        <v>0</v>
      </c>
      <c r="P115">
        <f>_xlfn.XLOOKUP(PartList[[#This Row],[ASSLY MARK]],MasterPL[SplitMarkNo],MasterPL[BILL WT.(KG)],0,0)</f>
        <v>0</v>
      </c>
      <c r="Q115" cm="1">
        <f t="array" ref="Q11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15" s="2" t="str">
        <v>3BE22</v>
      </c>
      <c r="AB115" s="2">
        <f>SUMIF(PartList[ASSLY MARK],AA115,PartList[Avail. Qty])</f>
        <v>0</v>
      </c>
    </row>
    <row r="116" spans="1:28" x14ac:dyDescent="0.25">
      <c r="A116">
        <v>302</v>
      </c>
      <c r="B116" t="s">
        <v>187</v>
      </c>
      <c r="C116" t="s">
        <v>531</v>
      </c>
      <c r="D116" t="s">
        <v>708</v>
      </c>
      <c r="E116" t="s">
        <v>6</v>
      </c>
      <c r="F116" t="str" cm="1">
        <f t="array" ref="F116">IF(SUM(IF(PartList[ASSLY MARK]=PartList[[#This Row],[ASSLY MARK]],1,0))&gt;1,"No","Yes")</f>
        <v>No</v>
      </c>
      <c r="G116" t="str" cm="1">
        <f t="array" ref="G116">_xlfn.TEXTJOIN("_",TRUE,TRIM(_xlfn.TEXTSPLIT(PartList[[#This Row],[GRID LOCATION]],{"PR01","/","-"})))</f>
        <v>11_12_B&gt;</v>
      </c>
      <c r="H116" t="str" cm="1">
        <f t="array" ref="H11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16" cm="1">
        <f t="array" ref="I11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16" t="str">
        <f>IF(IFERROR(SEARCH("&gt;",PartList[[#This Row],[ID]]),0),"O",IF(IFERROR(SEARCH("&lt;",PartList[[#This Row],[ID]]),0),"I",""))</f>
        <v>O</v>
      </c>
      <c r="K116" t="str" cm="1">
        <f t="array" ref="K1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6" t="str" cm="1">
        <f t="array" ref="L1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6" t="str">
        <f>_xlfn.TEXTJOIN("#",TRUE,PartList[[#This Row],[ASSLY MARK]],PartList[[#This Row],[BOX NO]],PartList[[#This Row],[In/Out]],PartList[[#This Row],[O1-Grid]])</f>
        <v>2HB04#Box1_Box2#O</v>
      </c>
      <c r="N116" t="str">
        <f>_xlfn.TEXTJOIN("#",TRUE,PartList[[#This Row],[ASSLY MARK]],PartList[[#This Row],[BOX NO]],PartList[[#This Row],[In/Out]],PartList[[#This Row],[O2-Grid]])</f>
        <v>2HB04#Box1_Box2#O</v>
      </c>
      <c r="O116">
        <f>IF(PartList[[#This Row],[Unique]]="Yes",_xlfn.XLOOKUP(PartList[[#This Row],[ASSLY MARK]],FilteredPL!A:A,FilteredPL!B:B,0,0),0)</f>
        <v>0</v>
      </c>
      <c r="P116">
        <f>_xlfn.XLOOKUP(PartList[[#This Row],[ASSLY MARK]],MasterPL[SplitMarkNo],MasterPL[BILL WT.(KG)],0,0)</f>
        <v>0</v>
      </c>
      <c r="Q116" cm="1">
        <f t="array" ref="Q11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16" s="2" t="str">
        <v>3BE23</v>
      </c>
      <c r="AB116" s="2">
        <f>SUMIF(PartList[ASSLY MARK],AA116,PartList[Avail. Qty])</f>
        <v>0</v>
      </c>
    </row>
    <row r="117" spans="1:28" x14ac:dyDescent="0.25">
      <c r="A117">
        <v>303</v>
      </c>
      <c r="B117" t="s">
        <v>187</v>
      </c>
      <c r="C117" t="s">
        <v>531</v>
      </c>
      <c r="D117" t="s">
        <v>708</v>
      </c>
      <c r="E117" t="s">
        <v>6</v>
      </c>
      <c r="F117" t="str" cm="1">
        <f t="array" ref="F117">IF(SUM(IF(PartList[ASSLY MARK]=PartList[[#This Row],[ASSLY MARK]],1,0))&gt;1,"No","Yes")</f>
        <v>No</v>
      </c>
      <c r="G117" t="str" cm="1">
        <f t="array" ref="G117">_xlfn.TEXTJOIN("_",TRUE,TRIM(_xlfn.TEXTSPLIT(PartList[[#This Row],[GRID LOCATION]],{"PR01","/","-"})))</f>
        <v>11_12_B&gt;</v>
      </c>
      <c r="H117" t="str" cm="1">
        <f t="array" ref="H11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17" cm="1">
        <f t="array" ref="I11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17" t="str">
        <f>IF(IFERROR(SEARCH("&gt;",PartList[[#This Row],[ID]]),0),"O",IF(IFERROR(SEARCH("&lt;",PartList[[#This Row],[ID]]),0),"I",""))</f>
        <v>O</v>
      </c>
      <c r="K117" t="str" cm="1">
        <f t="array" ref="K1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7" t="str" cm="1">
        <f t="array" ref="L1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7" t="str">
        <f>_xlfn.TEXTJOIN("#",TRUE,PartList[[#This Row],[ASSLY MARK]],PartList[[#This Row],[BOX NO]],PartList[[#This Row],[In/Out]],PartList[[#This Row],[O1-Grid]])</f>
        <v>2HB04#Box1_Box2#O</v>
      </c>
      <c r="N117" t="str">
        <f>_xlfn.TEXTJOIN("#",TRUE,PartList[[#This Row],[ASSLY MARK]],PartList[[#This Row],[BOX NO]],PartList[[#This Row],[In/Out]],PartList[[#This Row],[O2-Grid]])</f>
        <v>2HB04#Box1_Box2#O</v>
      </c>
      <c r="O117">
        <f>IF(PartList[[#This Row],[Unique]]="Yes",_xlfn.XLOOKUP(PartList[[#This Row],[ASSLY MARK]],FilteredPL!A:A,FilteredPL!B:B,0,0),0)</f>
        <v>0</v>
      </c>
      <c r="P117">
        <f>_xlfn.XLOOKUP(PartList[[#This Row],[ASSLY MARK]],MasterPL[SplitMarkNo],MasterPL[BILL WT.(KG)],0,0)</f>
        <v>0</v>
      </c>
      <c r="Q117" cm="1">
        <f t="array" ref="Q11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17" s="2" t="str">
        <v>3BE24</v>
      </c>
      <c r="AB117" s="2">
        <f>SUMIF(PartList[ASSLY MARK],AA117,PartList[Avail. Qty])</f>
        <v>0</v>
      </c>
    </row>
    <row r="118" spans="1:28" x14ac:dyDescent="0.25">
      <c r="A118">
        <v>304</v>
      </c>
      <c r="B118" t="s">
        <v>188</v>
      </c>
      <c r="C118" t="s">
        <v>532</v>
      </c>
      <c r="D118" t="s">
        <v>148</v>
      </c>
      <c r="E118" t="s">
        <v>6</v>
      </c>
      <c r="F118" t="str" cm="1">
        <f t="array" ref="F118">IF(SUM(IF(PartList[ASSLY MARK]=PartList[[#This Row],[ASSLY MARK]],1,0))&gt;1,"No","Yes")</f>
        <v>No</v>
      </c>
      <c r="G118" t="str" cm="1">
        <f t="array" ref="G118">_xlfn.TEXTJOIN("_",TRUE,TRIM(_xlfn.TEXTSPLIT(PartList[[#This Row],[GRID LOCATION]],{"PR01","/","-"})))</f>
        <v>11_12_A_B</v>
      </c>
      <c r="H118" t="str" cm="1">
        <f t="array" ref="H11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18" cm="1">
        <f t="array" ref="I11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18" t="str">
        <f>IF(IFERROR(SEARCH("&gt;",PartList[[#This Row],[ID]]),0),"O",IF(IFERROR(SEARCH("&lt;",PartList[[#This Row],[ID]]),0),"I",""))</f>
        <v/>
      </c>
      <c r="K118" t="str" cm="1">
        <f t="array" ref="K1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8" t="str" cm="1">
        <f t="array" ref="L1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8" t="str">
        <f>_xlfn.TEXTJOIN("#",TRUE,PartList[[#This Row],[ASSLY MARK]],PartList[[#This Row],[BOX NO]],PartList[[#This Row],[In/Out]],PartList[[#This Row],[O1-Grid]])</f>
        <v>2HB05#Box1_Box2#InBB</v>
      </c>
      <c r="N118" t="str">
        <f>_xlfn.TEXTJOIN("#",TRUE,PartList[[#This Row],[ASSLY MARK]],PartList[[#This Row],[BOX NO]],PartList[[#This Row],[In/Out]],PartList[[#This Row],[O2-Grid]])</f>
        <v>2HB05#Box1_Box2#InBB</v>
      </c>
      <c r="O118">
        <f>IF(PartList[[#This Row],[Unique]]="Yes",_xlfn.XLOOKUP(PartList[[#This Row],[ASSLY MARK]],FilteredPL!A:A,FilteredPL!B:B,0,0),0)</f>
        <v>0</v>
      </c>
      <c r="P118">
        <f>_xlfn.XLOOKUP(PartList[[#This Row],[ASSLY MARK]],MasterPL[SplitMarkNo],MasterPL[BILL WT.(KG)],0,0)</f>
        <v>0</v>
      </c>
      <c r="Q118" cm="1">
        <f t="array" ref="Q11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18" s="2" t="str">
        <v>3BE25</v>
      </c>
      <c r="AB118" s="2">
        <f>SUMIF(PartList[ASSLY MARK],AA118,PartList[Avail. Qty])</f>
        <v>0</v>
      </c>
    </row>
    <row r="119" spans="1:28" x14ac:dyDescent="0.25">
      <c r="A119">
        <v>305</v>
      </c>
      <c r="B119" t="s">
        <v>188</v>
      </c>
      <c r="C119" t="s">
        <v>532</v>
      </c>
      <c r="D119" t="s">
        <v>148</v>
      </c>
      <c r="E119" t="s">
        <v>6</v>
      </c>
      <c r="F119" t="str" cm="1">
        <f t="array" ref="F119">IF(SUM(IF(PartList[ASSLY MARK]=PartList[[#This Row],[ASSLY MARK]],1,0))&gt;1,"No","Yes")</f>
        <v>No</v>
      </c>
      <c r="G119" t="str" cm="1">
        <f t="array" ref="G119">_xlfn.TEXTJOIN("_",TRUE,TRIM(_xlfn.TEXTSPLIT(PartList[[#This Row],[GRID LOCATION]],{"PR01","/","-"})))</f>
        <v>11_12_A_B</v>
      </c>
      <c r="H119" t="str" cm="1">
        <f t="array" ref="H11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19" cm="1">
        <f t="array" ref="I11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19" t="str">
        <f>IF(IFERROR(SEARCH("&gt;",PartList[[#This Row],[ID]]),0),"O",IF(IFERROR(SEARCH("&lt;",PartList[[#This Row],[ID]]),0),"I",""))</f>
        <v/>
      </c>
      <c r="K119" t="str" cm="1">
        <f t="array" ref="K1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9" t="str" cm="1">
        <f t="array" ref="L1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9" t="str">
        <f>_xlfn.TEXTJOIN("#",TRUE,PartList[[#This Row],[ASSLY MARK]],PartList[[#This Row],[BOX NO]],PartList[[#This Row],[In/Out]],PartList[[#This Row],[O1-Grid]])</f>
        <v>2HB05#Box1_Box2#InBB</v>
      </c>
      <c r="N119" t="str">
        <f>_xlfn.TEXTJOIN("#",TRUE,PartList[[#This Row],[ASSLY MARK]],PartList[[#This Row],[BOX NO]],PartList[[#This Row],[In/Out]],PartList[[#This Row],[O2-Grid]])</f>
        <v>2HB05#Box1_Box2#InBB</v>
      </c>
      <c r="O119">
        <f>IF(PartList[[#This Row],[Unique]]="Yes",_xlfn.XLOOKUP(PartList[[#This Row],[ASSLY MARK]],FilteredPL!A:A,FilteredPL!B:B,0,0),0)</f>
        <v>0</v>
      </c>
      <c r="P119">
        <f>_xlfn.XLOOKUP(PartList[[#This Row],[ASSLY MARK]],MasterPL[SplitMarkNo],MasterPL[BILL WT.(KG)],0,0)</f>
        <v>0</v>
      </c>
      <c r="Q119" cm="1">
        <f t="array" ref="Q11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19" s="2" t="str">
        <v>3BE26</v>
      </c>
      <c r="AB119" s="2">
        <f>SUMIF(PartList[ASSLY MARK],AA119,PartList[Avail. Qty])</f>
        <v>0</v>
      </c>
    </row>
    <row r="120" spans="1:28" x14ac:dyDescent="0.25">
      <c r="A120">
        <v>306</v>
      </c>
      <c r="B120" t="s">
        <v>188</v>
      </c>
      <c r="C120" t="s">
        <v>532</v>
      </c>
      <c r="D120" t="s">
        <v>148</v>
      </c>
      <c r="E120" t="s">
        <v>6</v>
      </c>
      <c r="F120" t="str" cm="1">
        <f t="array" ref="F120">IF(SUM(IF(PartList[ASSLY MARK]=PartList[[#This Row],[ASSLY MARK]],1,0))&gt;1,"No","Yes")</f>
        <v>No</v>
      </c>
      <c r="G120" t="str" cm="1">
        <f t="array" ref="G120">_xlfn.TEXTJOIN("_",TRUE,TRIM(_xlfn.TEXTSPLIT(PartList[[#This Row],[GRID LOCATION]],{"PR01","/","-"})))</f>
        <v>11_12_A_B</v>
      </c>
      <c r="H120" t="str" cm="1">
        <f t="array" ref="H12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20" cm="1">
        <f t="array" ref="I12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20" t="str">
        <f>IF(IFERROR(SEARCH("&gt;",PartList[[#This Row],[ID]]),0),"O",IF(IFERROR(SEARCH("&lt;",PartList[[#This Row],[ID]]),0),"I",""))</f>
        <v/>
      </c>
      <c r="K120" t="str" cm="1">
        <f t="array" ref="K1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0" t="str" cm="1">
        <f t="array" ref="L1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0" t="str">
        <f>_xlfn.TEXTJOIN("#",TRUE,PartList[[#This Row],[ASSLY MARK]],PartList[[#This Row],[BOX NO]],PartList[[#This Row],[In/Out]],PartList[[#This Row],[O1-Grid]])</f>
        <v>2HB05#Box1_Box2#InBB</v>
      </c>
      <c r="N120" t="str">
        <f>_xlfn.TEXTJOIN("#",TRUE,PartList[[#This Row],[ASSLY MARK]],PartList[[#This Row],[BOX NO]],PartList[[#This Row],[In/Out]],PartList[[#This Row],[O2-Grid]])</f>
        <v>2HB05#Box1_Box2#InBB</v>
      </c>
      <c r="O120">
        <f>IF(PartList[[#This Row],[Unique]]="Yes",_xlfn.XLOOKUP(PartList[[#This Row],[ASSLY MARK]],FilteredPL!A:A,FilteredPL!B:B,0,0),0)</f>
        <v>0</v>
      </c>
      <c r="P120">
        <f>_xlfn.XLOOKUP(PartList[[#This Row],[ASSLY MARK]],MasterPL[SplitMarkNo],MasterPL[BILL WT.(KG)],0,0)</f>
        <v>0</v>
      </c>
      <c r="Q120" cm="1">
        <f t="array" ref="Q12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20" s="2" t="str">
        <v>3BE27</v>
      </c>
      <c r="AB120" s="2">
        <f>SUMIF(PartList[ASSLY MARK],AA120,PartList[Avail. Qty])</f>
        <v>0</v>
      </c>
    </row>
    <row r="121" spans="1:28" x14ac:dyDescent="0.25">
      <c r="A121">
        <v>307</v>
      </c>
      <c r="B121" t="s">
        <v>188</v>
      </c>
      <c r="C121" t="s">
        <v>532</v>
      </c>
      <c r="D121" t="s">
        <v>148</v>
      </c>
      <c r="E121" t="s">
        <v>6</v>
      </c>
      <c r="F121" t="str" cm="1">
        <f t="array" ref="F121">IF(SUM(IF(PartList[ASSLY MARK]=PartList[[#This Row],[ASSLY MARK]],1,0))&gt;1,"No","Yes")</f>
        <v>No</v>
      </c>
      <c r="G121" t="str" cm="1">
        <f t="array" ref="G121">_xlfn.TEXTJOIN("_",TRUE,TRIM(_xlfn.TEXTSPLIT(PartList[[#This Row],[GRID LOCATION]],{"PR01","/","-"})))</f>
        <v>11_12_A_B</v>
      </c>
      <c r="H121" t="str" cm="1">
        <f t="array" ref="H12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21" cm="1">
        <f t="array" ref="I12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21" t="str">
        <f>IF(IFERROR(SEARCH("&gt;",PartList[[#This Row],[ID]]),0),"O",IF(IFERROR(SEARCH("&lt;",PartList[[#This Row],[ID]]),0),"I",""))</f>
        <v/>
      </c>
      <c r="K121" t="str" cm="1">
        <f t="array" ref="K1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1" t="str" cm="1">
        <f t="array" ref="L1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1" t="str">
        <f>_xlfn.TEXTJOIN("#",TRUE,PartList[[#This Row],[ASSLY MARK]],PartList[[#This Row],[BOX NO]],PartList[[#This Row],[In/Out]],PartList[[#This Row],[O1-Grid]])</f>
        <v>2HB05#Box1_Box2#InBB</v>
      </c>
      <c r="N121" t="str">
        <f>_xlfn.TEXTJOIN("#",TRUE,PartList[[#This Row],[ASSLY MARK]],PartList[[#This Row],[BOX NO]],PartList[[#This Row],[In/Out]],PartList[[#This Row],[O2-Grid]])</f>
        <v>2HB05#Box1_Box2#InBB</v>
      </c>
      <c r="O121">
        <f>IF(PartList[[#This Row],[Unique]]="Yes",_xlfn.XLOOKUP(PartList[[#This Row],[ASSLY MARK]],FilteredPL!A:A,FilteredPL!B:B,0,0),0)</f>
        <v>0</v>
      </c>
      <c r="P121">
        <f>_xlfn.XLOOKUP(PartList[[#This Row],[ASSLY MARK]],MasterPL[SplitMarkNo],MasterPL[BILL WT.(KG)],0,0)</f>
        <v>0</v>
      </c>
      <c r="Q121" cm="1">
        <f t="array" ref="Q12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21" s="2" t="str">
        <v>3BE28</v>
      </c>
      <c r="AB121" s="2">
        <f>SUMIF(PartList[ASSLY MARK],AA121,PartList[Avail. Qty])</f>
        <v>0</v>
      </c>
    </row>
    <row r="122" spans="1:28" x14ac:dyDescent="0.25">
      <c r="A122">
        <v>344</v>
      </c>
      <c r="B122" t="s">
        <v>205</v>
      </c>
      <c r="C122" t="s">
        <v>514</v>
      </c>
      <c r="D122" t="s">
        <v>649</v>
      </c>
      <c r="E122" t="s">
        <v>645</v>
      </c>
      <c r="F122" t="str" cm="1">
        <f t="array" ref="F122">IF(SUM(IF(PartList[ASSLY MARK]=PartList[[#This Row],[ASSLY MARK]],1,0))&gt;1,"No","Yes")</f>
        <v>Yes</v>
      </c>
      <c r="G122" t="str" cm="1">
        <f t="array" ref="G122">_xlfn.TEXTJOIN("_",TRUE,TRIM(_xlfn.TEXTSPLIT(PartList[[#This Row],[GRID LOCATION]],{"PR01","/","-"})))</f>
        <v>10_11_A</v>
      </c>
      <c r="H122" t="str" cm="1">
        <f t="array" ref="H12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22" cm="1">
        <f t="array" ref="I12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22" t="str">
        <f>IF(IFERROR(SEARCH("&gt;",PartList[[#This Row],[ID]]),0),"O",IF(IFERROR(SEARCH("&lt;",PartList[[#This Row],[ID]]),0),"I",""))</f>
        <v/>
      </c>
      <c r="K122" t="str" cm="1">
        <f t="array" ref="K1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2" t="str" cm="1">
        <f t="array" ref="L1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122" t="str">
        <f>_xlfn.TEXTJOIN("#",TRUE,PartList[[#This Row],[ASSLY MARK]],PartList[[#This Row],[BOX NO]],PartList[[#This Row],[In/Out]],PartList[[#This Row],[O1-Grid]])</f>
        <v>2SC01#Box1#InB</v>
      </c>
      <c r="N122" t="str">
        <f>_xlfn.TEXTJOIN("#",TRUE,PartList[[#This Row],[ASSLY MARK]],PartList[[#This Row],[BOX NO]],PartList[[#This Row],[In/Out]],PartList[[#This Row],[O2-Grid]])</f>
        <v>2SC01#Box1#10_11_A</v>
      </c>
      <c r="O122">
        <f>IF(PartList[[#This Row],[Unique]]="Yes",_xlfn.XLOOKUP(PartList[[#This Row],[ASSLY MARK]],FilteredPL!A:A,FilteredPL!B:B,0,0),0)</f>
        <v>0</v>
      </c>
      <c r="P122">
        <f>_xlfn.XLOOKUP(PartList[[#This Row],[ASSLY MARK]],MasterPL[SplitMarkNo],MasterPL[BILL WT.(KG)],0,0)</f>
        <v>0</v>
      </c>
      <c r="Q122" cm="1">
        <f t="array" ref="Q12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22" s="2" t="str">
        <v>3BE29</v>
      </c>
      <c r="AB122" s="2">
        <f>SUMIF(PartList[ASSLY MARK],AA122,PartList[Avail. Qty])</f>
        <v>0</v>
      </c>
    </row>
    <row r="123" spans="1:28" x14ac:dyDescent="0.25">
      <c r="A123">
        <v>345</v>
      </c>
      <c r="B123" t="s">
        <v>206</v>
      </c>
      <c r="C123" t="s">
        <v>528</v>
      </c>
      <c r="D123" t="s">
        <v>655</v>
      </c>
      <c r="E123" t="s">
        <v>645</v>
      </c>
      <c r="F123" t="str" cm="1">
        <f t="array" ref="F123">IF(SUM(IF(PartList[ASSLY MARK]=PartList[[#This Row],[ASSLY MARK]],1,0))&gt;1,"No","Yes")</f>
        <v>Yes</v>
      </c>
      <c r="G123" t="str" cm="1">
        <f t="array" ref="G123">_xlfn.TEXTJOIN("_",TRUE,TRIM(_xlfn.TEXTSPLIT(PartList[[#This Row],[GRID LOCATION]],{"PR01","/","-"})))</f>
        <v>11_A'_A</v>
      </c>
      <c r="H123" t="str" cm="1">
        <f t="array" ref="H12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123" cm="1">
        <f t="array" ref="I12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23" t="str">
        <f>IF(IFERROR(SEARCH("&gt;",PartList[[#This Row],[ID]]),0),"O",IF(IFERROR(SEARCH("&lt;",PartList[[#This Row],[ID]]),0),"I",""))</f>
        <v/>
      </c>
      <c r="K123" t="str" cm="1">
        <f t="array" ref="K1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3" t="str" cm="1">
        <f t="array" ref="L1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3" t="str">
        <f>_xlfn.TEXTJOIN("#",TRUE,PartList[[#This Row],[ASSLY MARK]],PartList[[#This Row],[BOX NO]],PartList[[#This Row],[In/Out]],PartList[[#This Row],[O1-Grid]])</f>
        <v>2SC02#Box1_Box4#InBB</v>
      </c>
      <c r="N123" t="str">
        <f>_xlfn.TEXTJOIN("#",TRUE,PartList[[#This Row],[ASSLY MARK]],PartList[[#This Row],[BOX NO]],PartList[[#This Row],[In/Out]],PartList[[#This Row],[O2-Grid]])</f>
        <v>2SC02#Box1_Box4#InBB</v>
      </c>
      <c r="O123">
        <f>IF(PartList[[#This Row],[Unique]]="Yes",_xlfn.XLOOKUP(PartList[[#This Row],[ASSLY MARK]],FilteredPL!A:A,FilteredPL!B:B,0,0),0)</f>
        <v>0</v>
      </c>
      <c r="P123">
        <f>_xlfn.XLOOKUP(PartList[[#This Row],[ASSLY MARK]],MasterPL[SplitMarkNo],MasterPL[BILL WT.(KG)],0,0)</f>
        <v>0</v>
      </c>
      <c r="Q123" cm="1">
        <f t="array" ref="Q12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23" s="2" t="str">
        <v>3BE30</v>
      </c>
      <c r="AB123" s="2">
        <f>SUMIF(PartList[ASSLY MARK],AA123,PartList[Avail. Qty])</f>
        <v>0</v>
      </c>
    </row>
    <row r="124" spans="1:28" x14ac:dyDescent="0.25">
      <c r="A124">
        <v>347</v>
      </c>
      <c r="B124" t="s">
        <v>723</v>
      </c>
      <c r="C124" t="s">
        <v>619</v>
      </c>
      <c r="D124" t="s">
        <v>305</v>
      </c>
      <c r="E124" t="s">
        <v>645</v>
      </c>
      <c r="F124" t="str" cm="1">
        <f t="array" ref="F124">IF(SUM(IF(PartList[ASSLY MARK]=PartList[[#This Row],[ASSLY MARK]],1,0))&gt;1,"No","Yes")</f>
        <v>Yes</v>
      </c>
      <c r="G124" t="str" cm="1">
        <f t="array" ref="G124">_xlfn.TEXTJOIN("_",TRUE,TRIM(_xlfn.TEXTSPLIT(PartList[[#This Row],[GRID LOCATION]],{"PR01","/","-"})))</f>
        <v>14_B&gt;</v>
      </c>
      <c r="H124" t="str" cm="1">
        <f t="array" ref="H12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124" cm="1">
        <f t="array" ref="I12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24" t="str">
        <f>IF(IFERROR(SEARCH("&gt;",PartList[[#This Row],[ID]]),0),"O",IF(IFERROR(SEARCH("&lt;",PartList[[#This Row],[ID]]),0),"I",""))</f>
        <v>O</v>
      </c>
      <c r="K124" t="str" cm="1">
        <f t="array" ref="K1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24" t="str" cm="1">
        <f t="array" ref="L1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24" t="str">
        <f>_xlfn.TEXTJOIN("#",TRUE,PartList[[#This Row],[ASSLY MARK]],PartList[[#This Row],[BOX NO]],PartList[[#This Row],[In/Out]],PartList[[#This Row],[O1-Grid]])</f>
        <v>2SC04#Box1_Box2_Box3_Box6#O</v>
      </c>
      <c r="N124" t="str">
        <f>_xlfn.TEXTJOIN("#",TRUE,PartList[[#This Row],[ASSLY MARK]],PartList[[#This Row],[BOX NO]],PartList[[#This Row],[In/Out]],PartList[[#This Row],[O2-Grid]])</f>
        <v>2SC04#Box1_Box2_Box3_Box6#O</v>
      </c>
      <c r="O124">
        <f>IF(PartList[[#This Row],[Unique]]="Yes",_xlfn.XLOOKUP(PartList[[#This Row],[ASSLY MARK]],FilteredPL!A:A,FilteredPL!B:B,0,0),0)</f>
        <v>0</v>
      </c>
      <c r="P124">
        <f>_xlfn.XLOOKUP(PartList[[#This Row],[ASSLY MARK]],MasterPL[SplitMarkNo],MasterPL[BILL WT.(KG)],0,0)</f>
        <v>0</v>
      </c>
      <c r="Q124" cm="1">
        <f t="array" ref="Q12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24" s="2" t="str">
        <v>3BE31</v>
      </c>
      <c r="AB124" s="2">
        <f>SUMIF(PartList[ASSLY MARK],AA124,PartList[Avail. Qty])</f>
        <v>0</v>
      </c>
    </row>
    <row r="125" spans="1:28" x14ac:dyDescent="0.25">
      <c r="A125">
        <v>349</v>
      </c>
      <c r="B125" t="s">
        <v>207</v>
      </c>
      <c r="C125" t="s">
        <v>508</v>
      </c>
      <c r="D125" t="s">
        <v>224</v>
      </c>
      <c r="E125" t="s">
        <v>5</v>
      </c>
      <c r="F125" t="str" cm="1">
        <f t="array" ref="F125">IF(SUM(IF(PartList[ASSLY MARK]=PartList[[#This Row],[ASSLY MARK]],1,0))&gt;1,"No","Yes")</f>
        <v>Yes</v>
      </c>
      <c r="G125" t="str" cm="1">
        <f t="array" ref="G125">_xlfn.TEXTJOIN("_",TRUE,TRIM(_xlfn.TEXTSPLIT(PartList[[#This Row],[GRID LOCATION]],{"PR01","/","-"})))</f>
        <v>10_A'_A</v>
      </c>
      <c r="H125" t="str" cm="1">
        <f t="array" ref="H12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125" cm="1">
        <f t="array" ref="I12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25" t="str">
        <f>IF(IFERROR(SEARCH("&gt;",PartList[[#This Row],[ID]]),0),"O",IF(IFERROR(SEARCH("&lt;",PartList[[#This Row],[ID]]),0),"I",""))</f>
        <v/>
      </c>
      <c r="K125" t="str" cm="1">
        <f t="array" ref="K1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5" t="str" cm="1">
        <f t="array" ref="L1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5" t="str">
        <f>_xlfn.TEXTJOIN("#",TRUE,PartList[[#This Row],[ASSLY MARK]],PartList[[#This Row],[BOX NO]],PartList[[#This Row],[In/Out]],PartList[[#This Row],[O1-Grid]])</f>
        <v>3BE01#Box1_Box4#InBB</v>
      </c>
      <c r="N125" t="str">
        <f>_xlfn.TEXTJOIN("#",TRUE,PartList[[#This Row],[ASSLY MARK]],PartList[[#This Row],[BOX NO]],PartList[[#This Row],[In/Out]],PartList[[#This Row],[O2-Grid]])</f>
        <v>3BE01#Box1_Box4#InBB</v>
      </c>
      <c r="O125">
        <f>IF(PartList[[#This Row],[Unique]]="Yes",_xlfn.XLOOKUP(PartList[[#This Row],[ASSLY MARK]],FilteredPL!A:A,FilteredPL!B:B,0,0),0)</f>
        <v>0</v>
      </c>
      <c r="P125">
        <f>_xlfn.XLOOKUP(PartList[[#This Row],[ASSLY MARK]],MasterPL[SplitMarkNo],MasterPL[BILL WT.(KG)],0,0)</f>
        <v>0</v>
      </c>
      <c r="Q125" cm="1">
        <f t="array" ref="Q12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25" s="2" t="str">
        <v>3BE32</v>
      </c>
      <c r="AB125" s="2">
        <f>SUMIF(PartList[ASSLY MARK],AA125,PartList[Avail. Qty])</f>
        <v>0</v>
      </c>
    </row>
    <row r="126" spans="1:28" x14ac:dyDescent="0.25">
      <c r="A126">
        <v>350</v>
      </c>
      <c r="B126" t="s">
        <v>208</v>
      </c>
      <c r="C126" t="s">
        <v>509</v>
      </c>
      <c r="D126" t="s">
        <v>209</v>
      </c>
      <c r="E126" t="s">
        <v>5</v>
      </c>
      <c r="F126" t="str" cm="1">
        <f t="array" ref="F126">IF(SUM(IF(PartList[ASSLY MARK]=PartList[[#This Row],[ASSLY MARK]],1,0))&gt;1,"No","Yes")</f>
        <v>Yes</v>
      </c>
      <c r="G126" t="str" cm="1">
        <f t="array" ref="G126">_xlfn.TEXTJOIN("_",TRUE,TRIM(_xlfn.TEXTSPLIT(PartList[[#This Row],[GRID LOCATION]],{"PR01","/","-"})))</f>
        <v>10_A_B</v>
      </c>
      <c r="H126" t="str" cm="1">
        <f t="array" ref="H12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26" cm="1">
        <f t="array" ref="I12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26" t="str">
        <f>IF(IFERROR(SEARCH("&gt;",PartList[[#This Row],[ID]]),0),"O",IF(IFERROR(SEARCH("&lt;",PartList[[#This Row],[ID]]),0),"I",""))</f>
        <v/>
      </c>
      <c r="K126" t="str" cm="1">
        <f t="array" ref="K1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10_A_B</v>
      </c>
      <c r="L126" t="str" cm="1">
        <f t="array" ref="L1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6" t="str">
        <f>_xlfn.TEXTJOIN("#",TRUE,PartList[[#This Row],[ASSLY MARK]],PartList[[#This Row],[BOX NO]],PartList[[#This Row],[In/Out]],PartList[[#This Row],[O1-Grid]])</f>
        <v>3BE02#Box1#10_A_B</v>
      </c>
      <c r="N126" t="str">
        <f>_xlfn.TEXTJOIN("#",TRUE,PartList[[#This Row],[ASSLY MARK]],PartList[[#This Row],[BOX NO]],PartList[[#This Row],[In/Out]],PartList[[#This Row],[O2-Grid]])</f>
        <v>3BE02#Box1#InB</v>
      </c>
      <c r="O126">
        <f>IF(PartList[[#This Row],[Unique]]="Yes",_xlfn.XLOOKUP(PartList[[#This Row],[ASSLY MARK]],FilteredPL!A:A,FilteredPL!B:B,0,0),0)</f>
        <v>0</v>
      </c>
      <c r="P126">
        <f>_xlfn.XLOOKUP(PartList[[#This Row],[ASSLY MARK]],MasterPL[SplitMarkNo],MasterPL[BILL WT.(KG)],0,0)</f>
        <v>0</v>
      </c>
      <c r="Q126" cm="1">
        <f t="array" ref="Q12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26" s="2" t="str">
        <v>3BE33</v>
      </c>
      <c r="AB126" s="2">
        <f>SUMIF(PartList[ASSLY MARK],AA126,PartList[Avail. Qty])</f>
        <v>0</v>
      </c>
    </row>
    <row r="127" spans="1:28" x14ac:dyDescent="0.25">
      <c r="A127">
        <v>351</v>
      </c>
      <c r="B127" t="s">
        <v>210</v>
      </c>
      <c r="C127" t="s">
        <v>509</v>
      </c>
      <c r="D127" t="s">
        <v>224</v>
      </c>
      <c r="E127" t="s">
        <v>5</v>
      </c>
      <c r="F127" t="str" cm="1">
        <f t="array" ref="F127">IF(SUM(IF(PartList[ASSLY MARK]=PartList[[#This Row],[ASSLY MARK]],1,0))&gt;1,"No","Yes")</f>
        <v>Yes</v>
      </c>
      <c r="G127" t="str" cm="1">
        <f t="array" ref="G127">_xlfn.TEXTJOIN("_",TRUE,TRIM(_xlfn.TEXTSPLIT(PartList[[#This Row],[GRID LOCATION]],{"PR01","/","-"})))</f>
        <v>10_A_B</v>
      </c>
      <c r="H127" t="str" cm="1">
        <f t="array" ref="H12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27" cm="1">
        <f t="array" ref="I12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27" t="str">
        <f>IF(IFERROR(SEARCH("&gt;",PartList[[#This Row],[ID]]),0),"O",IF(IFERROR(SEARCH("&lt;",PartList[[#This Row],[ID]]),0),"I",""))</f>
        <v/>
      </c>
      <c r="K127" t="str" cm="1">
        <f t="array" ref="K1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10_A_B</v>
      </c>
      <c r="L127" t="str" cm="1">
        <f t="array" ref="L1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7" t="str">
        <f>_xlfn.TEXTJOIN("#",TRUE,PartList[[#This Row],[ASSLY MARK]],PartList[[#This Row],[BOX NO]],PartList[[#This Row],[In/Out]],PartList[[#This Row],[O1-Grid]])</f>
        <v>3BE03#Box1#10_A_B</v>
      </c>
      <c r="N127" t="str">
        <f>_xlfn.TEXTJOIN("#",TRUE,PartList[[#This Row],[ASSLY MARK]],PartList[[#This Row],[BOX NO]],PartList[[#This Row],[In/Out]],PartList[[#This Row],[O2-Grid]])</f>
        <v>3BE03#Box1#InB</v>
      </c>
      <c r="O127">
        <f>IF(PartList[[#This Row],[Unique]]="Yes",_xlfn.XLOOKUP(PartList[[#This Row],[ASSLY MARK]],FilteredPL!A:A,FilteredPL!B:B,0,0),0)</f>
        <v>0</v>
      </c>
      <c r="P127">
        <f>_xlfn.XLOOKUP(PartList[[#This Row],[ASSLY MARK]],MasterPL[SplitMarkNo],MasterPL[BILL WT.(KG)],0,0)</f>
        <v>0</v>
      </c>
      <c r="Q127" cm="1">
        <f t="array" ref="Q12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27" s="2" t="str">
        <v>3BE34</v>
      </c>
      <c r="AB127" s="2">
        <f>SUMIF(PartList[ASSLY MARK],AA127,PartList[Avail. Qty])</f>
        <v>0</v>
      </c>
    </row>
    <row r="128" spans="1:28" x14ac:dyDescent="0.25">
      <c r="A128">
        <v>352</v>
      </c>
      <c r="B128" t="s">
        <v>211</v>
      </c>
      <c r="C128" t="s">
        <v>510</v>
      </c>
      <c r="D128" t="s">
        <v>226</v>
      </c>
      <c r="E128" t="s">
        <v>5</v>
      </c>
      <c r="F128" t="str" cm="1">
        <f t="array" ref="F128">IF(SUM(IF(PartList[ASSLY MARK]=PartList[[#This Row],[ASSLY MARK]],1,0))&gt;1,"No","Yes")</f>
        <v>Yes</v>
      </c>
      <c r="G128" t="str" cm="1">
        <f t="array" ref="G128">_xlfn.TEXTJOIN("_",TRUE,TRIM(_xlfn.TEXTSPLIT(PartList[[#This Row],[GRID LOCATION]],{"PR01","/","-"})))</f>
        <v>10_B&gt;</v>
      </c>
      <c r="H128" t="str" cm="1">
        <f t="array" ref="H12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28" cm="1">
        <f t="array" ref="I12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28" t="str">
        <f>IF(IFERROR(SEARCH("&gt;",PartList[[#This Row],[ID]]),0),"O",IF(IFERROR(SEARCH("&lt;",PartList[[#This Row],[ID]]),0),"I",""))</f>
        <v>O</v>
      </c>
      <c r="K128" t="str" cm="1">
        <f t="array" ref="K1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28" t="str" cm="1">
        <f t="array" ref="L1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28" t="str">
        <f>_xlfn.TEXTJOIN("#",TRUE,PartList[[#This Row],[ASSLY MARK]],PartList[[#This Row],[BOX NO]],PartList[[#This Row],[In/Out]],PartList[[#This Row],[O1-Grid]])</f>
        <v>3BE04#Box1#O</v>
      </c>
      <c r="N128" t="str">
        <f>_xlfn.TEXTJOIN("#",TRUE,PartList[[#This Row],[ASSLY MARK]],PartList[[#This Row],[BOX NO]],PartList[[#This Row],[In/Out]],PartList[[#This Row],[O2-Grid]])</f>
        <v>3BE04#Box1#O</v>
      </c>
      <c r="O128">
        <f>IF(PartList[[#This Row],[Unique]]="Yes",_xlfn.XLOOKUP(PartList[[#This Row],[ASSLY MARK]],FilteredPL!A:A,FilteredPL!B:B,0,0),0)</f>
        <v>0</v>
      </c>
      <c r="P128">
        <f>_xlfn.XLOOKUP(PartList[[#This Row],[ASSLY MARK]],MasterPL[SplitMarkNo],MasterPL[BILL WT.(KG)],0,0)</f>
        <v>0</v>
      </c>
      <c r="Q128" cm="1">
        <f t="array" ref="Q12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28" s="2" t="str">
        <v>3BE35</v>
      </c>
      <c r="AB128" s="2">
        <f>SUMIF(PartList[ASSLY MARK],AA128,PartList[Avail. Qty])</f>
        <v>0</v>
      </c>
    </row>
    <row r="129" spans="1:28" x14ac:dyDescent="0.25">
      <c r="A129">
        <v>353</v>
      </c>
      <c r="B129" t="s">
        <v>212</v>
      </c>
      <c r="C129" t="s">
        <v>510</v>
      </c>
      <c r="D129" t="s">
        <v>224</v>
      </c>
      <c r="E129" t="s">
        <v>5</v>
      </c>
      <c r="F129" t="str" cm="1">
        <f t="array" ref="F129">IF(SUM(IF(PartList[ASSLY MARK]=PartList[[#This Row],[ASSLY MARK]],1,0))&gt;1,"No","Yes")</f>
        <v>Yes</v>
      </c>
      <c r="G129" t="str" cm="1">
        <f t="array" ref="G129">_xlfn.TEXTJOIN("_",TRUE,TRIM(_xlfn.TEXTSPLIT(PartList[[#This Row],[GRID LOCATION]],{"PR01","/","-"})))</f>
        <v>10_B&gt;</v>
      </c>
      <c r="H129" t="str" cm="1">
        <f t="array" ref="H12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29" cm="1">
        <f t="array" ref="I12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29" t="str">
        <f>IF(IFERROR(SEARCH("&gt;",PartList[[#This Row],[ID]]),0),"O",IF(IFERROR(SEARCH("&lt;",PartList[[#This Row],[ID]]),0),"I",""))</f>
        <v>O</v>
      </c>
      <c r="K129" t="str" cm="1">
        <f t="array" ref="K1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29" t="str" cm="1">
        <f t="array" ref="L1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29" t="str">
        <f>_xlfn.TEXTJOIN("#",TRUE,PartList[[#This Row],[ASSLY MARK]],PartList[[#This Row],[BOX NO]],PartList[[#This Row],[In/Out]],PartList[[#This Row],[O1-Grid]])</f>
        <v>3BE05#Box1#O</v>
      </c>
      <c r="N129" t="str">
        <f>_xlfn.TEXTJOIN("#",TRUE,PartList[[#This Row],[ASSLY MARK]],PartList[[#This Row],[BOX NO]],PartList[[#This Row],[In/Out]],PartList[[#This Row],[O2-Grid]])</f>
        <v>3BE05#Box1#O</v>
      </c>
      <c r="O129">
        <f>IF(PartList[[#This Row],[Unique]]="Yes",_xlfn.XLOOKUP(PartList[[#This Row],[ASSLY MARK]],FilteredPL!A:A,FilteredPL!B:B,0,0),0)</f>
        <v>0</v>
      </c>
      <c r="P129">
        <f>_xlfn.XLOOKUP(PartList[[#This Row],[ASSLY MARK]],MasterPL[SplitMarkNo],MasterPL[BILL WT.(KG)],0,0)</f>
        <v>0</v>
      </c>
      <c r="Q129" cm="1">
        <f t="array" ref="Q12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29" s="2" t="str">
        <v>3BE36</v>
      </c>
      <c r="AB129" s="2">
        <f>SUMIF(PartList[ASSLY MARK],AA129,PartList[Avail. Qty])</f>
        <v>0</v>
      </c>
    </row>
    <row r="130" spans="1:28" x14ac:dyDescent="0.25">
      <c r="A130">
        <v>354</v>
      </c>
      <c r="B130" t="s">
        <v>213</v>
      </c>
      <c r="C130" t="s">
        <v>510</v>
      </c>
      <c r="D130" t="s">
        <v>209</v>
      </c>
      <c r="E130" t="s">
        <v>5</v>
      </c>
      <c r="F130" t="str" cm="1">
        <f t="array" ref="F130">IF(SUM(IF(PartList[ASSLY MARK]=PartList[[#This Row],[ASSLY MARK]],1,0))&gt;1,"No","Yes")</f>
        <v>Yes</v>
      </c>
      <c r="G130" t="str" cm="1">
        <f t="array" ref="G130">_xlfn.TEXTJOIN("_",TRUE,TRIM(_xlfn.TEXTSPLIT(PartList[[#This Row],[GRID LOCATION]],{"PR01","/","-"})))</f>
        <v>10_B&gt;</v>
      </c>
      <c r="H130" t="str" cm="1">
        <f t="array" ref="H13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30" cm="1">
        <f t="array" ref="I13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30" t="str">
        <f>IF(IFERROR(SEARCH("&gt;",PartList[[#This Row],[ID]]),0),"O",IF(IFERROR(SEARCH("&lt;",PartList[[#This Row],[ID]]),0),"I",""))</f>
        <v>O</v>
      </c>
      <c r="K130" t="str" cm="1">
        <f t="array" ref="K1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30" t="str" cm="1">
        <f t="array" ref="L1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30" t="str">
        <f>_xlfn.TEXTJOIN("#",TRUE,PartList[[#This Row],[ASSLY MARK]],PartList[[#This Row],[BOX NO]],PartList[[#This Row],[In/Out]],PartList[[#This Row],[O1-Grid]])</f>
        <v>3BE06#Box1#O</v>
      </c>
      <c r="N130" t="str">
        <f>_xlfn.TEXTJOIN("#",TRUE,PartList[[#This Row],[ASSLY MARK]],PartList[[#This Row],[BOX NO]],PartList[[#This Row],[In/Out]],PartList[[#This Row],[O2-Grid]])</f>
        <v>3BE06#Box1#O</v>
      </c>
      <c r="O130">
        <f>IF(PartList[[#This Row],[Unique]]="Yes",_xlfn.XLOOKUP(PartList[[#This Row],[ASSLY MARK]],FilteredPL!A:A,FilteredPL!B:B,0,0),0)</f>
        <v>0</v>
      </c>
      <c r="P130">
        <f>_xlfn.XLOOKUP(PartList[[#This Row],[ASSLY MARK]],MasterPL[SplitMarkNo],MasterPL[BILL WT.(KG)],0,0)</f>
        <v>0</v>
      </c>
      <c r="Q130" cm="1">
        <f t="array" ref="Q13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30" s="2" t="str">
        <v>3BE37</v>
      </c>
      <c r="AB130" s="2">
        <f>SUMIF(PartList[ASSLY MARK],AA130,PartList[Avail. Qty])</f>
        <v>0</v>
      </c>
    </row>
    <row r="131" spans="1:28" x14ac:dyDescent="0.25">
      <c r="A131">
        <v>355</v>
      </c>
      <c r="B131" t="s">
        <v>214</v>
      </c>
      <c r="C131" t="s">
        <v>512</v>
      </c>
      <c r="D131" t="s">
        <v>224</v>
      </c>
      <c r="E131" t="s">
        <v>5</v>
      </c>
      <c r="F131" t="str" cm="1">
        <f t="array" ref="F131">IF(SUM(IF(PartList[ASSLY MARK]=PartList[[#This Row],[ASSLY MARK]],1,0))&gt;1,"No","Yes")</f>
        <v>Yes</v>
      </c>
      <c r="G131" t="str" cm="1">
        <f t="array" ref="G131">_xlfn.TEXTJOIN("_",TRUE,TRIM(_xlfn.TEXTSPLIT(PartList[[#This Row],[GRID LOCATION]],{"PR01","/","-"})))</f>
        <v>10_11_A'_A</v>
      </c>
      <c r="H131" t="str" cm="1">
        <f t="array" ref="H13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131" cm="1">
        <f t="array" ref="I13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31" t="str">
        <f>IF(IFERROR(SEARCH("&gt;",PartList[[#This Row],[ID]]),0),"O",IF(IFERROR(SEARCH("&lt;",PartList[[#This Row],[ID]]),0),"I",""))</f>
        <v/>
      </c>
      <c r="K131" t="str" cm="1">
        <f t="array" ref="K1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1" t="str" cm="1">
        <f t="array" ref="L1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1" t="str">
        <f>_xlfn.TEXTJOIN("#",TRUE,PartList[[#This Row],[ASSLY MARK]],PartList[[#This Row],[BOX NO]],PartList[[#This Row],[In/Out]],PartList[[#This Row],[O1-Grid]])</f>
        <v>3BE07#Box1_Box4#InBB</v>
      </c>
      <c r="N131" t="str">
        <f>_xlfn.TEXTJOIN("#",TRUE,PartList[[#This Row],[ASSLY MARK]],PartList[[#This Row],[BOX NO]],PartList[[#This Row],[In/Out]],PartList[[#This Row],[O2-Grid]])</f>
        <v>3BE07#Box1_Box4#InBB</v>
      </c>
      <c r="O131">
        <f>IF(PartList[[#This Row],[Unique]]="Yes",_xlfn.XLOOKUP(PartList[[#This Row],[ASSLY MARK]],FilteredPL!A:A,FilteredPL!B:B,0,0),0)</f>
        <v>0</v>
      </c>
      <c r="P131">
        <f>_xlfn.XLOOKUP(PartList[[#This Row],[ASSLY MARK]],MasterPL[SplitMarkNo],MasterPL[BILL WT.(KG)],0,0)</f>
        <v>0</v>
      </c>
      <c r="Q131" cm="1">
        <f t="array" ref="Q13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31" s="2" t="str">
        <v>3BE38</v>
      </c>
      <c r="AB131" s="2">
        <f>SUMIF(PartList[ASSLY MARK],AA131,PartList[Avail. Qty])</f>
        <v>0</v>
      </c>
    </row>
    <row r="132" spans="1:28" x14ac:dyDescent="0.25">
      <c r="A132">
        <v>356</v>
      </c>
      <c r="B132" t="s">
        <v>215</v>
      </c>
      <c r="C132" t="s">
        <v>512</v>
      </c>
      <c r="D132" t="s">
        <v>224</v>
      </c>
      <c r="E132" t="s">
        <v>5</v>
      </c>
      <c r="F132" t="str" cm="1">
        <f t="array" ref="F132">IF(SUM(IF(PartList[ASSLY MARK]=PartList[[#This Row],[ASSLY MARK]],1,0))&gt;1,"No","Yes")</f>
        <v>Yes</v>
      </c>
      <c r="G132" t="str" cm="1">
        <f t="array" ref="G132">_xlfn.TEXTJOIN("_",TRUE,TRIM(_xlfn.TEXTSPLIT(PartList[[#This Row],[GRID LOCATION]],{"PR01","/","-"})))</f>
        <v>10_11_A'_A</v>
      </c>
      <c r="H132" t="str" cm="1">
        <f t="array" ref="H13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132" cm="1">
        <f t="array" ref="I13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32" t="str">
        <f>IF(IFERROR(SEARCH("&gt;",PartList[[#This Row],[ID]]),0),"O",IF(IFERROR(SEARCH("&lt;",PartList[[#This Row],[ID]]),0),"I",""))</f>
        <v/>
      </c>
      <c r="K132" t="str" cm="1">
        <f t="array" ref="K1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2" t="str" cm="1">
        <f t="array" ref="L1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2" t="str">
        <f>_xlfn.TEXTJOIN("#",TRUE,PartList[[#This Row],[ASSLY MARK]],PartList[[#This Row],[BOX NO]],PartList[[#This Row],[In/Out]],PartList[[#This Row],[O1-Grid]])</f>
        <v>3BE08#Box1_Box4#InBB</v>
      </c>
      <c r="N132" t="str">
        <f>_xlfn.TEXTJOIN("#",TRUE,PartList[[#This Row],[ASSLY MARK]],PartList[[#This Row],[BOX NO]],PartList[[#This Row],[In/Out]],PartList[[#This Row],[O2-Grid]])</f>
        <v>3BE08#Box1_Box4#InBB</v>
      </c>
      <c r="O132">
        <f>IF(PartList[[#This Row],[Unique]]="Yes",_xlfn.XLOOKUP(PartList[[#This Row],[ASSLY MARK]],FilteredPL!A:A,FilteredPL!B:B,0,0),0)</f>
        <v>0</v>
      </c>
      <c r="P132">
        <f>_xlfn.XLOOKUP(PartList[[#This Row],[ASSLY MARK]],MasterPL[SplitMarkNo],MasterPL[BILL WT.(KG)],0,0)</f>
        <v>0</v>
      </c>
      <c r="Q132" cm="1">
        <f t="array" ref="Q13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32" s="2" t="str">
        <v>3BE39</v>
      </c>
      <c r="AB132" s="2">
        <f>SUMIF(PartList[ASSLY MARK],AA132,PartList[Avail. Qty])</f>
        <v>0</v>
      </c>
    </row>
    <row r="133" spans="1:28" x14ac:dyDescent="0.25">
      <c r="A133">
        <v>357</v>
      </c>
      <c r="B133" t="s">
        <v>216</v>
      </c>
      <c r="C133" t="s">
        <v>515</v>
      </c>
      <c r="D133" t="s">
        <v>224</v>
      </c>
      <c r="E133" t="s">
        <v>5</v>
      </c>
      <c r="F133" t="str" cm="1">
        <f t="array" ref="F133">IF(SUM(IF(PartList[ASSLY MARK]=PartList[[#This Row],[ASSLY MARK]],1,0))&gt;1,"No","Yes")</f>
        <v>No</v>
      </c>
      <c r="G133" t="str" cm="1">
        <f t="array" ref="G133">_xlfn.TEXTJOIN("_",TRUE,TRIM(_xlfn.TEXTSPLIT(PartList[[#This Row],[GRID LOCATION]],{"PR01","/","-"})))</f>
        <v>10_11_A_B</v>
      </c>
      <c r="H133" t="str" cm="1">
        <f t="array" ref="H13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33" cm="1">
        <f t="array" ref="I13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33" t="str">
        <f>IF(IFERROR(SEARCH("&gt;",PartList[[#This Row],[ID]]),0),"O",IF(IFERROR(SEARCH("&lt;",PartList[[#This Row],[ID]]),0),"I",""))</f>
        <v/>
      </c>
      <c r="K133" t="str" cm="1">
        <f t="array" ref="K1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33" t="str" cm="1">
        <f t="array" ref="L1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33" t="str">
        <f>_xlfn.TEXTJOIN("#",TRUE,PartList[[#This Row],[ASSLY MARK]],PartList[[#This Row],[BOX NO]],PartList[[#This Row],[In/Out]],PartList[[#This Row],[O1-Grid]])</f>
        <v>3BE09#Box1#InB</v>
      </c>
      <c r="N133" t="str">
        <f>_xlfn.TEXTJOIN("#",TRUE,PartList[[#This Row],[ASSLY MARK]],PartList[[#This Row],[BOX NO]],PartList[[#This Row],[In/Out]],PartList[[#This Row],[O2-Grid]])</f>
        <v>3BE09#Box1#InB</v>
      </c>
      <c r="O133">
        <f>IF(PartList[[#This Row],[Unique]]="Yes",_xlfn.XLOOKUP(PartList[[#This Row],[ASSLY MARK]],FilteredPL!A:A,FilteredPL!B:B,0,0),0)</f>
        <v>0</v>
      </c>
      <c r="P133">
        <f>_xlfn.XLOOKUP(PartList[[#This Row],[ASSLY MARK]],MasterPL[SplitMarkNo],MasterPL[BILL WT.(KG)],0,0)</f>
        <v>0</v>
      </c>
      <c r="Q133" cm="1">
        <f t="array" ref="Q13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33" s="2" t="str">
        <v>3BE40</v>
      </c>
      <c r="AB133" s="2">
        <f>SUMIF(PartList[ASSLY MARK],AA133,PartList[Avail. Qty])</f>
        <v>0</v>
      </c>
    </row>
    <row r="134" spans="1:28" x14ac:dyDescent="0.25">
      <c r="A134">
        <v>358</v>
      </c>
      <c r="B134" t="s">
        <v>216</v>
      </c>
      <c r="C134" t="s">
        <v>515</v>
      </c>
      <c r="D134" t="s">
        <v>224</v>
      </c>
      <c r="E134" t="s">
        <v>5</v>
      </c>
      <c r="F134" t="str" cm="1">
        <f t="array" ref="F134">IF(SUM(IF(PartList[ASSLY MARK]=PartList[[#This Row],[ASSLY MARK]],1,0))&gt;1,"No","Yes")</f>
        <v>No</v>
      </c>
      <c r="G134" t="str" cm="1">
        <f t="array" ref="G134">_xlfn.TEXTJOIN("_",TRUE,TRIM(_xlfn.TEXTSPLIT(PartList[[#This Row],[GRID LOCATION]],{"PR01","/","-"})))</f>
        <v>10_11_A_B</v>
      </c>
      <c r="H134" t="str" cm="1">
        <f t="array" ref="H13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34" cm="1">
        <f t="array" ref="I13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34" t="str">
        <f>IF(IFERROR(SEARCH("&gt;",PartList[[#This Row],[ID]]),0),"O",IF(IFERROR(SEARCH("&lt;",PartList[[#This Row],[ID]]),0),"I",""))</f>
        <v/>
      </c>
      <c r="K134" t="str" cm="1">
        <f t="array" ref="K1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34" t="str" cm="1">
        <f t="array" ref="L1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34" t="str">
        <f>_xlfn.TEXTJOIN("#",TRUE,PartList[[#This Row],[ASSLY MARK]],PartList[[#This Row],[BOX NO]],PartList[[#This Row],[In/Out]],PartList[[#This Row],[O1-Grid]])</f>
        <v>3BE09#Box1#InB</v>
      </c>
      <c r="N134" t="str">
        <f>_xlfn.TEXTJOIN("#",TRUE,PartList[[#This Row],[ASSLY MARK]],PartList[[#This Row],[BOX NO]],PartList[[#This Row],[In/Out]],PartList[[#This Row],[O2-Grid]])</f>
        <v>3BE09#Box1#InB</v>
      </c>
      <c r="O134">
        <f>IF(PartList[[#This Row],[Unique]]="Yes",_xlfn.XLOOKUP(PartList[[#This Row],[ASSLY MARK]],FilteredPL!A:A,FilteredPL!B:B,0,0),0)</f>
        <v>0</v>
      </c>
      <c r="P134">
        <f>_xlfn.XLOOKUP(PartList[[#This Row],[ASSLY MARK]],MasterPL[SplitMarkNo],MasterPL[BILL WT.(KG)],0,0)</f>
        <v>0</v>
      </c>
      <c r="Q134" cm="1">
        <f t="array" ref="Q13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34" s="2" t="str">
        <v>3BE60</v>
      </c>
      <c r="AB134" s="2">
        <f>SUMIF(PartList[ASSLY MARK],AA134,PartList[Avail. Qty])</f>
        <v>0</v>
      </c>
    </row>
    <row r="135" spans="1:28" x14ac:dyDescent="0.25">
      <c r="A135">
        <v>359</v>
      </c>
      <c r="B135" t="s">
        <v>217</v>
      </c>
      <c r="C135" t="s">
        <v>513</v>
      </c>
      <c r="D135" t="s">
        <v>224</v>
      </c>
      <c r="E135" t="s">
        <v>5</v>
      </c>
      <c r="F135" t="str" cm="1">
        <f t="array" ref="F135">IF(SUM(IF(PartList[ASSLY MARK]=PartList[[#This Row],[ASSLY MARK]],1,0))&gt;1,"No","Yes")</f>
        <v>No</v>
      </c>
      <c r="G135" t="str" cm="1">
        <f t="array" ref="G135">_xlfn.TEXTJOIN("_",TRUE,TRIM(_xlfn.TEXTSPLIT(PartList[[#This Row],[GRID LOCATION]],{"PR01","/","-"})))</f>
        <v>10_11_B&gt;</v>
      </c>
      <c r="H135" t="str" cm="1">
        <f t="array" ref="H13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35" cm="1">
        <f t="array" ref="I13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35" t="str">
        <f>IF(IFERROR(SEARCH("&gt;",PartList[[#This Row],[ID]]),0),"O",IF(IFERROR(SEARCH("&lt;",PartList[[#This Row],[ID]]),0),"I",""))</f>
        <v>O</v>
      </c>
      <c r="K135" t="str" cm="1">
        <f t="array" ref="K1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35" t="str" cm="1">
        <f t="array" ref="L1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35" t="str">
        <f>_xlfn.TEXTJOIN("#",TRUE,PartList[[#This Row],[ASSLY MARK]],PartList[[#This Row],[BOX NO]],PartList[[#This Row],[In/Out]],PartList[[#This Row],[O1-Grid]])</f>
        <v>3BE10#Box1#O</v>
      </c>
      <c r="N135" t="str">
        <f>_xlfn.TEXTJOIN("#",TRUE,PartList[[#This Row],[ASSLY MARK]],PartList[[#This Row],[BOX NO]],PartList[[#This Row],[In/Out]],PartList[[#This Row],[O2-Grid]])</f>
        <v>3BE10#Box1#O</v>
      </c>
      <c r="O135">
        <f>IF(PartList[[#This Row],[Unique]]="Yes",_xlfn.XLOOKUP(PartList[[#This Row],[ASSLY MARK]],FilteredPL!A:A,FilteredPL!B:B,0,0),0)</f>
        <v>0</v>
      </c>
      <c r="P135">
        <f>_xlfn.XLOOKUP(PartList[[#This Row],[ASSLY MARK]],MasterPL[SplitMarkNo],MasterPL[BILL WT.(KG)],0,0)</f>
        <v>0</v>
      </c>
      <c r="Q135" cm="1">
        <f t="array" ref="Q13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35" s="2" t="str">
        <v>3HB01</v>
      </c>
      <c r="AB135" s="2">
        <f>SUMIF(PartList[ASSLY MARK],AA135,PartList[Avail. Qty])</f>
        <v>0</v>
      </c>
    </row>
    <row r="136" spans="1:28" x14ac:dyDescent="0.25">
      <c r="A136">
        <v>360</v>
      </c>
      <c r="B136" t="s">
        <v>217</v>
      </c>
      <c r="C136" t="s">
        <v>513</v>
      </c>
      <c r="D136" t="s">
        <v>224</v>
      </c>
      <c r="E136" t="s">
        <v>5</v>
      </c>
      <c r="F136" t="str" cm="1">
        <f t="array" ref="F136">IF(SUM(IF(PartList[ASSLY MARK]=PartList[[#This Row],[ASSLY MARK]],1,0))&gt;1,"No","Yes")</f>
        <v>No</v>
      </c>
      <c r="G136" t="str" cm="1">
        <f t="array" ref="G136">_xlfn.TEXTJOIN("_",TRUE,TRIM(_xlfn.TEXTSPLIT(PartList[[#This Row],[GRID LOCATION]],{"PR01","/","-"})))</f>
        <v>10_11_B&gt;</v>
      </c>
      <c r="H136" t="str" cm="1">
        <f t="array" ref="H13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36" cm="1">
        <f t="array" ref="I13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36" t="str">
        <f>IF(IFERROR(SEARCH("&gt;",PartList[[#This Row],[ID]]),0),"O",IF(IFERROR(SEARCH("&lt;",PartList[[#This Row],[ID]]),0),"I",""))</f>
        <v>O</v>
      </c>
      <c r="K136" t="str" cm="1">
        <f t="array" ref="K1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36" t="str" cm="1">
        <f t="array" ref="L1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36" t="str">
        <f>_xlfn.TEXTJOIN("#",TRUE,PartList[[#This Row],[ASSLY MARK]],PartList[[#This Row],[BOX NO]],PartList[[#This Row],[In/Out]],PartList[[#This Row],[O1-Grid]])</f>
        <v>3BE10#Box1#O</v>
      </c>
      <c r="N136" t="str">
        <f>_xlfn.TEXTJOIN("#",TRUE,PartList[[#This Row],[ASSLY MARK]],PartList[[#This Row],[BOX NO]],PartList[[#This Row],[In/Out]],PartList[[#This Row],[O2-Grid]])</f>
        <v>3BE10#Box1#O</v>
      </c>
      <c r="O136">
        <f>IF(PartList[[#This Row],[Unique]]="Yes",_xlfn.XLOOKUP(PartList[[#This Row],[ASSLY MARK]],FilteredPL!A:A,FilteredPL!B:B,0,0),0)</f>
        <v>0</v>
      </c>
      <c r="P136">
        <f>_xlfn.XLOOKUP(PartList[[#This Row],[ASSLY MARK]],MasterPL[SplitMarkNo],MasterPL[BILL WT.(KG)],0,0)</f>
        <v>0</v>
      </c>
      <c r="Q136" cm="1">
        <f t="array" ref="Q13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36" s="2" t="str">
        <v>3HB02</v>
      </c>
      <c r="AB136" s="2">
        <f>SUMIF(PartList[ASSLY MARK],AA136,PartList[Avail. Qty])</f>
        <v>0</v>
      </c>
    </row>
    <row r="137" spans="1:28" x14ac:dyDescent="0.25">
      <c r="A137">
        <v>361</v>
      </c>
      <c r="B137" t="s">
        <v>217</v>
      </c>
      <c r="C137" t="s">
        <v>513</v>
      </c>
      <c r="D137" t="s">
        <v>224</v>
      </c>
      <c r="E137" t="s">
        <v>5</v>
      </c>
      <c r="F137" t="str" cm="1">
        <f t="array" ref="F137">IF(SUM(IF(PartList[ASSLY MARK]=PartList[[#This Row],[ASSLY MARK]],1,0))&gt;1,"No","Yes")</f>
        <v>No</v>
      </c>
      <c r="G137" t="str" cm="1">
        <f t="array" ref="G137">_xlfn.TEXTJOIN("_",TRUE,TRIM(_xlfn.TEXTSPLIT(PartList[[#This Row],[GRID LOCATION]],{"PR01","/","-"})))</f>
        <v>10_11_B&gt;</v>
      </c>
      <c r="H137" t="str" cm="1">
        <f t="array" ref="H13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37" cm="1">
        <f t="array" ref="I13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37" t="str">
        <f>IF(IFERROR(SEARCH("&gt;",PartList[[#This Row],[ID]]),0),"O",IF(IFERROR(SEARCH("&lt;",PartList[[#This Row],[ID]]),0),"I",""))</f>
        <v>O</v>
      </c>
      <c r="K137" t="str" cm="1">
        <f t="array" ref="K1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37" t="str" cm="1">
        <f t="array" ref="L1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37" t="str">
        <f>_xlfn.TEXTJOIN("#",TRUE,PartList[[#This Row],[ASSLY MARK]],PartList[[#This Row],[BOX NO]],PartList[[#This Row],[In/Out]],PartList[[#This Row],[O1-Grid]])</f>
        <v>3BE10#Box1#O</v>
      </c>
      <c r="N137" t="str">
        <f>_xlfn.TEXTJOIN("#",TRUE,PartList[[#This Row],[ASSLY MARK]],PartList[[#This Row],[BOX NO]],PartList[[#This Row],[In/Out]],PartList[[#This Row],[O2-Grid]])</f>
        <v>3BE10#Box1#O</v>
      </c>
      <c r="O137">
        <f>IF(PartList[[#This Row],[Unique]]="Yes",_xlfn.XLOOKUP(PartList[[#This Row],[ASSLY MARK]],FilteredPL!A:A,FilteredPL!B:B,0,0),0)</f>
        <v>0</v>
      </c>
      <c r="P137">
        <f>_xlfn.XLOOKUP(PartList[[#This Row],[ASSLY MARK]],MasterPL[SplitMarkNo],MasterPL[BILL WT.(KG)],0,0)</f>
        <v>0</v>
      </c>
      <c r="Q137" cm="1">
        <f t="array" ref="Q13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37" s="2" t="str">
        <v>3HB03</v>
      </c>
      <c r="AB137" s="2">
        <f>SUMIF(PartList[ASSLY MARK],AA137,PartList[Avail. Qty])</f>
        <v>0</v>
      </c>
    </row>
    <row r="138" spans="1:28" x14ac:dyDescent="0.25">
      <c r="A138">
        <v>362</v>
      </c>
      <c r="B138" t="s">
        <v>217</v>
      </c>
      <c r="C138" t="s">
        <v>513</v>
      </c>
      <c r="D138" t="s">
        <v>224</v>
      </c>
      <c r="E138" t="s">
        <v>5</v>
      </c>
      <c r="F138" t="str" cm="1">
        <f t="array" ref="F138">IF(SUM(IF(PartList[ASSLY MARK]=PartList[[#This Row],[ASSLY MARK]],1,0))&gt;1,"No","Yes")</f>
        <v>No</v>
      </c>
      <c r="G138" t="str" cm="1">
        <f t="array" ref="G138">_xlfn.TEXTJOIN("_",TRUE,TRIM(_xlfn.TEXTSPLIT(PartList[[#This Row],[GRID LOCATION]],{"PR01","/","-"})))</f>
        <v>10_11_B&gt;</v>
      </c>
      <c r="H138" t="str" cm="1">
        <f t="array" ref="H13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38" cm="1">
        <f t="array" ref="I13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38" t="str">
        <f>IF(IFERROR(SEARCH("&gt;",PartList[[#This Row],[ID]]),0),"O",IF(IFERROR(SEARCH("&lt;",PartList[[#This Row],[ID]]),0),"I",""))</f>
        <v>O</v>
      </c>
      <c r="K138" t="str" cm="1">
        <f t="array" ref="K1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38" t="str" cm="1">
        <f t="array" ref="L1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38" t="str">
        <f>_xlfn.TEXTJOIN("#",TRUE,PartList[[#This Row],[ASSLY MARK]],PartList[[#This Row],[BOX NO]],PartList[[#This Row],[In/Out]],PartList[[#This Row],[O1-Grid]])</f>
        <v>3BE10#Box1#O</v>
      </c>
      <c r="N138" t="str">
        <f>_xlfn.TEXTJOIN("#",TRUE,PartList[[#This Row],[ASSLY MARK]],PartList[[#This Row],[BOX NO]],PartList[[#This Row],[In/Out]],PartList[[#This Row],[O2-Grid]])</f>
        <v>3BE10#Box1#O</v>
      </c>
      <c r="O138">
        <f>IF(PartList[[#This Row],[Unique]]="Yes",_xlfn.XLOOKUP(PartList[[#This Row],[ASSLY MARK]],FilteredPL!A:A,FilteredPL!B:B,0,0),0)</f>
        <v>0</v>
      </c>
      <c r="P138">
        <f>_xlfn.XLOOKUP(PartList[[#This Row],[ASSLY MARK]],MasterPL[SplitMarkNo],MasterPL[BILL WT.(KG)],0,0)</f>
        <v>0</v>
      </c>
      <c r="Q138" cm="1">
        <f t="array" ref="Q13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38" s="2" t="str">
        <v>3HB04</v>
      </c>
      <c r="AB138" s="2">
        <f>SUMIF(PartList[ASSLY MARK],AA138,PartList[Avail. Qty])</f>
        <v>0</v>
      </c>
    </row>
    <row r="139" spans="1:28" x14ac:dyDescent="0.25">
      <c r="A139">
        <v>363</v>
      </c>
      <c r="B139" t="s">
        <v>217</v>
      </c>
      <c r="C139" t="s">
        <v>513</v>
      </c>
      <c r="D139" t="s">
        <v>224</v>
      </c>
      <c r="E139" t="s">
        <v>5</v>
      </c>
      <c r="F139" t="str" cm="1">
        <f t="array" ref="F139">IF(SUM(IF(PartList[ASSLY MARK]=PartList[[#This Row],[ASSLY MARK]],1,0))&gt;1,"No","Yes")</f>
        <v>No</v>
      </c>
      <c r="G139" t="str" cm="1">
        <f t="array" ref="G139">_xlfn.TEXTJOIN("_",TRUE,TRIM(_xlfn.TEXTSPLIT(PartList[[#This Row],[GRID LOCATION]],{"PR01","/","-"})))</f>
        <v>10_11_B&gt;</v>
      </c>
      <c r="H139" t="str" cm="1">
        <f t="array" ref="H13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39" cm="1">
        <f t="array" ref="I13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39" t="str">
        <f>IF(IFERROR(SEARCH("&gt;",PartList[[#This Row],[ID]]),0),"O",IF(IFERROR(SEARCH("&lt;",PartList[[#This Row],[ID]]),0),"I",""))</f>
        <v>O</v>
      </c>
      <c r="K139" t="str" cm="1">
        <f t="array" ref="K1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39" t="str" cm="1">
        <f t="array" ref="L1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39" t="str">
        <f>_xlfn.TEXTJOIN("#",TRUE,PartList[[#This Row],[ASSLY MARK]],PartList[[#This Row],[BOX NO]],PartList[[#This Row],[In/Out]],PartList[[#This Row],[O1-Grid]])</f>
        <v>3BE10#Box1#O</v>
      </c>
      <c r="N139" t="str">
        <f>_xlfn.TEXTJOIN("#",TRUE,PartList[[#This Row],[ASSLY MARK]],PartList[[#This Row],[BOX NO]],PartList[[#This Row],[In/Out]],PartList[[#This Row],[O2-Grid]])</f>
        <v>3BE10#Box1#O</v>
      </c>
      <c r="O139">
        <f>IF(PartList[[#This Row],[Unique]]="Yes",_xlfn.XLOOKUP(PartList[[#This Row],[ASSLY MARK]],FilteredPL!A:A,FilteredPL!B:B,0,0),0)</f>
        <v>0</v>
      </c>
      <c r="P139">
        <f>_xlfn.XLOOKUP(PartList[[#This Row],[ASSLY MARK]],MasterPL[SplitMarkNo],MasterPL[BILL WT.(KG)],0,0)</f>
        <v>0</v>
      </c>
      <c r="Q139" cm="1">
        <f t="array" ref="Q13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39" s="2" t="str">
        <v>3HB05</v>
      </c>
      <c r="AB139" s="2">
        <f>SUMIF(PartList[ASSLY MARK],AA139,PartList[Avail. Qty])</f>
        <v>0</v>
      </c>
    </row>
    <row r="140" spans="1:28" x14ac:dyDescent="0.25">
      <c r="A140">
        <v>365</v>
      </c>
      <c r="B140" t="s">
        <v>219</v>
      </c>
      <c r="C140" t="s">
        <v>515</v>
      </c>
      <c r="D140" t="s">
        <v>224</v>
      </c>
      <c r="E140" t="s">
        <v>5</v>
      </c>
      <c r="F140" t="str" cm="1">
        <f t="array" ref="F140">IF(SUM(IF(PartList[ASSLY MARK]=PartList[[#This Row],[ASSLY MARK]],1,0))&gt;1,"No","Yes")</f>
        <v>Yes</v>
      </c>
      <c r="G140" t="str" cm="1">
        <f t="array" ref="G140">_xlfn.TEXTJOIN("_",TRUE,TRIM(_xlfn.TEXTSPLIT(PartList[[#This Row],[GRID LOCATION]],{"PR01","/","-"})))</f>
        <v>10_11_A_B</v>
      </c>
      <c r="H140" t="str" cm="1">
        <f t="array" ref="H14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40" cm="1">
        <f t="array" ref="I14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40" t="str">
        <f>IF(IFERROR(SEARCH("&gt;",PartList[[#This Row],[ID]]),0),"O",IF(IFERROR(SEARCH("&lt;",PartList[[#This Row],[ID]]),0),"I",""))</f>
        <v/>
      </c>
      <c r="K140" t="str" cm="1">
        <f t="array" ref="K1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40" t="str" cm="1">
        <f t="array" ref="L1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40" t="str">
        <f>_xlfn.TEXTJOIN("#",TRUE,PartList[[#This Row],[ASSLY MARK]],PartList[[#This Row],[BOX NO]],PartList[[#This Row],[In/Out]],PartList[[#This Row],[O1-Grid]])</f>
        <v>3BE12#Box1#InB</v>
      </c>
      <c r="N140" t="str">
        <f>_xlfn.TEXTJOIN("#",TRUE,PartList[[#This Row],[ASSLY MARK]],PartList[[#This Row],[BOX NO]],PartList[[#This Row],[In/Out]],PartList[[#This Row],[O2-Grid]])</f>
        <v>3BE12#Box1#InB</v>
      </c>
      <c r="O140">
        <f>IF(PartList[[#This Row],[Unique]]="Yes",_xlfn.XLOOKUP(PartList[[#This Row],[ASSLY MARK]],FilteredPL!A:A,FilteredPL!B:B,0,0),0)</f>
        <v>0</v>
      </c>
      <c r="P140">
        <f>_xlfn.XLOOKUP(PartList[[#This Row],[ASSLY MARK]],MasterPL[SplitMarkNo],MasterPL[BILL WT.(KG)],0,0)</f>
        <v>0</v>
      </c>
      <c r="Q140" cm="1">
        <f t="array" ref="Q14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40" s="2" t="str">
        <v>3HB06</v>
      </c>
      <c r="AB140" s="2">
        <f>SUMIF(PartList[ASSLY MARK],AA140,PartList[Avail. Qty])</f>
        <v>0</v>
      </c>
    </row>
    <row r="141" spans="1:28" x14ac:dyDescent="0.25">
      <c r="A141">
        <v>366</v>
      </c>
      <c r="B141" t="s">
        <v>220</v>
      </c>
      <c r="C141" t="s">
        <v>515</v>
      </c>
      <c r="D141" t="s">
        <v>224</v>
      </c>
      <c r="E141" t="s">
        <v>5</v>
      </c>
      <c r="F141" t="str" cm="1">
        <f t="array" ref="F141">IF(SUM(IF(PartList[ASSLY MARK]=PartList[[#This Row],[ASSLY MARK]],1,0))&gt;1,"No","Yes")</f>
        <v>Yes</v>
      </c>
      <c r="G141" t="str" cm="1">
        <f t="array" ref="G141">_xlfn.TEXTJOIN("_",TRUE,TRIM(_xlfn.TEXTSPLIT(PartList[[#This Row],[GRID LOCATION]],{"PR01","/","-"})))</f>
        <v>10_11_A_B</v>
      </c>
      <c r="H141" t="str" cm="1">
        <f t="array" ref="H14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41" cm="1">
        <f t="array" ref="I14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41" t="str">
        <f>IF(IFERROR(SEARCH("&gt;",PartList[[#This Row],[ID]]),0),"O",IF(IFERROR(SEARCH("&lt;",PartList[[#This Row],[ID]]),0),"I",""))</f>
        <v/>
      </c>
      <c r="K141" t="str" cm="1">
        <f t="array" ref="K1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41" t="str" cm="1">
        <f t="array" ref="L1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41" t="str">
        <f>_xlfn.TEXTJOIN("#",TRUE,PartList[[#This Row],[ASSLY MARK]],PartList[[#This Row],[BOX NO]],PartList[[#This Row],[In/Out]],PartList[[#This Row],[O1-Grid]])</f>
        <v>3BE13#Box1#InB</v>
      </c>
      <c r="N141" t="str">
        <f>_xlfn.TEXTJOIN("#",TRUE,PartList[[#This Row],[ASSLY MARK]],PartList[[#This Row],[BOX NO]],PartList[[#This Row],[In/Out]],PartList[[#This Row],[O2-Grid]])</f>
        <v>3BE13#Box1#InB</v>
      </c>
      <c r="O141">
        <f>IF(PartList[[#This Row],[Unique]]="Yes",_xlfn.XLOOKUP(PartList[[#This Row],[ASSLY MARK]],FilteredPL!A:A,FilteredPL!B:B,0,0),0)</f>
        <v>0</v>
      </c>
      <c r="P141">
        <f>_xlfn.XLOOKUP(PartList[[#This Row],[ASSLY MARK]],MasterPL[SplitMarkNo],MasterPL[BILL WT.(KG)],0,0)</f>
        <v>0</v>
      </c>
      <c r="Q141" cm="1">
        <f t="array" ref="Q14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41" s="2" t="str">
        <v>3HB07</v>
      </c>
      <c r="AB141" s="2">
        <f>SUMIF(PartList[ASSLY MARK],AA141,PartList[Avail. Qty])</f>
        <v>0</v>
      </c>
    </row>
    <row r="142" spans="1:28" x14ac:dyDescent="0.25">
      <c r="A142">
        <v>367</v>
      </c>
      <c r="B142" t="s">
        <v>221</v>
      </c>
      <c r="C142" t="s">
        <v>515</v>
      </c>
      <c r="D142" t="s">
        <v>224</v>
      </c>
      <c r="E142" t="s">
        <v>5</v>
      </c>
      <c r="F142" t="str" cm="1">
        <f t="array" ref="F142">IF(SUM(IF(PartList[ASSLY MARK]=PartList[[#This Row],[ASSLY MARK]],1,0))&gt;1,"No","Yes")</f>
        <v>Yes</v>
      </c>
      <c r="G142" t="str" cm="1">
        <f t="array" ref="G142">_xlfn.TEXTJOIN("_",TRUE,TRIM(_xlfn.TEXTSPLIT(PartList[[#This Row],[GRID LOCATION]],{"PR01","/","-"})))</f>
        <v>10_11_A_B</v>
      </c>
      <c r="H142" t="str" cm="1">
        <f t="array" ref="H14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42" cm="1">
        <f t="array" ref="I14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42" t="str">
        <f>IF(IFERROR(SEARCH("&gt;",PartList[[#This Row],[ID]]),0),"O",IF(IFERROR(SEARCH("&lt;",PartList[[#This Row],[ID]]),0),"I",""))</f>
        <v/>
      </c>
      <c r="K142" t="str" cm="1">
        <f t="array" ref="K1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42" t="str" cm="1">
        <f t="array" ref="L1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42" t="str">
        <f>_xlfn.TEXTJOIN("#",TRUE,PartList[[#This Row],[ASSLY MARK]],PartList[[#This Row],[BOX NO]],PartList[[#This Row],[In/Out]],PartList[[#This Row],[O1-Grid]])</f>
        <v>3BE14#Box1#InB</v>
      </c>
      <c r="N142" t="str">
        <f>_xlfn.TEXTJOIN("#",TRUE,PartList[[#This Row],[ASSLY MARK]],PartList[[#This Row],[BOX NO]],PartList[[#This Row],[In/Out]],PartList[[#This Row],[O2-Grid]])</f>
        <v>3BE14#Box1#InB</v>
      </c>
      <c r="O142">
        <f>IF(PartList[[#This Row],[Unique]]="Yes",_xlfn.XLOOKUP(PartList[[#This Row],[ASSLY MARK]],FilteredPL!A:A,FilteredPL!B:B,0,0),0)</f>
        <v>0</v>
      </c>
      <c r="P142">
        <f>_xlfn.XLOOKUP(PartList[[#This Row],[ASSLY MARK]],MasterPL[SplitMarkNo],MasterPL[BILL WT.(KG)],0,0)</f>
        <v>0</v>
      </c>
      <c r="Q142" cm="1">
        <f t="array" ref="Q14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42" s="2" t="str">
        <v>3HB08</v>
      </c>
      <c r="AB142" s="2">
        <f>SUMIF(PartList[ASSLY MARK],AA142,PartList[Avail. Qty])</f>
        <v>0</v>
      </c>
    </row>
    <row r="143" spans="1:28" x14ac:dyDescent="0.25">
      <c r="A143">
        <v>368</v>
      </c>
      <c r="B143" t="s">
        <v>222</v>
      </c>
      <c r="C143" t="s">
        <v>515</v>
      </c>
      <c r="D143" t="s">
        <v>224</v>
      </c>
      <c r="E143" t="s">
        <v>5</v>
      </c>
      <c r="F143" t="str" cm="1">
        <f t="array" ref="F143">IF(SUM(IF(PartList[ASSLY MARK]=PartList[[#This Row],[ASSLY MARK]],1,0))&gt;1,"No","Yes")</f>
        <v>Yes</v>
      </c>
      <c r="G143" t="str" cm="1">
        <f t="array" ref="G143">_xlfn.TEXTJOIN("_",TRUE,TRIM(_xlfn.TEXTSPLIT(PartList[[#This Row],[GRID LOCATION]],{"PR01","/","-"})))</f>
        <v>10_11_A_B</v>
      </c>
      <c r="H143" t="str" cm="1">
        <f t="array" ref="H14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43" cm="1">
        <f t="array" ref="I14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43" t="str">
        <f>IF(IFERROR(SEARCH("&gt;",PartList[[#This Row],[ID]]),0),"O",IF(IFERROR(SEARCH("&lt;",PartList[[#This Row],[ID]]),0),"I",""))</f>
        <v/>
      </c>
      <c r="K143" t="str" cm="1">
        <f t="array" ref="K1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43" t="str" cm="1">
        <f t="array" ref="L1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43" t="str">
        <f>_xlfn.TEXTJOIN("#",TRUE,PartList[[#This Row],[ASSLY MARK]],PartList[[#This Row],[BOX NO]],PartList[[#This Row],[In/Out]],PartList[[#This Row],[O1-Grid]])</f>
        <v>3BE15#Box1#InB</v>
      </c>
      <c r="N143" t="str">
        <f>_xlfn.TEXTJOIN("#",TRUE,PartList[[#This Row],[ASSLY MARK]],PartList[[#This Row],[BOX NO]],PartList[[#This Row],[In/Out]],PartList[[#This Row],[O2-Grid]])</f>
        <v>3BE15#Box1#InB</v>
      </c>
      <c r="O143">
        <f>IF(PartList[[#This Row],[Unique]]="Yes",_xlfn.XLOOKUP(PartList[[#This Row],[ASSLY MARK]],FilteredPL!A:A,FilteredPL!B:B,0,0),0)</f>
        <v>0</v>
      </c>
      <c r="P143">
        <f>_xlfn.XLOOKUP(PartList[[#This Row],[ASSLY MARK]],MasterPL[SplitMarkNo],MasterPL[BILL WT.(KG)],0,0)</f>
        <v>0</v>
      </c>
      <c r="Q143" cm="1">
        <f t="array" ref="Q14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43" s="2" t="str">
        <v>3HB09</v>
      </c>
      <c r="AB143" s="2">
        <f>SUMIF(PartList[ASSLY MARK],AA143,PartList[Avail. Qty])</f>
        <v>0</v>
      </c>
    </row>
    <row r="144" spans="1:28" x14ac:dyDescent="0.25">
      <c r="A144">
        <v>369</v>
      </c>
      <c r="B144" t="s">
        <v>223</v>
      </c>
      <c r="C144" t="s">
        <v>515</v>
      </c>
      <c r="D144" t="s">
        <v>224</v>
      </c>
      <c r="E144" t="s">
        <v>5</v>
      </c>
      <c r="F144" t="str" cm="1">
        <f t="array" ref="F144">IF(SUM(IF(PartList[ASSLY MARK]=PartList[[#This Row],[ASSLY MARK]],1,0))&gt;1,"No","Yes")</f>
        <v>Yes</v>
      </c>
      <c r="G144" t="str" cm="1">
        <f t="array" ref="G144">_xlfn.TEXTJOIN("_",TRUE,TRIM(_xlfn.TEXTSPLIT(PartList[[#This Row],[GRID LOCATION]],{"PR01","/","-"})))</f>
        <v>10_11_A_B</v>
      </c>
      <c r="H144" t="str" cm="1">
        <f t="array" ref="H14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44" cm="1">
        <f t="array" ref="I14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44" t="str">
        <f>IF(IFERROR(SEARCH("&gt;",PartList[[#This Row],[ID]]),0),"O",IF(IFERROR(SEARCH("&lt;",PartList[[#This Row],[ID]]),0),"I",""))</f>
        <v/>
      </c>
      <c r="K144" t="str" cm="1">
        <f t="array" ref="K1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44" t="str" cm="1">
        <f t="array" ref="L1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44" t="str">
        <f>_xlfn.TEXTJOIN("#",TRUE,PartList[[#This Row],[ASSLY MARK]],PartList[[#This Row],[BOX NO]],PartList[[#This Row],[In/Out]],PartList[[#This Row],[O1-Grid]])</f>
        <v>3BE16#Box1#InB</v>
      </c>
      <c r="N144" t="str">
        <f>_xlfn.TEXTJOIN("#",TRUE,PartList[[#This Row],[ASSLY MARK]],PartList[[#This Row],[BOX NO]],PartList[[#This Row],[In/Out]],PartList[[#This Row],[O2-Grid]])</f>
        <v>3BE16#Box1#InB</v>
      </c>
      <c r="O144">
        <f>IF(PartList[[#This Row],[Unique]]="Yes",_xlfn.XLOOKUP(PartList[[#This Row],[ASSLY MARK]],FilteredPL!A:A,FilteredPL!B:B,0,0),0)</f>
        <v>0</v>
      </c>
      <c r="P144">
        <f>_xlfn.XLOOKUP(PartList[[#This Row],[ASSLY MARK]],MasterPL[SplitMarkNo],MasterPL[BILL WT.(KG)],0,0)</f>
        <v>0</v>
      </c>
      <c r="Q144" cm="1">
        <f t="array" ref="Q14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44" s="2" t="str">
        <v>3HB10</v>
      </c>
      <c r="AB144" s="2">
        <f>SUMIF(PartList[ASSLY MARK],AA144,PartList[Avail. Qty])</f>
        <v>0</v>
      </c>
    </row>
    <row r="145" spans="1:28" x14ac:dyDescent="0.25">
      <c r="A145">
        <v>370</v>
      </c>
      <c r="B145" t="s">
        <v>225</v>
      </c>
      <c r="C145" t="s">
        <v>514</v>
      </c>
      <c r="D145" t="s">
        <v>224</v>
      </c>
      <c r="E145" t="s">
        <v>5</v>
      </c>
      <c r="F145" t="str" cm="1">
        <f t="array" ref="F145">IF(SUM(IF(PartList[ASSLY MARK]=PartList[[#This Row],[ASSLY MARK]],1,0))&gt;1,"No","Yes")</f>
        <v>Yes</v>
      </c>
      <c r="G145" t="str" cm="1">
        <f t="array" ref="G145">_xlfn.TEXTJOIN("_",TRUE,TRIM(_xlfn.TEXTSPLIT(PartList[[#This Row],[GRID LOCATION]],{"PR01","/","-"})))</f>
        <v>10_11_A</v>
      </c>
      <c r="H145" t="str" cm="1">
        <f t="array" ref="H14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45" cm="1">
        <f t="array" ref="I14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45" t="str">
        <f>IF(IFERROR(SEARCH("&gt;",PartList[[#This Row],[ID]]),0),"O",IF(IFERROR(SEARCH("&lt;",PartList[[#This Row],[ID]]),0),"I",""))</f>
        <v/>
      </c>
      <c r="K145" t="str" cm="1">
        <f t="array" ref="K1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45" t="str" cm="1">
        <f t="array" ref="L1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145" t="str">
        <f>_xlfn.TEXTJOIN("#",TRUE,PartList[[#This Row],[ASSLY MARK]],PartList[[#This Row],[BOX NO]],PartList[[#This Row],[In/Out]],PartList[[#This Row],[O1-Grid]])</f>
        <v>3BE17#Box1#InB</v>
      </c>
      <c r="N145" t="str">
        <f>_xlfn.TEXTJOIN("#",TRUE,PartList[[#This Row],[ASSLY MARK]],PartList[[#This Row],[BOX NO]],PartList[[#This Row],[In/Out]],PartList[[#This Row],[O2-Grid]])</f>
        <v>3BE17#Box1#10_11_A</v>
      </c>
      <c r="O145">
        <f>IF(PartList[[#This Row],[Unique]]="Yes",_xlfn.XLOOKUP(PartList[[#This Row],[ASSLY MARK]],FilteredPL!A:A,FilteredPL!B:B,0,0),0)</f>
        <v>0</v>
      </c>
      <c r="P145">
        <f>_xlfn.XLOOKUP(PartList[[#This Row],[ASSLY MARK]],MasterPL[SplitMarkNo],MasterPL[BILL WT.(KG)],0,0)</f>
        <v>0</v>
      </c>
      <c r="Q145" cm="1">
        <f t="array" ref="Q14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45" s="2" t="str">
        <v>3HB11</v>
      </c>
      <c r="AB145" s="2">
        <f>SUMIF(PartList[ASSLY MARK],AA145,PartList[Avail. Qty])</f>
        <v>0</v>
      </c>
    </row>
    <row r="146" spans="1:28" x14ac:dyDescent="0.25">
      <c r="A146">
        <v>371</v>
      </c>
      <c r="B146" t="s">
        <v>227</v>
      </c>
      <c r="C146" t="s">
        <v>516</v>
      </c>
      <c r="D146" t="s">
        <v>224</v>
      </c>
      <c r="E146" t="s">
        <v>5</v>
      </c>
      <c r="F146" t="str" cm="1">
        <f t="array" ref="F146">IF(SUM(IF(PartList[ASSLY MARK]=PartList[[#This Row],[ASSLY MARK]],1,0))&gt;1,"No","Yes")</f>
        <v>Yes</v>
      </c>
      <c r="G146" t="str" cm="1">
        <f t="array" ref="G146">_xlfn.TEXTJOIN("_",TRUE,TRIM(_xlfn.TEXTSPLIT(PartList[[#This Row],[GRID LOCATION]],{"PR01","/","-"})))</f>
        <v>10_11_B</v>
      </c>
      <c r="H146" t="str" cm="1">
        <f t="array" ref="H14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46" cm="1">
        <f t="array" ref="I14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46" t="str">
        <f>IF(IFERROR(SEARCH("&gt;",PartList[[#This Row],[ID]]),0),"O",IF(IFERROR(SEARCH("&lt;",PartList[[#This Row],[ID]]),0),"I",""))</f>
        <v/>
      </c>
      <c r="K146" t="str" cm="1">
        <f t="array" ref="K1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46" t="str" cm="1">
        <f t="array" ref="L1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146" t="str">
        <f>_xlfn.TEXTJOIN("#",TRUE,PartList[[#This Row],[ASSLY MARK]],PartList[[#This Row],[BOX NO]],PartList[[#This Row],[In/Out]],PartList[[#This Row],[O1-Grid]])</f>
        <v>3BE18#Box1#InB</v>
      </c>
      <c r="N146" t="str">
        <f>_xlfn.TEXTJOIN("#",TRUE,PartList[[#This Row],[ASSLY MARK]],PartList[[#This Row],[BOX NO]],PartList[[#This Row],[In/Out]],PartList[[#This Row],[O2-Grid]])</f>
        <v>3BE18#Box1#10_11_B</v>
      </c>
      <c r="O146">
        <f>IF(PartList[[#This Row],[Unique]]="Yes",_xlfn.XLOOKUP(PartList[[#This Row],[ASSLY MARK]],FilteredPL!A:A,FilteredPL!B:B,0,0),0)</f>
        <v>0</v>
      </c>
      <c r="P146">
        <f>_xlfn.XLOOKUP(PartList[[#This Row],[ASSLY MARK]],MasterPL[SplitMarkNo],MasterPL[BILL WT.(KG)],0,0)</f>
        <v>0</v>
      </c>
      <c r="Q146" cm="1">
        <f t="array" ref="Q14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46" s="2" t="str">
        <v>3HB12</v>
      </c>
      <c r="AB146" s="2">
        <f>SUMIF(PartList[ASSLY MARK],AA146,PartList[Avail. Qty])</f>
        <v>0</v>
      </c>
    </row>
    <row r="147" spans="1:28" x14ac:dyDescent="0.25">
      <c r="A147">
        <v>372</v>
      </c>
      <c r="B147" t="s">
        <v>228</v>
      </c>
      <c r="C147" t="s">
        <v>512</v>
      </c>
      <c r="D147" t="s">
        <v>224</v>
      </c>
      <c r="E147" t="s">
        <v>5</v>
      </c>
      <c r="F147" t="str" cm="1">
        <f t="array" ref="F147">IF(SUM(IF(PartList[ASSLY MARK]=PartList[[#This Row],[ASSLY MARK]],1,0))&gt;1,"No","Yes")</f>
        <v>Yes</v>
      </c>
      <c r="G147" t="str" cm="1">
        <f t="array" ref="G147">_xlfn.TEXTJOIN("_",TRUE,TRIM(_xlfn.TEXTSPLIT(PartList[[#This Row],[GRID LOCATION]],{"PR01","/","-"})))</f>
        <v>10_11_A'_A</v>
      </c>
      <c r="H147" t="str" cm="1">
        <f t="array" ref="H14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147" cm="1">
        <f t="array" ref="I14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47" t="str">
        <f>IF(IFERROR(SEARCH("&gt;",PartList[[#This Row],[ID]]),0),"O",IF(IFERROR(SEARCH("&lt;",PartList[[#This Row],[ID]]),0),"I",""))</f>
        <v/>
      </c>
      <c r="K147" t="str" cm="1">
        <f t="array" ref="K1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47" t="str" cm="1">
        <f t="array" ref="L1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47" t="str">
        <f>_xlfn.TEXTJOIN("#",TRUE,PartList[[#This Row],[ASSLY MARK]],PartList[[#This Row],[BOX NO]],PartList[[#This Row],[In/Out]],PartList[[#This Row],[O1-Grid]])</f>
        <v>3BE19#Box1_Box4#InBB</v>
      </c>
      <c r="N147" t="str">
        <f>_xlfn.TEXTJOIN("#",TRUE,PartList[[#This Row],[ASSLY MARK]],PartList[[#This Row],[BOX NO]],PartList[[#This Row],[In/Out]],PartList[[#This Row],[O2-Grid]])</f>
        <v>3BE19#Box1_Box4#InBB</v>
      </c>
      <c r="O147">
        <f>IF(PartList[[#This Row],[Unique]]="Yes",_xlfn.XLOOKUP(PartList[[#This Row],[ASSLY MARK]],FilteredPL!A:A,FilteredPL!B:B,0,0),0)</f>
        <v>0</v>
      </c>
      <c r="P147">
        <f>_xlfn.XLOOKUP(PartList[[#This Row],[ASSLY MARK]],MasterPL[SplitMarkNo],MasterPL[BILL WT.(KG)],0,0)</f>
        <v>0</v>
      </c>
      <c r="Q147" cm="1">
        <f t="array" ref="Q14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47" s="2" t="str">
        <v>3HB13</v>
      </c>
      <c r="AB147" s="2">
        <f>SUMIF(PartList[ASSLY MARK],AA147,PartList[Avail. Qty])</f>
        <v>0</v>
      </c>
    </row>
    <row r="148" spans="1:28" x14ac:dyDescent="0.25">
      <c r="A148">
        <v>373</v>
      </c>
      <c r="B148" t="s">
        <v>229</v>
      </c>
      <c r="C148" t="s">
        <v>515</v>
      </c>
      <c r="D148" t="s">
        <v>224</v>
      </c>
      <c r="E148" t="s">
        <v>5</v>
      </c>
      <c r="F148" t="str" cm="1">
        <f t="array" ref="F148">IF(SUM(IF(PartList[ASSLY MARK]=PartList[[#This Row],[ASSLY MARK]],1,0))&gt;1,"No","Yes")</f>
        <v>Yes</v>
      </c>
      <c r="G148" t="str" cm="1">
        <f t="array" ref="G148">_xlfn.TEXTJOIN("_",TRUE,TRIM(_xlfn.TEXTSPLIT(PartList[[#This Row],[GRID LOCATION]],{"PR01","/","-"})))</f>
        <v>10_11_A_B</v>
      </c>
      <c r="H148" t="str" cm="1">
        <f t="array" ref="H14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48" cm="1">
        <f t="array" ref="I14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48" t="str">
        <f>IF(IFERROR(SEARCH("&gt;",PartList[[#This Row],[ID]]),0),"O",IF(IFERROR(SEARCH("&lt;",PartList[[#This Row],[ID]]),0),"I",""))</f>
        <v/>
      </c>
      <c r="K148" t="str" cm="1">
        <f t="array" ref="K1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48" t="str" cm="1">
        <f t="array" ref="L1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48" t="str">
        <f>_xlfn.TEXTJOIN("#",TRUE,PartList[[#This Row],[ASSLY MARK]],PartList[[#This Row],[BOX NO]],PartList[[#This Row],[In/Out]],PartList[[#This Row],[O1-Grid]])</f>
        <v>3BE20#Box1#InB</v>
      </c>
      <c r="N148" t="str">
        <f>_xlfn.TEXTJOIN("#",TRUE,PartList[[#This Row],[ASSLY MARK]],PartList[[#This Row],[BOX NO]],PartList[[#This Row],[In/Out]],PartList[[#This Row],[O2-Grid]])</f>
        <v>3BE20#Box1#InB</v>
      </c>
      <c r="O148">
        <f>IF(PartList[[#This Row],[Unique]]="Yes",_xlfn.XLOOKUP(PartList[[#This Row],[ASSLY MARK]],FilteredPL!A:A,FilteredPL!B:B,0,0),0)</f>
        <v>0</v>
      </c>
      <c r="P148">
        <f>_xlfn.XLOOKUP(PartList[[#This Row],[ASSLY MARK]],MasterPL[SplitMarkNo],MasterPL[BILL WT.(KG)],0,0)</f>
        <v>0</v>
      </c>
      <c r="Q148" cm="1">
        <f t="array" ref="Q14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48" s="2" t="str">
        <v>3HB14</v>
      </c>
      <c r="AB148" s="2">
        <f>SUMIF(PartList[ASSLY MARK],AA148,PartList[Avail. Qty])</f>
        <v>0</v>
      </c>
    </row>
    <row r="149" spans="1:28" x14ac:dyDescent="0.25">
      <c r="A149">
        <v>374</v>
      </c>
      <c r="B149" t="s">
        <v>230</v>
      </c>
      <c r="C149" t="s">
        <v>513</v>
      </c>
      <c r="D149" t="s">
        <v>224</v>
      </c>
      <c r="E149" t="s">
        <v>5</v>
      </c>
      <c r="F149" t="str" cm="1">
        <f t="array" ref="F149">IF(SUM(IF(PartList[ASSLY MARK]=PartList[[#This Row],[ASSLY MARK]],1,0))&gt;1,"No","Yes")</f>
        <v>Yes</v>
      </c>
      <c r="G149" t="str" cm="1">
        <f t="array" ref="G149">_xlfn.TEXTJOIN("_",TRUE,TRIM(_xlfn.TEXTSPLIT(PartList[[#This Row],[GRID LOCATION]],{"PR01","/","-"})))</f>
        <v>10_11_B&gt;</v>
      </c>
      <c r="H149" t="str" cm="1">
        <f t="array" ref="H14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49" cm="1">
        <f t="array" ref="I14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49" t="str">
        <f>IF(IFERROR(SEARCH("&gt;",PartList[[#This Row],[ID]]),0),"O",IF(IFERROR(SEARCH("&lt;",PartList[[#This Row],[ID]]),0),"I",""))</f>
        <v>O</v>
      </c>
      <c r="K149" t="str" cm="1">
        <f t="array" ref="K1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49" t="str" cm="1">
        <f t="array" ref="L1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49" t="str">
        <f>_xlfn.TEXTJOIN("#",TRUE,PartList[[#This Row],[ASSLY MARK]],PartList[[#This Row],[BOX NO]],PartList[[#This Row],[In/Out]],PartList[[#This Row],[O1-Grid]])</f>
        <v>3BE21#Box1#O</v>
      </c>
      <c r="N149" t="str">
        <f>_xlfn.TEXTJOIN("#",TRUE,PartList[[#This Row],[ASSLY MARK]],PartList[[#This Row],[BOX NO]],PartList[[#This Row],[In/Out]],PartList[[#This Row],[O2-Grid]])</f>
        <v>3BE21#Box1#O</v>
      </c>
      <c r="O149">
        <f>IF(PartList[[#This Row],[Unique]]="Yes",_xlfn.XLOOKUP(PartList[[#This Row],[ASSLY MARK]],FilteredPL!A:A,FilteredPL!B:B,0,0),0)</f>
        <v>0</v>
      </c>
      <c r="P149">
        <f>_xlfn.XLOOKUP(PartList[[#This Row],[ASSLY MARK]],MasterPL[SplitMarkNo],MasterPL[BILL WT.(KG)],0,0)</f>
        <v>0</v>
      </c>
      <c r="Q149" cm="1">
        <f t="array" ref="Q14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49" s="2" t="str">
        <v>3HB15</v>
      </c>
      <c r="AB149" s="2">
        <f>SUMIF(PartList[ASSLY MARK],AA149,PartList[Avail. Qty])</f>
        <v>0</v>
      </c>
    </row>
    <row r="150" spans="1:28" x14ac:dyDescent="0.25">
      <c r="A150">
        <v>375</v>
      </c>
      <c r="B150" t="s">
        <v>231</v>
      </c>
      <c r="C150" t="s">
        <v>515</v>
      </c>
      <c r="D150" t="s">
        <v>726</v>
      </c>
      <c r="E150" t="s">
        <v>5</v>
      </c>
      <c r="F150" t="str" cm="1">
        <f t="array" ref="F150">IF(SUM(IF(PartList[ASSLY MARK]=PartList[[#This Row],[ASSLY MARK]],1,0))&gt;1,"No","Yes")</f>
        <v>Yes</v>
      </c>
      <c r="G150" t="str" cm="1">
        <f t="array" ref="G150">_xlfn.TEXTJOIN("_",TRUE,TRIM(_xlfn.TEXTSPLIT(PartList[[#This Row],[GRID LOCATION]],{"PR01","/","-"})))</f>
        <v>10_11_A_B</v>
      </c>
      <c r="H150" t="str" cm="1">
        <f t="array" ref="H15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50" cm="1">
        <f t="array" ref="I15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50" t="str">
        <f>IF(IFERROR(SEARCH("&gt;",PartList[[#This Row],[ID]]),0),"O",IF(IFERROR(SEARCH("&lt;",PartList[[#This Row],[ID]]),0),"I",""))</f>
        <v/>
      </c>
      <c r="K150" t="str" cm="1">
        <f t="array" ref="K1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50" t="str" cm="1">
        <f t="array" ref="L1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50" t="str">
        <f>_xlfn.TEXTJOIN("#",TRUE,PartList[[#This Row],[ASSLY MARK]],PartList[[#This Row],[BOX NO]],PartList[[#This Row],[In/Out]],PartList[[#This Row],[O1-Grid]])</f>
        <v>3BE22#Box1#InB</v>
      </c>
      <c r="N150" t="str">
        <f>_xlfn.TEXTJOIN("#",TRUE,PartList[[#This Row],[ASSLY MARK]],PartList[[#This Row],[BOX NO]],PartList[[#This Row],[In/Out]],PartList[[#This Row],[O2-Grid]])</f>
        <v>3BE22#Box1#InB</v>
      </c>
      <c r="O150">
        <f>IF(PartList[[#This Row],[Unique]]="Yes",_xlfn.XLOOKUP(PartList[[#This Row],[ASSLY MARK]],FilteredPL!A:A,FilteredPL!B:B,0,0),0)</f>
        <v>0</v>
      </c>
      <c r="P150">
        <f>_xlfn.XLOOKUP(PartList[[#This Row],[ASSLY MARK]],MasterPL[SplitMarkNo],MasterPL[BILL WT.(KG)],0,0)</f>
        <v>0</v>
      </c>
      <c r="Q150" cm="1">
        <f t="array" ref="Q15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50" s="2" t="str">
        <v>3HB16</v>
      </c>
      <c r="AB150" s="2">
        <f>SUMIF(PartList[ASSLY MARK],AA150,PartList[Avail. Qty])</f>
        <v>0</v>
      </c>
    </row>
    <row r="151" spans="1:28" x14ac:dyDescent="0.25">
      <c r="A151">
        <v>376</v>
      </c>
      <c r="B151" t="s">
        <v>232</v>
      </c>
      <c r="C151" t="s">
        <v>513</v>
      </c>
      <c r="D151" t="s">
        <v>224</v>
      </c>
      <c r="E151" t="s">
        <v>5</v>
      </c>
      <c r="F151" t="str" cm="1">
        <f t="array" ref="F151">IF(SUM(IF(PartList[ASSLY MARK]=PartList[[#This Row],[ASSLY MARK]],1,0))&gt;1,"No","Yes")</f>
        <v>Yes</v>
      </c>
      <c r="G151" t="str" cm="1">
        <f t="array" ref="G151">_xlfn.TEXTJOIN("_",TRUE,TRIM(_xlfn.TEXTSPLIT(PartList[[#This Row],[GRID LOCATION]],{"PR01","/","-"})))</f>
        <v>10_11_B&gt;</v>
      </c>
      <c r="H151" t="str" cm="1">
        <f t="array" ref="H15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51" cm="1">
        <f t="array" ref="I15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51" t="str">
        <f>IF(IFERROR(SEARCH("&gt;",PartList[[#This Row],[ID]]),0),"O",IF(IFERROR(SEARCH("&lt;",PartList[[#This Row],[ID]]),0),"I",""))</f>
        <v>O</v>
      </c>
      <c r="K151" t="str" cm="1">
        <f t="array" ref="K1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51" t="str" cm="1">
        <f t="array" ref="L1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51" t="str">
        <f>_xlfn.TEXTJOIN("#",TRUE,PartList[[#This Row],[ASSLY MARK]],PartList[[#This Row],[BOX NO]],PartList[[#This Row],[In/Out]],PartList[[#This Row],[O1-Grid]])</f>
        <v>3BE23#Box1#O</v>
      </c>
      <c r="N151" t="str">
        <f>_xlfn.TEXTJOIN("#",TRUE,PartList[[#This Row],[ASSLY MARK]],PartList[[#This Row],[BOX NO]],PartList[[#This Row],[In/Out]],PartList[[#This Row],[O2-Grid]])</f>
        <v>3BE23#Box1#O</v>
      </c>
      <c r="O151">
        <f>IF(PartList[[#This Row],[Unique]]="Yes",_xlfn.XLOOKUP(PartList[[#This Row],[ASSLY MARK]],FilteredPL!A:A,FilteredPL!B:B,0,0),0)</f>
        <v>0</v>
      </c>
      <c r="P151">
        <f>_xlfn.XLOOKUP(PartList[[#This Row],[ASSLY MARK]],MasterPL[SplitMarkNo],MasterPL[BILL WT.(KG)],0,0)</f>
        <v>0</v>
      </c>
      <c r="Q151" cm="1">
        <f t="array" ref="Q15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51" s="2" t="str">
        <v>3HB17</v>
      </c>
      <c r="AB151" s="2">
        <f>SUMIF(PartList[ASSLY MARK],AA151,PartList[Avail. Qty])</f>
        <v>0</v>
      </c>
    </row>
    <row r="152" spans="1:28" x14ac:dyDescent="0.25">
      <c r="A152">
        <v>377</v>
      </c>
      <c r="B152" t="s">
        <v>233</v>
      </c>
      <c r="C152" t="s">
        <v>513</v>
      </c>
      <c r="D152" t="s">
        <v>224</v>
      </c>
      <c r="E152" t="s">
        <v>5</v>
      </c>
      <c r="F152" t="str" cm="1">
        <f t="array" ref="F152">IF(SUM(IF(PartList[ASSLY MARK]=PartList[[#This Row],[ASSLY MARK]],1,0))&gt;1,"No","Yes")</f>
        <v>Yes</v>
      </c>
      <c r="G152" t="str" cm="1">
        <f t="array" ref="G152">_xlfn.TEXTJOIN("_",TRUE,TRIM(_xlfn.TEXTSPLIT(PartList[[#This Row],[GRID LOCATION]],{"PR01","/","-"})))</f>
        <v>10_11_B&gt;</v>
      </c>
      <c r="H152" t="str" cm="1">
        <f t="array" ref="H15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52" cm="1">
        <f t="array" ref="I15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52" t="str">
        <f>IF(IFERROR(SEARCH("&gt;",PartList[[#This Row],[ID]]),0),"O",IF(IFERROR(SEARCH("&lt;",PartList[[#This Row],[ID]]),0),"I",""))</f>
        <v>O</v>
      </c>
      <c r="K152" t="str" cm="1">
        <f t="array" ref="K1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52" t="str" cm="1">
        <f t="array" ref="L1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52" t="str">
        <f>_xlfn.TEXTJOIN("#",TRUE,PartList[[#This Row],[ASSLY MARK]],PartList[[#This Row],[BOX NO]],PartList[[#This Row],[In/Out]],PartList[[#This Row],[O1-Grid]])</f>
        <v>3BE24#Box1#O</v>
      </c>
      <c r="N152" t="str">
        <f>_xlfn.TEXTJOIN("#",TRUE,PartList[[#This Row],[ASSLY MARK]],PartList[[#This Row],[BOX NO]],PartList[[#This Row],[In/Out]],PartList[[#This Row],[O2-Grid]])</f>
        <v>3BE24#Box1#O</v>
      </c>
      <c r="O152">
        <f>IF(PartList[[#This Row],[Unique]]="Yes",_xlfn.XLOOKUP(PartList[[#This Row],[ASSLY MARK]],FilteredPL!A:A,FilteredPL!B:B,0,0),0)</f>
        <v>0</v>
      </c>
      <c r="P152">
        <f>_xlfn.XLOOKUP(PartList[[#This Row],[ASSLY MARK]],MasterPL[SplitMarkNo],MasterPL[BILL WT.(KG)],0,0)</f>
        <v>0</v>
      </c>
      <c r="Q152" cm="1">
        <f t="array" ref="Q15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52" s="2" t="str">
        <v>3SC01</v>
      </c>
      <c r="AB152" s="2">
        <f>SUMIF(PartList[ASSLY MARK],AA152,PartList[Avail. Qty])</f>
        <v>0</v>
      </c>
    </row>
    <row r="153" spans="1:28" x14ac:dyDescent="0.25">
      <c r="A153">
        <v>378</v>
      </c>
      <c r="B153" t="s">
        <v>234</v>
      </c>
      <c r="C153" t="s">
        <v>528</v>
      </c>
      <c r="D153" t="s">
        <v>224</v>
      </c>
      <c r="E153" t="s">
        <v>5</v>
      </c>
      <c r="F153" t="str" cm="1">
        <f t="array" ref="F153">IF(SUM(IF(PartList[ASSLY MARK]=PartList[[#This Row],[ASSLY MARK]],1,0))&gt;1,"No","Yes")</f>
        <v>Yes</v>
      </c>
      <c r="G153" t="str" cm="1">
        <f t="array" ref="G153">_xlfn.TEXTJOIN("_",TRUE,TRIM(_xlfn.TEXTSPLIT(PartList[[#This Row],[GRID LOCATION]],{"PR01","/","-"})))</f>
        <v>11_A'_A</v>
      </c>
      <c r="H153" t="str" cm="1">
        <f t="array" ref="H15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153" cm="1">
        <f t="array" ref="I15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53" t="str">
        <f>IF(IFERROR(SEARCH("&gt;",PartList[[#This Row],[ID]]),0),"O",IF(IFERROR(SEARCH("&lt;",PartList[[#This Row],[ID]]),0),"I",""))</f>
        <v/>
      </c>
      <c r="K153" t="str" cm="1">
        <f t="array" ref="K1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53" t="str" cm="1">
        <f t="array" ref="L1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53" t="str">
        <f>_xlfn.TEXTJOIN("#",TRUE,PartList[[#This Row],[ASSLY MARK]],PartList[[#This Row],[BOX NO]],PartList[[#This Row],[In/Out]],PartList[[#This Row],[O1-Grid]])</f>
        <v>3BE25#Box1_Box4#InBB</v>
      </c>
      <c r="N153" t="str">
        <f>_xlfn.TEXTJOIN("#",TRUE,PartList[[#This Row],[ASSLY MARK]],PartList[[#This Row],[BOX NO]],PartList[[#This Row],[In/Out]],PartList[[#This Row],[O2-Grid]])</f>
        <v>3BE25#Box1_Box4#InBB</v>
      </c>
      <c r="O153">
        <f>IF(PartList[[#This Row],[Unique]]="Yes",_xlfn.XLOOKUP(PartList[[#This Row],[ASSLY MARK]],FilteredPL!A:A,FilteredPL!B:B,0,0),0)</f>
        <v>0</v>
      </c>
      <c r="P153">
        <f>_xlfn.XLOOKUP(PartList[[#This Row],[ASSLY MARK]],MasterPL[SplitMarkNo],MasterPL[BILL WT.(KG)],0,0)</f>
        <v>0</v>
      </c>
      <c r="Q153" cm="1">
        <f t="array" ref="Q15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53" s="2" t="str">
        <v>3SC02</v>
      </c>
      <c r="AB153" s="2">
        <f>SUMIF(PartList[ASSLY MARK],AA153,PartList[Avail. Qty])</f>
        <v>0</v>
      </c>
    </row>
    <row r="154" spans="1:28" x14ac:dyDescent="0.25">
      <c r="A154">
        <v>379</v>
      </c>
      <c r="B154" t="s">
        <v>235</v>
      </c>
      <c r="C154" t="s">
        <v>529</v>
      </c>
      <c r="D154" t="s">
        <v>224</v>
      </c>
      <c r="E154" t="s">
        <v>5</v>
      </c>
      <c r="F154" t="str" cm="1">
        <f t="array" ref="F154">IF(SUM(IF(PartList[ASSLY MARK]=PartList[[#This Row],[ASSLY MARK]],1,0))&gt;1,"No","Yes")</f>
        <v>Yes</v>
      </c>
      <c r="G154" t="str" cm="1">
        <f t="array" ref="G154">_xlfn.TEXTJOIN("_",TRUE,TRIM(_xlfn.TEXTSPLIT(PartList[[#This Row],[GRID LOCATION]],{"PR01","/","-"})))</f>
        <v>11_A_B</v>
      </c>
      <c r="H154" t="str" cm="1">
        <f t="array" ref="H15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54" cm="1">
        <f t="array" ref="I15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54" t="str">
        <f>IF(IFERROR(SEARCH("&gt;",PartList[[#This Row],[ID]]),0),"O",IF(IFERROR(SEARCH("&lt;",PartList[[#This Row],[ID]]),0),"I",""))</f>
        <v/>
      </c>
      <c r="K154" t="str" cm="1">
        <f t="array" ref="K1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11_A_B</v>
      </c>
      <c r="L154" t="str" cm="1">
        <f t="array" ref="L1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54" t="str">
        <f>_xlfn.TEXTJOIN("#",TRUE,PartList[[#This Row],[ASSLY MARK]],PartList[[#This Row],[BOX NO]],PartList[[#This Row],[In/Out]],PartList[[#This Row],[O1-Grid]])</f>
        <v>3BE26#Box1#11_A_B</v>
      </c>
      <c r="N154" t="str">
        <f>_xlfn.TEXTJOIN("#",TRUE,PartList[[#This Row],[ASSLY MARK]],PartList[[#This Row],[BOX NO]],PartList[[#This Row],[In/Out]],PartList[[#This Row],[O2-Grid]])</f>
        <v>3BE26#Box1#InB</v>
      </c>
      <c r="O154">
        <f>IF(PartList[[#This Row],[Unique]]="Yes",_xlfn.XLOOKUP(PartList[[#This Row],[ASSLY MARK]],FilteredPL!A:A,FilteredPL!B:B,0,0),0)</f>
        <v>0</v>
      </c>
      <c r="P154">
        <f>_xlfn.XLOOKUP(PartList[[#This Row],[ASSLY MARK]],MasterPL[SplitMarkNo],MasterPL[BILL WT.(KG)],0,0)</f>
        <v>0</v>
      </c>
      <c r="Q154" cm="1">
        <f t="array" ref="Q15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54" s="2" t="str">
        <v>3SC03</v>
      </c>
      <c r="AB154" s="2">
        <f>SUMIF(PartList[ASSLY MARK],AA154,PartList[Avail. Qty])</f>
        <v>0</v>
      </c>
    </row>
    <row r="155" spans="1:28" x14ac:dyDescent="0.25">
      <c r="A155">
        <v>380</v>
      </c>
      <c r="B155" t="s">
        <v>236</v>
      </c>
      <c r="C155" t="s">
        <v>530</v>
      </c>
      <c r="D155" t="s">
        <v>224</v>
      </c>
      <c r="E155" t="s">
        <v>5</v>
      </c>
      <c r="F155" t="str" cm="1">
        <f t="array" ref="F155">IF(SUM(IF(PartList[ASSLY MARK]=PartList[[#This Row],[ASSLY MARK]],1,0))&gt;1,"No","Yes")</f>
        <v>Yes</v>
      </c>
      <c r="G155" t="str" cm="1">
        <f t="array" ref="G155">_xlfn.TEXTJOIN("_",TRUE,TRIM(_xlfn.TEXTSPLIT(PartList[[#This Row],[GRID LOCATION]],{"PR01","/","-"})))</f>
        <v>11_B&gt;</v>
      </c>
      <c r="H155" t="str" cm="1">
        <f t="array" ref="H15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55" cm="1">
        <f t="array" ref="I15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55" t="str">
        <f>IF(IFERROR(SEARCH("&gt;",PartList[[#This Row],[ID]]),0),"O",IF(IFERROR(SEARCH("&lt;",PartList[[#This Row],[ID]]),0),"I",""))</f>
        <v>O</v>
      </c>
      <c r="K155" t="str" cm="1">
        <f t="array" ref="K1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55" t="str" cm="1">
        <f t="array" ref="L1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55" t="str">
        <f>_xlfn.TEXTJOIN("#",TRUE,PartList[[#This Row],[ASSLY MARK]],PartList[[#This Row],[BOX NO]],PartList[[#This Row],[In/Out]],PartList[[#This Row],[O1-Grid]])</f>
        <v>3BE27#Box1#O</v>
      </c>
      <c r="N155" t="str">
        <f>_xlfn.TEXTJOIN("#",TRUE,PartList[[#This Row],[ASSLY MARK]],PartList[[#This Row],[BOX NO]],PartList[[#This Row],[In/Out]],PartList[[#This Row],[O2-Grid]])</f>
        <v>3BE27#Box1#O</v>
      </c>
      <c r="O155">
        <f>IF(PartList[[#This Row],[Unique]]="Yes",_xlfn.XLOOKUP(PartList[[#This Row],[ASSLY MARK]],FilteredPL!A:A,FilteredPL!B:B,0,0),0)</f>
        <v>0</v>
      </c>
      <c r="P155">
        <f>_xlfn.XLOOKUP(PartList[[#This Row],[ASSLY MARK]],MasterPL[SplitMarkNo],MasterPL[BILL WT.(KG)],0,0)</f>
        <v>0</v>
      </c>
      <c r="Q155" cm="1">
        <f t="array" ref="Q15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55" s="2" t="str">
        <v>3SC04</v>
      </c>
      <c r="AB155" s="2">
        <f>SUMIF(PartList[ASSLY MARK],AA155,PartList[Avail. Qty])</f>
        <v>0</v>
      </c>
    </row>
    <row r="156" spans="1:28" x14ac:dyDescent="0.25">
      <c r="A156">
        <v>381</v>
      </c>
      <c r="B156" t="s">
        <v>237</v>
      </c>
      <c r="C156" t="s">
        <v>531</v>
      </c>
      <c r="D156" t="s">
        <v>224</v>
      </c>
      <c r="E156" t="s">
        <v>5</v>
      </c>
      <c r="F156" t="str" cm="1">
        <f t="array" ref="F156">IF(SUM(IF(PartList[ASSLY MARK]=PartList[[#This Row],[ASSLY MARK]],1,0))&gt;1,"No","Yes")</f>
        <v>Yes</v>
      </c>
      <c r="G156" t="str" cm="1">
        <f t="array" ref="G156">_xlfn.TEXTJOIN("_",TRUE,TRIM(_xlfn.TEXTSPLIT(PartList[[#This Row],[GRID LOCATION]],{"PR01","/","-"})))</f>
        <v>11_12_B&gt;</v>
      </c>
      <c r="H156" t="str" cm="1">
        <f t="array" ref="H15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56" cm="1">
        <f t="array" ref="I15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56" t="str">
        <f>IF(IFERROR(SEARCH("&gt;",PartList[[#This Row],[ID]]),0),"O",IF(IFERROR(SEARCH("&lt;",PartList[[#This Row],[ID]]),0),"I",""))</f>
        <v>O</v>
      </c>
      <c r="K156" t="str" cm="1">
        <f t="array" ref="K1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56" t="str" cm="1">
        <f t="array" ref="L1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56" t="str">
        <f>_xlfn.TEXTJOIN("#",TRUE,PartList[[#This Row],[ASSLY MARK]],PartList[[#This Row],[BOX NO]],PartList[[#This Row],[In/Out]],PartList[[#This Row],[O1-Grid]])</f>
        <v>3BE28#Box1_Box2#O</v>
      </c>
      <c r="N156" t="str">
        <f>_xlfn.TEXTJOIN("#",TRUE,PartList[[#This Row],[ASSLY MARK]],PartList[[#This Row],[BOX NO]],PartList[[#This Row],[In/Out]],PartList[[#This Row],[O2-Grid]])</f>
        <v>3BE28#Box1_Box2#O</v>
      </c>
      <c r="O156">
        <f>IF(PartList[[#This Row],[Unique]]="Yes",_xlfn.XLOOKUP(PartList[[#This Row],[ASSLY MARK]],FilteredPL!A:A,FilteredPL!B:B,0,0),0)</f>
        <v>0</v>
      </c>
      <c r="P156">
        <f>_xlfn.XLOOKUP(PartList[[#This Row],[ASSLY MARK]],MasterPL[SplitMarkNo],MasterPL[BILL WT.(KG)],0,0)</f>
        <v>0</v>
      </c>
      <c r="Q156" cm="1">
        <f t="array" ref="Q15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56" s="2" t="str">
        <v>3SC05</v>
      </c>
      <c r="AB156" s="2">
        <f>SUMIF(PartList[ASSLY MARK],AA156,PartList[Avail. Qty])</f>
        <v>0</v>
      </c>
    </row>
    <row r="157" spans="1:28" x14ac:dyDescent="0.25">
      <c r="A157">
        <v>382</v>
      </c>
      <c r="B157" t="s">
        <v>239</v>
      </c>
      <c r="C157" t="s">
        <v>511</v>
      </c>
      <c r="D157" t="s">
        <v>224</v>
      </c>
      <c r="E157" t="s">
        <v>5</v>
      </c>
      <c r="F157" t="str" cm="1">
        <f t="array" ref="F157">IF(SUM(IF(PartList[ASSLY MARK]=PartList[[#This Row],[ASSLY MARK]],1,0))&gt;1,"No","Yes")</f>
        <v>Yes</v>
      </c>
      <c r="G157" t="str" cm="1">
        <f t="array" ref="G157">_xlfn.TEXTJOIN("_",TRUE,TRIM(_xlfn.TEXTSPLIT(PartList[[#This Row],[GRID LOCATION]],{"PR01","/","-"})))</f>
        <v>11_12_A'_A</v>
      </c>
      <c r="H157" t="str" cm="1">
        <f t="array" ref="H15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57" cm="1">
        <f t="array" ref="I15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57" t="str">
        <f>IF(IFERROR(SEARCH("&gt;",PartList[[#This Row],[ID]]),0),"O",IF(IFERROR(SEARCH("&lt;",PartList[[#This Row],[ID]]),0),"I",""))</f>
        <v/>
      </c>
      <c r="K157" t="str" cm="1">
        <f t="array" ref="K1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57" t="str" cm="1">
        <f t="array" ref="L1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57" t="str">
        <f>_xlfn.TEXTJOIN("#",TRUE,PartList[[#This Row],[ASSLY MARK]],PartList[[#This Row],[BOX NO]],PartList[[#This Row],[In/Out]],PartList[[#This Row],[O1-Grid]])</f>
        <v>3BE29#Box1_Box2_Box4_Box5#InBB</v>
      </c>
      <c r="N157" t="str">
        <f>_xlfn.TEXTJOIN("#",TRUE,PartList[[#This Row],[ASSLY MARK]],PartList[[#This Row],[BOX NO]],PartList[[#This Row],[In/Out]],PartList[[#This Row],[O2-Grid]])</f>
        <v>3BE29#Box1_Box2_Box4_Box5#InBB</v>
      </c>
      <c r="O157">
        <f>IF(PartList[[#This Row],[Unique]]="Yes",_xlfn.XLOOKUP(PartList[[#This Row],[ASSLY MARK]],FilteredPL!A:A,FilteredPL!B:B,0,0),0)</f>
        <v>0</v>
      </c>
      <c r="P157">
        <f>_xlfn.XLOOKUP(PartList[[#This Row],[ASSLY MARK]],MasterPL[SplitMarkNo],MasterPL[BILL WT.(KG)],0,0)</f>
        <v>0</v>
      </c>
      <c r="Q157" cm="1">
        <f t="array" ref="Q15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57" s="2" t="str">
        <v>3SC06</v>
      </c>
      <c r="AB157" s="2">
        <f>SUMIF(PartList[ASSLY MARK],AA157,PartList[Avail. Qty])</f>
        <v>0</v>
      </c>
    </row>
    <row r="158" spans="1:28" x14ac:dyDescent="0.25">
      <c r="A158">
        <v>383</v>
      </c>
      <c r="B158" t="s">
        <v>240</v>
      </c>
      <c r="C158" t="s">
        <v>532</v>
      </c>
      <c r="D158" t="s">
        <v>726</v>
      </c>
      <c r="E158" t="s">
        <v>5</v>
      </c>
      <c r="F158" t="str" cm="1">
        <f t="array" ref="F158">IF(SUM(IF(PartList[ASSLY MARK]=PartList[[#This Row],[ASSLY MARK]],1,0))&gt;1,"No","Yes")</f>
        <v>No</v>
      </c>
      <c r="G158" t="str" cm="1">
        <f t="array" ref="G158">_xlfn.TEXTJOIN("_",TRUE,TRIM(_xlfn.TEXTSPLIT(PartList[[#This Row],[GRID LOCATION]],{"PR01","/","-"})))</f>
        <v>11_12_A_B</v>
      </c>
      <c r="H158" t="str" cm="1">
        <f t="array" ref="H15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58" cm="1">
        <f t="array" ref="I15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58" t="str">
        <f>IF(IFERROR(SEARCH("&gt;",PartList[[#This Row],[ID]]),0),"O",IF(IFERROR(SEARCH("&lt;",PartList[[#This Row],[ID]]),0),"I",""))</f>
        <v/>
      </c>
      <c r="K158" t="str" cm="1">
        <f t="array" ref="K1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58" t="str" cm="1">
        <f t="array" ref="L1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58" t="str">
        <f>_xlfn.TEXTJOIN("#",TRUE,PartList[[#This Row],[ASSLY MARK]],PartList[[#This Row],[BOX NO]],PartList[[#This Row],[In/Out]],PartList[[#This Row],[O1-Grid]])</f>
        <v>3BE30#Box1_Box2#InBB</v>
      </c>
      <c r="N158" t="str">
        <f>_xlfn.TEXTJOIN("#",TRUE,PartList[[#This Row],[ASSLY MARK]],PartList[[#This Row],[BOX NO]],PartList[[#This Row],[In/Out]],PartList[[#This Row],[O2-Grid]])</f>
        <v>3BE30#Box1_Box2#InBB</v>
      </c>
      <c r="O158">
        <f>IF(PartList[[#This Row],[Unique]]="Yes",_xlfn.XLOOKUP(PartList[[#This Row],[ASSLY MARK]],FilteredPL!A:A,FilteredPL!B:B,0,0),0)</f>
        <v>0</v>
      </c>
      <c r="P158">
        <f>_xlfn.XLOOKUP(PartList[[#This Row],[ASSLY MARK]],MasterPL[SplitMarkNo],MasterPL[BILL WT.(KG)],0,0)</f>
        <v>0</v>
      </c>
      <c r="Q158" cm="1">
        <f t="array" ref="Q15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58" s="2" t="str">
        <v>3SC15</v>
      </c>
      <c r="AB158" s="2">
        <f>SUMIF(PartList[ASSLY MARK],AA158,PartList[Avail. Qty])</f>
        <v>0</v>
      </c>
    </row>
    <row r="159" spans="1:28" x14ac:dyDescent="0.25">
      <c r="A159">
        <v>384</v>
      </c>
      <c r="B159" t="s">
        <v>240</v>
      </c>
      <c r="C159" t="s">
        <v>532</v>
      </c>
      <c r="D159" t="s">
        <v>726</v>
      </c>
      <c r="E159" t="s">
        <v>5</v>
      </c>
      <c r="F159" t="str" cm="1">
        <f t="array" ref="F159">IF(SUM(IF(PartList[ASSLY MARK]=PartList[[#This Row],[ASSLY MARK]],1,0))&gt;1,"No","Yes")</f>
        <v>No</v>
      </c>
      <c r="G159" t="str" cm="1">
        <f t="array" ref="G159">_xlfn.TEXTJOIN("_",TRUE,TRIM(_xlfn.TEXTSPLIT(PartList[[#This Row],[GRID LOCATION]],{"PR01","/","-"})))</f>
        <v>11_12_A_B</v>
      </c>
      <c r="H159" t="str" cm="1">
        <f t="array" ref="H15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59" cm="1">
        <f t="array" ref="I15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59" t="str">
        <f>IF(IFERROR(SEARCH("&gt;",PartList[[#This Row],[ID]]),0),"O",IF(IFERROR(SEARCH("&lt;",PartList[[#This Row],[ID]]),0),"I",""))</f>
        <v/>
      </c>
      <c r="K159" t="str" cm="1">
        <f t="array" ref="K1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59" t="str" cm="1">
        <f t="array" ref="L1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59" t="str">
        <f>_xlfn.TEXTJOIN("#",TRUE,PartList[[#This Row],[ASSLY MARK]],PartList[[#This Row],[BOX NO]],PartList[[#This Row],[In/Out]],PartList[[#This Row],[O1-Grid]])</f>
        <v>3BE30#Box1_Box2#InBB</v>
      </c>
      <c r="N159" t="str">
        <f>_xlfn.TEXTJOIN("#",TRUE,PartList[[#This Row],[ASSLY MARK]],PartList[[#This Row],[BOX NO]],PartList[[#This Row],[In/Out]],PartList[[#This Row],[O2-Grid]])</f>
        <v>3BE30#Box1_Box2#InBB</v>
      </c>
      <c r="O159">
        <f>IF(PartList[[#This Row],[Unique]]="Yes",_xlfn.XLOOKUP(PartList[[#This Row],[ASSLY MARK]],FilteredPL!A:A,FilteredPL!B:B,0,0),0)</f>
        <v>0</v>
      </c>
      <c r="P159">
        <f>_xlfn.XLOOKUP(PartList[[#This Row],[ASSLY MARK]],MasterPL[SplitMarkNo],MasterPL[BILL WT.(KG)],0,0)</f>
        <v>0</v>
      </c>
      <c r="Q159" cm="1">
        <f t="array" ref="Q15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59" s="2" t="str">
        <v>4BE02</v>
      </c>
      <c r="AB159" s="2">
        <f>SUMIF(PartList[ASSLY MARK],AA159,PartList[Avail. Qty])</f>
        <v>0</v>
      </c>
    </row>
    <row r="160" spans="1:28" x14ac:dyDescent="0.25">
      <c r="A160">
        <v>385</v>
      </c>
      <c r="B160" t="s">
        <v>241</v>
      </c>
      <c r="C160" t="s">
        <v>511</v>
      </c>
      <c r="D160" t="s">
        <v>224</v>
      </c>
      <c r="E160" t="s">
        <v>5</v>
      </c>
      <c r="F160" t="str" cm="1">
        <f t="array" ref="F160">IF(SUM(IF(PartList[ASSLY MARK]=PartList[[#This Row],[ASSLY MARK]],1,0))&gt;1,"No","Yes")</f>
        <v>No</v>
      </c>
      <c r="G160" t="str" cm="1">
        <f t="array" ref="G160">_xlfn.TEXTJOIN("_",TRUE,TRIM(_xlfn.TEXTSPLIT(PartList[[#This Row],[GRID LOCATION]],{"PR01","/","-"})))</f>
        <v>11_12_A'_A</v>
      </c>
      <c r="H160" t="str" cm="1">
        <f t="array" ref="H16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60" cm="1">
        <f t="array" ref="I16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60" t="str">
        <f>IF(IFERROR(SEARCH("&gt;",PartList[[#This Row],[ID]]),0),"O",IF(IFERROR(SEARCH("&lt;",PartList[[#This Row],[ID]]),0),"I",""))</f>
        <v/>
      </c>
      <c r="K160" t="str" cm="1">
        <f t="array" ref="K1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60" t="str" cm="1">
        <f t="array" ref="L1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60" t="str">
        <f>_xlfn.TEXTJOIN("#",TRUE,PartList[[#This Row],[ASSLY MARK]],PartList[[#This Row],[BOX NO]],PartList[[#This Row],[In/Out]],PartList[[#This Row],[O1-Grid]])</f>
        <v>3BE31#Box1_Box2_Box4_Box5#InBB</v>
      </c>
      <c r="N160" t="str">
        <f>_xlfn.TEXTJOIN("#",TRUE,PartList[[#This Row],[ASSLY MARK]],PartList[[#This Row],[BOX NO]],PartList[[#This Row],[In/Out]],PartList[[#This Row],[O2-Grid]])</f>
        <v>3BE31#Box1_Box2_Box4_Box5#InBB</v>
      </c>
      <c r="O160">
        <f>IF(PartList[[#This Row],[Unique]]="Yes",_xlfn.XLOOKUP(PartList[[#This Row],[ASSLY MARK]],FilteredPL!A:A,FilteredPL!B:B,0,0),0)</f>
        <v>0</v>
      </c>
      <c r="P160">
        <f>_xlfn.XLOOKUP(PartList[[#This Row],[ASSLY MARK]],MasterPL[SplitMarkNo],MasterPL[BILL WT.(KG)],0,0)</f>
        <v>0</v>
      </c>
      <c r="Q160" cm="1">
        <f t="array" ref="Q16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60" s="2" t="str">
        <v>4BE03</v>
      </c>
      <c r="AB160" s="2">
        <f>SUMIF(PartList[ASSLY MARK],AA160,PartList[Avail. Qty])</f>
        <v>0</v>
      </c>
    </row>
    <row r="161" spans="1:28" x14ac:dyDescent="0.25">
      <c r="A161">
        <v>386</v>
      </c>
      <c r="B161" t="s">
        <v>241</v>
      </c>
      <c r="C161" t="s">
        <v>511</v>
      </c>
      <c r="D161" t="s">
        <v>224</v>
      </c>
      <c r="E161" t="s">
        <v>5</v>
      </c>
      <c r="F161" t="str" cm="1">
        <f t="array" ref="F161">IF(SUM(IF(PartList[ASSLY MARK]=PartList[[#This Row],[ASSLY MARK]],1,0))&gt;1,"No","Yes")</f>
        <v>No</v>
      </c>
      <c r="G161" t="str" cm="1">
        <f t="array" ref="G161">_xlfn.TEXTJOIN("_",TRUE,TRIM(_xlfn.TEXTSPLIT(PartList[[#This Row],[GRID LOCATION]],{"PR01","/","-"})))</f>
        <v>11_12_A'_A</v>
      </c>
      <c r="H161" t="str" cm="1">
        <f t="array" ref="H16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61" cm="1">
        <f t="array" ref="I16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61" t="str">
        <f>IF(IFERROR(SEARCH("&gt;",PartList[[#This Row],[ID]]),0),"O",IF(IFERROR(SEARCH("&lt;",PartList[[#This Row],[ID]]),0),"I",""))</f>
        <v/>
      </c>
      <c r="K161" t="str" cm="1">
        <f t="array" ref="K1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61" t="str" cm="1">
        <f t="array" ref="L1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61" t="str">
        <f>_xlfn.TEXTJOIN("#",TRUE,PartList[[#This Row],[ASSLY MARK]],PartList[[#This Row],[BOX NO]],PartList[[#This Row],[In/Out]],PartList[[#This Row],[O1-Grid]])</f>
        <v>3BE31#Box1_Box2_Box4_Box5#InBB</v>
      </c>
      <c r="N161" t="str">
        <f>_xlfn.TEXTJOIN("#",TRUE,PartList[[#This Row],[ASSLY MARK]],PartList[[#This Row],[BOX NO]],PartList[[#This Row],[In/Out]],PartList[[#This Row],[O2-Grid]])</f>
        <v>3BE31#Box1_Box2_Box4_Box5#InBB</v>
      </c>
      <c r="O161">
        <f>IF(PartList[[#This Row],[Unique]]="Yes",_xlfn.XLOOKUP(PartList[[#This Row],[ASSLY MARK]],FilteredPL!A:A,FilteredPL!B:B,0,0),0)</f>
        <v>0</v>
      </c>
      <c r="P161">
        <f>_xlfn.XLOOKUP(PartList[[#This Row],[ASSLY MARK]],MasterPL[SplitMarkNo],MasterPL[BILL WT.(KG)],0,0)</f>
        <v>0</v>
      </c>
      <c r="Q161" cm="1">
        <f t="array" ref="Q16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61" s="2" t="str">
        <v>4BE04</v>
      </c>
      <c r="AB161" s="2">
        <f>SUMIF(PartList[ASSLY MARK],AA161,PartList[Avail. Qty])</f>
        <v>0</v>
      </c>
    </row>
    <row r="162" spans="1:28" x14ac:dyDescent="0.25">
      <c r="A162">
        <v>387</v>
      </c>
      <c r="B162" t="s">
        <v>242</v>
      </c>
      <c r="C162" t="s">
        <v>531</v>
      </c>
      <c r="D162" t="s">
        <v>224</v>
      </c>
      <c r="E162" t="s">
        <v>5</v>
      </c>
      <c r="F162" t="str" cm="1">
        <f t="array" ref="F162">IF(SUM(IF(PartList[ASSLY MARK]=PartList[[#This Row],[ASSLY MARK]],1,0))&gt;1,"No","Yes")</f>
        <v>Yes</v>
      </c>
      <c r="G162" t="str" cm="1">
        <f t="array" ref="G162">_xlfn.TEXTJOIN("_",TRUE,TRIM(_xlfn.TEXTSPLIT(PartList[[#This Row],[GRID LOCATION]],{"PR01","/","-"})))</f>
        <v>11_12_B&gt;</v>
      </c>
      <c r="H162" t="str" cm="1">
        <f t="array" ref="H16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62" cm="1">
        <f t="array" ref="I16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62" t="str">
        <f>IF(IFERROR(SEARCH("&gt;",PartList[[#This Row],[ID]]),0),"O",IF(IFERROR(SEARCH("&lt;",PartList[[#This Row],[ID]]),0),"I",""))</f>
        <v>O</v>
      </c>
      <c r="K162" t="str" cm="1">
        <f t="array" ref="K1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62" t="str" cm="1">
        <f t="array" ref="L1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62" t="str">
        <f>_xlfn.TEXTJOIN("#",TRUE,PartList[[#This Row],[ASSLY MARK]],PartList[[#This Row],[BOX NO]],PartList[[#This Row],[In/Out]],PartList[[#This Row],[O1-Grid]])</f>
        <v>3BE32#Box1_Box2#O</v>
      </c>
      <c r="N162" t="str">
        <f>_xlfn.TEXTJOIN("#",TRUE,PartList[[#This Row],[ASSLY MARK]],PartList[[#This Row],[BOX NO]],PartList[[#This Row],[In/Out]],PartList[[#This Row],[O2-Grid]])</f>
        <v>3BE32#Box1_Box2#O</v>
      </c>
      <c r="O162">
        <f>IF(PartList[[#This Row],[Unique]]="Yes",_xlfn.XLOOKUP(PartList[[#This Row],[ASSLY MARK]],FilteredPL!A:A,FilteredPL!B:B,0,0),0)</f>
        <v>0</v>
      </c>
      <c r="P162">
        <f>_xlfn.XLOOKUP(PartList[[#This Row],[ASSLY MARK]],MasterPL[SplitMarkNo],MasterPL[BILL WT.(KG)],0,0)</f>
        <v>0</v>
      </c>
      <c r="Q162" cm="1">
        <f t="array" ref="Q16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62" s="2" t="str">
        <v>4BE05</v>
      </c>
      <c r="AB162" s="2">
        <f>SUMIF(PartList[ASSLY MARK],AA162,PartList[Avail. Qty])</f>
        <v>0</v>
      </c>
    </row>
    <row r="163" spans="1:28" x14ac:dyDescent="0.25">
      <c r="A163">
        <v>388</v>
      </c>
      <c r="B163" t="s">
        <v>243</v>
      </c>
      <c r="C163" t="s">
        <v>511</v>
      </c>
      <c r="D163" t="s">
        <v>224</v>
      </c>
      <c r="E163" t="s">
        <v>5</v>
      </c>
      <c r="F163" t="str" cm="1">
        <f t="array" ref="F163">IF(SUM(IF(PartList[ASSLY MARK]=PartList[[#This Row],[ASSLY MARK]],1,0))&gt;1,"No","Yes")</f>
        <v>Yes</v>
      </c>
      <c r="G163" t="str" cm="1">
        <f t="array" ref="G163">_xlfn.TEXTJOIN("_",TRUE,TRIM(_xlfn.TEXTSPLIT(PartList[[#This Row],[GRID LOCATION]],{"PR01","/","-"})))</f>
        <v>11_12_A'_A</v>
      </c>
      <c r="H163" t="str" cm="1">
        <f t="array" ref="H16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63" cm="1">
        <f t="array" ref="I16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63" t="str">
        <f>IF(IFERROR(SEARCH("&gt;",PartList[[#This Row],[ID]]),0),"O",IF(IFERROR(SEARCH("&lt;",PartList[[#This Row],[ID]]),0),"I",""))</f>
        <v/>
      </c>
      <c r="K163" t="str" cm="1">
        <f t="array" ref="K1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63" t="str" cm="1">
        <f t="array" ref="L1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63" t="str">
        <f>_xlfn.TEXTJOIN("#",TRUE,PartList[[#This Row],[ASSLY MARK]],PartList[[#This Row],[BOX NO]],PartList[[#This Row],[In/Out]],PartList[[#This Row],[O1-Grid]])</f>
        <v>3BE33#Box1_Box2_Box4_Box5#InBB</v>
      </c>
      <c r="N163" t="str">
        <f>_xlfn.TEXTJOIN("#",TRUE,PartList[[#This Row],[ASSLY MARK]],PartList[[#This Row],[BOX NO]],PartList[[#This Row],[In/Out]],PartList[[#This Row],[O2-Grid]])</f>
        <v>3BE33#Box1_Box2_Box4_Box5#InBB</v>
      </c>
      <c r="O163">
        <f>IF(PartList[[#This Row],[Unique]]="Yes",_xlfn.XLOOKUP(PartList[[#This Row],[ASSLY MARK]],FilteredPL!A:A,FilteredPL!B:B,0,0),0)</f>
        <v>0</v>
      </c>
      <c r="P163">
        <f>_xlfn.XLOOKUP(PartList[[#This Row],[ASSLY MARK]],MasterPL[SplitMarkNo],MasterPL[BILL WT.(KG)],0,0)</f>
        <v>0</v>
      </c>
      <c r="Q163" cm="1">
        <f t="array" ref="Q16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63" s="2" t="str">
        <v>4BE06</v>
      </c>
      <c r="AB163" s="2">
        <f>SUMIF(PartList[ASSLY MARK],AA163,PartList[Avail. Qty])</f>
        <v>0</v>
      </c>
    </row>
    <row r="164" spans="1:28" x14ac:dyDescent="0.25">
      <c r="A164">
        <v>389</v>
      </c>
      <c r="B164" t="s">
        <v>244</v>
      </c>
      <c r="C164" t="s">
        <v>511</v>
      </c>
      <c r="D164" t="s">
        <v>224</v>
      </c>
      <c r="E164" t="s">
        <v>5</v>
      </c>
      <c r="F164" t="str" cm="1">
        <f t="array" ref="F164">IF(SUM(IF(PartList[ASSLY MARK]=PartList[[#This Row],[ASSLY MARK]],1,0))&gt;1,"No","Yes")</f>
        <v>Yes</v>
      </c>
      <c r="G164" t="str" cm="1">
        <f t="array" ref="G164">_xlfn.TEXTJOIN("_",TRUE,TRIM(_xlfn.TEXTSPLIT(PartList[[#This Row],[GRID LOCATION]],{"PR01","/","-"})))</f>
        <v>11_12_A'_A</v>
      </c>
      <c r="H164" t="str" cm="1">
        <f t="array" ref="H16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64" cm="1">
        <f t="array" ref="I16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64" t="str">
        <f>IF(IFERROR(SEARCH("&gt;",PartList[[#This Row],[ID]]),0),"O",IF(IFERROR(SEARCH("&lt;",PartList[[#This Row],[ID]]),0),"I",""))</f>
        <v/>
      </c>
      <c r="K164" t="str" cm="1">
        <f t="array" ref="K1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64" t="str" cm="1">
        <f t="array" ref="L1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64" t="str">
        <f>_xlfn.TEXTJOIN("#",TRUE,PartList[[#This Row],[ASSLY MARK]],PartList[[#This Row],[BOX NO]],PartList[[#This Row],[In/Out]],PartList[[#This Row],[O1-Grid]])</f>
        <v>3BE34#Box1_Box2_Box4_Box5#InBB</v>
      </c>
      <c r="N164" t="str">
        <f>_xlfn.TEXTJOIN("#",TRUE,PartList[[#This Row],[ASSLY MARK]],PartList[[#This Row],[BOX NO]],PartList[[#This Row],[In/Out]],PartList[[#This Row],[O2-Grid]])</f>
        <v>3BE34#Box1_Box2_Box4_Box5#InBB</v>
      </c>
      <c r="O164">
        <f>IF(PartList[[#This Row],[Unique]]="Yes",_xlfn.XLOOKUP(PartList[[#This Row],[ASSLY MARK]],FilteredPL!A:A,FilteredPL!B:B,0,0),0)</f>
        <v>0</v>
      </c>
      <c r="P164">
        <f>_xlfn.XLOOKUP(PartList[[#This Row],[ASSLY MARK]],MasterPL[SplitMarkNo],MasterPL[BILL WT.(KG)],0,0)</f>
        <v>0</v>
      </c>
      <c r="Q164" cm="1">
        <f t="array" ref="Q16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64" s="2" t="str">
        <v>4BE07</v>
      </c>
      <c r="AB164" s="2">
        <f>SUMIF(PartList[ASSLY MARK],AA164,PartList[Avail. Qty])</f>
        <v>0</v>
      </c>
    </row>
    <row r="165" spans="1:28" x14ac:dyDescent="0.25">
      <c r="A165">
        <v>390</v>
      </c>
      <c r="B165" t="s">
        <v>245</v>
      </c>
      <c r="C165" t="s">
        <v>533</v>
      </c>
      <c r="D165" t="s">
        <v>224</v>
      </c>
      <c r="E165" t="s">
        <v>5</v>
      </c>
      <c r="F165" t="str" cm="1">
        <f t="array" ref="F165">IF(SUM(IF(PartList[ASSLY MARK]=PartList[[#This Row],[ASSLY MARK]],1,0))&gt;1,"No","Yes")</f>
        <v>Yes</v>
      </c>
      <c r="G165" t="str" cm="1">
        <f t="array" ref="G165">_xlfn.TEXTJOIN("_",TRUE,TRIM(_xlfn.TEXTSPLIT(PartList[[#This Row],[GRID LOCATION]],{"PR01","/","-"})))</f>
        <v>11_12_A</v>
      </c>
      <c r="H165" t="str" cm="1">
        <f t="array" ref="H16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65" cm="1">
        <f t="array" ref="I16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65" t="str">
        <f>IF(IFERROR(SEARCH("&gt;",PartList[[#This Row],[ID]]),0),"O",IF(IFERROR(SEARCH("&lt;",PartList[[#This Row],[ID]]),0),"I",""))</f>
        <v/>
      </c>
      <c r="K165" t="str" cm="1">
        <f t="array" ref="K1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65" t="str" cm="1">
        <f t="array" ref="L1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65" t="str">
        <f>_xlfn.TEXTJOIN("#",TRUE,PartList[[#This Row],[ASSLY MARK]],PartList[[#This Row],[BOX NO]],PartList[[#This Row],[In/Out]],PartList[[#This Row],[O1-Grid]])</f>
        <v>3BE35#Box1_Box2#InBB</v>
      </c>
      <c r="N165" t="str">
        <f>_xlfn.TEXTJOIN("#",TRUE,PartList[[#This Row],[ASSLY MARK]],PartList[[#This Row],[BOX NO]],PartList[[#This Row],[In/Out]],PartList[[#This Row],[O2-Grid]])</f>
        <v>3BE35#Box1_Box2#InBB</v>
      </c>
      <c r="O165">
        <f>IF(PartList[[#This Row],[Unique]]="Yes",_xlfn.XLOOKUP(PartList[[#This Row],[ASSLY MARK]],FilteredPL!A:A,FilteredPL!B:B,0,0),0)</f>
        <v>0</v>
      </c>
      <c r="P165">
        <f>_xlfn.XLOOKUP(PartList[[#This Row],[ASSLY MARK]],MasterPL[SplitMarkNo],MasterPL[BILL WT.(KG)],0,0)</f>
        <v>0</v>
      </c>
      <c r="Q165" cm="1">
        <f t="array" ref="Q16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65" s="2" t="str">
        <v>4BE08</v>
      </c>
      <c r="AB165" s="2">
        <f>SUMIF(PartList[ASSLY MARK],AA165,PartList[Avail. Qty])</f>
        <v>0</v>
      </c>
    </row>
    <row r="166" spans="1:28" x14ac:dyDescent="0.25">
      <c r="A166">
        <v>391</v>
      </c>
      <c r="B166" t="s">
        <v>246</v>
      </c>
      <c r="C166" t="s">
        <v>532</v>
      </c>
      <c r="D166" t="s">
        <v>224</v>
      </c>
      <c r="E166" t="s">
        <v>5</v>
      </c>
      <c r="F166" t="str" cm="1">
        <f t="array" ref="F166">IF(SUM(IF(PartList[ASSLY MARK]=PartList[[#This Row],[ASSLY MARK]],1,0))&gt;1,"No","Yes")</f>
        <v>Yes</v>
      </c>
      <c r="G166" t="str" cm="1">
        <f t="array" ref="G166">_xlfn.TEXTJOIN("_",TRUE,TRIM(_xlfn.TEXTSPLIT(PartList[[#This Row],[GRID LOCATION]],{"PR01","/","-"})))</f>
        <v>11_12_A_B</v>
      </c>
      <c r="H166" t="str" cm="1">
        <f t="array" ref="H16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66" cm="1">
        <f t="array" ref="I16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66" t="str">
        <f>IF(IFERROR(SEARCH("&gt;",PartList[[#This Row],[ID]]),0),"O",IF(IFERROR(SEARCH("&lt;",PartList[[#This Row],[ID]]),0),"I",""))</f>
        <v/>
      </c>
      <c r="K166" t="str" cm="1">
        <f t="array" ref="K1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66" t="str" cm="1">
        <f t="array" ref="L1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66" t="str">
        <f>_xlfn.TEXTJOIN("#",TRUE,PartList[[#This Row],[ASSLY MARK]],PartList[[#This Row],[BOX NO]],PartList[[#This Row],[In/Out]],PartList[[#This Row],[O1-Grid]])</f>
        <v>3BE36#Box1_Box2#InBB</v>
      </c>
      <c r="N166" t="str">
        <f>_xlfn.TEXTJOIN("#",TRUE,PartList[[#This Row],[ASSLY MARK]],PartList[[#This Row],[BOX NO]],PartList[[#This Row],[In/Out]],PartList[[#This Row],[O2-Grid]])</f>
        <v>3BE36#Box1_Box2#InBB</v>
      </c>
      <c r="O166">
        <f>IF(PartList[[#This Row],[Unique]]="Yes",_xlfn.XLOOKUP(PartList[[#This Row],[ASSLY MARK]],FilteredPL!A:A,FilteredPL!B:B,0,0),0)</f>
        <v>0</v>
      </c>
      <c r="P166">
        <f>_xlfn.XLOOKUP(PartList[[#This Row],[ASSLY MARK]],MasterPL[SplitMarkNo],MasterPL[BILL WT.(KG)],0,0)</f>
        <v>0</v>
      </c>
      <c r="Q166" cm="1">
        <f t="array" ref="Q16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66" s="2" t="str">
        <v>4BE54</v>
      </c>
      <c r="AB166" s="2">
        <f>SUMIF(PartList[ASSLY MARK],AA166,PartList[Avail. Qty])</f>
        <v>0</v>
      </c>
    </row>
    <row r="167" spans="1:28" x14ac:dyDescent="0.25">
      <c r="A167">
        <v>392</v>
      </c>
      <c r="B167" t="s">
        <v>247</v>
      </c>
      <c r="C167" t="s">
        <v>534</v>
      </c>
      <c r="D167" t="s">
        <v>224</v>
      </c>
      <c r="E167" t="s">
        <v>5</v>
      </c>
      <c r="F167" t="str" cm="1">
        <f t="array" ref="F167">IF(SUM(IF(PartList[ASSLY MARK]=PartList[[#This Row],[ASSLY MARK]],1,0))&gt;1,"No","Yes")</f>
        <v>Yes</v>
      </c>
      <c r="G167" t="str" cm="1">
        <f t="array" ref="G167">_xlfn.TEXTJOIN("_",TRUE,TRIM(_xlfn.TEXTSPLIT(PartList[[#This Row],[GRID LOCATION]],{"PR01","/","-"})))</f>
        <v>11_12_B</v>
      </c>
      <c r="H167" t="str" cm="1">
        <f t="array" ref="H16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67" cm="1">
        <f t="array" ref="I16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67" t="str">
        <f>IF(IFERROR(SEARCH("&gt;",PartList[[#This Row],[ID]]),0),"O",IF(IFERROR(SEARCH("&lt;",PartList[[#This Row],[ID]]),0),"I",""))</f>
        <v/>
      </c>
      <c r="K167" t="str" cm="1">
        <f t="array" ref="K1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67" t="str" cm="1">
        <f t="array" ref="L1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67" t="str">
        <f>_xlfn.TEXTJOIN("#",TRUE,PartList[[#This Row],[ASSLY MARK]],PartList[[#This Row],[BOX NO]],PartList[[#This Row],[In/Out]],PartList[[#This Row],[O1-Grid]])</f>
        <v>3BE37#Box1_Box2#InBB</v>
      </c>
      <c r="N167" t="str">
        <f>_xlfn.TEXTJOIN("#",TRUE,PartList[[#This Row],[ASSLY MARK]],PartList[[#This Row],[BOX NO]],PartList[[#This Row],[In/Out]],PartList[[#This Row],[O2-Grid]])</f>
        <v>3BE37#Box1_Box2#InBB</v>
      </c>
      <c r="O167">
        <f>IF(PartList[[#This Row],[Unique]]="Yes",_xlfn.XLOOKUP(PartList[[#This Row],[ASSLY MARK]],FilteredPL!A:A,FilteredPL!B:B,0,0),0)</f>
        <v>0</v>
      </c>
      <c r="P167">
        <f>_xlfn.XLOOKUP(PartList[[#This Row],[ASSLY MARK]],MasterPL[SplitMarkNo],MasterPL[BILL WT.(KG)],0,0)</f>
        <v>0</v>
      </c>
      <c r="Q167" cm="1">
        <f t="array" ref="Q16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67" s="2" t="str">
        <v>4BE55</v>
      </c>
      <c r="AB167" s="2">
        <f>SUMIF(PartList[ASSLY MARK],AA167,PartList[Avail. Qty])</f>
        <v>0</v>
      </c>
    </row>
    <row r="168" spans="1:28" x14ac:dyDescent="0.25">
      <c r="A168">
        <v>393</v>
      </c>
      <c r="B168" t="s">
        <v>248</v>
      </c>
      <c r="C168" t="s">
        <v>531</v>
      </c>
      <c r="D168" t="s">
        <v>224</v>
      </c>
      <c r="E168" t="s">
        <v>5</v>
      </c>
      <c r="F168" t="str" cm="1">
        <f t="array" ref="F168">IF(SUM(IF(PartList[ASSLY MARK]=PartList[[#This Row],[ASSLY MARK]],1,0))&gt;1,"No","Yes")</f>
        <v>No</v>
      </c>
      <c r="G168" t="str" cm="1">
        <f t="array" ref="G168">_xlfn.TEXTJOIN("_",TRUE,TRIM(_xlfn.TEXTSPLIT(PartList[[#This Row],[GRID LOCATION]],{"PR01","/","-"})))</f>
        <v>11_12_B&gt;</v>
      </c>
      <c r="H168" t="str" cm="1">
        <f t="array" ref="H16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68" cm="1">
        <f t="array" ref="I16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68" t="str">
        <f>IF(IFERROR(SEARCH("&gt;",PartList[[#This Row],[ID]]),0),"O",IF(IFERROR(SEARCH("&lt;",PartList[[#This Row],[ID]]),0),"I",""))</f>
        <v>O</v>
      </c>
      <c r="K168" t="str" cm="1">
        <f t="array" ref="K1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68" t="str" cm="1">
        <f t="array" ref="L1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68" t="str">
        <f>_xlfn.TEXTJOIN("#",TRUE,PartList[[#This Row],[ASSLY MARK]],PartList[[#This Row],[BOX NO]],PartList[[#This Row],[In/Out]],PartList[[#This Row],[O1-Grid]])</f>
        <v>3BE38#Box1_Box2#O</v>
      </c>
      <c r="N168" t="str">
        <f>_xlfn.TEXTJOIN("#",TRUE,PartList[[#This Row],[ASSLY MARK]],PartList[[#This Row],[BOX NO]],PartList[[#This Row],[In/Out]],PartList[[#This Row],[O2-Grid]])</f>
        <v>3BE38#Box1_Box2#O</v>
      </c>
      <c r="O168">
        <f>IF(PartList[[#This Row],[Unique]]="Yes",_xlfn.XLOOKUP(PartList[[#This Row],[ASSLY MARK]],FilteredPL!A:A,FilteredPL!B:B,0,0),0)</f>
        <v>0</v>
      </c>
      <c r="P168">
        <f>_xlfn.XLOOKUP(PartList[[#This Row],[ASSLY MARK]],MasterPL[SplitMarkNo],MasterPL[BILL WT.(KG)],0,0)</f>
        <v>0</v>
      </c>
      <c r="Q168" cm="1">
        <f t="array" ref="Q16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68" s="2" t="str">
        <v>4FR05</v>
      </c>
      <c r="AB168" s="2">
        <f>SUMIF(PartList[ASSLY MARK],AA168,PartList[Avail. Qty])</f>
        <v>0</v>
      </c>
    </row>
    <row r="169" spans="1:28" x14ac:dyDescent="0.25">
      <c r="A169">
        <v>395</v>
      </c>
      <c r="B169" t="s">
        <v>248</v>
      </c>
      <c r="C169" t="s">
        <v>531</v>
      </c>
      <c r="D169" t="s">
        <v>224</v>
      </c>
      <c r="E169" t="s">
        <v>5</v>
      </c>
      <c r="F169" t="str" cm="1">
        <f t="array" ref="F169">IF(SUM(IF(PartList[ASSLY MARK]=PartList[[#This Row],[ASSLY MARK]],1,0))&gt;1,"No","Yes")</f>
        <v>No</v>
      </c>
      <c r="G169" t="str" cm="1">
        <f t="array" ref="G169">_xlfn.TEXTJOIN("_",TRUE,TRIM(_xlfn.TEXTSPLIT(PartList[[#This Row],[GRID LOCATION]],{"PR01","/","-"})))</f>
        <v>11_12_B&gt;</v>
      </c>
      <c r="H169" t="str" cm="1">
        <f t="array" ref="H16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69" cm="1">
        <f t="array" ref="I16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69" t="str">
        <f>IF(IFERROR(SEARCH("&gt;",PartList[[#This Row],[ID]]),0),"O",IF(IFERROR(SEARCH("&lt;",PartList[[#This Row],[ID]]),0),"I",""))</f>
        <v>O</v>
      </c>
      <c r="K169" t="str" cm="1">
        <f t="array" ref="K1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69" t="str" cm="1">
        <f t="array" ref="L1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69" t="str">
        <f>_xlfn.TEXTJOIN("#",TRUE,PartList[[#This Row],[ASSLY MARK]],PartList[[#This Row],[BOX NO]],PartList[[#This Row],[In/Out]],PartList[[#This Row],[O1-Grid]])</f>
        <v>3BE38#Box1_Box2#O</v>
      </c>
      <c r="N169" t="str">
        <f>_xlfn.TEXTJOIN("#",TRUE,PartList[[#This Row],[ASSLY MARK]],PartList[[#This Row],[BOX NO]],PartList[[#This Row],[In/Out]],PartList[[#This Row],[O2-Grid]])</f>
        <v>3BE38#Box1_Box2#O</v>
      </c>
      <c r="O169">
        <f>IF(PartList[[#This Row],[Unique]]="Yes",_xlfn.XLOOKUP(PartList[[#This Row],[ASSLY MARK]],FilteredPL!A:A,FilteredPL!B:B,0,0),0)</f>
        <v>0</v>
      </c>
      <c r="P169">
        <f>_xlfn.XLOOKUP(PartList[[#This Row],[ASSLY MARK]],MasterPL[SplitMarkNo],MasterPL[BILL WT.(KG)],0,0)</f>
        <v>0</v>
      </c>
      <c r="Q169" cm="1">
        <f t="array" ref="Q16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69" s="2" t="str">
        <v>4HA01</v>
      </c>
      <c r="AB169" s="2">
        <f>SUMIF(PartList[ASSLY MARK],AA169,PartList[Avail. Qty])</f>
        <v>0</v>
      </c>
    </row>
    <row r="170" spans="1:28" x14ac:dyDescent="0.25">
      <c r="A170">
        <v>397</v>
      </c>
      <c r="B170" t="s">
        <v>249</v>
      </c>
      <c r="C170" t="s">
        <v>531</v>
      </c>
      <c r="D170" t="s">
        <v>224</v>
      </c>
      <c r="E170" t="s">
        <v>5</v>
      </c>
      <c r="F170" t="str" cm="1">
        <f t="array" ref="F170">IF(SUM(IF(PartList[ASSLY MARK]=PartList[[#This Row],[ASSLY MARK]],1,0))&gt;1,"No","Yes")</f>
        <v>Yes</v>
      </c>
      <c r="G170" t="str" cm="1">
        <f t="array" ref="G170">_xlfn.TEXTJOIN("_",TRUE,TRIM(_xlfn.TEXTSPLIT(PartList[[#This Row],[GRID LOCATION]],{"PR01","/","-"})))</f>
        <v>11_12_B&gt;</v>
      </c>
      <c r="H170" t="str" cm="1">
        <f t="array" ref="H17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70" cm="1">
        <f t="array" ref="I17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70" t="str">
        <f>IF(IFERROR(SEARCH("&gt;",PartList[[#This Row],[ID]]),0),"O",IF(IFERROR(SEARCH("&lt;",PartList[[#This Row],[ID]]),0),"I",""))</f>
        <v>O</v>
      </c>
      <c r="K170" t="str" cm="1">
        <f t="array" ref="K1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70" t="str" cm="1">
        <f t="array" ref="L1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70" t="str">
        <f>_xlfn.TEXTJOIN("#",TRUE,PartList[[#This Row],[ASSLY MARK]],PartList[[#This Row],[BOX NO]],PartList[[#This Row],[In/Out]],PartList[[#This Row],[O1-Grid]])</f>
        <v>3BE39#Box1_Box2#O</v>
      </c>
      <c r="N170" t="str">
        <f>_xlfn.TEXTJOIN("#",TRUE,PartList[[#This Row],[ASSLY MARK]],PartList[[#This Row],[BOX NO]],PartList[[#This Row],[In/Out]],PartList[[#This Row],[O2-Grid]])</f>
        <v>3BE39#Box1_Box2#O</v>
      </c>
      <c r="O170">
        <f>IF(PartList[[#This Row],[Unique]]="Yes",_xlfn.XLOOKUP(PartList[[#This Row],[ASSLY MARK]],FilteredPL!A:A,FilteredPL!B:B,0,0),0)</f>
        <v>0</v>
      </c>
      <c r="P170">
        <f>_xlfn.XLOOKUP(PartList[[#This Row],[ASSLY MARK]],MasterPL[SplitMarkNo],MasterPL[BILL WT.(KG)],0,0)</f>
        <v>0</v>
      </c>
      <c r="Q170" cm="1">
        <f t="array" ref="Q17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70" s="2" t="str">
        <v>4HA02</v>
      </c>
      <c r="AB170" s="2">
        <f>SUMIF(PartList[ASSLY MARK],AA170,PartList[Avail. Qty])</f>
        <v>0</v>
      </c>
    </row>
    <row r="171" spans="1:28" x14ac:dyDescent="0.25">
      <c r="A171">
        <v>398</v>
      </c>
      <c r="B171" t="s">
        <v>250</v>
      </c>
      <c r="C171" t="s">
        <v>511</v>
      </c>
      <c r="D171" t="s">
        <v>224</v>
      </c>
      <c r="E171" t="s">
        <v>5</v>
      </c>
      <c r="F171" t="str" cm="1">
        <f t="array" ref="F171">IF(SUM(IF(PartList[ASSLY MARK]=PartList[[#This Row],[ASSLY MARK]],1,0))&gt;1,"No","Yes")</f>
        <v>Yes</v>
      </c>
      <c r="G171" t="str" cm="1">
        <f t="array" ref="G171">_xlfn.TEXTJOIN("_",TRUE,TRIM(_xlfn.TEXTSPLIT(PartList[[#This Row],[GRID LOCATION]],{"PR01","/","-"})))</f>
        <v>11_12_A'_A</v>
      </c>
      <c r="H171" t="str" cm="1">
        <f t="array" ref="H17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71" cm="1">
        <f t="array" ref="I17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71" t="str">
        <f>IF(IFERROR(SEARCH("&gt;",PartList[[#This Row],[ID]]),0),"O",IF(IFERROR(SEARCH("&lt;",PartList[[#This Row],[ID]]),0),"I",""))</f>
        <v/>
      </c>
      <c r="K171" t="str" cm="1">
        <f t="array" ref="K1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71" t="str" cm="1">
        <f t="array" ref="L1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71" t="str">
        <f>_xlfn.TEXTJOIN("#",TRUE,PartList[[#This Row],[ASSLY MARK]],PartList[[#This Row],[BOX NO]],PartList[[#This Row],[In/Out]],PartList[[#This Row],[O1-Grid]])</f>
        <v>3BE40#Box1_Box2_Box4_Box5#InBB</v>
      </c>
      <c r="N171" t="str">
        <f>_xlfn.TEXTJOIN("#",TRUE,PartList[[#This Row],[ASSLY MARK]],PartList[[#This Row],[BOX NO]],PartList[[#This Row],[In/Out]],PartList[[#This Row],[O2-Grid]])</f>
        <v>3BE40#Box1_Box2_Box4_Box5#InBB</v>
      </c>
      <c r="O171">
        <f>IF(PartList[[#This Row],[Unique]]="Yes",_xlfn.XLOOKUP(PartList[[#This Row],[ASSLY MARK]],FilteredPL!A:A,FilteredPL!B:B,0,0),0)</f>
        <v>0</v>
      </c>
      <c r="P171">
        <f>_xlfn.XLOOKUP(PartList[[#This Row],[ASSLY MARK]],MasterPL[SplitMarkNo],MasterPL[BILL WT.(KG)],0,0)</f>
        <v>0</v>
      </c>
      <c r="Q171" cm="1">
        <f t="array" ref="Q17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71" s="2" t="str">
        <v>4HA03</v>
      </c>
      <c r="AB171" s="2">
        <f>SUMIF(PartList[ASSLY MARK],AA171,PartList[Avail. Qty])</f>
        <v>0</v>
      </c>
    </row>
    <row r="172" spans="1:28" x14ac:dyDescent="0.25">
      <c r="A172">
        <v>418</v>
      </c>
      <c r="B172" t="s">
        <v>270</v>
      </c>
      <c r="C172" t="s">
        <v>619</v>
      </c>
      <c r="D172" t="s">
        <v>224</v>
      </c>
      <c r="E172" t="s">
        <v>5</v>
      </c>
      <c r="F172" t="str" cm="1">
        <f t="array" ref="F172">IF(SUM(IF(PartList[ASSLY MARK]=PartList[[#This Row],[ASSLY MARK]],1,0))&gt;1,"No","Yes")</f>
        <v>Yes</v>
      </c>
      <c r="G172" t="str" cm="1">
        <f t="array" ref="G172">_xlfn.TEXTJOIN("_",TRUE,TRIM(_xlfn.TEXTSPLIT(PartList[[#This Row],[GRID LOCATION]],{"PR01","/","-"})))</f>
        <v>14_B&gt;</v>
      </c>
      <c r="H172" t="str" cm="1">
        <f t="array" ref="H17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172" cm="1">
        <f t="array" ref="I17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72" t="str">
        <f>IF(IFERROR(SEARCH("&gt;",PartList[[#This Row],[ID]]),0),"O",IF(IFERROR(SEARCH("&lt;",PartList[[#This Row],[ID]]),0),"I",""))</f>
        <v>O</v>
      </c>
      <c r="K172" t="str" cm="1">
        <f t="array" ref="K1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72" t="str" cm="1">
        <f t="array" ref="L1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72" t="str">
        <f>_xlfn.TEXTJOIN("#",TRUE,PartList[[#This Row],[ASSLY MARK]],PartList[[#This Row],[BOX NO]],PartList[[#This Row],[In/Out]],PartList[[#This Row],[O1-Grid]])</f>
        <v>3BE60#Box1_Box2_Box3_Box6#O</v>
      </c>
      <c r="N172" t="str">
        <f>_xlfn.TEXTJOIN("#",TRUE,PartList[[#This Row],[ASSLY MARK]],PartList[[#This Row],[BOX NO]],PartList[[#This Row],[In/Out]],PartList[[#This Row],[O2-Grid]])</f>
        <v>3BE60#Box1_Box2_Box3_Box6#O</v>
      </c>
      <c r="O172">
        <f>IF(PartList[[#This Row],[Unique]]="Yes",_xlfn.XLOOKUP(PartList[[#This Row],[ASSLY MARK]],FilteredPL!A:A,FilteredPL!B:B,0,0),0)</f>
        <v>0</v>
      </c>
      <c r="P172">
        <f>_xlfn.XLOOKUP(PartList[[#This Row],[ASSLY MARK]],MasterPL[SplitMarkNo],MasterPL[BILL WT.(KG)],0,0)</f>
        <v>0</v>
      </c>
      <c r="Q172" cm="1">
        <f t="array" ref="Q17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72" s="2" t="str">
        <v>4HB01</v>
      </c>
      <c r="AB172" s="2">
        <f>SUMIF(PartList[ASSLY MARK],AA172,PartList[Avail. Qty])</f>
        <v>0</v>
      </c>
    </row>
    <row r="173" spans="1:28" x14ac:dyDescent="0.25">
      <c r="A173">
        <v>428</v>
      </c>
      <c r="B173" t="s">
        <v>276</v>
      </c>
      <c r="C173" t="s">
        <v>512</v>
      </c>
      <c r="D173" t="s">
        <v>286</v>
      </c>
      <c r="E173" t="s">
        <v>6</v>
      </c>
      <c r="F173" t="str" cm="1">
        <f t="array" ref="F173">IF(SUM(IF(PartList[ASSLY MARK]=PartList[[#This Row],[ASSLY MARK]],1,0))&gt;1,"No","Yes")</f>
        <v>Yes</v>
      </c>
      <c r="G173" t="str" cm="1">
        <f t="array" ref="G173">_xlfn.TEXTJOIN("_",TRUE,TRIM(_xlfn.TEXTSPLIT(PartList[[#This Row],[GRID LOCATION]],{"PR01","/","-"})))</f>
        <v>10_11_A'_A</v>
      </c>
      <c r="H173" t="str" cm="1">
        <f t="array" ref="H17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173" cm="1">
        <f t="array" ref="I17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73" t="str">
        <f>IF(IFERROR(SEARCH("&gt;",PartList[[#This Row],[ID]]),0),"O",IF(IFERROR(SEARCH("&lt;",PartList[[#This Row],[ID]]),0),"I",""))</f>
        <v/>
      </c>
      <c r="K173" t="str" cm="1">
        <f t="array" ref="K1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73" t="str" cm="1">
        <f t="array" ref="L1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73" t="str">
        <f>_xlfn.TEXTJOIN("#",TRUE,PartList[[#This Row],[ASSLY MARK]],PartList[[#This Row],[BOX NO]],PartList[[#This Row],[In/Out]],PartList[[#This Row],[O1-Grid]])</f>
        <v>3HB01#Box1_Box4#InBB</v>
      </c>
      <c r="N173" t="str">
        <f>_xlfn.TEXTJOIN("#",TRUE,PartList[[#This Row],[ASSLY MARK]],PartList[[#This Row],[BOX NO]],PartList[[#This Row],[In/Out]],PartList[[#This Row],[O2-Grid]])</f>
        <v>3HB01#Box1_Box4#InBB</v>
      </c>
      <c r="O173">
        <f>IF(PartList[[#This Row],[Unique]]="Yes",_xlfn.XLOOKUP(PartList[[#This Row],[ASSLY MARK]],FilteredPL!A:A,FilteredPL!B:B,0,0),0)</f>
        <v>0</v>
      </c>
      <c r="P173">
        <f>_xlfn.XLOOKUP(PartList[[#This Row],[ASSLY MARK]],MasterPL[SplitMarkNo],MasterPL[BILL WT.(KG)],0,0)</f>
        <v>0</v>
      </c>
      <c r="Q173" cm="1">
        <f t="array" ref="Q17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73" s="2" t="str">
        <v>5BE01</v>
      </c>
      <c r="AB173" s="2">
        <f>SUMIF(PartList[ASSLY MARK],AA173,PartList[Avail. Qty])</f>
        <v>0</v>
      </c>
    </row>
    <row r="174" spans="1:28" x14ac:dyDescent="0.25">
      <c r="A174">
        <v>429</v>
      </c>
      <c r="B174" t="s">
        <v>277</v>
      </c>
      <c r="C174" t="s">
        <v>515</v>
      </c>
      <c r="D174" t="s">
        <v>286</v>
      </c>
      <c r="E174" t="s">
        <v>6</v>
      </c>
      <c r="F174" t="str" cm="1">
        <f t="array" ref="F174">IF(SUM(IF(PartList[ASSLY MARK]=PartList[[#This Row],[ASSLY MARK]],1,0))&gt;1,"No","Yes")</f>
        <v>No</v>
      </c>
      <c r="G174" t="str" cm="1">
        <f t="array" ref="G174">_xlfn.TEXTJOIN("_",TRUE,TRIM(_xlfn.TEXTSPLIT(PartList[[#This Row],[GRID LOCATION]],{"PR01","/","-"})))</f>
        <v>10_11_A_B</v>
      </c>
      <c r="H174" t="str" cm="1">
        <f t="array" ref="H17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74" cm="1">
        <f t="array" ref="I17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74" t="str">
        <f>IF(IFERROR(SEARCH("&gt;",PartList[[#This Row],[ID]]),0),"O",IF(IFERROR(SEARCH("&lt;",PartList[[#This Row],[ID]]),0),"I",""))</f>
        <v/>
      </c>
      <c r="K174" t="str" cm="1">
        <f t="array" ref="K1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74" t="str" cm="1">
        <f t="array" ref="L1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74" t="str">
        <f>_xlfn.TEXTJOIN("#",TRUE,PartList[[#This Row],[ASSLY MARK]],PartList[[#This Row],[BOX NO]],PartList[[#This Row],[In/Out]],PartList[[#This Row],[O1-Grid]])</f>
        <v>3HB02#Box1#InB</v>
      </c>
      <c r="N174" t="str">
        <f>_xlfn.TEXTJOIN("#",TRUE,PartList[[#This Row],[ASSLY MARK]],PartList[[#This Row],[BOX NO]],PartList[[#This Row],[In/Out]],PartList[[#This Row],[O2-Grid]])</f>
        <v>3HB02#Box1#InB</v>
      </c>
      <c r="O174">
        <f>IF(PartList[[#This Row],[Unique]]="Yes",_xlfn.XLOOKUP(PartList[[#This Row],[ASSLY MARK]],FilteredPL!A:A,FilteredPL!B:B,0,0),0)</f>
        <v>0</v>
      </c>
      <c r="P174">
        <f>_xlfn.XLOOKUP(PartList[[#This Row],[ASSLY MARK]],MasterPL[SplitMarkNo],MasterPL[BILL WT.(KG)],0,0)</f>
        <v>0</v>
      </c>
      <c r="Q174" cm="1">
        <f t="array" ref="Q17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74" s="2" t="str">
        <v>5BE02</v>
      </c>
      <c r="AB174" s="2">
        <f>SUMIF(PartList[ASSLY MARK],AA174,PartList[Avail. Qty])</f>
        <v>0</v>
      </c>
    </row>
    <row r="175" spans="1:28" x14ac:dyDescent="0.25">
      <c r="A175">
        <v>430</v>
      </c>
      <c r="B175" t="s">
        <v>277</v>
      </c>
      <c r="C175" t="s">
        <v>515</v>
      </c>
      <c r="D175" t="s">
        <v>286</v>
      </c>
      <c r="E175" t="s">
        <v>6</v>
      </c>
      <c r="F175" t="str" cm="1">
        <f t="array" ref="F175">IF(SUM(IF(PartList[ASSLY MARK]=PartList[[#This Row],[ASSLY MARK]],1,0))&gt;1,"No","Yes")</f>
        <v>No</v>
      </c>
      <c r="G175" t="str" cm="1">
        <f t="array" ref="G175">_xlfn.TEXTJOIN("_",TRUE,TRIM(_xlfn.TEXTSPLIT(PartList[[#This Row],[GRID LOCATION]],{"PR01","/","-"})))</f>
        <v>10_11_A_B</v>
      </c>
      <c r="H175" t="str" cm="1">
        <f t="array" ref="H17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75" cm="1">
        <f t="array" ref="I17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75" t="str">
        <f>IF(IFERROR(SEARCH("&gt;",PartList[[#This Row],[ID]]),0),"O",IF(IFERROR(SEARCH("&lt;",PartList[[#This Row],[ID]]),0),"I",""))</f>
        <v/>
      </c>
      <c r="K175" t="str" cm="1">
        <f t="array" ref="K1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75" t="str" cm="1">
        <f t="array" ref="L1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75" t="str">
        <f>_xlfn.TEXTJOIN("#",TRUE,PartList[[#This Row],[ASSLY MARK]],PartList[[#This Row],[BOX NO]],PartList[[#This Row],[In/Out]],PartList[[#This Row],[O1-Grid]])</f>
        <v>3HB02#Box1#InB</v>
      </c>
      <c r="N175" t="str">
        <f>_xlfn.TEXTJOIN("#",TRUE,PartList[[#This Row],[ASSLY MARK]],PartList[[#This Row],[BOX NO]],PartList[[#This Row],[In/Out]],PartList[[#This Row],[O2-Grid]])</f>
        <v>3HB02#Box1#InB</v>
      </c>
      <c r="O175">
        <f>IF(PartList[[#This Row],[Unique]]="Yes",_xlfn.XLOOKUP(PartList[[#This Row],[ASSLY MARK]],FilteredPL!A:A,FilteredPL!B:B,0,0),0)</f>
        <v>0</v>
      </c>
      <c r="P175">
        <f>_xlfn.XLOOKUP(PartList[[#This Row],[ASSLY MARK]],MasterPL[SplitMarkNo],MasterPL[BILL WT.(KG)],0,0)</f>
        <v>0</v>
      </c>
      <c r="Q175" cm="1">
        <f t="array" ref="Q17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75" s="2" t="str">
        <v>5BE03</v>
      </c>
      <c r="AB175" s="2">
        <f>SUMIF(PartList[ASSLY MARK],AA175,PartList[Avail. Qty])</f>
        <v>0</v>
      </c>
    </row>
    <row r="176" spans="1:28" x14ac:dyDescent="0.25">
      <c r="A176">
        <v>431</v>
      </c>
      <c r="B176" t="s">
        <v>277</v>
      </c>
      <c r="C176" t="s">
        <v>515</v>
      </c>
      <c r="D176" t="s">
        <v>286</v>
      </c>
      <c r="E176" t="s">
        <v>6</v>
      </c>
      <c r="F176" t="str" cm="1">
        <f t="array" ref="F176">IF(SUM(IF(PartList[ASSLY MARK]=PartList[[#This Row],[ASSLY MARK]],1,0))&gt;1,"No","Yes")</f>
        <v>No</v>
      </c>
      <c r="G176" t="str" cm="1">
        <f t="array" ref="G176">_xlfn.TEXTJOIN("_",TRUE,TRIM(_xlfn.TEXTSPLIT(PartList[[#This Row],[GRID LOCATION]],{"PR01","/","-"})))</f>
        <v>10_11_A_B</v>
      </c>
      <c r="H176" t="str" cm="1">
        <f t="array" ref="H17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76" cm="1">
        <f t="array" ref="I17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76" t="str">
        <f>IF(IFERROR(SEARCH("&gt;",PartList[[#This Row],[ID]]),0),"O",IF(IFERROR(SEARCH("&lt;",PartList[[#This Row],[ID]]),0),"I",""))</f>
        <v/>
      </c>
      <c r="K176" t="str" cm="1">
        <f t="array" ref="K1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76" t="str" cm="1">
        <f t="array" ref="L1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76" t="str">
        <f>_xlfn.TEXTJOIN("#",TRUE,PartList[[#This Row],[ASSLY MARK]],PartList[[#This Row],[BOX NO]],PartList[[#This Row],[In/Out]],PartList[[#This Row],[O1-Grid]])</f>
        <v>3HB02#Box1#InB</v>
      </c>
      <c r="N176" t="str">
        <f>_xlfn.TEXTJOIN("#",TRUE,PartList[[#This Row],[ASSLY MARK]],PartList[[#This Row],[BOX NO]],PartList[[#This Row],[In/Out]],PartList[[#This Row],[O2-Grid]])</f>
        <v>3HB02#Box1#InB</v>
      </c>
      <c r="O176">
        <f>IF(PartList[[#This Row],[Unique]]="Yes",_xlfn.XLOOKUP(PartList[[#This Row],[ASSLY MARK]],FilteredPL!A:A,FilteredPL!B:B,0,0),0)</f>
        <v>0</v>
      </c>
      <c r="P176">
        <f>_xlfn.XLOOKUP(PartList[[#This Row],[ASSLY MARK]],MasterPL[SplitMarkNo],MasterPL[BILL WT.(KG)],0,0)</f>
        <v>0</v>
      </c>
      <c r="Q176" cm="1">
        <f t="array" ref="Q17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76" s="2" t="str">
        <v>5BE04</v>
      </c>
      <c r="AB176" s="2">
        <f>SUMIF(PartList[ASSLY MARK],AA176,PartList[Avail. Qty])</f>
        <v>0</v>
      </c>
    </row>
    <row r="177" spans="1:28" x14ac:dyDescent="0.25">
      <c r="A177">
        <v>432</v>
      </c>
      <c r="B177" t="s">
        <v>277</v>
      </c>
      <c r="C177" t="s">
        <v>515</v>
      </c>
      <c r="D177" t="s">
        <v>286</v>
      </c>
      <c r="E177" t="s">
        <v>6</v>
      </c>
      <c r="F177" t="str" cm="1">
        <f t="array" ref="F177">IF(SUM(IF(PartList[ASSLY MARK]=PartList[[#This Row],[ASSLY MARK]],1,0))&gt;1,"No","Yes")</f>
        <v>No</v>
      </c>
      <c r="G177" t="str" cm="1">
        <f t="array" ref="G177">_xlfn.TEXTJOIN("_",TRUE,TRIM(_xlfn.TEXTSPLIT(PartList[[#This Row],[GRID LOCATION]],{"PR01","/","-"})))</f>
        <v>10_11_A_B</v>
      </c>
      <c r="H177" t="str" cm="1">
        <f t="array" ref="H17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77" cm="1">
        <f t="array" ref="I17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77" t="str">
        <f>IF(IFERROR(SEARCH("&gt;",PartList[[#This Row],[ID]]),0),"O",IF(IFERROR(SEARCH("&lt;",PartList[[#This Row],[ID]]),0),"I",""))</f>
        <v/>
      </c>
      <c r="K177" t="str" cm="1">
        <f t="array" ref="K1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77" t="str" cm="1">
        <f t="array" ref="L1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77" t="str">
        <f>_xlfn.TEXTJOIN("#",TRUE,PartList[[#This Row],[ASSLY MARK]],PartList[[#This Row],[BOX NO]],PartList[[#This Row],[In/Out]],PartList[[#This Row],[O1-Grid]])</f>
        <v>3HB02#Box1#InB</v>
      </c>
      <c r="N177" t="str">
        <f>_xlfn.TEXTJOIN("#",TRUE,PartList[[#This Row],[ASSLY MARK]],PartList[[#This Row],[BOX NO]],PartList[[#This Row],[In/Out]],PartList[[#This Row],[O2-Grid]])</f>
        <v>3HB02#Box1#InB</v>
      </c>
      <c r="O177">
        <f>IF(PartList[[#This Row],[Unique]]="Yes",_xlfn.XLOOKUP(PartList[[#This Row],[ASSLY MARK]],FilteredPL!A:A,FilteredPL!B:B,0,0),0)</f>
        <v>0</v>
      </c>
      <c r="P177">
        <f>_xlfn.XLOOKUP(PartList[[#This Row],[ASSLY MARK]],MasterPL[SplitMarkNo],MasterPL[BILL WT.(KG)],0,0)</f>
        <v>0</v>
      </c>
      <c r="Q177" cm="1">
        <f t="array" ref="Q17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77" s="2" t="str">
        <v>5BE05</v>
      </c>
      <c r="AB177" s="2">
        <f>SUMIF(PartList[ASSLY MARK],AA177,PartList[Avail. Qty])</f>
        <v>0</v>
      </c>
    </row>
    <row r="178" spans="1:28" x14ac:dyDescent="0.25">
      <c r="A178">
        <v>433</v>
      </c>
      <c r="B178" t="s">
        <v>278</v>
      </c>
      <c r="C178" t="s">
        <v>513</v>
      </c>
      <c r="D178" t="s">
        <v>286</v>
      </c>
      <c r="E178" t="s">
        <v>6</v>
      </c>
      <c r="F178" t="str" cm="1">
        <f t="array" ref="F178">IF(SUM(IF(PartList[ASSLY MARK]=PartList[[#This Row],[ASSLY MARK]],1,0))&gt;1,"No","Yes")</f>
        <v>No</v>
      </c>
      <c r="G178" t="str" cm="1">
        <f t="array" ref="G178">_xlfn.TEXTJOIN("_",TRUE,TRIM(_xlfn.TEXTSPLIT(PartList[[#This Row],[GRID LOCATION]],{"PR01","/","-"})))</f>
        <v>10_11_B&gt;</v>
      </c>
      <c r="H178" t="str" cm="1">
        <f t="array" ref="H17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78" cm="1">
        <f t="array" ref="I17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78" t="str">
        <f>IF(IFERROR(SEARCH("&gt;",PartList[[#This Row],[ID]]),0),"O",IF(IFERROR(SEARCH("&lt;",PartList[[#This Row],[ID]]),0),"I",""))</f>
        <v>O</v>
      </c>
      <c r="K178" t="str" cm="1">
        <f t="array" ref="K1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78" t="str" cm="1">
        <f t="array" ref="L1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78" t="str">
        <f>_xlfn.TEXTJOIN("#",TRUE,PartList[[#This Row],[ASSLY MARK]],PartList[[#This Row],[BOX NO]],PartList[[#This Row],[In/Out]],PartList[[#This Row],[O1-Grid]])</f>
        <v>3HB03#Box1#O</v>
      </c>
      <c r="N178" t="str">
        <f>_xlfn.TEXTJOIN("#",TRUE,PartList[[#This Row],[ASSLY MARK]],PartList[[#This Row],[BOX NO]],PartList[[#This Row],[In/Out]],PartList[[#This Row],[O2-Grid]])</f>
        <v>3HB03#Box1#O</v>
      </c>
      <c r="O178">
        <f>IF(PartList[[#This Row],[Unique]]="Yes",_xlfn.XLOOKUP(PartList[[#This Row],[ASSLY MARK]],FilteredPL!A:A,FilteredPL!B:B,0,0),0)</f>
        <v>0</v>
      </c>
      <c r="P178">
        <f>_xlfn.XLOOKUP(PartList[[#This Row],[ASSLY MARK]],MasterPL[SplitMarkNo],MasterPL[BILL WT.(KG)],0,0)</f>
        <v>0</v>
      </c>
      <c r="Q178" cm="1">
        <f t="array" ref="Q17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78" s="2" t="str">
        <v>5BE06</v>
      </c>
      <c r="AB178" s="2">
        <f>SUMIF(PartList[ASSLY MARK],AA178,PartList[Avail. Qty])</f>
        <v>0</v>
      </c>
    </row>
    <row r="179" spans="1:28" x14ac:dyDescent="0.25">
      <c r="A179">
        <v>434</v>
      </c>
      <c r="B179" t="s">
        <v>278</v>
      </c>
      <c r="C179" t="s">
        <v>513</v>
      </c>
      <c r="D179" t="s">
        <v>286</v>
      </c>
      <c r="E179" t="s">
        <v>6</v>
      </c>
      <c r="F179" t="str" cm="1">
        <f t="array" ref="F179">IF(SUM(IF(PartList[ASSLY MARK]=PartList[[#This Row],[ASSLY MARK]],1,0))&gt;1,"No","Yes")</f>
        <v>No</v>
      </c>
      <c r="G179" t="str" cm="1">
        <f t="array" ref="G179">_xlfn.TEXTJOIN("_",TRUE,TRIM(_xlfn.TEXTSPLIT(PartList[[#This Row],[GRID LOCATION]],{"PR01","/","-"})))</f>
        <v>10_11_B&gt;</v>
      </c>
      <c r="H179" t="str" cm="1">
        <f t="array" ref="H17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79" cm="1">
        <f t="array" ref="I17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79" t="str">
        <f>IF(IFERROR(SEARCH("&gt;",PartList[[#This Row],[ID]]),0),"O",IF(IFERROR(SEARCH("&lt;",PartList[[#This Row],[ID]]),0),"I",""))</f>
        <v>O</v>
      </c>
      <c r="K179" t="str" cm="1">
        <f t="array" ref="K1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79" t="str" cm="1">
        <f t="array" ref="L1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79" t="str">
        <f>_xlfn.TEXTJOIN("#",TRUE,PartList[[#This Row],[ASSLY MARK]],PartList[[#This Row],[BOX NO]],PartList[[#This Row],[In/Out]],PartList[[#This Row],[O1-Grid]])</f>
        <v>3HB03#Box1#O</v>
      </c>
      <c r="N179" t="str">
        <f>_xlfn.TEXTJOIN("#",TRUE,PartList[[#This Row],[ASSLY MARK]],PartList[[#This Row],[BOX NO]],PartList[[#This Row],[In/Out]],PartList[[#This Row],[O2-Grid]])</f>
        <v>3HB03#Box1#O</v>
      </c>
      <c r="O179">
        <f>IF(PartList[[#This Row],[Unique]]="Yes",_xlfn.XLOOKUP(PartList[[#This Row],[ASSLY MARK]],FilteredPL!A:A,FilteredPL!B:B,0,0),0)</f>
        <v>0</v>
      </c>
      <c r="P179">
        <f>_xlfn.XLOOKUP(PartList[[#This Row],[ASSLY MARK]],MasterPL[SplitMarkNo],MasterPL[BILL WT.(KG)],0,0)</f>
        <v>0</v>
      </c>
      <c r="Q179" cm="1">
        <f t="array" ref="Q17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79" s="2" t="str">
        <v>5BE07</v>
      </c>
      <c r="AB179" s="2">
        <f>SUMIF(PartList[ASSLY MARK],AA179,PartList[Avail. Qty])</f>
        <v>0</v>
      </c>
    </row>
    <row r="180" spans="1:28" x14ac:dyDescent="0.25">
      <c r="A180">
        <v>435</v>
      </c>
      <c r="B180" t="s">
        <v>279</v>
      </c>
      <c r="C180" t="s">
        <v>515</v>
      </c>
      <c r="D180" t="s">
        <v>286</v>
      </c>
      <c r="E180" t="s">
        <v>6</v>
      </c>
      <c r="F180" t="str" cm="1">
        <f t="array" ref="F180">IF(SUM(IF(PartList[ASSLY MARK]=PartList[[#This Row],[ASSLY MARK]],1,0))&gt;1,"No","Yes")</f>
        <v>No</v>
      </c>
      <c r="G180" t="str" cm="1">
        <f t="array" ref="G180">_xlfn.TEXTJOIN("_",TRUE,TRIM(_xlfn.TEXTSPLIT(PartList[[#This Row],[GRID LOCATION]],{"PR01","/","-"})))</f>
        <v>10_11_A_B</v>
      </c>
      <c r="H180" t="str" cm="1">
        <f t="array" ref="H18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80" cm="1">
        <f t="array" ref="I18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80" t="str">
        <f>IF(IFERROR(SEARCH("&gt;",PartList[[#This Row],[ID]]),0),"O",IF(IFERROR(SEARCH("&lt;",PartList[[#This Row],[ID]]),0),"I",""))</f>
        <v/>
      </c>
      <c r="K180" t="str" cm="1">
        <f t="array" ref="K1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80" t="str" cm="1">
        <f t="array" ref="L1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80" t="str">
        <f>_xlfn.TEXTJOIN("#",TRUE,PartList[[#This Row],[ASSLY MARK]],PartList[[#This Row],[BOX NO]],PartList[[#This Row],[In/Out]],PartList[[#This Row],[O1-Grid]])</f>
        <v>3HB04#Box1#InB</v>
      </c>
      <c r="N180" t="str">
        <f>_xlfn.TEXTJOIN("#",TRUE,PartList[[#This Row],[ASSLY MARK]],PartList[[#This Row],[BOX NO]],PartList[[#This Row],[In/Out]],PartList[[#This Row],[O2-Grid]])</f>
        <v>3HB04#Box1#InB</v>
      </c>
      <c r="O180">
        <f>IF(PartList[[#This Row],[Unique]]="Yes",_xlfn.XLOOKUP(PartList[[#This Row],[ASSLY MARK]],FilteredPL!A:A,FilteredPL!B:B,0,0),0)</f>
        <v>0</v>
      </c>
      <c r="P180">
        <f>_xlfn.XLOOKUP(PartList[[#This Row],[ASSLY MARK]],MasterPL[SplitMarkNo],MasterPL[BILL WT.(KG)],0,0)</f>
        <v>0</v>
      </c>
      <c r="Q180" cm="1">
        <f t="array" ref="Q18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80" s="2" t="str">
        <v>5BE08</v>
      </c>
      <c r="AB180" s="2">
        <f>SUMIF(PartList[ASSLY MARK],AA180,PartList[Avail. Qty])</f>
        <v>0</v>
      </c>
    </row>
    <row r="181" spans="1:28" x14ac:dyDescent="0.25">
      <c r="A181">
        <v>436</v>
      </c>
      <c r="B181" t="s">
        <v>279</v>
      </c>
      <c r="C181" t="s">
        <v>515</v>
      </c>
      <c r="D181" t="s">
        <v>286</v>
      </c>
      <c r="E181" t="s">
        <v>6</v>
      </c>
      <c r="F181" t="str" cm="1">
        <f t="array" ref="F181">IF(SUM(IF(PartList[ASSLY MARK]=PartList[[#This Row],[ASSLY MARK]],1,0))&gt;1,"No","Yes")</f>
        <v>No</v>
      </c>
      <c r="G181" t="str" cm="1">
        <f t="array" ref="G181">_xlfn.TEXTJOIN("_",TRUE,TRIM(_xlfn.TEXTSPLIT(PartList[[#This Row],[GRID LOCATION]],{"PR01","/","-"})))</f>
        <v>10_11_A_B</v>
      </c>
      <c r="H181" t="str" cm="1">
        <f t="array" ref="H18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81" cm="1">
        <f t="array" ref="I18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81" t="str">
        <f>IF(IFERROR(SEARCH("&gt;",PartList[[#This Row],[ID]]),0),"O",IF(IFERROR(SEARCH("&lt;",PartList[[#This Row],[ID]]),0),"I",""))</f>
        <v/>
      </c>
      <c r="K181" t="str" cm="1">
        <f t="array" ref="K1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81" t="str" cm="1">
        <f t="array" ref="L1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81" t="str">
        <f>_xlfn.TEXTJOIN("#",TRUE,PartList[[#This Row],[ASSLY MARK]],PartList[[#This Row],[BOX NO]],PartList[[#This Row],[In/Out]],PartList[[#This Row],[O1-Grid]])</f>
        <v>3HB04#Box1#InB</v>
      </c>
      <c r="N181" t="str">
        <f>_xlfn.TEXTJOIN("#",TRUE,PartList[[#This Row],[ASSLY MARK]],PartList[[#This Row],[BOX NO]],PartList[[#This Row],[In/Out]],PartList[[#This Row],[O2-Grid]])</f>
        <v>3HB04#Box1#InB</v>
      </c>
      <c r="O181">
        <f>IF(PartList[[#This Row],[Unique]]="Yes",_xlfn.XLOOKUP(PartList[[#This Row],[ASSLY MARK]],FilteredPL!A:A,FilteredPL!B:B,0,0),0)</f>
        <v>0</v>
      </c>
      <c r="P181">
        <f>_xlfn.XLOOKUP(PartList[[#This Row],[ASSLY MARK]],MasterPL[SplitMarkNo],MasterPL[BILL WT.(KG)],0,0)</f>
        <v>0</v>
      </c>
      <c r="Q181" cm="1">
        <f t="array" ref="Q18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81" s="2" t="str">
        <v>5BE09</v>
      </c>
      <c r="AB181" s="2">
        <f>SUMIF(PartList[ASSLY MARK],AA181,PartList[Avail. Qty])</f>
        <v>0</v>
      </c>
    </row>
    <row r="182" spans="1:28" x14ac:dyDescent="0.25">
      <c r="A182">
        <v>437</v>
      </c>
      <c r="B182" t="s">
        <v>279</v>
      </c>
      <c r="C182" t="s">
        <v>515</v>
      </c>
      <c r="D182" t="s">
        <v>286</v>
      </c>
      <c r="E182" t="s">
        <v>6</v>
      </c>
      <c r="F182" t="str" cm="1">
        <f t="array" ref="F182">IF(SUM(IF(PartList[ASSLY MARK]=PartList[[#This Row],[ASSLY MARK]],1,0))&gt;1,"No","Yes")</f>
        <v>No</v>
      </c>
      <c r="G182" t="str" cm="1">
        <f t="array" ref="G182">_xlfn.TEXTJOIN("_",TRUE,TRIM(_xlfn.TEXTSPLIT(PartList[[#This Row],[GRID LOCATION]],{"PR01","/","-"})))</f>
        <v>10_11_A_B</v>
      </c>
      <c r="H182" t="str" cm="1">
        <f t="array" ref="H18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82" cm="1">
        <f t="array" ref="I18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82" t="str">
        <f>IF(IFERROR(SEARCH("&gt;",PartList[[#This Row],[ID]]),0),"O",IF(IFERROR(SEARCH("&lt;",PartList[[#This Row],[ID]]),0),"I",""))</f>
        <v/>
      </c>
      <c r="K182" t="str" cm="1">
        <f t="array" ref="K1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82" t="str" cm="1">
        <f t="array" ref="L1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82" t="str">
        <f>_xlfn.TEXTJOIN("#",TRUE,PartList[[#This Row],[ASSLY MARK]],PartList[[#This Row],[BOX NO]],PartList[[#This Row],[In/Out]],PartList[[#This Row],[O1-Grid]])</f>
        <v>3HB04#Box1#InB</v>
      </c>
      <c r="N182" t="str">
        <f>_xlfn.TEXTJOIN("#",TRUE,PartList[[#This Row],[ASSLY MARK]],PartList[[#This Row],[BOX NO]],PartList[[#This Row],[In/Out]],PartList[[#This Row],[O2-Grid]])</f>
        <v>3HB04#Box1#InB</v>
      </c>
      <c r="O182">
        <f>IF(PartList[[#This Row],[Unique]]="Yes",_xlfn.XLOOKUP(PartList[[#This Row],[ASSLY MARK]],FilteredPL!A:A,FilteredPL!B:B,0,0),0)</f>
        <v>0</v>
      </c>
      <c r="P182">
        <f>_xlfn.XLOOKUP(PartList[[#This Row],[ASSLY MARK]],MasterPL[SplitMarkNo],MasterPL[BILL WT.(KG)],0,0)</f>
        <v>0</v>
      </c>
      <c r="Q182" cm="1">
        <f t="array" ref="Q18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82" s="2" t="str">
        <v>5BE11</v>
      </c>
      <c r="AB182" s="2">
        <f>SUMIF(PartList[ASSLY MARK],AA182,PartList[Avail. Qty])</f>
        <v>0</v>
      </c>
    </row>
    <row r="183" spans="1:28" x14ac:dyDescent="0.25">
      <c r="A183">
        <v>438</v>
      </c>
      <c r="B183" t="s">
        <v>279</v>
      </c>
      <c r="C183" t="s">
        <v>515</v>
      </c>
      <c r="D183" t="s">
        <v>286</v>
      </c>
      <c r="E183" t="s">
        <v>6</v>
      </c>
      <c r="F183" t="str" cm="1">
        <f t="array" ref="F183">IF(SUM(IF(PartList[ASSLY MARK]=PartList[[#This Row],[ASSLY MARK]],1,0))&gt;1,"No","Yes")</f>
        <v>No</v>
      </c>
      <c r="G183" t="str" cm="1">
        <f t="array" ref="G183">_xlfn.TEXTJOIN("_",TRUE,TRIM(_xlfn.TEXTSPLIT(PartList[[#This Row],[GRID LOCATION]],{"PR01","/","-"})))</f>
        <v>10_11_A_B</v>
      </c>
      <c r="H183" t="str" cm="1">
        <f t="array" ref="H18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83" cm="1">
        <f t="array" ref="I18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83" t="str">
        <f>IF(IFERROR(SEARCH("&gt;",PartList[[#This Row],[ID]]),0),"O",IF(IFERROR(SEARCH("&lt;",PartList[[#This Row],[ID]]),0),"I",""))</f>
        <v/>
      </c>
      <c r="K183" t="str" cm="1">
        <f t="array" ref="K1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83" t="str" cm="1">
        <f t="array" ref="L1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83" t="str">
        <f>_xlfn.TEXTJOIN("#",TRUE,PartList[[#This Row],[ASSLY MARK]],PartList[[#This Row],[BOX NO]],PartList[[#This Row],[In/Out]],PartList[[#This Row],[O1-Grid]])</f>
        <v>3HB04#Box1#InB</v>
      </c>
      <c r="N183" t="str">
        <f>_xlfn.TEXTJOIN("#",TRUE,PartList[[#This Row],[ASSLY MARK]],PartList[[#This Row],[BOX NO]],PartList[[#This Row],[In/Out]],PartList[[#This Row],[O2-Grid]])</f>
        <v>3HB04#Box1#InB</v>
      </c>
      <c r="O183">
        <f>IF(PartList[[#This Row],[Unique]]="Yes",_xlfn.XLOOKUP(PartList[[#This Row],[ASSLY MARK]],FilteredPL!A:A,FilteredPL!B:B,0,0),0)</f>
        <v>0</v>
      </c>
      <c r="P183">
        <f>_xlfn.XLOOKUP(PartList[[#This Row],[ASSLY MARK]],MasterPL[SplitMarkNo],MasterPL[BILL WT.(KG)],0,0)</f>
        <v>0</v>
      </c>
      <c r="Q183" cm="1">
        <f t="array" ref="Q18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83" s="2" t="str">
        <v>5BE12</v>
      </c>
      <c r="AB183" s="2">
        <f>SUMIF(PartList[ASSLY MARK],AA183,PartList[Avail. Qty])</f>
        <v>0</v>
      </c>
    </row>
    <row r="184" spans="1:28" x14ac:dyDescent="0.25">
      <c r="A184">
        <v>439</v>
      </c>
      <c r="B184" t="s">
        <v>280</v>
      </c>
      <c r="C184" t="s">
        <v>513</v>
      </c>
      <c r="D184" t="s">
        <v>286</v>
      </c>
      <c r="E184" t="s">
        <v>6</v>
      </c>
      <c r="F184" t="str" cm="1">
        <f t="array" ref="F184">IF(SUM(IF(PartList[ASSLY MARK]=PartList[[#This Row],[ASSLY MARK]],1,0))&gt;1,"No","Yes")</f>
        <v>No</v>
      </c>
      <c r="G184" t="str" cm="1">
        <f t="array" ref="G184">_xlfn.TEXTJOIN("_",TRUE,TRIM(_xlfn.TEXTSPLIT(PartList[[#This Row],[GRID LOCATION]],{"PR01","/","-"})))</f>
        <v>10_11_B&gt;</v>
      </c>
      <c r="H184" t="str" cm="1">
        <f t="array" ref="H18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84" cm="1">
        <f t="array" ref="I18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84" t="str">
        <f>IF(IFERROR(SEARCH("&gt;",PartList[[#This Row],[ID]]),0),"O",IF(IFERROR(SEARCH("&lt;",PartList[[#This Row],[ID]]),0),"I",""))</f>
        <v>O</v>
      </c>
      <c r="K184" t="str" cm="1">
        <f t="array" ref="K1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84" t="str" cm="1">
        <f t="array" ref="L1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84" t="str">
        <f>_xlfn.TEXTJOIN("#",TRUE,PartList[[#This Row],[ASSLY MARK]],PartList[[#This Row],[BOX NO]],PartList[[#This Row],[In/Out]],PartList[[#This Row],[O1-Grid]])</f>
        <v>3HB05#Box1#O</v>
      </c>
      <c r="N184" t="str">
        <f>_xlfn.TEXTJOIN("#",TRUE,PartList[[#This Row],[ASSLY MARK]],PartList[[#This Row],[BOX NO]],PartList[[#This Row],[In/Out]],PartList[[#This Row],[O2-Grid]])</f>
        <v>3HB05#Box1#O</v>
      </c>
      <c r="O184">
        <f>IF(PartList[[#This Row],[Unique]]="Yes",_xlfn.XLOOKUP(PartList[[#This Row],[ASSLY MARK]],FilteredPL!A:A,FilteredPL!B:B,0,0),0)</f>
        <v>0</v>
      </c>
      <c r="P184">
        <f>_xlfn.XLOOKUP(PartList[[#This Row],[ASSLY MARK]],MasterPL[SplitMarkNo],MasterPL[BILL WT.(KG)],0,0)</f>
        <v>0</v>
      </c>
      <c r="Q184" cm="1">
        <f t="array" ref="Q18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84" s="2" t="str">
        <v>5BE13</v>
      </c>
      <c r="AB184" s="2">
        <f>SUMIF(PartList[ASSLY MARK],AA184,PartList[Avail. Qty])</f>
        <v>0</v>
      </c>
    </row>
    <row r="185" spans="1:28" x14ac:dyDescent="0.25">
      <c r="A185">
        <v>440</v>
      </c>
      <c r="B185" t="s">
        <v>280</v>
      </c>
      <c r="C185" t="s">
        <v>513</v>
      </c>
      <c r="D185" t="s">
        <v>286</v>
      </c>
      <c r="E185" t="s">
        <v>6</v>
      </c>
      <c r="F185" t="str" cm="1">
        <f t="array" ref="F185">IF(SUM(IF(PartList[ASSLY MARK]=PartList[[#This Row],[ASSLY MARK]],1,0))&gt;1,"No","Yes")</f>
        <v>No</v>
      </c>
      <c r="G185" t="str" cm="1">
        <f t="array" ref="G185">_xlfn.TEXTJOIN("_",TRUE,TRIM(_xlfn.TEXTSPLIT(PartList[[#This Row],[GRID LOCATION]],{"PR01","/","-"})))</f>
        <v>10_11_B&gt;</v>
      </c>
      <c r="H185" t="str" cm="1">
        <f t="array" ref="H18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85" cm="1">
        <f t="array" ref="I18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85" t="str">
        <f>IF(IFERROR(SEARCH("&gt;",PartList[[#This Row],[ID]]),0),"O",IF(IFERROR(SEARCH("&lt;",PartList[[#This Row],[ID]]),0),"I",""))</f>
        <v>O</v>
      </c>
      <c r="K185" t="str" cm="1">
        <f t="array" ref="K1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85" t="str" cm="1">
        <f t="array" ref="L1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85" t="str">
        <f>_xlfn.TEXTJOIN("#",TRUE,PartList[[#This Row],[ASSLY MARK]],PartList[[#This Row],[BOX NO]],PartList[[#This Row],[In/Out]],PartList[[#This Row],[O1-Grid]])</f>
        <v>3HB05#Box1#O</v>
      </c>
      <c r="N185" t="str">
        <f>_xlfn.TEXTJOIN("#",TRUE,PartList[[#This Row],[ASSLY MARK]],PartList[[#This Row],[BOX NO]],PartList[[#This Row],[In/Out]],PartList[[#This Row],[O2-Grid]])</f>
        <v>3HB05#Box1#O</v>
      </c>
      <c r="O185">
        <f>IF(PartList[[#This Row],[Unique]]="Yes",_xlfn.XLOOKUP(PartList[[#This Row],[ASSLY MARK]],FilteredPL!A:A,FilteredPL!B:B,0,0),0)</f>
        <v>0</v>
      </c>
      <c r="P185">
        <f>_xlfn.XLOOKUP(PartList[[#This Row],[ASSLY MARK]],MasterPL[SplitMarkNo],MasterPL[BILL WT.(KG)],0,0)</f>
        <v>0</v>
      </c>
      <c r="Q185" cm="1">
        <f t="array" ref="Q18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85" s="2" t="str">
        <v>5BE14</v>
      </c>
      <c r="AB185" s="2">
        <f>SUMIF(PartList[ASSLY MARK],AA185,PartList[Avail. Qty])</f>
        <v>0</v>
      </c>
    </row>
    <row r="186" spans="1:28" x14ac:dyDescent="0.25">
      <c r="A186">
        <v>441</v>
      </c>
      <c r="B186" t="s">
        <v>281</v>
      </c>
      <c r="C186" t="s">
        <v>515</v>
      </c>
      <c r="D186" t="s">
        <v>726</v>
      </c>
      <c r="E186" t="s">
        <v>6</v>
      </c>
      <c r="F186" t="str" cm="1">
        <f t="array" ref="F186">IF(SUM(IF(PartList[ASSLY MARK]=PartList[[#This Row],[ASSLY MARK]],1,0))&gt;1,"No","Yes")</f>
        <v>Yes</v>
      </c>
      <c r="G186" t="str" cm="1">
        <f t="array" ref="G186">_xlfn.TEXTJOIN("_",TRUE,TRIM(_xlfn.TEXTSPLIT(PartList[[#This Row],[GRID LOCATION]],{"PR01","/","-"})))</f>
        <v>10_11_A_B</v>
      </c>
      <c r="H186" t="str" cm="1">
        <f t="array" ref="H18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86" cm="1">
        <f t="array" ref="I18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86" t="str">
        <f>IF(IFERROR(SEARCH("&gt;",PartList[[#This Row],[ID]]),0),"O",IF(IFERROR(SEARCH("&lt;",PartList[[#This Row],[ID]]),0),"I",""))</f>
        <v/>
      </c>
      <c r="K186" t="str" cm="1">
        <f t="array" ref="K1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86" t="str" cm="1">
        <f t="array" ref="L1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86" t="str">
        <f>_xlfn.TEXTJOIN("#",TRUE,PartList[[#This Row],[ASSLY MARK]],PartList[[#This Row],[BOX NO]],PartList[[#This Row],[In/Out]],PartList[[#This Row],[O1-Grid]])</f>
        <v>3HB06#Box1#InB</v>
      </c>
      <c r="N186" t="str">
        <f>_xlfn.TEXTJOIN("#",TRUE,PartList[[#This Row],[ASSLY MARK]],PartList[[#This Row],[BOX NO]],PartList[[#This Row],[In/Out]],PartList[[#This Row],[O2-Grid]])</f>
        <v>3HB06#Box1#InB</v>
      </c>
      <c r="O186">
        <f>IF(PartList[[#This Row],[Unique]]="Yes",_xlfn.XLOOKUP(PartList[[#This Row],[ASSLY MARK]],FilteredPL!A:A,FilteredPL!B:B,0,0),0)</f>
        <v>0</v>
      </c>
      <c r="P186">
        <f>_xlfn.XLOOKUP(PartList[[#This Row],[ASSLY MARK]],MasterPL[SplitMarkNo],MasterPL[BILL WT.(KG)],0,0)</f>
        <v>0</v>
      </c>
      <c r="Q186" cm="1">
        <f t="array" ref="Q18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86" s="2" t="str">
        <v>5BE15</v>
      </c>
      <c r="AB186" s="2">
        <f>SUMIF(PartList[ASSLY MARK],AA186,PartList[Avail. Qty])</f>
        <v>0</v>
      </c>
    </row>
    <row r="187" spans="1:28" x14ac:dyDescent="0.25">
      <c r="A187">
        <v>442</v>
      </c>
      <c r="B187" t="s">
        <v>282</v>
      </c>
      <c r="C187" t="s">
        <v>513</v>
      </c>
      <c r="D187" t="s">
        <v>286</v>
      </c>
      <c r="E187" t="s">
        <v>6</v>
      </c>
      <c r="F187" t="str" cm="1">
        <f t="array" ref="F187">IF(SUM(IF(PartList[ASSLY MARK]=PartList[[#This Row],[ASSLY MARK]],1,0))&gt;1,"No","Yes")</f>
        <v>Yes</v>
      </c>
      <c r="G187" t="str" cm="1">
        <f t="array" ref="G187">_xlfn.TEXTJOIN("_",TRUE,TRIM(_xlfn.TEXTSPLIT(PartList[[#This Row],[GRID LOCATION]],{"PR01","/","-"})))</f>
        <v>10_11_B&gt;</v>
      </c>
      <c r="H187" t="str" cm="1">
        <f t="array" ref="H18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187" cm="1">
        <f t="array" ref="I18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87" t="str">
        <f>IF(IFERROR(SEARCH("&gt;",PartList[[#This Row],[ID]]),0),"O",IF(IFERROR(SEARCH("&lt;",PartList[[#This Row],[ID]]),0),"I",""))</f>
        <v>O</v>
      </c>
      <c r="K187" t="str" cm="1">
        <f t="array" ref="K1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87" t="str" cm="1">
        <f t="array" ref="L1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87" t="str">
        <f>_xlfn.TEXTJOIN("#",TRUE,PartList[[#This Row],[ASSLY MARK]],PartList[[#This Row],[BOX NO]],PartList[[#This Row],[In/Out]],PartList[[#This Row],[O1-Grid]])</f>
        <v>3HB07#Box1#O</v>
      </c>
      <c r="N187" t="str">
        <f>_xlfn.TEXTJOIN("#",TRUE,PartList[[#This Row],[ASSLY MARK]],PartList[[#This Row],[BOX NO]],PartList[[#This Row],[In/Out]],PartList[[#This Row],[O2-Grid]])</f>
        <v>3HB07#Box1#O</v>
      </c>
      <c r="O187">
        <f>IF(PartList[[#This Row],[Unique]]="Yes",_xlfn.XLOOKUP(PartList[[#This Row],[ASSLY MARK]],FilteredPL!A:A,FilteredPL!B:B,0,0),0)</f>
        <v>0</v>
      </c>
      <c r="P187">
        <f>_xlfn.XLOOKUP(PartList[[#This Row],[ASSLY MARK]],MasterPL[SplitMarkNo],MasterPL[BILL WT.(KG)],0,0)</f>
        <v>0</v>
      </c>
      <c r="Q187" cm="1">
        <f t="array" ref="Q18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87" s="2" t="str">
        <v>5BE16</v>
      </c>
      <c r="AB187" s="2">
        <f>SUMIF(PartList[ASSLY MARK],AA187,PartList[Avail. Qty])</f>
        <v>0</v>
      </c>
    </row>
    <row r="188" spans="1:28" x14ac:dyDescent="0.25">
      <c r="A188">
        <v>443</v>
      </c>
      <c r="B188" t="s">
        <v>283</v>
      </c>
      <c r="C188" t="s">
        <v>511</v>
      </c>
      <c r="D188" t="s">
        <v>286</v>
      </c>
      <c r="E188" t="s">
        <v>6</v>
      </c>
      <c r="F188" t="str" cm="1">
        <f t="array" ref="F188">IF(SUM(IF(PartList[ASSLY MARK]=PartList[[#This Row],[ASSLY MARK]],1,0))&gt;1,"No","Yes")</f>
        <v>Yes</v>
      </c>
      <c r="G188" t="str" cm="1">
        <f t="array" ref="G188">_xlfn.TEXTJOIN("_",TRUE,TRIM(_xlfn.TEXTSPLIT(PartList[[#This Row],[GRID LOCATION]],{"PR01","/","-"})))</f>
        <v>11_12_A'_A</v>
      </c>
      <c r="H188" t="str" cm="1">
        <f t="array" ref="H18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88" cm="1">
        <f t="array" ref="I18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88" t="str">
        <f>IF(IFERROR(SEARCH("&gt;",PartList[[#This Row],[ID]]),0),"O",IF(IFERROR(SEARCH("&lt;",PartList[[#This Row],[ID]]),0),"I",""))</f>
        <v/>
      </c>
      <c r="K188" t="str" cm="1">
        <f t="array" ref="K1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88" t="str" cm="1">
        <f t="array" ref="L1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88" t="str">
        <f>_xlfn.TEXTJOIN("#",TRUE,PartList[[#This Row],[ASSLY MARK]],PartList[[#This Row],[BOX NO]],PartList[[#This Row],[In/Out]],PartList[[#This Row],[O1-Grid]])</f>
        <v>3HB08#Box1_Box2_Box4_Box5#InBB</v>
      </c>
      <c r="N188" t="str">
        <f>_xlfn.TEXTJOIN("#",TRUE,PartList[[#This Row],[ASSLY MARK]],PartList[[#This Row],[BOX NO]],PartList[[#This Row],[In/Out]],PartList[[#This Row],[O2-Grid]])</f>
        <v>3HB08#Box1_Box2_Box4_Box5#InBB</v>
      </c>
      <c r="O188">
        <f>IF(PartList[[#This Row],[Unique]]="Yes",_xlfn.XLOOKUP(PartList[[#This Row],[ASSLY MARK]],FilteredPL!A:A,FilteredPL!B:B,0,0),0)</f>
        <v>0</v>
      </c>
      <c r="P188">
        <f>_xlfn.XLOOKUP(PartList[[#This Row],[ASSLY MARK]],MasterPL[SplitMarkNo],MasterPL[BILL WT.(KG)],0,0)</f>
        <v>0</v>
      </c>
      <c r="Q188" cm="1">
        <f t="array" ref="Q18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88" s="2" t="str">
        <v>5BE17</v>
      </c>
      <c r="AB188" s="2">
        <f>SUMIF(PartList[ASSLY MARK],AA188,PartList[Avail. Qty])</f>
        <v>0</v>
      </c>
    </row>
    <row r="189" spans="1:28" x14ac:dyDescent="0.25">
      <c r="A189">
        <v>444</v>
      </c>
      <c r="B189" t="s">
        <v>284</v>
      </c>
      <c r="C189" t="s">
        <v>531</v>
      </c>
      <c r="D189" t="s">
        <v>286</v>
      </c>
      <c r="E189" t="s">
        <v>6</v>
      </c>
      <c r="F189" t="str" cm="1">
        <f t="array" ref="F189">IF(SUM(IF(PartList[ASSLY MARK]=PartList[[#This Row],[ASSLY MARK]],1,0))&gt;1,"No","Yes")</f>
        <v>Yes</v>
      </c>
      <c r="G189" t="str" cm="1">
        <f t="array" ref="G189">_xlfn.TEXTJOIN("_",TRUE,TRIM(_xlfn.TEXTSPLIT(PartList[[#This Row],[GRID LOCATION]],{"PR01","/","-"})))</f>
        <v>11_12_B&gt;</v>
      </c>
      <c r="H189" t="str" cm="1">
        <f t="array" ref="H18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89" cm="1">
        <f t="array" ref="I18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89" t="str">
        <f>IF(IFERROR(SEARCH("&gt;",PartList[[#This Row],[ID]]),0),"O",IF(IFERROR(SEARCH("&lt;",PartList[[#This Row],[ID]]),0),"I",""))</f>
        <v>O</v>
      </c>
      <c r="K189" t="str" cm="1">
        <f t="array" ref="K1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89" t="str" cm="1">
        <f t="array" ref="L1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89" t="str">
        <f>_xlfn.TEXTJOIN("#",TRUE,PartList[[#This Row],[ASSLY MARK]],PartList[[#This Row],[BOX NO]],PartList[[#This Row],[In/Out]],PartList[[#This Row],[O1-Grid]])</f>
        <v>3HB09#Box1_Box2#O</v>
      </c>
      <c r="N189" t="str">
        <f>_xlfn.TEXTJOIN("#",TRUE,PartList[[#This Row],[ASSLY MARK]],PartList[[#This Row],[BOX NO]],PartList[[#This Row],[In/Out]],PartList[[#This Row],[O2-Grid]])</f>
        <v>3HB09#Box1_Box2#O</v>
      </c>
      <c r="O189">
        <f>IF(PartList[[#This Row],[Unique]]="Yes",_xlfn.XLOOKUP(PartList[[#This Row],[ASSLY MARK]],FilteredPL!A:A,FilteredPL!B:B,0,0),0)</f>
        <v>0</v>
      </c>
      <c r="P189">
        <f>_xlfn.XLOOKUP(PartList[[#This Row],[ASSLY MARK]],MasterPL[SplitMarkNo],MasterPL[BILL WT.(KG)],0,0)</f>
        <v>0</v>
      </c>
      <c r="Q189" cm="1">
        <f t="array" ref="Q18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89" s="2" t="str">
        <v>5BE18</v>
      </c>
      <c r="AB189" s="2">
        <f>SUMIF(PartList[ASSLY MARK],AA189,PartList[Avail. Qty])</f>
        <v>0</v>
      </c>
    </row>
    <row r="190" spans="1:28" x14ac:dyDescent="0.25">
      <c r="A190">
        <v>445</v>
      </c>
      <c r="B190" t="s">
        <v>285</v>
      </c>
      <c r="C190" t="s">
        <v>511</v>
      </c>
      <c r="D190" t="s">
        <v>286</v>
      </c>
      <c r="E190" t="s">
        <v>6</v>
      </c>
      <c r="F190" t="str" cm="1">
        <f t="array" ref="F190">IF(SUM(IF(PartList[ASSLY MARK]=PartList[[#This Row],[ASSLY MARK]],1,0))&gt;1,"No","Yes")</f>
        <v>Yes</v>
      </c>
      <c r="G190" t="str" cm="1">
        <f t="array" ref="G190">_xlfn.TEXTJOIN("_",TRUE,TRIM(_xlfn.TEXTSPLIT(PartList[[#This Row],[GRID LOCATION]],{"PR01","/","-"})))</f>
        <v>11_12_A'_A</v>
      </c>
      <c r="H190" t="str" cm="1">
        <f t="array" ref="H19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90" cm="1">
        <f t="array" ref="I19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90" t="str">
        <f>IF(IFERROR(SEARCH("&gt;",PartList[[#This Row],[ID]]),0),"O",IF(IFERROR(SEARCH("&lt;",PartList[[#This Row],[ID]]),0),"I",""))</f>
        <v/>
      </c>
      <c r="K190" t="str" cm="1">
        <f t="array" ref="K1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90" t="str" cm="1">
        <f t="array" ref="L1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90" t="str">
        <f>_xlfn.TEXTJOIN("#",TRUE,PartList[[#This Row],[ASSLY MARK]],PartList[[#This Row],[BOX NO]],PartList[[#This Row],[In/Out]],PartList[[#This Row],[O1-Grid]])</f>
        <v>3HB10#Box1_Box2_Box4_Box5#InBB</v>
      </c>
      <c r="N190" t="str">
        <f>_xlfn.TEXTJOIN("#",TRUE,PartList[[#This Row],[ASSLY MARK]],PartList[[#This Row],[BOX NO]],PartList[[#This Row],[In/Out]],PartList[[#This Row],[O2-Grid]])</f>
        <v>3HB10#Box1_Box2_Box4_Box5#InBB</v>
      </c>
      <c r="O190">
        <f>IF(PartList[[#This Row],[Unique]]="Yes",_xlfn.XLOOKUP(PartList[[#This Row],[ASSLY MARK]],FilteredPL!A:A,FilteredPL!B:B,0,0),0)</f>
        <v>0</v>
      </c>
      <c r="P190">
        <f>_xlfn.XLOOKUP(PartList[[#This Row],[ASSLY MARK]],MasterPL[SplitMarkNo],MasterPL[BILL WT.(KG)],0,0)</f>
        <v>0</v>
      </c>
      <c r="Q190" cm="1">
        <f t="array" ref="Q19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90" s="2" t="str">
        <v>5BE19</v>
      </c>
      <c r="AB190" s="2">
        <f>SUMIF(PartList[ASSLY MARK],AA190,PartList[Avail. Qty])</f>
        <v>0</v>
      </c>
    </row>
    <row r="191" spans="1:28" x14ac:dyDescent="0.25">
      <c r="A191">
        <v>446</v>
      </c>
      <c r="B191" t="s">
        <v>287</v>
      </c>
      <c r="C191" t="s">
        <v>532</v>
      </c>
      <c r="D191" t="s">
        <v>726</v>
      </c>
      <c r="E191" t="s">
        <v>6</v>
      </c>
      <c r="F191" t="str" cm="1">
        <f t="array" ref="F191">IF(SUM(IF(PartList[ASSLY MARK]=PartList[[#This Row],[ASSLY MARK]],1,0))&gt;1,"No","Yes")</f>
        <v>No</v>
      </c>
      <c r="G191" t="str" cm="1">
        <f t="array" ref="G191">_xlfn.TEXTJOIN("_",TRUE,TRIM(_xlfn.TEXTSPLIT(PartList[[#This Row],[GRID LOCATION]],{"PR01","/","-"})))</f>
        <v>11_12_A_B</v>
      </c>
      <c r="H191" t="str" cm="1">
        <f t="array" ref="H19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91" cm="1">
        <f t="array" ref="I19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91" t="str">
        <f>IF(IFERROR(SEARCH("&gt;",PartList[[#This Row],[ID]]),0),"O",IF(IFERROR(SEARCH("&lt;",PartList[[#This Row],[ID]]),0),"I",""))</f>
        <v/>
      </c>
      <c r="K191" t="str" cm="1">
        <f t="array" ref="K1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91" t="str" cm="1">
        <f t="array" ref="L1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91" t="str">
        <f>_xlfn.TEXTJOIN("#",TRUE,PartList[[#This Row],[ASSLY MARK]],PartList[[#This Row],[BOX NO]],PartList[[#This Row],[In/Out]],PartList[[#This Row],[O1-Grid]])</f>
        <v>3HB11#Box1_Box2#InBB</v>
      </c>
      <c r="N191" t="str">
        <f>_xlfn.TEXTJOIN("#",TRUE,PartList[[#This Row],[ASSLY MARK]],PartList[[#This Row],[BOX NO]],PartList[[#This Row],[In/Out]],PartList[[#This Row],[O2-Grid]])</f>
        <v>3HB11#Box1_Box2#InBB</v>
      </c>
      <c r="O191">
        <f>IF(PartList[[#This Row],[Unique]]="Yes",_xlfn.XLOOKUP(PartList[[#This Row],[ASSLY MARK]],FilteredPL!A:A,FilteredPL!B:B,0,0),0)</f>
        <v>0</v>
      </c>
      <c r="P191">
        <f>_xlfn.XLOOKUP(PartList[[#This Row],[ASSLY MARK]],MasterPL[SplitMarkNo],MasterPL[BILL WT.(KG)],0,0)</f>
        <v>0</v>
      </c>
      <c r="Q191" cm="1">
        <f t="array" ref="Q19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91" s="2" t="str">
        <v>5BE20</v>
      </c>
      <c r="AB191" s="2">
        <f>SUMIF(PartList[ASSLY MARK],AA191,PartList[Avail. Qty])</f>
        <v>0</v>
      </c>
    </row>
    <row r="192" spans="1:28" x14ac:dyDescent="0.25">
      <c r="A192">
        <v>447</v>
      </c>
      <c r="B192" t="s">
        <v>287</v>
      </c>
      <c r="C192" t="s">
        <v>532</v>
      </c>
      <c r="D192" t="s">
        <v>726</v>
      </c>
      <c r="E192" t="s">
        <v>6</v>
      </c>
      <c r="F192" t="str" cm="1">
        <f t="array" ref="F192">IF(SUM(IF(PartList[ASSLY MARK]=PartList[[#This Row],[ASSLY MARK]],1,0))&gt;1,"No","Yes")</f>
        <v>No</v>
      </c>
      <c r="G192" t="str" cm="1">
        <f t="array" ref="G192">_xlfn.TEXTJOIN("_",TRUE,TRIM(_xlfn.TEXTSPLIT(PartList[[#This Row],[GRID LOCATION]],{"PR01","/","-"})))</f>
        <v>11_12_A_B</v>
      </c>
      <c r="H192" t="str" cm="1">
        <f t="array" ref="H19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92" cm="1">
        <f t="array" ref="I19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92" t="str">
        <f>IF(IFERROR(SEARCH("&gt;",PartList[[#This Row],[ID]]),0),"O",IF(IFERROR(SEARCH("&lt;",PartList[[#This Row],[ID]]),0),"I",""))</f>
        <v/>
      </c>
      <c r="K192" t="str" cm="1">
        <f t="array" ref="K1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92" t="str" cm="1">
        <f t="array" ref="L1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92" t="str">
        <f>_xlfn.TEXTJOIN("#",TRUE,PartList[[#This Row],[ASSLY MARK]],PartList[[#This Row],[BOX NO]],PartList[[#This Row],[In/Out]],PartList[[#This Row],[O1-Grid]])</f>
        <v>3HB11#Box1_Box2#InBB</v>
      </c>
      <c r="N192" t="str">
        <f>_xlfn.TEXTJOIN("#",TRUE,PartList[[#This Row],[ASSLY MARK]],PartList[[#This Row],[BOX NO]],PartList[[#This Row],[In/Out]],PartList[[#This Row],[O2-Grid]])</f>
        <v>3HB11#Box1_Box2#InBB</v>
      </c>
      <c r="O192">
        <f>IF(PartList[[#This Row],[Unique]]="Yes",_xlfn.XLOOKUP(PartList[[#This Row],[ASSLY MARK]],FilteredPL!A:A,FilteredPL!B:B,0,0),0)</f>
        <v>0</v>
      </c>
      <c r="P192">
        <f>_xlfn.XLOOKUP(PartList[[#This Row],[ASSLY MARK]],MasterPL[SplitMarkNo],MasterPL[BILL WT.(KG)],0,0)</f>
        <v>0</v>
      </c>
      <c r="Q192" cm="1">
        <f t="array" ref="Q19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92" s="2" t="str">
        <v>5BE21</v>
      </c>
      <c r="AB192" s="2">
        <f>SUMIF(PartList[ASSLY MARK],AA192,PartList[Avail. Qty])</f>
        <v>0</v>
      </c>
    </row>
    <row r="193" spans="1:28" x14ac:dyDescent="0.25">
      <c r="A193">
        <v>448</v>
      </c>
      <c r="B193" t="s">
        <v>287</v>
      </c>
      <c r="C193" t="s">
        <v>532</v>
      </c>
      <c r="D193" t="s">
        <v>726</v>
      </c>
      <c r="E193" t="s">
        <v>6</v>
      </c>
      <c r="F193" t="str" cm="1">
        <f t="array" ref="F193">IF(SUM(IF(PartList[ASSLY MARK]=PartList[[#This Row],[ASSLY MARK]],1,0))&gt;1,"No","Yes")</f>
        <v>No</v>
      </c>
      <c r="G193" t="str" cm="1">
        <f t="array" ref="G193">_xlfn.TEXTJOIN("_",TRUE,TRIM(_xlfn.TEXTSPLIT(PartList[[#This Row],[GRID LOCATION]],{"PR01","/","-"})))</f>
        <v>11_12_A_B</v>
      </c>
      <c r="H193" t="str" cm="1">
        <f t="array" ref="H19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93" cm="1">
        <f t="array" ref="I19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93" t="str">
        <f>IF(IFERROR(SEARCH("&gt;",PartList[[#This Row],[ID]]),0),"O",IF(IFERROR(SEARCH("&lt;",PartList[[#This Row],[ID]]),0),"I",""))</f>
        <v/>
      </c>
      <c r="K193" t="str" cm="1">
        <f t="array" ref="K1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93" t="str" cm="1">
        <f t="array" ref="L1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93" t="str">
        <f>_xlfn.TEXTJOIN("#",TRUE,PartList[[#This Row],[ASSLY MARK]],PartList[[#This Row],[BOX NO]],PartList[[#This Row],[In/Out]],PartList[[#This Row],[O1-Grid]])</f>
        <v>3HB11#Box1_Box2#InBB</v>
      </c>
      <c r="N193" t="str">
        <f>_xlfn.TEXTJOIN("#",TRUE,PartList[[#This Row],[ASSLY MARK]],PartList[[#This Row],[BOX NO]],PartList[[#This Row],[In/Out]],PartList[[#This Row],[O2-Grid]])</f>
        <v>3HB11#Box1_Box2#InBB</v>
      </c>
      <c r="O193">
        <f>IF(PartList[[#This Row],[Unique]]="Yes",_xlfn.XLOOKUP(PartList[[#This Row],[ASSLY MARK]],FilteredPL!A:A,FilteredPL!B:B,0,0),0)</f>
        <v>0</v>
      </c>
      <c r="P193">
        <f>_xlfn.XLOOKUP(PartList[[#This Row],[ASSLY MARK]],MasterPL[SplitMarkNo],MasterPL[BILL WT.(KG)],0,0)</f>
        <v>0</v>
      </c>
      <c r="Q193" cm="1">
        <f t="array" ref="Q19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93" s="2" t="str">
        <v>5BE22</v>
      </c>
      <c r="AB193" s="2">
        <f>SUMIF(PartList[ASSLY MARK],AA193,PartList[Avail. Qty])</f>
        <v>0</v>
      </c>
    </row>
    <row r="194" spans="1:28" x14ac:dyDescent="0.25">
      <c r="A194">
        <v>449</v>
      </c>
      <c r="B194" t="s">
        <v>287</v>
      </c>
      <c r="C194" t="s">
        <v>532</v>
      </c>
      <c r="D194" t="s">
        <v>726</v>
      </c>
      <c r="E194" t="s">
        <v>6</v>
      </c>
      <c r="F194" t="str" cm="1">
        <f t="array" ref="F194">IF(SUM(IF(PartList[ASSLY MARK]=PartList[[#This Row],[ASSLY MARK]],1,0))&gt;1,"No","Yes")</f>
        <v>No</v>
      </c>
      <c r="G194" t="str" cm="1">
        <f t="array" ref="G194">_xlfn.TEXTJOIN("_",TRUE,TRIM(_xlfn.TEXTSPLIT(PartList[[#This Row],[GRID LOCATION]],{"PR01","/","-"})))</f>
        <v>11_12_A_B</v>
      </c>
      <c r="H194" t="str" cm="1">
        <f t="array" ref="H19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94" cm="1">
        <f t="array" ref="I19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94" t="str">
        <f>IF(IFERROR(SEARCH("&gt;",PartList[[#This Row],[ID]]),0),"O",IF(IFERROR(SEARCH("&lt;",PartList[[#This Row],[ID]]),0),"I",""))</f>
        <v/>
      </c>
      <c r="K194" t="str" cm="1">
        <f t="array" ref="K1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94" t="str" cm="1">
        <f t="array" ref="L1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94" t="str">
        <f>_xlfn.TEXTJOIN("#",TRUE,PartList[[#This Row],[ASSLY MARK]],PartList[[#This Row],[BOX NO]],PartList[[#This Row],[In/Out]],PartList[[#This Row],[O1-Grid]])</f>
        <v>3HB11#Box1_Box2#InBB</v>
      </c>
      <c r="N194" t="str">
        <f>_xlfn.TEXTJOIN("#",TRUE,PartList[[#This Row],[ASSLY MARK]],PartList[[#This Row],[BOX NO]],PartList[[#This Row],[In/Out]],PartList[[#This Row],[O2-Grid]])</f>
        <v>3HB11#Box1_Box2#InBB</v>
      </c>
      <c r="O194">
        <f>IF(PartList[[#This Row],[Unique]]="Yes",_xlfn.XLOOKUP(PartList[[#This Row],[ASSLY MARK]],FilteredPL!A:A,FilteredPL!B:B,0,0),0)</f>
        <v>0</v>
      </c>
      <c r="P194">
        <f>_xlfn.XLOOKUP(PartList[[#This Row],[ASSLY MARK]],MasterPL[SplitMarkNo],MasterPL[BILL WT.(KG)],0,0)</f>
        <v>0</v>
      </c>
      <c r="Q194" cm="1">
        <f t="array" ref="Q19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94" s="2" t="str">
        <v>5BE23</v>
      </c>
      <c r="AB194" s="2">
        <f>SUMIF(PartList[ASSLY MARK],AA194,PartList[Avail. Qty])</f>
        <v>0</v>
      </c>
    </row>
    <row r="195" spans="1:28" x14ac:dyDescent="0.25">
      <c r="A195">
        <v>451</v>
      </c>
      <c r="B195" t="s">
        <v>288</v>
      </c>
      <c r="C195" t="s">
        <v>531</v>
      </c>
      <c r="D195" t="s">
        <v>286</v>
      </c>
      <c r="E195" t="s">
        <v>6</v>
      </c>
      <c r="F195" t="str" cm="1">
        <f t="array" ref="F195">IF(SUM(IF(PartList[ASSLY MARK]=PartList[[#This Row],[ASSLY MARK]],1,0))&gt;1,"No","Yes")</f>
        <v>Yes</v>
      </c>
      <c r="G195" t="str" cm="1">
        <f t="array" ref="G195">_xlfn.TEXTJOIN("_",TRUE,TRIM(_xlfn.TEXTSPLIT(PartList[[#This Row],[GRID LOCATION]],{"PR01","/","-"})))</f>
        <v>11_12_B&gt;</v>
      </c>
      <c r="H195" t="str" cm="1">
        <f t="array" ref="H19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95" cm="1">
        <f t="array" ref="I19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95" t="str">
        <f>IF(IFERROR(SEARCH("&gt;",PartList[[#This Row],[ID]]),0),"O",IF(IFERROR(SEARCH("&lt;",PartList[[#This Row],[ID]]),0),"I",""))</f>
        <v>O</v>
      </c>
      <c r="K195" t="str" cm="1">
        <f t="array" ref="K1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95" t="str" cm="1">
        <f t="array" ref="L1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95" t="str">
        <f>_xlfn.TEXTJOIN("#",TRUE,PartList[[#This Row],[ASSLY MARK]],PartList[[#This Row],[BOX NO]],PartList[[#This Row],[In/Out]],PartList[[#This Row],[O1-Grid]])</f>
        <v>3HB12#Box1_Box2#O</v>
      </c>
      <c r="N195" t="str">
        <f>_xlfn.TEXTJOIN("#",TRUE,PartList[[#This Row],[ASSLY MARK]],PartList[[#This Row],[BOX NO]],PartList[[#This Row],[In/Out]],PartList[[#This Row],[O2-Grid]])</f>
        <v>3HB12#Box1_Box2#O</v>
      </c>
      <c r="O195">
        <f>IF(PartList[[#This Row],[Unique]]="Yes",_xlfn.XLOOKUP(PartList[[#This Row],[ASSLY MARK]],FilteredPL!A:A,FilteredPL!B:B,0,0),0)</f>
        <v>0</v>
      </c>
      <c r="P195">
        <f>_xlfn.XLOOKUP(PartList[[#This Row],[ASSLY MARK]],MasterPL[SplitMarkNo],MasterPL[BILL WT.(KG)],0,0)</f>
        <v>0</v>
      </c>
      <c r="Q195" cm="1">
        <f t="array" ref="Q19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95" s="2" t="str">
        <v>5BE24</v>
      </c>
      <c r="AB195" s="2">
        <f>SUMIF(PartList[ASSLY MARK],AA195,PartList[Avail. Qty])</f>
        <v>0</v>
      </c>
    </row>
    <row r="196" spans="1:28" x14ac:dyDescent="0.25">
      <c r="A196">
        <v>452</v>
      </c>
      <c r="B196" t="s">
        <v>289</v>
      </c>
      <c r="C196" t="s">
        <v>531</v>
      </c>
      <c r="D196" t="s">
        <v>286</v>
      </c>
      <c r="E196" t="s">
        <v>6</v>
      </c>
      <c r="F196" t="str" cm="1">
        <f t="array" ref="F196">IF(SUM(IF(PartList[ASSLY MARK]=PartList[[#This Row],[ASSLY MARK]],1,0))&gt;1,"No","Yes")</f>
        <v>Yes</v>
      </c>
      <c r="G196" t="str" cm="1">
        <f t="array" ref="G196">_xlfn.TEXTJOIN("_",TRUE,TRIM(_xlfn.TEXTSPLIT(PartList[[#This Row],[GRID LOCATION]],{"PR01","/","-"})))</f>
        <v>11_12_B&gt;</v>
      </c>
      <c r="H196" t="str" cm="1">
        <f t="array" ref="H19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196" cm="1">
        <f t="array" ref="I19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96" t="str">
        <f>IF(IFERROR(SEARCH("&gt;",PartList[[#This Row],[ID]]),0),"O",IF(IFERROR(SEARCH("&lt;",PartList[[#This Row],[ID]]),0),"I",""))</f>
        <v>O</v>
      </c>
      <c r="K196" t="str" cm="1">
        <f t="array" ref="K1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96" t="str" cm="1">
        <f t="array" ref="L1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96" t="str">
        <f>_xlfn.TEXTJOIN("#",TRUE,PartList[[#This Row],[ASSLY MARK]],PartList[[#This Row],[BOX NO]],PartList[[#This Row],[In/Out]],PartList[[#This Row],[O1-Grid]])</f>
        <v>3HB13#Box1_Box2#O</v>
      </c>
      <c r="N196" t="str">
        <f>_xlfn.TEXTJOIN("#",TRUE,PartList[[#This Row],[ASSLY MARK]],PartList[[#This Row],[BOX NO]],PartList[[#This Row],[In/Out]],PartList[[#This Row],[O2-Grid]])</f>
        <v>3HB13#Box1_Box2#O</v>
      </c>
      <c r="O196">
        <f>IF(PartList[[#This Row],[Unique]]="Yes",_xlfn.XLOOKUP(PartList[[#This Row],[ASSLY MARK]],FilteredPL!A:A,FilteredPL!B:B,0,0),0)</f>
        <v>0</v>
      </c>
      <c r="P196">
        <f>_xlfn.XLOOKUP(PartList[[#This Row],[ASSLY MARK]],MasterPL[SplitMarkNo],MasterPL[BILL WT.(KG)],0,0)</f>
        <v>0</v>
      </c>
      <c r="Q196" cm="1">
        <f t="array" ref="Q19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96" s="2" t="str">
        <v>5BE25</v>
      </c>
      <c r="AB196" s="2">
        <f>SUMIF(PartList[ASSLY MARK],AA196,PartList[Avail. Qty])</f>
        <v>0</v>
      </c>
    </row>
    <row r="197" spans="1:28" x14ac:dyDescent="0.25">
      <c r="A197">
        <v>453</v>
      </c>
      <c r="B197" t="s">
        <v>290</v>
      </c>
      <c r="C197" t="s">
        <v>511</v>
      </c>
      <c r="D197" t="s">
        <v>286</v>
      </c>
      <c r="E197" t="s">
        <v>6</v>
      </c>
      <c r="F197" t="str" cm="1">
        <f t="array" ref="F197">IF(SUM(IF(PartList[ASSLY MARK]=PartList[[#This Row],[ASSLY MARK]],1,0))&gt;1,"No","Yes")</f>
        <v>Yes</v>
      </c>
      <c r="G197" t="str" cm="1">
        <f t="array" ref="G197">_xlfn.TEXTJOIN("_",TRUE,TRIM(_xlfn.TEXTSPLIT(PartList[[#This Row],[GRID LOCATION]],{"PR01","/","-"})))</f>
        <v>11_12_A'_A</v>
      </c>
      <c r="H197" t="str" cm="1">
        <f t="array" ref="H19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97" cm="1">
        <f t="array" ref="I19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97" t="str">
        <f>IF(IFERROR(SEARCH("&gt;",PartList[[#This Row],[ID]]),0),"O",IF(IFERROR(SEARCH("&lt;",PartList[[#This Row],[ID]]),0),"I",""))</f>
        <v/>
      </c>
      <c r="K197" t="str" cm="1">
        <f t="array" ref="K1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97" t="str" cm="1">
        <f t="array" ref="L1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97" t="str">
        <f>_xlfn.TEXTJOIN("#",TRUE,PartList[[#This Row],[ASSLY MARK]],PartList[[#This Row],[BOX NO]],PartList[[#This Row],[In/Out]],PartList[[#This Row],[O1-Grid]])</f>
        <v>3HB14#Box1_Box2_Box4_Box5#InBB</v>
      </c>
      <c r="N197" t="str">
        <f>_xlfn.TEXTJOIN("#",TRUE,PartList[[#This Row],[ASSLY MARK]],PartList[[#This Row],[BOX NO]],PartList[[#This Row],[In/Out]],PartList[[#This Row],[O2-Grid]])</f>
        <v>3HB14#Box1_Box2_Box4_Box5#InBB</v>
      </c>
      <c r="O197">
        <f>IF(PartList[[#This Row],[Unique]]="Yes",_xlfn.XLOOKUP(PartList[[#This Row],[ASSLY MARK]],FilteredPL!A:A,FilteredPL!B:B,0,0),0)</f>
        <v>0</v>
      </c>
      <c r="P197">
        <f>_xlfn.XLOOKUP(PartList[[#This Row],[ASSLY MARK]],MasterPL[SplitMarkNo],MasterPL[BILL WT.(KG)],0,0)</f>
        <v>0</v>
      </c>
      <c r="Q197" cm="1">
        <f t="array" ref="Q19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97" s="2" t="str">
        <v>5BE26</v>
      </c>
      <c r="AB197" s="2">
        <f>SUMIF(PartList[ASSLY MARK],AA197,PartList[Avail. Qty])</f>
        <v>0</v>
      </c>
    </row>
    <row r="198" spans="1:28" x14ac:dyDescent="0.25">
      <c r="A198">
        <v>454</v>
      </c>
      <c r="B198" t="s">
        <v>291</v>
      </c>
      <c r="C198" t="s">
        <v>511</v>
      </c>
      <c r="D198" t="s">
        <v>286</v>
      </c>
      <c r="E198" t="s">
        <v>6</v>
      </c>
      <c r="F198" t="str" cm="1">
        <f t="array" ref="F198">IF(SUM(IF(PartList[ASSLY MARK]=PartList[[#This Row],[ASSLY MARK]],1,0))&gt;1,"No","Yes")</f>
        <v>Yes</v>
      </c>
      <c r="G198" t="str" cm="1">
        <f t="array" ref="G198">_xlfn.TEXTJOIN("_",TRUE,TRIM(_xlfn.TEXTSPLIT(PartList[[#This Row],[GRID LOCATION]],{"PR01","/","-"})))</f>
        <v>11_12_A'_A</v>
      </c>
      <c r="H198" t="str" cm="1">
        <f t="array" ref="H19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98" cm="1">
        <f t="array" ref="I19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98" t="str">
        <f>IF(IFERROR(SEARCH("&gt;",PartList[[#This Row],[ID]]),0),"O",IF(IFERROR(SEARCH("&lt;",PartList[[#This Row],[ID]]),0),"I",""))</f>
        <v/>
      </c>
      <c r="K198" t="str" cm="1">
        <f t="array" ref="K1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98" t="str" cm="1">
        <f t="array" ref="L1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98" t="str">
        <f>_xlfn.TEXTJOIN("#",TRUE,PartList[[#This Row],[ASSLY MARK]],PartList[[#This Row],[BOX NO]],PartList[[#This Row],[In/Out]],PartList[[#This Row],[O1-Grid]])</f>
        <v>3HB15#Box1_Box2_Box4_Box5#InBB</v>
      </c>
      <c r="N198" t="str">
        <f>_xlfn.TEXTJOIN("#",TRUE,PartList[[#This Row],[ASSLY MARK]],PartList[[#This Row],[BOX NO]],PartList[[#This Row],[In/Out]],PartList[[#This Row],[O2-Grid]])</f>
        <v>3HB15#Box1_Box2_Box4_Box5#InBB</v>
      </c>
      <c r="O198">
        <f>IF(PartList[[#This Row],[Unique]]="Yes",_xlfn.XLOOKUP(PartList[[#This Row],[ASSLY MARK]],FilteredPL!A:A,FilteredPL!B:B,0,0),0)</f>
        <v>0</v>
      </c>
      <c r="P198">
        <f>_xlfn.XLOOKUP(PartList[[#This Row],[ASSLY MARK]],MasterPL[SplitMarkNo],MasterPL[BILL WT.(KG)],0,0)</f>
        <v>0</v>
      </c>
      <c r="Q198" cm="1">
        <f t="array" ref="Q19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98" s="2" t="str">
        <v>5BE27</v>
      </c>
      <c r="AB198" s="2">
        <f>SUMIF(PartList[ASSLY MARK],AA198,PartList[Avail. Qty])</f>
        <v>0</v>
      </c>
    </row>
    <row r="199" spans="1:28" x14ac:dyDescent="0.25">
      <c r="A199">
        <v>455</v>
      </c>
      <c r="B199" t="s">
        <v>292</v>
      </c>
      <c r="C199" t="s">
        <v>511</v>
      </c>
      <c r="D199" t="s">
        <v>286</v>
      </c>
      <c r="E199" t="s">
        <v>6</v>
      </c>
      <c r="F199" t="str" cm="1">
        <f t="array" ref="F199">IF(SUM(IF(PartList[ASSLY MARK]=PartList[[#This Row],[ASSLY MARK]],1,0))&gt;1,"No","Yes")</f>
        <v>Yes</v>
      </c>
      <c r="G199" t="str" cm="1">
        <f t="array" ref="G199">_xlfn.TEXTJOIN("_",TRUE,TRIM(_xlfn.TEXTSPLIT(PartList[[#This Row],[GRID LOCATION]],{"PR01","/","-"})))</f>
        <v>11_12_A'_A</v>
      </c>
      <c r="H199" t="str" cm="1">
        <f t="array" ref="H19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199" cm="1">
        <f t="array" ref="I19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199" t="str">
        <f>IF(IFERROR(SEARCH("&gt;",PartList[[#This Row],[ID]]),0),"O",IF(IFERROR(SEARCH("&lt;",PartList[[#This Row],[ID]]),0),"I",""))</f>
        <v/>
      </c>
      <c r="K199" t="str" cm="1">
        <f t="array" ref="K1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99" t="str" cm="1">
        <f t="array" ref="L1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99" t="str">
        <f>_xlfn.TEXTJOIN("#",TRUE,PartList[[#This Row],[ASSLY MARK]],PartList[[#This Row],[BOX NO]],PartList[[#This Row],[In/Out]],PartList[[#This Row],[O1-Grid]])</f>
        <v>3HB16#Box1_Box2_Box4_Box5#InBB</v>
      </c>
      <c r="N199" t="str">
        <f>_xlfn.TEXTJOIN("#",TRUE,PartList[[#This Row],[ASSLY MARK]],PartList[[#This Row],[BOX NO]],PartList[[#This Row],[In/Out]],PartList[[#This Row],[O2-Grid]])</f>
        <v>3HB16#Box1_Box2_Box4_Box5#InBB</v>
      </c>
      <c r="O199">
        <f>IF(PartList[[#This Row],[Unique]]="Yes",_xlfn.XLOOKUP(PartList[[#This Row],[ASSLY MARK]],FilteredPL!A:A,FilteredPL!B:B,0,0),0)</f>
        <v>0</v>
      </c>
      <c r="P199">
        <f>_xlfn.XLOOKUP(PartList[[#This Row],[ASSLY MARK]],MasterPL[SplitMarkNo],MasterPL[BILL WT.(KG)],0,0)</f>
        <v>0</v>
      </c>
      <c r="Q199" cm="1">
        <f t="array" ref="Q19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199" s="2" t="str">
        <v>5BE28</v>
      </c>
      <c r="AB199" s="2">
        <f>SUMIF(PartList[ASSLY MARK],AA199,PartList[Avail. Qty])</f>
        <v>0</v>
      </c>
    </row>
    <row r="200" spans="1:28" x14ac:dyDescent="0.25">
      <c r="A200">
        <v>456</v>
      </c>
      <c r="B200" t="s">
        <v>293</v>
      </c>
      <c r="C200" t="s">
        <v>511</v>
      </c>
      <c r="D200" t="s">
        <v>286</v>
      </c>
      <c r="E200" t="s">
        <v>6</v>
      </c>
      <c r="F200" t="str" cm="1">
        <f t="array" ref="F200">IF(SUM(IF(PartList[ASSLY MARK]=PartList[[#This Row],[ASSLY MARK]],1,0))&gt;1,"No","Yes")</f>
        <v>Yes</v>
      </c>
      <c r="G200" t="str" cm="1">
        <f t="array" ref="G200">_xlfn.TEXTJOIN("_",TRUE,TRIM(_xlfn.TEXTSPLIT(PartList[[#This Row],[GRID LOCATION]],{"PR01","/","-"})))</f>
        <v>11_12_A'_A</v>
      </c>
      <c r="H200" t="str" cm="1">
        <f t="array" ref="H20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200" cm="1">
        <f t="array" ref="I20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00" t="str">
        <f>IF(IFERROR(SEARCH("&gt;",PartList[[#This Row],[ID]]),0),"O",IF(IFERROR(SEARCH("&lt;",PartList[[#This Row],[ID]]),0),"I",""))</f>
        <v/>
      </c>
      <c r="K200" t="str" cm="1">
        <f t="array" ref="K2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00" t="str" cm="1">
        <f t="array" ref="L2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00" t="str">
        <f>_xlfn.TEXTJOIN("#",TRUE,PartList[[#This Row],[ASSLY MARK]],PartList[[#This Row],[BOX NO]],PartList[[#This Row],[In/Out]],PartList[[#This Row],[O1-Grid]])</f>
        <v>3HB17#Box1_Box2_Box4_Box5#InBB</v>
      </c>
      <c r="N200" t="str">
        <f>_xlfn.TEXTJOIN("#",TRUE,PartList[[#This Row],[ASSLY MARK]],PartList[[#This Row],[BOX NO]],PartList[[#This Row],[In/Out]],PartList[[#This Row],[O2-Grid]])</f>
        <v>3HB17#Box1_Box2_Box4_Box5#InBB</v>
      </c>
      <c r="O200">
        <f>IF(PartList[[#This Row],[Unique]]="Yes",_xlfn.XLOOKUP(PartList[[#This Row],[ASSLY MARK]],FilteredPL!A:A,FilteredPL!B:B,0,0),0)</f>
        <v>0</v>
      </c>
      <c r="P200">
        <f>_xlfn.XLOOKUP(PartList[[#This Row],[ASSLY MARK]],MasterPL[SplitMarkNo],MasterPL[BILL WT.(KG)],0,0)</f>
        <v>0</v>
      </c>
      <c r="Q200" cm="1">
        <f t="array" ref="Q20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00" s="2" t="str">
        <v>5BE29</v>
      </c>
      <c r="AB200" s="2">
        <f>SUMIF(PartList[ASSLY MARK],AA200,PartList[Avail. Qty])</f>
        <v>0</v>
      </c>
    </row>
    <row r="201" spans="1:28" x14ac:dyDescent="0.25">
      <c r="A201">
        <v>463</v>
      </c>
      <c r="B201" t="s">
        <v>297</v>
      </c>
      <c r="C201" t="s">
        <v>508</v>
      </c>
      <c r="D201" t="s">
        <v>734</v>
      </c>
      <c r="E201" t="s">
        <v>645</v>
      </c>
      <c r="F201" t="str" cm="1">
        <f t="array" ref="F201">IF(SUM(IF(PartList[ASSLY MARK]=PartList[[#This Row],[ASSLY MARK]],1,0))&gt;1,"No","Yes")</f>
        <v>Yes</v>
      </c>
      <c r="G201" t="str" cm="1">
        <f t="array" ref="G201">_xlfn.TEXTJOIN("_",TRUE,TRIM(_xlfn.TEXTSPLIT(PartList[[#This Row],[GRID LOCATION]],{"PR01","/","-"})))</f>
        <v>10_A'_A</v>
      </c>
      <c r="H201" t="str" cm="1">
        <f t="array" ref="H20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01" cm="1">
        <f t="array" ref="I20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01" t="str">
        <f>IF(IFERROR(SEARCH("&gt;",PartList[[#This Row],[ID]]),0),"O",IF(IFERROR(SEARCH("&lt;",PartList[[#This Row],[ID]]),0),"I",""))</f>
        <v/>
      </c>
      <c r="K201" t="str" cm="1">
        <f t="array" ref="K2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01" t="str" cm="1">
        <f t="array" ref="L2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01" t="str">
        <f>_xlfn.TEXTJOIN("#",TRUE,PartList[[#This Row],[ASSLY MARK]],PartList[[#This Row],[BOX NO]],PartList[[#This Row],[In/Out]],PartList[[#This Row],[O1-Grid]])</f>
        <v>3SC01#Box1_Box4#InBB</v>
      </c>
      <c r="N201" t="str">
        <f>_xlfn.TEXTJOIN("#",TRUE,PartList[[#This Row],[ASSLY MARK]],PartList[[#This Row],[BOX NO]],PartList[[#This Row],[In/Out]],PartList[[#This Row],[O2-Grid]])</f>
        <v>3SC01#Box1_Box4#InBB</v>
      </c>
      <c r="O201">
        <f>IF(PartList[[#This Row],[Unique]]="Yes",_xlfn.XLOOKUP(PartList[[#This Row],[ASSLY MARK]],FilteredPL!A:A,FilteredPL!B:B,0,0),0)</f>
        <v>0</v>
      </c>
      <c r="P201">
        <f>_xlfn.XLOOKUP(PartList[[#This Row],[ASSLY MARK]],MasterPL[SplitMarkNo],MasterPL[BILL WT.(KG)],0,0)</f>
        <v>0</v>
      </c>
      <c r="Q201" cm="1">
        <f t="array" ref="Q20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01" s="2" t="str">
        <v>5BE30</v>
      </c>
      <c r="AB201" s="2">
        <f>SUMIF(PartList[ASSLY MARK],AA201,PartList[Avail. Qty])</f>
        <v>0</v>
      </c>
    </row>
    <row r="202" spans="1:28" x14ac:dyDescent="0.25">
      <c r="A202">
        <v>464</v>
      </c>
      <c r="B202" t="s">
        <v>298</v>
      </c>
      <c r="C202" t="s">
        <v>508</v>
      </c>
      <c r="D202" t="s">
        <v>735</v>
      </c>
      <c r="E202" t="s">
        <v>645</v>
      </c>
      <c r="F202" t="str" cm="1">
        <f t="array" ref="F202">IF(SUM(IF(PartList[ASSLY MARK]=PartList[[#This Row],[ASSLY MARK]],1,0))&gt;1,"No","Yes")</f>
        <v>Yes</v>
      </c>
      <c r="G202" t="str" cm="1">
        <f t="array" ref="G202">_xlfn.TEXTJOIN("_",TRUE,TRIM(_xlfn.TEXTSPLIT(PartList[[#This Row],[GRID LOCATION]],{"PR01","/","-"})))</f>
        <v>10_A'_A</v>
      </c>
      <c r="H202" t="str" cm="1">
        <f t="array" ref="H20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02" cm="1">
        <f t="array" ref="I20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02" t="str">
        <f>IF(IFERROR(SEARCH("&gt;",PartList[[#This Row],[ID]]),0),"O",IF(IFERROR(SEARCH("&lt;",PartList[[#This Row],[ID]]),0),"I",""))</f>
        <v/>
      </c>
      <c r="K202" t="str" cm="1">
        <f t="array" ref="K2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02" t="str" cm="1">
        <f t="array" ref="L2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02" t="str">
        <f>_xlfn.TEXTJOIN("#",TRUE,PartList[[#This Row],[ASSLY MARK]],PartList[[#This Row],[BOX NO]],PartList[[#This Row],[In/Out]],PartList[[#This Row],[O1-Grid]])</f>
        <v>3SC02#Box1_Box4#InBB</v>
      </c>
      <c r="N202" t="str">
        <f>_xlfn.TEXTJOIN("#",TRUE,PartList[[#This Row],[ASSLY MARK]],PartList[[#This Row],[BOX NO]],PartList[[#This Row],[In/Out]],PartList[[#This Row],[O2-Grid]])</f>
        <v>3SC02#Box1_Box4#InBB</v>
      </c>
      <c r="O202">
        <f>IF(PartList[[#This Row],[Unique]]="Yes",_xlfn.XLOOKUP(PartList[[#This Row],[ASSLY MARK]],FilteredPL!A:A,FilteredPL!B:B,0,0),0)</f>
        <v>0</v>
      </c>
      <c r="P202">
        <f>_xlfn.XLOOKUP(PartList[[#This Row],[ASSLY MARK]],MasterPL[SplitMarkNo],MasterPL[BILL WT.(KG)],0,0)</f>
        <v>0</v>
      </c>
      <c r="Q202" cm="1">
        <f t="array" ref="Q20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02" s="2" t="str">
        <v>5BE31</v>
      </c>
      <c r="AB202" s="2">
        <f>SUMIF(PartList[ASSLY MARK],AA202,PartList[Avail. Qty])</f>
        <v>0</v>
      </c>
    </row>
    <row r="203" spans="1:28" x14ac:dyDescent="0.25">
      <c r="A203">
        <v>465</v>
      </c>
      <c r="B203" t="s">
        <v>299</v>
      </c>
      <c r="C203" t="s">
        <v>510</v>
      </c>
      <c r="D203" t="s">
        <v>734</v>
      </c>
      <c r="E203" t="s">
        <v>645</v>
      </c>
      <c r="F203" t="str" cm="1">
        <f t="array" ref="F203">IF(SUM(IF(PartList[ASSLY MARK]=PartList[[#This Row],[ASSLY MARK]],1,0))&gt;1,"No","Yes")</f>
        <v>Yes</v>
      </c>
      <c r="G203" t="str" cm="1">
        <f t="array" ref="G203">_xlfn.TEXTJOIN("_",TRUE,TRIM(_xlfn.TEXTSPLIT(PartList[[#This Row],[GRID LOCATION]],{"PR01","/","-"})))</f>
        <v>10_B&gt;</v>
      </c>
      <c r="H203" t="str" cm="1">
        <f t="array" ref="H20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03" cm="1">
        <f t="array" ref="I20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03" t="str">
        <f>IF(IFERROR(SEARCH("&gt;",PartList[[#This Row],[ID]]),0),"O",IF(IFERROR(SEARCH("&lt;",PartList[[#This Row],[ID]]),0),"I",""))</f>
        <v>O</v>
      </c>
      <c r="K203" t="str" cm="1">
        <f t="array" ref="K2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03" t="str" cm="1">
        <f t="array" ref="L2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03" t="str">
        <f>_xlfn.TEXTJOIN("#",TRUE,PartList[[#This Row],[ASSLY MARK]],PartList[[#This Row],[BOX NO]],PartList[[#This Row],[In/Out]],PartList[[#This Row],[O1-Grid]])</f>
        <v>3SC03#Box1#O</v>
      </c>
      <c r="N203" t="str">
        <f>_xlfn.TEXTJOIN("#",TRUE,PartList[[#This Row],[ASSLY MARK]],PartList[[#This Row],[BOX NO]],PartList[[#This Row],[In/Out]],PartList[[#This Row],[O2-Grid]])</f>
        <v>3SC03#Box1#O</v>
      </c>
      <c r="O203">
        <f>IF(PartList[[#This Row],[Unique]]="Yes",_xlfn.XLOOKUP(PartList[[#This Row],[ASSLY MARK]],FilteredPL!A:A,FilteredPL!B:B,0,0),0)</f>
        <v>0</v>
      </c>
      <c r="P203">
        <f>_xlfn.XLOOKUP(PartList[[#This Row],[ASSLY MARK]],MasterPL[SplitMarkNo],MasterPL[BILL WT.(KG)],0,0)</f>
        <v>0</v>
      </c>
      <c r="Q203" cm="1">
        <f t="array" ref="Q20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03" s="2" t="str">
        <v>5BE32</v>
      </c>
      <c r="AB203" s="2">
        <f>SUMIF(PartList[ASSLY MARK],AA203,PartList[Avail. Qty])</f>
        <v>0</v>
      </c>
    </row>
    <row r="204" spans="1:28" x14ac:dyDescent="0.25">
      <c r="A204">
        <v>466</v>
      </c>
      <c r="B204" t="s">
        <v>300</v>
      </c>
      <c r="C204" t="s">
        <v>528</v>
      </c>
      <c r="D204" t="s">
        <v>353</v>
      </c>
      <c r="E204" t="s">
        <v>645</v>
      </c>
      <c r="F204" t="str" cm="1">
        <f t="array" ref="F204">IF(SUM(IF(PartList[ASSLY MARK]=PartList[[#This Row],[ASSLY MARK]],1,0))&gt;1,"No","Yes")</f>
        <v>Yes</v>
      </c>
      <c r="G204" t="str" cm="1">
        <f t="array" ref="G204">_xlfn.TEXTJOIN("_",TRUE,TRIM(_xlfn.TEXTSPLIT(PartList[[#This Row],[GRID LOCATION]],{"PR01","/","-"})))</f>
        <v>11_A'_A</v>
      </c>
      <c r="H204" t="str" cm="1">
        <f t="array" ref="H20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04" cm="1">
        <f t="array" ref="I20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04" t="str">
        <f>IF(IFERROR(SEARCH("&gt;",PartList[[#This Row],[ID]]),0),"O",IF(IFERROR(SEARCH("&lt;",PartList[[#This Row],[ID]]),0),"I",""))</f>
        <v/>
      </c>
      <c r="K204" t="str" cm="1">
        <f t="array" ref="K2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04" t="str" cm="1">
        <f t="array" ref="L2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04" t="str">
        <f>_xlfn.TEXTJOIN("#",TRUE,PartList[[#This Row],[ASSLY MARK]],PartList[[#This Row],[BOX NO]],PartList[[#This Row],[In/Out]],PartList[[#This Row],[O1-Grid]])</f>
        <v>3SC04#Box1_Box4#InBB</v>
      </c>
      <c r="N204" t="str">
        <f>_xlfn.TEXTJOIN("#",TRUE,PartList[[#This Row],[ASSLY MARK]],PartList[[#This Row],[BOX NO]],PartList[[#This Row],[In/Out]],PartList[[#This Row],[O2-Grid]])</f>
        <v>3SC04#Box1_Box4#InBB</v>
      </c>
      <c r="O204">
        <f>IF(PartList[[#This Row],[Unique]]="Yes",_xlfn.XLOOKUP(PartList[[#This Row],[ASSLY MARK]],FilteredPL!A:A,FilteredPL!B:B,0,0),0)</f>
        <v>0</v>
      </c>
      <c r="P204">
        <f>_xlfn.XLOOKUP(PartList[[#This Row],[ASSLY MARK]],MasterPL[SplitMarkNo],MasterPL[BILL WT.(KG)],0,0)</f>
        <v>0</v>
      </c>
      <c r="Q204" cm="1">
        <f t="array" ref="Q20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04" s="2" t="str">
        <v>5BE33</v>
      </c>
      <c r="AB204" s="2">
        <f>SUMIF(PartList[ASSLY MARK],AA204,PartList[Avail. Qty])</f>
        <v>0</v>
      </c>
    </row>
    <row r="205" spans="1:28" x14ac:dyDescent="0.25">
      <c r="A205">
        <v>467</v>
      </c>
      <c r="B205" t="s">
        <v>301</v>
      </c>
      <c r="C205" t="s">
        <v>529</v>
      </c>
      <c r="D205" t="s">
        <v>736</v>
      </c>
      <c r="E205" t="s">
        <v>645</v>
      </c>
      <c r="F205" t="str" cm="1">
        <f t="array" ref="F205">IF(SUM(IF(PartList[ASSLY MARK]=PartList[[#This Row],[ASSLY MARK]],1,0))&gt;1,"No","Yes")</f>
        <v>Yes</v>
      </c>
      <c r="G205" t="str" cm="1">
        <f t="array" ref="G205">_xlfn.TEXTJOIN("_",TRUE,TRIM(_xlfn.TEXTSPLIT(PartList[[#This Row],[GRID LOCATION]],{"PR01","/","-"})))</f>
        <v>11_A_B</v>
      </c>
      <c r="H205" t="str" cm="1">
        <f t="array" ref="H20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05" cm="1">
        <f t="array" ref="I20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05" t="str">
        <f>IF(IFERROR(SEARCH("&gt;",PartList[[#This Row],[ID]]),0),"O",IF(IFERROR(SEARCH("&lt;",PartList[[#This Row],[ID]]),0),"I",""))</f>
        <v/>
      </c>
      <c r="K205" t="str" cm="1">
        <f t="array" ref="K2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11_A_B</v>
      </c>
      <c r="L205" t="str" cm="1">
        <f t="array" ref="L2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205" t="str">
        <f>_xlfn.TEXTJOIN("#",TRUE,PartList[[#This Row],[ASSLY MARK]],PartList[[#This Row],[BOX NO]],PartList[[#This Row],[In/Out]],PartList[[#This Row],[O1-Grid]])</f>
        <v>3SC05#Box1#11_A_B</v>
      </c>
      <c r="N205" t="str">
        <f>_xlfn.TEXTJOIN("#",TRUE,PartList[[#This Row],[ASSLY MARK]],PartList[[#This Row],[BOX NO]],PartList[[#This Row],[In/Out]],PartList[[#This Row],[O2-Grid]])</f>
        <v>3SC05#Box1#InB</v>
      </c>
      <c r="O205">
        <f>IF(PartList[[#This Row],[Unique]]="Yes",_xlfn.XLOOKUP(PartList[[#This Row],[ASSLY MARK]],FilteredPL!A:A,FilteredPL!B:B,0,0),0)</f>
        <v>0</v>
      </c>
      <c r="P205">
        <f>_xlfn.XLOOKUP(PartList[[#This Row],[ASSLY MARK]],MasterPL[SplitMarkNo],MasterPL[BILL WT.(KG)],0,0)</f>
        <v>0</v>
      </c>
      <c r="Q205" cm="1">
        <f t="array" ref="Q20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05" s="2" t="str">
        <v>5BE34</v>
      </c>
      <c r="AB205" s="2">
        <f>SUMIF(PartList[ASSLY MARK],AA205,PartList[Avail. Qty])</f>
        <v>0</v>
      </c>
    </row>
    <row r="206" spans="1:28" x14ac:dyDescent="0.25">
      <c r="A206">
        <v>468</v>
      </c>
      <c r="B206" t="s">
        <v>302</v>
      </c>
      <c r="C206" t="s">
        <v>534</v>
      </c>
      <c r="D206" t="s">
        <v>238</v>
      </c>
      <c r="E206" t="s">
        <v>645</v>
      </c>
      <c r="F206" t="str" cm="1">
        <f t="array" ref="F206">IF(SUM(IF(PartList[ASSLY MARK]=PartList[[#This Row],[ASSLY MARK]],1,0))&gt;1,"No","Yes")</f>
        <v>Yes</v>
      </c>
      <c r="G206" t="str" cm="1">
        <f t="array" ref="G206">_xlfn.TEXTJOIN("_",TRUE,TRIM(_xlfn.TEXTSPLIT(PartList[[#This Row],[GRID LOCATION]],{"PR01","/","-"})))</f>
        <v>11_12_B</v>
      </c>
      <c r="H206" t="str" cm="1">
        <f t="array" ref="H20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06" cm="1">
        <f t="array" ref="I20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06" t="str">
        <f>IF(IFERROR(SEARCH("&gt;",PartList[[#This Row],[ID]]),0),"O",IF(IFERROR(SEARCH("&lt;",PartList[[#This Row],[ID]]),0),"I",""))</f>
        <v/>
      </c>
      <c r="K206" t="str" cm="1">
        <f t="array" ref="K2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06" t="str" cm="1">
        <f t="array" ref="L2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06" t="str">
        <f>_xlfn.TEXTJOIN("#",TRUE,PartList[[#This Row],[ASSLY MARK]],PartList[[#This Row],[BOX NO]],PartList[[#This Row],[In/Out]],PartList[[#This Row],[O1-Grid]])</f>
        <v>3SC06#Box1_Box2#InBB</v>
      </c>
      <c r="N206" t="str">
        <f>_xlfn.TEXTJOIN("#",TRUE,PartList[[#This Row],[ASSLY MARK]],PartList[[#This Row],[BOX NO]],PartList[[#This Row],[In/Out]],PartList[[#This Row],[O2-Grid]])</f>
        <v>3SC06#Box1_Box2#InBB</v>
      </c>
      <c r="O206">
        <f>IF(PartList[[#This Row],[Unique]]="Yes",_xlfn.XLOOKUP(PartList[[#This Row],[ASSLY MARK]],FilteredPL!A:A,FilteredPL!B:B,0,0),0)</f>
        <v>0</v>
      </c>
      <c r="P206">
        <f>_xlfn.XLOOKUP(PartList[[#This Row],[ASSLY MARK]],MasterPL[SplitMarkNo],MasterPL[BILL WT.(KG)],0,0)</f>
        <v>0</v>
      </c>
      <c r="Q206" cm="1">
        <f t="array" ref="Q20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06" s="2" t="str">
        <v>5BE35</v>
      </c>
      <c r="AB206" s="2">
        <f>SUMIF(PartList[ASSLY MARK],AA206,PartList[Avail. Qty])</f>
        <v>0</v>
      </c>
    </row>
    <row r="207" spans="1:28" x14ac:dyDescent="0.25">
      <c r="A207">
        <v>477</v>
      </c>
      <c r="B207" t="s">
        <v>748</v>
      </c>
      <c r="C207" t="s">
        <v>619</v>
      </c>
      <c r="D207" t="s">
        <v>307</v>
      </c>
      <c r="E207" t="s">
        <v>645</v>
      </c>
      <c r="F207" t="str" cm="1">
        <f t="array" ref="F207">IF(SUM(IF(PartList[ASSLY MARK]=PartList[[#This Row],[ASSLY MARK]],1,0))&gt;1,"No","Yes")</f>
        <v>Yes</v>
      </c>
      <c r="G207" t="str" cm="1">
        <f t="array" ref="G207">_xlfn.TEXTJOIN("_",TRUE,TRIM(_xlfn.TEXTSPLIT(PartList[[#This Row],[GRID LOCATION]],{"PR01","/","-"})))</f>
        <v>14_B&gt;</v>
      </c>
      <c r="H207" t="str" cm="1">
        <f t="array" ref="H20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207" cm="1">
        <f t="array" ref="I20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07" t="str">
        <f>IF(IFERROR(SEARCH("&gt;",PartList[[#This Row],[ID]]),0),"O",IF(IFERROR(SEARCH("&lt;",PartList[[#This Row],[ID]]),0),"I",""))</f>
        <v>O</v>
      </c>
      <c r="K207" t="str" cm="1">
        <f t="array" ref="K2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07" t="str" cm="1">
        <f t="array" ref="L2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07" t="str">
        <f>_xlfn.TEXTJOIN("#",TRUE,PartList[[#This Row],[ASSLY MARK]],PartList[[#This Row],[BOX NO]],PartList[[#This Row],[In/Out]],PartList[[#This Row],[O1-Grid]])</f>
        <v>3SC15#Box1_Box2_Box3_Box6#O</v>
      </c>
      <c r="N207" t="str">
        <f>_xlfn.TEXTJOIN("#",TRUE,PartList[[#This Row],[ASSLY MARK]],PartList[[#This Row],[BOX NO]],PartList[[#This Row],[In/Out]],PartList[[#This Row],[O2-Grid]])</f>
        <v>3SC15#Box1_Box2_Box3_Box6#O</v>
      </c>
      <c r="O207">
        <f>IF(PartList[[#This Row],[Unique]]="Yes",_xlfn.XLOOKUP(PartList[[#This Row],[ASSLY MARK]],FilteredPL!A:A,FilteredPL!B:B,0,0),0)</f>
        <v>0</v>
      </c>
      <c r="P207">
        <f>_xlfn.XLOOKUP(PartList[[#This Row],[ASSLY MARK]],MasterPL[SplitMarkNo],MasterPL[BILL WT.(KG)],0,0)</f>
        <v>0</v>
      </c>
      <c r="Q207" cm="1">
        <f t="array" ref="Q20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07" s="2" t="str">
        <v>5BE36</v>
      </c>
      <c r="AB207" s="2">
        <f>SUMIF(PartList[ASSLY MARK],AA207,PartList[Avail. Qty])</f>
        <v>0</v>
      </c>
    </row>
    <row r="208" spans="1:28" x14ac:dyDescent="0.25">
      <c r="A208">
        <v>482</v>
      </c>
      <c r="B208" t="s">
        <v>308</v>
      </c>
      <c r="C208" t="s">
        <v>529</v>
      </c>
      <c r="D208" t="s">
        <v>753</v>
      </c>
      <c r="E208" t="s">
        <v>5</v>
      </c>
      <c r="F208" t="str" cm="1">
        <f t="array" ref="F208">IF(SUM(IF(PartList[ASSLY MARK]=PartList[[#This Row],[ASSLY MARK]],1,0))&gt;1,"No","Yes")</f>
        <v>Yes</v>
      </c>
      <c r="G208" t="str" cm="1">
        <f t="array" ref="G208">_xlfn.TEXTJOIN("_",TRUE,TRIM(_xlfn.TEXTSPLIT(PartList[[#This Row],[GRID LOCATION]],{"PR01","/","-"})))</f>
        <v>11_A_B</v>
      </c>
      <c r="H208" t="str" cm="1">
        <f t="array" ref="H20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08" cm="1">
        <f t="array" ref="I20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08" t="str">
        <f>IF(IFERROR(SEARCH("&gt;",PartList[[#This Row],[ID]]),0),"O",IF(IFERROR(SEARCH("&lt;",PartList[[#This Row],[ID]]),0),"I",""))</f>
        <v/>
      </c>
      <c r="K208" t="str" cm="1">
        <f t="array" ref="K2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11_A_B</v>
      </c>
      <c r="L208" t="str" cm="1">
        <f t="array" ref="L2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208" t="str">
        <f>_xlfn.TEXTJOIN("#",TRUE,PartList[[#This Row],[ASSLY MARK]],PartList[[#This Row],[BOX NO]],PartList[[#This Row],[In/Out]],PartList[[#This Row],[O1-Grid]])</f>
        <v>4BE02#Box1#11_A_B</v>
      </c>
      <c r="N208" t="str">
        <f>_xlfn.TEXTJOIN("#",TRUE,PartList[[#This Row],[ASSLY MARK]],PartList[[#This Row],[BOX NO]],PartList[[#This Row],[In/Out]],PartList[[#This Row],[O2-Grid]])</f>
        <v>4BE02#Box1#InB</v>
      </c>
      <c r="O208">
        <f>IF(PartList[[#This Row],[Unique]]="Yes",_xlfn.XLOOKUP(PartList[[#This Row],[ASSLY MARK]],FilteredPL!A:A,FilteredPL!B:B,0,0),0)</f>
        <v>0</v>
      </c>
      <c r="P208">
        <f>_xlfn.XLOOKUP(PartList[[#This Row],[ASSLY MARK]],MasterPL[SplitMarkNo],MasterPL[BILL WT.(KG)],0,0)</f>
        <v>0</v>
      </c>
      <c r="Q208" cm="1">
        <f t="array" ref="Q20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08" s="2" t="str">
        <v>5BE37</v>
      </c>
      <c r="AB208" s="2">
        <f>SUMIF(PartList[ASSLY MARK],AA208,PartList[Avail. Qty])</f>
        <v>0</v>
      </c>
    </row>
    <row r="209" spans="1:28" x14ac:dyDescent="0.25">
      <c r="A209">
        <v>483</v>
      </c>
      <c r="B209" t="s">
        <v>309</v>
      </c>
      <c r="C209" t="s">
        <v>532</v>
      </c>
      <c r="D209" t="s">
        <v>753</v>
      </c>
      <c r="E209" t="s">
        <v>5</v>
      </c>
      <c r="F209" t="str" cm="1">
        <f t="array" ref="F209">IF(SUM(IF(PartList[ASSLY MARK]=PartList[[#This Row],[ASSLY MARK]],1,0))&gt;1,"No","Yes")</f>
        <v>Yes</v>
      </c>
      <c r="G209" t="str" cm="1">
        <f t="array" ref="G209">_xlfn.TEXTJOIN("_",TRUE,TRIM(_xlfn.TEXTSPLIT(PartList[[#This Row],[GRID LOCATION]],{"PR01","/","-"})))</f>
        <v>11_12_A_B</v>
      </c>
      <c r="H209" t="str" cm="1">
        <f t="array" ref="H20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09" cm="1">
        <f t="array" ref="I20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09" t="str">
        <f>IF(IFERROR(SEARCH("&gt;",PartList[[#This Row],[ID]]),0),"O",IF(IFERROR(SEARCH("&lt;",PartList[[#This Row],[ID]]),0),"I",""))</f>
        <v/>
      </c>
      <c r="K209" t="str" cm="1">
        <f t="array" ref="K2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09" t="str" cm="1">
        <f t="array" ref="L2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09" t="str">
        <f>_xlfn.TEXTJOIN("#",TRUE,PartList[[#This Row],[ASSLY MARK]],PartList[[#This Row],[BOX NO]],PartList[[#This Row],[In/Out]],PartList[[#This Row],[O1-Grid]])</f>
        <v>4BE03#Box1_Box2#InBB</v>
      </c>
      <c r="N209" t="str">
        <f>_xlfn.TEXTJOIN("#",TRUE,PartList[[#This Row],[ASSLY MARK]],PartList[[#This Row],[BOX NO]],PartList[[#This Row],[In/Out]],PartList[[#This Row],[O2-Grid]])</f>
        <v>4BE03#Box1_Box2#InBB</v>
      </c>
      <c r="O209">
        <f>IF(PartList[[#This Row],[Unique]]="Yes",_xlfn.XLOOKUP(PartList[[#This Row],[ASSLY MARK]],FilteredPL!A:A,FilteredPL!B:B,0,0),0)</f>
        <v>0</v>
      </c>
      <c r="P209">
        <f>_xlfn.XLOOKUP(PartList[[#This Row],[ASSLY MARK]],MasterPL[SplitMarkNo],MasterPL[BILL WT.(KG)],0,0)</f>
        <v>0</v>
      </c>
      <c r="Q209" cm="1">
        <f t="array" ref="Q20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09" s="2" t="str">
        <v>5BE38</v>
      </c>
      <c r="AB209" s="2">
        <f>SUMIF(PartList[ASSLY MARK],AA209,PartList[Avail. Qty])</f>
        <v>0</v>
      </c>
    </row>
    <row r="210" spans="1:28" x14ac:dyDescent="0.25">
      <c r="A210">
        <v>484</v>
      </c>
      <c r="B210" t="s">
        <v>310</v>
      </c>
      <c r="C210" t="s">
        <v>532</v>
      </c>
      <c r="D210" t="s">
        <v>753</v>
      </c>
      <c r="E210" t="s">
        <v>5</v>
      </c>
      <c r="F210" t="str" cm="1">
        <f t="array" ref="F210">IF(SUM(IF(PartList[ASSLY MARK]=PartList[[#This Row],[ASSLY MARK]],1,0))&gt;1,"No","Yes")</f>
        <v>Yes</v>
      </c>
      <c r="G210" t="str" cm="1">
        <f t="array" ref="G210">_xlfn.TEXTJOIN("_",TRUE,TRIM(_xlfn.TEXTSPLIT(PartList[[#This Row],[GRID LOCATION]],{"PR01","/","-"})))</f>
        <v>11_12_A_B</v>
      </c>
      <c r="H210" t="str" cm="1">
        <f t="array" ref="H21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10" cm="1">
        <f t="array" ref="I21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10" t="str">
        <f>IF(IFERROR(SEARCH("&gt;",PartList[[#This Row],[ID]]),0),"O",IF(IFERROR(SEARCH("&lt;",PartList[[#This Row],[ID]]),0),"I",""))</f>
        <v/>
      </c>
      <c r="K210" t="str" cm="1">
        <f t="array" ref="K2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10" t="str" cm="1">
        <f t="array" ref="L2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10" t="str">
        <f>_xlfn.TEXTJOIN("#",TRUE,PartList[[#This Row],[ASSLY MARK]],PartList[[#This Row],[BOX NO]],PartList[[#This Row],[In/Out]],PartList[[#This Row],[O1-Grid]])</f>
        <v>4BE04#Box1_Box2#InBB</v>
      </c>
      <c r="N210" t="str">
        <f>_xlfn.TEXTJOIN("#",TRUE,PartList[[#This Row],[ASSLY MARK]],PartList[[#This Row],[BOX NO]],PartList[[#This Row],[In/Out]],PartList[[#This Row],[O2-Grid]])</f>
        <v>4BE04#Box1_Box2#InBB</v>
      </c>
      <c r="O210">
        <f>IF(PartList[[#This Row],[Unique]]="Yes",_xlfn.XLOOKUP(PartList[[#This Row],[ASSLY MARK]],FilteredPL!A:A,FilteredPL!B:B,0,0),0)</f>
        <v>0</v>
      </c>
      <c r="P210">
        <f>_xlfn.XLOOKUP(PartList[[#This Row],[ASSLY MARK]],MasterPL[SplitMarkNo],MasterPL[BILL WT.(KG)],0,0)</f>
        <v>0</v>
      </c>
      <c r="Q210" cm="1">
        <f t="array" ref="Q21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10" s="2" t="str">
        <v>5BE39</v>
      </c>
      <c r="AB210" s="2">
        <f>SUMIF(PartList[ASSLY MARK],AA210,PartList[Avail. Qty])</f>
        <v>0</v>
      </c>
    </row>
    <row r="211" spans="1:28" x14ac:dyDescent="0.25">
      <c r="A211">
        <v>485</v>
      </c>
      <c r="B211" t="s">
        <v>311</v>
      </c>
      <c r="C211" t="s">
        <v>532</v>
      </c>
      <c r="D211" t="s">
        <v>753</v>
      </c>
      <c r="E211" t="s">
        <v>5</v>
      </c>
      <c r="F211" t="str" cm="1">
        <f t="array" ref="F211">IF(SUM(IF(PartList[ASSLY MARK]=PartList[[#This Row],[ASSLY MARK]],1,0))&gt;1,"No","Yes")</f>
        <v>Yes</v>
      </c>
      <c r="G211" t="str" cm="1">
        <f t="array" ref="G211">_xlfn.TEXTJOIN("_",TRUE,TRIM(_xlfn.TEXTSPLIT(PartList[[#This Row],[GRID LOCATION]],{"PR01","/","-"})))</f>
        <v>11_12_A_B</v>
      </c>
      <c r="H211" t="str" cm="1">
        <f t="array" ref="H21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11" cm="1">
        <f t="array" ref="I21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11" t="str">
        <f>IF(IFERROR(SEARCH("&gt;",PartList[[#This Row],[ID]]),0),"O",IF(IFERROR(SEARCH("&lt;",PartList[[#This Row],[ID]]),0),"I",""))</f>
        <v/>
      </c>
      <c r="K211" t="str" cm="1">
        <f t="array" ref="K2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11" t="str" cm="1">
        <f t="array" ref="L2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11" t="str">
        <f>_xlfn.TEXTJOIN("#",TRUE,PartList[[#This Row],[ASSLY MARK]],PartList[[#This Row],[BOX NO]],PartList[[#This Row],[In/Out]],PartList[[#This Row],[O1-Grid]])</f>
        <v>4BE05#Box1_Box2#InBB</v>
      </c>
      <c r="N211" t="str">
        <f>_xlfn.TEXTJOIN("#",TRUE,PartList[[#This Row],[ASSLY MARK]],PartList[[#This Row],[BOX NO]],PartList[[#This Row],[In/Out]],PartList[[#This Row],[O2-Grid]])</f>
        <v>4BE05#Box1_Box2#InBB</v>
      </c>
      <c r="O211">
        <f>IF(PartList[[#This Row],[Unique]]="Yes",_xlfn.XLOOKUP(PartList[[#This Row],[ASSLY MARK]],FilteredPL!A:A,FilteredPL!B:B,0,0),0)</f>
        <v>0</v>
      </c>
      <c r="P211">
        <f>_xlfn.XLOOKUP(PartList[[#This Row],[ASSLY MARK]],MasterPL[SplitMarkNo],MasterPL[BILL WT.(KG)],0,0)</f>
        <v>0</v>
      </c>
      <c r="Q211" cm="1">
        <f t="array" ref="Q21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11" s="2" t="str">
        <v>5BE40</v>
      </c>
      <c r="AB211" s="2">
        <f>SUMIF(PartList[ASSLY MARK],AA211,PartList[Avail. Qty])</f>
        <v>0</v>
      </c>
    </row>
    <row r="212" spans="1:28" x14ac:dyDescent="0.25">
      <c r="A212">
        <v>486</v>
      </c>
      <c r="B212" t="s">
        <v>312</v>
      </c>
      <c r="C212" t="s">
        <v>532</v>
      </c>
      <c r="D212" t="s">
        <v>753</v>
      </c>
      <c r="E212" t="s">
        <v>5</v>
      </c>
      <c r="F212" t="str" cm="1">
        <f t="array" ref="F212">IF(SUM(IF(PartList[ASSLY MARK]=PartList[[#This Row],[ASSLY MARK]],1,0))&gt;1,"No","Yes")</f>
        <v>Yes</v>
      </c>
      <c r="G212" t="str" cm="1">
        <f t="array" ref="G212">_xlfn.TEXTJOIN("_",TRUE,TRIM(_xlfn.TEXTSPLIT(PartList[[#This Row],[GRID LOCATION]],{"PR01","/","-"})))</f>
        <v>11_12_A_B</v>
      </c>
      <c r="H212" t="str" cm="1">
        <f t="array" ref="H21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12" cm="1">
        <f t="array" ref="I21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12" t="str">
        <f>IF(IFERROR(SEARCH("&gt;",PartList[[#This Row],[ID]]),0),"O",IF(IFERROR(SEARCH("&lt;",PartList[[#This Row],[ID]]),0),"I",""))</f>
        <v/>
      </c>
      <c r="K212" t="str" cm="1">
        <f t="array" ref="K2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12" t="str" cm="1">
        <f t="array" ref="L2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12" t="str">
        <f>_xlfn.TEXTJOIN("#",TRUE,PartList[[#This Row],[ASSLY MARK]],PartList[[#This Row],[BOX NO]],PartList[[#This Row],[In/Out]],PartList[[#This Row],[O1-Grid]])</f>
        <v>4BE06#Box1_Box2#InBB</v>
      </c>
      <c r="N212" t="str">
        <f>_xlfn.TEXTJOIN("#",TRUE,PartList[[#This Row],[ASSLY MARK]],PartList[[#This Row],[BOX NO]],PartList[[#This Row],[In/Out]],PartList[[#This Row],[O2-Grid]])</f>
        <v>4BE06#Box1_Box2#InBB</v>
      </c>
      <c r="O212">
        <f>IF(PartList[[#This Row],[Unique]]="Yes",_xlfn.XLOOKUP(PartList[[#This Row],[ASSLY MARK]],FilteredPL!A:A,FilteredPL!B:B,0,0),0)</f>
        <v>0</v>
      </c>
      <c r="P212">
        <f>_xlfn.XLOOKUP(PartList[[#This Row],[ASSLY MARK]],MasterPL[SplitMarkNo],MasterPL[BILL WT.(KG)],0,0)</f>
        <v>0</v>
      </c>
      <c r="Q212" cm="1">
        <f t="array" ref="Q21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12" s="2" t="str">
        <v>5BE41</v>
      </c>
      <c r="AB212" s="2">
        <f>SUMIF(PartList[ASSLY MARK],AA212,PartList[Avail. Qty])</f>
        <v>0</v>
      </c>
    </row>
    <row r="213" spans="1:28" x14ac:dyDescent="0.25">
      <c r="A213">
        <v>487</v>
      </c>
      <c r="B213" t="s">
        <v>313</v>
      </c>
      <c r="C213" t="s">
        <v>531</v>
      </c>
      <c r="D213" t="s">
        <v>238</v>
      </c>
      <c r="E213" t="s">
        <v>5</v>
      </c>
      <c r="F213" t="str" cm="1">
        <f t="array" ref="F213">IF(SUM(IF(PartList[ASSLY MARK]=PartList[[#This Row],[ASSLY MARK]],1,0))&gt;1,"No","Yes")</f>
        <v>Yes</v>
      </c>
      <c r="G213" t="str" cm="1">
        <f t="array" ref="G213">_xlfn.TEXTJOIN("_",TRUE,TRIM(_xlfn.TEXTSPLIT(PartList[[#This Row],[GRID LOCATION]],{"PR01","/","-"})))</f>
        <v>11_12_B&gt;</v>
      </c>
      <c r="H213" t="str" cm="1">
        <f t="array" ref="H21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13" cm="1">
        <f t="array" ref="I21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13" t="str">
        <f>IF(IFERROR(SEARCH("&gt;",PartList[[#This Row],[ID]]),0),"O",IF(IFERROR(SEARCH("&lt;",PartList[[#This Row],[ID]]),0),"I",""))</f>
        <v>O</v>
      </c>
      <c r="K213" t="str" cm="1">
        <f t="array" ref="K2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13" t="str" cm="1">
        <f t="array" ref="L2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13" t="str">
        <f>_xlfn.TEXTJOIN("#",TRUE,PartList[[#This Row],[ASSLY MARK]],PartList[[#This Row],[BOX NO]],PartList[[#This Row],[In/Out]],PartList[[#This Row],[O1-Grid]])</f>
        <v>4BE07#Box1_Box2#O</v>
      </c>
      <c r="N213" t="str">
        <f>_xlfn.TEXTJOIN("#",TRUE,PartList[[#This Row],[ASSLY MARK]],PartList[[#This Row],[BOX NO]],PartList[[#This Row],[In/Out]],PartList[[#This Row],[O2-Grid]])</f>
        <v>4BE07#Box1_Box2#O</v>
      </c>
      <c r="O213">
        <f>IF(PartList[[#This Row],[Unique]]="Yes",_xlfn.XLOOKUP(PartList[[#This Row],[ASSLY MARK]],FilteredPL!A:A,FilteredPL!B:B,0,0),0)</f>
        <v>0</v>
      </c>
      <c r="P213">
        <f>_xlfn.XLOOKUP(PartList[[#This Row],[ASSLY MARK]],MasterPL[SplitMarkNo],MasterPL[BILL WT.(KG)],0,0)</f>
        <v>0</v>
      </c>
      <c r="Q213" cm="1">
        <f t="array" ref="Q21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13" s="2" t="str">
        <v>5BE42</v>
      </c>
      <c r="AB213" s="2">
        <f>SUMIF(PartList[ASSLY MARK],AA213,PartList[Avail. Qty])</f>
        <v>0</v>
      </c>
    </row>
    <row r="214" spans="1:28" x14ac:dyDescent="0.25">
      <c r="A214">
        <v>488</v>
      </c>
      <c r="B214" t="s">
        <v>314</v>
      </c>
      <c r="C214" t="s">
        <v>534</v>
      </c>
      <c r="D214" t="s">
        <v>238</v>
      </c>
      <c r="E214" t="s">
        <v>5</v>
      </c>
      <c r="F214" t="str" cm="1">
        <f t="array" ref="F214">IF(SUM(IF(PartList[ASSLY MARK]=PartList[[#This Row],[ASSLY MARK]],1,0))&gt;1,"No","Yes")</f>
        <v>Yes</v>
      </c>
      <c r="G214" t="str" cm="1">
        <f t="array" ref="G214">_xlfn.TEXTJOIN("_",TRUE,TRIM(_xlfn.TEXTSPLIT(PartList[[#This Row],[GRID LOCATION]],{"PR01","/","-"})))</f>
        <v>11_12_B</v>
      </c>
      <c r="H214" t="str" cm="1">
        <f t="array" ref="H21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14" cm="1">
        <f t="array" ref="I21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14" t="str">
        <f>IF(IFERROR(SEARCH("&gt;",PartList[[#This Row],[ID]]),0),"O",IF(IFERROR(SEARCH("&lt;",PartList[[#This Row],[ID]]),0),"I",""))</f>
        <v/>
      </c>
      <c r="K214" t="str" cm="1">
        <f t="array" ref="K2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14" t="str" cm="1">
        <f t="array" ref="L2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14" t="str">
        <f>_xlfn.TEXTJOIN("#",TRUE,PartList[[#This Row],[ASSLY MARK]],PartList[[#This Row],[BOX NO]],PartList[[#This Row],[In/Out]],PartList[[#This Row],[O1-Grid]])</f>
        <v>4BE08#Box1_Box2#InBB</v>
      </c>
      <c r="N214" t="str">
        <f>_xlfn.TEXTJOIN("#",TRUE,PartList[[#This Row],[ASSLY MARK]],PartList[[#This Row],[BOX NO]],PartList[[#This Row],[In/Out]],PartList[[#This Row],[O2-Grid]])</f>
        <v>4BE08#Box1_Box2#InBB</v>
      </c>
      <c r="O214">
        <f>IF(PartList[[#This Row],[Unique]]="Yes",_xlfn.XLOOKUP(PartList[[#This Row],[ASSLY MARK]],FilteredPL!A:A,FilteredPL!B:B,0,0),0)</f>
        <v>0</v>
      </c>
      <c r="P214">
        <f>_xlfn.XLOOKUP(PartList[[#This Row],[ASSLY MARK]],MasterPL[SplitMarkNo],MasterPL[BILL WT.(KG)],0,0)</f>
        <v>0</v>
      </c>
      <c r="Q214" cm="1">
        <f t="array" ref="Q21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14" s="2" t="str">
        <v>5BE43</v>
      </c>
      <c r="AB214" s="2">
        <f>SUMIF(PartList[ASSLY MARK],AA214,PartList[Avail. Qty])</f>
        <v>0</v>
      </c>
    </row>
    <row r="215" spans="1:28" x14ac:dyDescent="0.25">
      <c r="A215">
        <v>536</v>
      </c>
      <c r="B215" t="s">
        <v>789</v>
      </c>
      <c r="C215" t="s">
        <v>617</v>
      </c>
      <c r="D215" t="s">
        <v>307</v>
      </c>
      <c r="E215" t="s">
        <v>5</v>
      </c>
      <c r="F215" t="str" cm="1">
        <f t="array" ref="F215">IF(SUM(IF(PartList[ASSLY MARK]=PartList[[#This Row],[ASSLY MARK]],1,0))&gt;1,"No","Yes")</f>
        <v>Yes</v>
      </c>
      <c r="G215" t="str" cm="1">
        <f t="array" ref="G215">_xlfn.TEXTJOIN("_",TRUE,TRIM(_xlfn.TEXTSPLIT(PartList[[#This Row],[GRID LOCATION]],{"PR01","/","-"})))</f>
        <v>14_A_B</v>
      </c>
      <c r="H215" t="str" cm="1">
        <f t="array" ref="H21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</v>
      </c>
      <c r="I215" cm="1">
        <f t="array" ref="I21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15" t="str">
        <f>IF(IFERROR(SEARCH("&gt;",PartList[[#This Row],[ID]]),0),"O",IF(IFERROR(SEARCH("&lt;",PartList[[#This Row],[ID]]),0),"I",""))</f>
        <v/>
      </c>
      <c r="K215" t="str" cm="1">
        <f t="array" ref="K2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15" t="str" cm="1">
        <f t="array" ref="L2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15" t="str">
        <f>_xlfn.TEXTJOIN("#",TRUE,PartList[[#This Row],[ASSLY MARK]],PartList[[#This Row],[BOX NO]],PartList[[#This Row],[In/Out]],PartList[[#This Row],[O1-Grid]])</f>
        <v>4BE54#Box1_Box2_Box3#InBB</v>
      </c>
      <c r="N215" t="str">
        <f>_xlfn.TEXTJOIN("#",TRUE,PartList[[#This Row],[ASSLY MARK]],PartList[[#This Row],[BOX NO]],PartList[[#This Row],[In/Out]],PartList[[#This Row],[O2-Grid]])</f>
        <v>4BE54#Box1_Box2_Box3#InBB</v>
      </c>
      <c r="O215">
        <f>IF(PartList[[#This Row],[Unique]]="Yes",_xlfn.XLOOKUP(PartList[[#This Row],[ASSLY MARK]],FilteredPL!A:A,FilteredPL!B:B,0,0),0)</f>
        <v>0</v>
      </c>
      <c r="P215">
        <f>_xlfn.XLOOKUP(PartList[[#This Row],[ASSLY MARK]],MasterPL[SplitMarkNo],MasterPL[BILL WT.(KG)],0,0)</f>
        <v>0</v>
      </c>
      <c r="Q215" cm="1">
        <f t="array" ref="Q21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15" s="2" t="str">
        <v>5BE44</v>
      </c>
      <c r="AB215" s="2">
        <f>SUMIF(PartList[ASSLY MARK],AA215,PartList[Avail. Qty])</f>
        <v>0</v>
      </c>
    </row>
    <row r="216" spans="1:28" x14ac:dyDescent="0.25">
      <c r="A216">
        <v>537</v>
      </c>
      <c r="B216" t="s">
        <v>790</v>
      </c>
      <c r="C216" t="s">
        <v>619</v>
      </c>
      <c r="D216" t="s">
        <v>307</v>
      </c>
      <c r="E216" t="s">
        <v>5</v>
      </c>
      <c r="F216" t="str" cm="1">
        <f t="array" ref="F216">IF(SUM(IF(PartList[ASSLY MARK]=PartList[[#This Row],[ASSLY MARK]],1,0))&gt;1,"No","Yes")</f>
        <v>Yes</v>
      </c>
      <c r="G216" t="str" cm="1">
        <f t="array" ref="G216">_xlfn.TEXTJOIN("_",TRUE,TRIM(_xlfn.TEXTSPLIT(PartList[[#This Row],[GRID LOCATION]],{"PR01","/","-"})))</f>
        <v>14_B&gt;</v>
      </c>
      <c r="H216" t="str" cm="1">
        <f t="array" ref="H21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216" cm="1">
        <f t="array" ref="I21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16" t="str">
        <f>IF(IFERROR(SEARCH("&gt;",PartList[[#This Row],[ID]]),0),"O",IF(IFERROR(SEARCH("&lt;",PartList[[#This Row],[ID]]),0),"I",""))</f>
        <v>O</v>
      </c>
      <c r="K216" t="str" cm="1">
        <f t="array" ref="K2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16" t="str" cm="1">
        <f t="array" ref="L2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16" t="str">
        <f>_xlfn.TEXTJOIN("#",TRUE,PartList[[#This Row],[ASSLY MARK]],PartList[[#This Row],[BOX NO]],PartList[[#This Row],[In/Out]],PartList[[#This Row],[O1-Grid]])</f>
        <v>4BE55#Box1_Box2_Box3_Box6#O</v>
      </c>
      <c r="N216" t="str">
        <f>_xlfn.TEXTJOIN("#",TRUE,PartList[[#This Row],[ASSLY MARK]],PartList[[#This Row],[BOX NO]],PartList[[#This Row],[In/Out]],PartList[[#This Row],[O2-Grid]])</f>
        <v>4BE55#Box1_Box2_Box3_Box6#O</v>
      </c>
      <c r="O216">
        <f>IF(PartList[[#This Row],[Unique]]="Yes",_xlfn.XLOOKUP(PartList[[#This Row],[ASSLY MARK]],FilteredPL!A:A,FilteredPL!B:B,0,0),0)</f>
        <v>0</v>
      </c>
      <c r="P216">
        <f>_xlfn.XLOOKUP(PartList[[#This Row],[ASSLY MARK]],MasterPL[SplitMarkNo],MasterPL[BILL WT.(KG)],0,0)</f>
        <v>0</v>
      </c>
      <c r="Q216" cm="1">
        <f t="array" ref="Q21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16" s="2" t="str">
        <v>5BE52</v>
      </c>
      <c r="AB216" s="2">
        <f>SUMIF(PartList[ASSLY MARK],AA216,PartList[Avail. Qty])</f>
        <v>0</v>
      </c>
    </row>
    <row r="217" spans="1:28" x14ac:dyDescent="0.25">
      <c r="A217">
        <v>561</v>
      </c>
      <c r="B217" t="s">
        <v>811</v>
      </c>
      <c r="C217" t="s">
        <v>531</v>
      </c>
      <c r="D217" t="s">
        <v>238</v>
      </c>
      <c r="E217" t="s">
        <v>128</v>
      </c>
      <c r="F217" t="str" cm="1">
        <f t="array" ref="F217">IF(SUM(IF(PartList[ASSLY MARK]=PartList[[#This Row],[ASSLY MARK]],1,0))&gt;1,"No","Yes")</f>
        <v>Yes</v>
      </c>
      <c r="G217" t="str" cm="1">
        <f t="array" ref="G217">_xlfn.TEXTJOIN("_",TRUE,TRIM(_xlfn.TEXTSPLIT(PartList[[#This Row],[GRID LOCATION]],{"PR01","/","-"})))</f>
        <v>11_12_B&gt;</v>
      </c>
      <c r="H217" t="str" cm="1">
        <f t="array" ref="H21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17" cm="1">
        <f t="array" ref="I21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17" t="str">
        <f>IF(IFERROR(SEARCH("&gt;",PartList[[#This Row],[ID]]),0),"O",IF(IFERROR(SEARCH("&lt;",PartList[[#This Row],[ID]]),0),"I",""))</f>
        <v>O</v>
      </c>
      <c r="K217" t="str" cm="1">
        <f t="array" ref="K2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17" t="str" cm="1">
        <f t="array" ref="L2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17" t="str">
        <f>_xlfn.TEXTJOIN("#",TRUE,PartList[[#This Row],[ASSLY MARK]],PartList[[#This Row],[BOX NO]],PartList[[#This Row],[In/Out]],PartList[[#This Row],[O1-Grid]])</f>
        <v>4FR05#Box1_Box2#O</v>
      </c>
      <c r="N217" t="str">
        <f>_xlfn.TEXTJOIN("#",TRUE,PartList[[#This Row],[ASSLY MARK]],PartList[[#This Row],[BOX NO]],PartList[[#This Row],[In/Out]],PartList[[#This Row],[O2-Grid]])</f>
        <v>4FR05#Box1_Box2#O</v>
      </c>
      <c r="O217">
        <f>IF(PartList[[#This Row],[Unique]]="Yes",_xlfn.XLOOKUP(PartList[[#This Row],[ASSLY MARK]],FilteredPL!A:A,FilteredPL!B:B,0,0),0)</f>
        <v>0</v>
      </c>
      <c r="P217">
        <f>_xlfn.XLOOKUP(PartList[[#This Row],[ASSLY MARK]],MasterPL[SplitMarkNo],MasterPL[BILL WT.(KG)],0,0)</f>
        <v>0</v>
      </c>
      <c r="Q217" cm="1">
        <f t="array" ref="Q21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17" s="2" t="str">
        <v>5BE53</v>
      </c>
      <c r="AB217" s="2">
        <f>SUMIF(PartList[ASSLY MARK],AA217,PartList[Avail. Qty])</f>
        <v>0</v>
      </c>
    </row>
    <row r="218" spans="1:28" x14ac:dyDescent="0.25">
      <c r="A218">
        <v>562</v>
      </c>
      <c r="B218" t="s">
        <v>812</v>
      </c>
      <c r="C218" t="s">
        <v>514</v>
      </c>
      <c r="D218" t="s">
        <v>813</v>
      </c>
      <c r="E218" t="s">
        <v>8</v>
      </c>
      <c r="F218" t="str" cm="1">
        <f t="array" ref="F218">IF(SUM(IF(PartList[ASSLY MARK]=PartList[[#This Row],[ASSLY MARK]],1,0))&gt;1,"No","Yes")</f>
        <v>Yes</v>
      </c>
      <c r="G218" t="str" cm="1">
        <f t="array" ref="G218">_xlfn.TEXTJOIN("_",TRUE,TRIM(_xlfn.TEXTSPLIT(PartList[[#This Row],[GRID LOCATION]],{"PR01","/","-"})))</f>
        <v>10_11_A</v>
      </c>
      <c r="H218" t="str" cm="1">
        <f t="array" ref="H21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18" cm="1">
        <f t="array" ref="I21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18" t="str">
        <f>IF(IFERROR(SEARCH("&gt;",PartList[[#This Row],[ID]]),0),"O",IF(IFERROR(SEARCH("&lt;",PartList[[#This Row],[ID]]),0),"I",""))</f>
        <v/>
      </c>
      <c r="K218" t="str" cm="1">
        <f t="array" ref="K2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18" t="str" cm="1">
        <f t="array" ref="L2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218" t="str">
        <f>_xlfn.TEXTJOIN("#",TRUE,PartList[[#This Row],[ASSLY MARK]],PartList[[#This Row],[BOX NO]],PartList[[#This Row],[In/Out]],PartList[[#This Row],[O1-Grid]])</f>
        <v>4HA01#Box1#InB</v>
      </c>
      <c r="N218" t="str">
        <f>_xlfn.TEXTJOIN("#",TRUE,PartList[[#This Row],[ASSLY MARK]],PartList[[#This Row],[BOX NO]],PartList[[#This Row],[In/Out]],PartList[[#This Row],[O2-Grid]])</f>
        <v>4HA01#Box1#10_11_A</v>
      </c>
      <c r="O218">
        <f>IF(PartList[[#This Row],[Unique]]="Yes",_xlfn.XLOOKUP(PartList[[#This Row],[ASSLY MARK]],FilteredPL!A:A,FilteredPL!B:B,0,0),0)</f>
        <v>0</v>
      </c>
      <c r="P218">
        <f>_xlfn.XLOOKUP(PartList[[#This Row],[ASSLY MARK]],MasterPL[SplitMarkNo],MasterPL[BILL WT.(KG)],0,0)</f>
        <v>0</v>
      </c>
      <c r="Q218" cm="1">
        <f t="array" ref="Q21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18" s="2" t="str">
        <v>5HB01</v>
      </c>
      <c r="AB218" s="2">
        <f>SUMIF(PartList[ASSLY MARK],AA218,PartList[Avail. Qty])</f>
        <v>0</v>
      </c>
    </row>
    <row r="219" spans="1:28" x14ac:dyDescent="0.25">
      <c r="A219">
        <v>563</v>
      </c>
      <c r="B219" t="s">
        <v>814</v>
      </c>
      <c r="C219" t="s">
        <v>514</v>
      </c>
      <c r="D219" t="s">
        <v>815</v>
      </c>
      <c r="E219" t="s">
        <v>8</v>
      </c>
      <c r="F219" t="str" cm="1">
        <f t="array" ref="F219">IF(SUM(IF(PartList[ASSLY MARK]=PartList[[#This Row],[ASSLY MARK]],1,0))&gt;1,"No","Yes")</f>
        <v>Yes</v>
      </c>
      <c r="G219" t="str" cm="1">
        <f t="array" ref="G219">_xlfn.TEXTJOIN("_",TRUE,TRIM(_xlfn.TEXTSPLIT(PartList[[#This Row],[GRID LOCATION]],{"PR01","/","-"})))</f>
        <v>10_11_A</v>
      </c>
      <c r="H219" t="str" cm="1">
        <f t="array" ref="H21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19" cm="1">
        <f t="array" ref="I21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19" t="str">
        <f>IF(IFERROR(SEARCH("&gt;",PartList[[#This Row],[ID]]),0),"O",IF(IFERROR(SEARCH("&lt;",PartList[[#This Row],[ID]]),0),"I",""))</f>
        <v/>
      </c>
      <c r="K219" t="str" cm="1">
        <f t="array" ref="K2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19" t="str" cm="1">
        <f t="array" ref="L2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219" t="str">
        <f>_xlfn.TEXTJOIN("#",TRUE,PartList[[#This Row],[ASSLY MARK]],PartList[[#This Row],[BOX NO]],PartList[[#This Row],[In/Out]],PartList[[#This Row],[O1-Grid]])</f>
        <v>4HA02#Box1#InB</v>
      </c>
      <c r="N219" t="str">
        <f>_xlfn.TEXTJOIN("#",TRUE,PartList[[#This Row],[ASSLY MARK]],PartList[[#This Row],[BOX NO]],PartList[[#This Row],[In/Out]],PartList[[#This Row],[O2-Grid]])</f>
        <v>4HA02#Box1#10_11_A</v>
      </c>
      <c r="O219">
        <f>IF(PartList[[#This Row],[Unique]]="Yes",_xlfn.XLOOKUP(PartList[[#This Row],[ASSLY MARK]],FilteredPL!A:A,FilteredPL!B:B,0,0),0)</f>
        <v>0</v>
      </c>
      <c r="P219">
        <f>_xlfn.XLOOKUP(PartList[[#This Row],[ASSLY MARK]],MasterPL[SplitMarkNo],MasterPL[BILL WT.(KG)],0,0)</f>
        <v>0</v>
      </c>
      <c r="Q219" cm="1">
        <f t="array" ref="Q21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19" s="2" t="str">
        <v>5HB02</v>
      </c>
      <c r="AB219" s="2">
        <f>SUMIF(PartList[ASSLY MARK],AA219,PartList[Avail. Qty])</f>
        <v>0</v>
      </c>
    </row>
    <row r="220" spans="1:28" x14ac:dyDescent="0.25">
      <c r="A220">
        <v>564</v>
      </c>
      <c r="B220" t="s">
        <v>816</v>
      </c>
      <c r="C220" t="s">
        <v>514</v>
      </c>
      <c r="D220" t="s">
        <v>813</v>
      </c>
      <c r="E220" t="s">
        <v>8</v>
      </c>
      <c r="F220" t="str" cm="1">
        <f t="array" ref="F220">IF(SUM(IF(PartList[ASSLY MARK]=PartList[[#This Row],[ASSLY MARK]],1,0))&gt;1,"No","Yes")</f>
        <v>Yes</v>
      </c>
      <c r="G220" t="str" cm="1">
        <f t="array" ref="G220">_xlfn.TEXTJOIN("_",TRUE,TRIM(_xlfn.TEXTSPLIT(PartList[[#This Row],[GRID LOCATION]],{"PR01","/","-"})))</f>
        <v>10_11_A</v>
      </c>
      <c r="H220" t="str" cm="1">
        <f t="array" ref="H22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20" cm="1">
        <f t="array" ref="I22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20" t="str">
        <f>IF(IFERROR(SEARCH("&gt;",PartList[[#This Row],[ID]]),0),"O",IF(IFERROR(SEARCH("&lt;",PartList[[#This Row],[ID]]),0),"I",""))</f>
        <v/>
      </c>
      <c r="K220" t="str" cm="1">
        <f t="array" ref="K2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20" t="str" cm="1">
        <f t="array" ref="L2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220" t="str">
        <f>_xlfn.TEXTJOIN("#",TRUE,PartList[[#This Row],[ASSLY MARK]],PartList[[#This Row],[BOX NO]],PartList[[#This Row],[In/Out]],PartList[[#This Row],[O1-Grid]])</f>
        <v>4HA03#Box1#InB</v>
      </c>
      <c r="N220" t="str">
        <f>_xlfn.TEXTJOIN("#",TRUE,PartList[[#This Row],[ASSLY MARK]],PartList[[#This Row],[BOX NO]],PartList[[#This Row],[In/Out]],PartList[[#This Row],[O2-Grid]])</f>
        <v>4HA03#Box1#10_11_A</v>
      </c>
      <c r="O220">
        <f>IF(PartList[[#This Row],[Unique]]="Yes",_xlfn.XLOOKUP(PartList[[#This Row],[ASSLY MARK]],FilteredPL!A:A,FilteredPL!B:B,0,0),0)</f>
        <v>0</v>
      </c>
      <c r="P220">
        <f>_xlfn.XLOOKUP(PartList[[#This Row],[ASSLY MARK]],MasterPL[SplitMarkNo],MasterPL[BILL WT.(KG)],0,0)</f>
        <v>0</v>
      </c>
      <c r="Q220" cm="1">
        <f t="array" ref="Q22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20" s="2" t="str">
        <v>5HB03</v>
      </c>
      <c r="AB220" s="2">
        <f>SUMIF(PartList[ASSLY MARK],AA220,PartList[Avail. Qty])</f>
        <v>0</v>
      </c>
    </row>
    <row r="221" spans="1:28" x14ac:dyDescent="0.25">
      <c r="A221">
        <v>565</v>
      </c>
      <c r="B221" t="s">
        <v>326</v>
      </c>
      <c r="C221" t="s">
        <v>532</v>
      </c>
      <c r="D221" t="s">
        <v>817</v>
      </c>
      <c r="E221" t="s">
        <v>6</v>
      </c>
      <c r="F221" t="str" cm="1">
        <f t="array" ref="F221">IF(SUM(IF(PartList[ASSLY MARK]=PartList[[#This Row],[ASSLY MARK]],1,0))&gt;1,"No","Yes")</f>
        <v>Yes</v>
      </c>
      <c r="G221" t="str" cm="1">
        <f t="array" ref="G221">_xlfn.TEXTJOIN("_",TRUE,TRIM(_xlfn.TEXTSPLIT(PartList[[#This Row],[GRID LOCATION]],{"PR01","/","-"})))</f>
        <v>11_12_A_B</v>
      </c>
      <c r="H221" t="str" cm="1">
        <f t="array" ref="H22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21" cm="1">
        <f t="array" ref="I22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21" t="str">
        <f>IF(IFERROR(SEARCH("&gt;",PartList[[#This Row],[ID]]),0),"O",IF(IFERROR(SEARCH("&lt;",PartList[[#This Row],[ID]]),0),"I",""))</f>
        <v/>
      </c>
      <c r="K221" t="str" cm="1">
        <f t="array" ref="K2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21" t="str" cm="1">
        <f t="array" ref="L2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21" t="str">
        <f>_xlfn.TEXTJOIN("#",TRUE,PartList[[#This Row],[ASSLY MARK]],PartList[[#This Row],[BOX NO]],PartList[[#This Row],[In/Out]],PartList[[#This Row],[O1-Grid]])</f>
        <v>4HB01#Box1_Box2#InBB</v>
      </c>
      <c r="N221" t="str">
        <f>_xlfn.TEXTJOIN("#",TRUE,PartList[[#This Row],[ASSLY MARK]],PartList[[#This Row],[BOX NO]],PartList[[#This Row],[In/Out]],PartList[[#This Row],[O2-Grid]])</f>
        <v>4HB01#Box1_Box2#InBB</v>
      </c>
      <c r="O221">
        <f>IF(PartList[[#This Row],[Unique]]="Yes",_xlfn.XLOOKUP(PartList[[#This Row],[ASSLY MARK]],FilteredPL!A:A,FilteredPL!B:B,0,0),0)</f>
        <v>0</v>
      </c>
      <c r="P221">
        <f>_xlfn.XLOOKUP(PartList[[#This Row],[ASSLY MARK]],MasterPL[SplitMarkNo],MasterPL[BILL WT.(KG)],0,0)</f>
        <v>0</v>
      </c>
      <c r="Q221" cm="1">
        <f t="array" ref="Q22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21" s="2" t="str">
        <v>5HB04</v>
      </c>
      <c r="AB221" s="2">
        <f>SUMIF(PartList[ASSLY MARK],AA221,PartList[Avail. Qty])</f>
        <v>0</v>
      </c>
    </row>
    <row r="222" spans="1:28" x14ac:dyDescent="0.25">
      <c r="A222">
        <v>624</v>
      </c>
      <c r="B222" t="s">
        <v>338</v>
      </c>
      <c r="C222" t="s">
        <v>531</v>
      </c>
      <c r="D222" t="s">
        <v>734</v>
      </c>
      <c r="E222" t="s">
        <v>5</v>
      </c>
      <c r="F222" t="str" cm="1">
        <f t="array" ref="F222">IF(SUM(IF(PartList[ASSLY MARK]=PartList[[#This Row],[ASSLY MARK]],1,0))&gt;1,"No","Yes")</f>
        <v>Yes</v>
      </c>
      <c r="G222" t="str" cm="1">
        <f t="array" ref="G222">_xlfn.TEXTJOIN("_",TRUE,TRIM(_xlfn.TEXTSPLIT(PartList[[#This Row],[GRID LOCATION]],{"PR01","/","-"})))</f>
        <v>11_12_B&gt;</v>
      </c>
      <c r="H222" t="str" cm="1">
        <f t="array" ref="H22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22" cm="1">
        <f t="array" ref="I22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22" t="str">
        <f>IF(IFERROR(SEARCH("&gt;",PartList[[#This Row],[ID]]),0),"O",IF(IFERROR(SEARCH("&lt;",PartList[[#This Row],[ID]]),0),"I",""))</f>
        <v>O</v>
      </c>
      <c r="K222" t="str" cm="1">
        <f t="array" ref="K2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22" t="str" cm="1">
        <f t="array" ref="L2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22" t="str">
        <f>_xlfn.TEXTJOIN("#",TRUE,PartList[[#This Row],[ASSLY MARK]],PartList[[#This Row],[BOX NO]],PartList[[#This Row],[In/Out]],PartList[[#This Row],[O1-Grid]])</f>
        <v>5BE01#Box1_Box2#O</v>
      </c>
      <c r="N222" t="str">
        <f>_xlfn.TEXTJOIN("#",TRUE,PartList[[#This Row],[ASSLY MARK]],PartList[[#This Row],[BOX NO]],PartList[[#This Row],[In/Out]],PartList[[#This Row],[O2-Grid]])</f>
        <v>5BE01#Box1_Box2#O</v>
      </c>
      <c r="O222">
        <f>IF(PartList[[#This Row],[Unique]]="Yes",_xlfn.XLOOKUP(PartList[[#This Row],[ASSLY MARK]],FilteredPL!A:A,FilteredPL!B:B,0,0),0)</f>
        <v>0</v>
      </c>
      <c r="P222">
        <f>_xlfn.XLOOKUP(PartList[[#This Row],[ASSLY MARK]],MasterPL[SplitMarkNo],MasterPL[BILL WT.(KG)],0,0)</f>
        <v>0</v>
      </c>
      <c r="Q222" cm="1">
        <f t="array" ref="Q22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22" s="2" t="str">
        <v>5HB05</v>
      </c>
      <c r="AB222" s="2">
        <f>SUMIF(PartList[ASSLY MARK],AA222,PartList[Avail. Qty])</f>
        <v>0</v>
      </c>
    </row>
    <row r="223" spans="1:28" x14ac:dyDescent="0.25">
      <c r="A223">
        <v>625</v>
      </c>
      <c r="B223" t="s">
        <v>339</v>
      </c>
      <c r="C223" t="s">
        <v>508</v>
      </c>
      <c r="D223" t="s">
        <v>734</v>
      </c>
      <c r="E223" t="s">
        <v>5</v>
      </c>
      <c r="F223" t="str" cm="1">
        <f t="array" ref="F223">IF(SUM(IF(PartList[ASSLY MARK]=PartList[[#This Row],[ASSLY MARK]],1,0))&gt;1,"No","Yes")</f>
        <v>Yes</v>
      </c>
      <c r="G223" t="str" cm="1">
        <f t="array" ref="G223">_xlfn.TEXTJOIN("_",TRUE,TRIM(_xlfn.TEXTSPLIT(PartList[[#This Row],[GRID LOCATION]],{"PR01","/","-"})))</f>
        <v>10_A'_A</v>
      </c>
      <c r="H223" t="str" cm="1">
        <f t="array" ref="H22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23" cm="1">
        <f t="array" ref="I22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23" t="str">
        <f>IF(IFERROR(SEARCH("&gt;",PartList[[#This Row],[ID]]),0),"O",IF(IFERROR(SEARCH("&lt;",PartList[[#This Row],[ID]]),0),"I",""))</f>
        <v/>
      </c>
      <c r="K223" t="str" cm="1">
        <f t="array" ref="K2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23" t="str" cm="1">
        <f t="array" ref="L2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23" t="str">
        <f>_xlfn.TEXTJOIN("#",TRUE,PartList[[#This Row],[ASSLY MARK]],PartList[[#This Row],[BOX NO]],PartList[[#This Row],[In/Out]],PartList[[#This Row],[O1-Grid]])</f>
        <v>5BE02#Box1_Box4#InBB</v>
      </c>
      <c r="N223" t="str">
        <f>_xlfn.TEXTJOIN("#",TRUE,PartList[[#This Row],[ASSLY MARK]],PartList[[#This Row],[BOX NO]],PartList[[#This Row],[In/Out]],PartList[[#This Row],[O2-Grid]])</f>
        <v>5BE02#Box1_Box4#InBB</v>
      </c>
      <c r="O223">
        <f>IF(PartList[[#This Row],[Unique]]="Yes",_xlfn.XLOOKUP(PartList[[#This Row],[ASSLY MARK]],FilteredPL!A:A,FilteredPL!B:B,0,0),0)</f>
        <v>0</v>
      </c>
      <c r="P223">
        <f>_xlfn.XLOOKUP(PartList[[#This Row],[ASSLY MARK]],MasterPL[SplitMarkNo],MasterPL[BILL WT.(KG)],0,0)</f>
        <v>0</v>
      </c>
      <c r="Q223" cm="1">
        <f t="array" ref="Q22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23" s="2" t="str">
        <v>5HB06</v>
      </c>
      <c r="AB223" s="2">
        <f>SUMIF(PartList[ASSLY MARK],AA223,PartList[Avail. Qty])</f>
        <v>0</v>
      </c>
    </row>
    <row r="224" spans="1:28" x14ac:dyDescent="0.25">
      <c r="A224">
        <v>626</v>
      </c>
      <c r="B224" t="s">
        <v>340</v>
      </c>
      <c r="C224" t="s">
        <v>510</v>
      </c>
      <c r="D224" t="s">
        <v>734</v>
      </c>
      <c r="E224" t="s">
        <v>5</v>
      </c>
      <c r="F224" t="str" cm="1">
        <f t="array" ref="F224">IF(SUM(IF(PartList[ASSLY MARK]=PartList[[#This Row],[ASSLY MARK]],1,0))&gt;1,"No","Yes")</f>
        <v>Yes</v>
      </c>
      <c r="G224" t="str" cm="1">
        <f t="array" ref="G224">_xlfn.TEXTJOIN("_",TRUE,TRIM(_xlfn.TEXTSPLIT(PartList[[#This Row],[GRID LOCATION]],{"PR01","/","-"})))</f>
        <v>10_B&gt;</v>
      </c>
      <c r="H224" t="str" cm="1">
        <f t="array" ref="H22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24" cm="1">
        <f t="array" ref="I22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24" t="str">
        <f>IF(IFERROR(SEARCH("&gt;",PartList[[#This Row],[ID]]),0),"O",IF(IFERROR(SEARCH("&lt;",PartList[[#This Row],[ID]]),0),"I",""))</f>
        <v>O</v>
      </c>
      <c r="K224" t="str" cm="1">
        <f t="array" ref="K2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24" t="str" cm="1">
        <f t="array" ref="L2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24" t="str">
        <f>_xlfn.TEXTJOIN("#",TRUE,PartList[[#This Row],[ASSLY MARK]],PartList[[#This Row],[BOX NO]],PartList[[#This Row],[In/Out]],PartList[[#This Row],[O1-Grid]])</f>
        <v>5BE03#Box1#O</v>
      </c>
      <c r="N224" t="str">
        <f>_xlfn.TEXTJOIN("#",TRUE,PartList[[#This Row],[ASSLY MARK]],PartList[[#This Row],[BOX NO]],PartList[[#This Row],[In/Out]],PartList[[#This Row],[O2-Grid]])</f>
        <v>5BE03#Box1#O</v>
      </c>
      <c r="O224">
        <f>IF(PartList[[#This Row],[Unique]]="Yes",_xlfn.XLOOKUP(PartList[[#This Row],[ASSLY MARK]],FilteredPL!A:A,FilteredPL!B:B,0,0),0)</f>
        <v>0</v>
      </c>
      <c r="P224">
        <f>_xlfn.XLOOKUP(PartList[[#This Row],[ASSLY MARK]],MasterPL[SplitMarkNo],MasterPL[BILL WT.(KG)],0,0)</f>
        <v>0</v>
      </c>
      <c r="Q224" cm="1">
        <f t="array" ref="Q22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24" s="2" t="str">
        <v>5HB07</v>
      </c>
      <c r="AB224" s="2">
        <f>SUMIF(PartList[ASSLY MARK],AA224,PartList[Avail. Qty])</f>
        <v>0</v>
      </c>
    </row>
    <row r="225" spans="1:28" x14ac:dyDescent="0.25">
      <c r="A225">
        <v>627</v>
      </c>
      <c r="B225" t="s">
        <v>341</v>
      </c>
      <c r="C225" t="s">
        <v>513</v>
      </c>
      <c r="D225" t="s">
        <v>734</v>
      </c>
      <c r="E225" t="s">
        <v>5</v>
      </c>
      <c r="F225" t="str" cm="1">
        <f t="array" ref="F225">IF(SUM(IF(PartList[ASSLY MARK]=PartList[[#This Row],[ASSLY MARK]],1,0))&gt;1,"No","Yes")</f>
        <v>Yes</v>
      </c>
      <c r="G225" t="str" cm="1">
        <f t="array" ref="G225">_xlfn.TEXTJOIN("_",TRUE,TRIM(_xlfn.TEXTSPLIT(PartList[[#This Row],[GRID LOCATION]],{"PR01","/","-"})))</f>
        <v>10_11_B&gt;</v>
      </c>
      <c r="H225" t="str" cm="1">
        <f t="array" ref="H22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25" cm="1">
        <f t="array" ref="I22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25" t="str">
        <f>IF(IFERROR(SEARCH("&gt;",PartList[[#This Row],[ID]]),0),"O",IF(IFERROR(SEARCH("&lt;",PartList[[#This Row],[ID]]),0),"I",""))</f>
        <v>O</v>
      </c>
      <c r="K225" t="str" cm="1">
        <f t="array" ref="K2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25" t="str" cm="1">
        <f t="array" ref="L2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25" t="str">
        <f>_xlfn.TEXTJOIN("#",TRUE,PartList[[#This Row],[ASSLY MARK]],PartList[[#This Row],[BOX NO]],PartList[[#This Row],[In/Out]],PartList[[#This Row],[O1-Grid]])</f>
        <v>5BE04#Box1#O</v>
      </c>
      <c r="N225" t="str">
        <f>_xlfn.TEXTJOIN("#",TRUE,PartList[[#This Row],[ASSLY MARK]],PartList[[#This Row],[BOX NO]],PartList[[#This Row],[In/Out]],PartList[[#This Row],[O2-Grid]])</f>
        <v>5BE04#Box1#O</v>
      </c>
      <c r="O225">
        <f>IF(PartList[[#This Row],[Unique]]="Yes",_xlfn.XLOOKUP(PartList[[#This Row],[ASSLY MARK]],FilteredPL!A:A,FilteredPL!B:B,0,0),0)</f>
        <v>0</v>
      </c>
      <c r="P225">
        <f>_xlfn.XLOOKUP(PartList[[#This Row],[ASSLY MARK]],MasterPL[SplitMarkNo],MasterPL[BILL WT.(KG)],0,0)</f>
        <v>0</v>
      </c>
      <c r="Q225" cm="1">
        <f t="array" ref="Q22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25" s="2" t="str">
        <v>5SC01</v>
      </c>
      <c r="AB225" s="2">
        <f>SUMIF(PartList[ASSLY MARK],AA225,PartList[Avail. Qty])</f>
        <v>0</v>
      </c>
    </row>
    <row r="226" spans="1:28" x14ac:dyDescent="0.25">
      <c r="A226">
        <v>628</v>
      </c>
      <c r="B226" t="s">
        <v>342</v>
      </c>
      <c r="C226" t="s">
        <v>512</v>
      </c>
      <c r="D226" t="s">
        <v>734</v>
      </c>
      <c r="E226" t="s">
        <v>5</v>
      </c>
      <c r="F226" t="str" cm="1">
        <f t="array" ref="F226">IF(SUM(IF(PartList[ASSLY MARK]=PartList[[#This Row],[ASSLY MARK]],1,0))&gt;1,"No","Yes")</f>
        <v>Yes</v>
      </c>
      <c r="G226" t="str" cm="1">
        <f t="array" ref="G226">_xlfn.TEXTJOIN("_",TRUE,TRIM(_xlfn.TEXTSPLIT(PartList[[#This Row],[GRID LOCATION]],{"PR01","/","-"})))</f>
        <v>10_11_A'_A</v>
      </c>
      <c r="H226" t="str" cm="1">
        <f t="array" ref="H22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26" cm="1">
        <f t="array" ref="I22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26" t="str">
        <f>IF(IFERROR(SEARCH("&gt;",PartList[[#This Row],[ID]]),0),"O",IF(IFERROR(SEARCH("&lt;",PartList[[#This Row],[ID]]),0),"I",""))</f>
        <v/>
      </c>
      <c r="K226" t="str" cm="1">
        <f t="array" ref="K2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26" t="str" cm="1">
        <f t="array" ref="L2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26" t="str">
        <f>_xlfn.TEXTJOIN("#",TRUE,PartList[[#This Row],[ASSLY MARK]],PartList[[#This Row],[BOX NO]],PartList[[#This Row],[In/Out]],PartList[[#This Row],[O1-Grid]])</f>
        <v>5BE05#Box1_Box4#InBB</v>
      </c>
      <c r="N226" t="str">
        <f>_xlfn.TEXTJOIN("#",TRUE,PartList[[#This Row],[ASSLY MARK]],PartList[[#This Row],[BOX NO]],PartList[[#This Row],[In/Out]],PartList[[#This Row],[O2-Grid]])</f>
        <v>5BE05#Box1_Box4#InBB</v>
      </c>
      <c r="O226">
        <f>IF(PartList[[#This Row],[Unique]]="Yes",_xlfn.XLOOKUP(PartList[[#This Row],[ASSLY MARK]],FilteredPL!A:A,FilteredPL!B:B,0,0),0)</f>
        <v>0</v>
      </c>
      <c r="P226">
        <f>_xlfn.XLOOKUP(PartList[[#This Row],[ASSLY MARK]],MasterPL[SplitMarkNo],MasterPL[BILL WT.(KG)],0,0)</f>
        <v>0</v>
      </c>
      <c r="Q226" cm="1">
        <f t="array" ref="Q22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26" s="2" t="str">
        <v>5SC02</v>
      </c>
      <c r="AB226" s="2">
        <f>SUMIF(PartList[ASSLY MARK],AA226,PartList[Avail. Qty])</f>
        <v>0</v>
      </c>
    </row>
    <row r="227" spans="1:28" x14ac:dyDescent="0.25">
      <c r="A227">
        <v>629</v>
      </c>
      <c r="B227" t="s">
        <v>343</v>
      </c>
      <c r="C227" t="s">
        <v>515</v>
      </c>
      <c r="D227" t="s">
        <v>734</v>
      </c>
      <c r="E227" t="s">
        <v>5</v>
      </c>
      <c r="F227" t="str" cm="1">
        <f t="array" ref="F227">IF(SUM(IF(PartList[ASSLY MARK]=PartList[[#This Row],[ASSLY MARK]],1,0))&gt;1,"No","Yes")</f>
        <v>No</v>
      </c>
      <c r="G227" t="str" cm="1">
        <f t="array" ref="G227">_xlfn.TEXTJOIN("_",TRUE,TRIM(_xlfn.TEXTSPLIT(PartList[[#This Row],[GRID LOCATION]],{"PR01","/","-"})))</f>
        <v>10_11_A_B</v>
      </c>
      <c r="H227" t="str" cm="1">
        <f t="array" ref="H22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27" cm="1">
        <f t="array" ref="I22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27" t="str">
        <f>IF(IFERROR(SEARCH("&gt;",PartList[[#This Row],[ID]]),0),"O",IF(IFERROR(SEARCH("&lt;",PartList[[#This Row],[ID]]),0),"I",""))</f>
        <v/>
      </c>
      <c r="K227" t="str" cm="1">
        <f t="array" ref="K2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27" t="str" cm="1">
        <f t="array" ref="L2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227" t="str">
        <f>_xlfn.TEXTJOIN("#",TRUE,PartList[[#This Row],[ASSLY MARK]],PartList[[#This Row],[BOX NO]],PartList[[#This Row],[In/Out]],PartList[[#This Row],[O1-Grid]])</f>
        <v>5BE06#Box1#InB</v>
      </c>
      <c r="N227" t="str">
        <f>_xlfn.TEXTJOIN("#",TRUE,PartList[[#This Row],[ASSLY MARK]],PartList[[#This Row],[BOX NO]],PartList[[#This Row],[In/Out]],PartList[[#This Row],[O2-Grid]])</f>
        <v>5BE06#Box1#InB</v>
      </c>
      <c r="O227">
        <f>IF(PartList[[#This Row],[Unique]]="Yes",_xlfn.XLOOKUP(PartList[[#This Row],[ASSLY MARK]],FilteredPL!A:A,FilteredPL!B:B,0,0),0)</f>
        <v>0</v>
      </c>
      <c r="P227">
        <f>_xlfn.XLOOKUP(PartList[[#This Row],[ASSLY MARK]],MasterPL[SplitMarkNo],MasterPL[BILL WT.(KG)],0,0)</f>
        <v>0</v>
      </c>
      <c r="Q227" cm="1">
        <f t="array" ref="Q22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27" s="2" t="str">
        <v>5SC03</v>
      </c>
      <c r="AB227" s="2">
        <f>SUMIF(PartList[ASSLY MARK],AA227,PartList[Avail. Qty])</f>
        <v>0</v>
      </c>
    </row>
    <row r="228" spans="1:28" x14ac:dyDescent="0.25">
      <c r="A228">
        <v>630</v>
      </c>
      <c r="B228" t="s">
        <v>343</v>
      </c>
      <c r="C228" t="s">
        <v>532</v>
      </c>
      <c r="D228" t="s">
        <v>734</v>
      </c>
      <c r="E228" t="s">
        <v>5</v>
      </c>
      <c r="F228" t="str" cm="1">
        <f t="array" ref="F228">IF(SUM(IF(PartList[ASSLY MARK]=PartList[[#This Row],[ASSLY MARK]],1,0))&gt;1,"No","Yes")</f>
        <v>No</v>
      </c>
      <c r="G228" t="str" cm="1">
        <f t="array" ref="G228">_xlfn.TEXTJOIN("_",TRUE,TRIM(_xlfn.TEXTSPLIT(PartList[[#This Row],[GRID LOCATION]],{"PR01","/","-"})))</f>
        <v>11_12_A_B</v>
      </c>
      <c r="H228" t="str" cm="1">
        <f t="array" ref="H22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28" cm="1">
        <f t="array" ref="I22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28" t="str">
        <f>IF(IFERROR(SEARCH("&gt;",PartList[[#This Row],[ID]]),0),"O",IF(IFERROR(SEARCH("&lt;",PartList[[#This Row],[ID]]),0),"I",""))</f>
        <v/>
      </c>
      <c r="K228" t="str" cm="1">
        <f t="array" ref="K2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28" t="str" cm="1">
        <f t="array" ref="L2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28" t="str">
        <f>_xlfn.TEXTJOIN("#",TRUE,PartList[[#This Row],[ASSLY MARK]],PartList[[#This Row],[BOX NO]],PartList[[#This Row],[In/Out]],PartList[[#This Row],[O1-Grid]])</f>
        <v>5BE06#Box1_Box2#InBB</v>
      </c>
      <c r="N228" t="str">
        <f>_xlfn.TEXTJOIN("#",TRUE,PartList[[#This Row],[ASSLY MARK]],PartList[[#This Row],[BOX NO]],PartList[[#This Row],[In/Out]],PartList[[#This Row],[O2-Grid]])</f>
        <v>5BE06#Box1_Box2#InBB</v>
      </c>
      <c r="O228">
        <f>IF(PartList[[#This Row],[Unique]]="Yes",_xlfn.XLOOKUP(PartList[[#This Row],[ASSLY MARK]],FilteredPL!A:A,FilteredPL!B:B,0,0),0)</f>
        <v>0</v>
      </c>
      <c r="P228">
        <f>_xlfn.XLOOKUP(PartList[[#This Row],[ASSLY MARK]],MasterPL[SplitMarkNo],MasterPL[BILL WT.(KG)],0,0)</f>
        <v>0</v>
      </c>
      <c r="Q228" cm="1">
        <f t="array" ref="Q22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28" s="2" t="str">
        <v>6BE01</v>
      </c>
      <c r="AB228" s="2">
        <f>SUMIF(PartList[ASSLY MARK],AA228,PartList[Avail. Qty])</f>
        <v>0</v>
      </c>
    </row>
    <row r="229" spans="1:28" x14ac:dyDescent="0.25">
      <c r="A229">
        <v>631</v>
      </c>
      <c r="B229" t="s">
        <v>344</v>
      </c>
      <c r="C229" t="s">
        <v>512</v>
      </c>
      <c r="D229" t="s">
        <v>734</v>
      </c>
      <c r="E229" t="s">
        <v>5</v>
      </c>
      <c r="F229" t="str" cm="1">
        <f t="array" ref="F229">IF(SUM(IF(PartList[ASSLY MARK]=PartList[[#This Row],[ASSLY MARK]],1,0))&gt;1,"No","Yes")</f>
        <v>Yes</v>
      </c>
      <c r="G229" t="str" cm="1">
        <f t="array" ref="G229">_xlfn.TEXTJOIN("_",TRUE,TRIM(_xlfn.TEXTSPLIT(PartList[[#This Row],[GRID LOCATION]],{"PR01","/","-"})))</f>
        <v>10_11_A'_A</v>
      </c>
      <c r="H229" t="str" cm="1">
        <f t="array" ref="H22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29" cm="1">
        <f t="array" ref="I22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29" t="str">
        <f>IF(IFERROR(SEARCH("&gt;",PartList[[#This Row],[ID]]),0),"O",IF(IFERROR(SEARCH("&lt;",PartList[[#This Row],[ID]]),0),"I",""))</f>
        <v/>
      </c>
      <c r="K229" t="str" cm="1">
        <f t="array" ref="K2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29" t="str" cm="1">
        <f t="array" ref="L2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29" t="str">
        <f>_xlfn.TEXTJOIN("#",TRUE,PartList[[#This Row],[ASSLY MARK]],PartList[[#This Row],[BOX NO]],PartList[[#This Row],[In/Out]],PartList[[#This Row],[O1-Grid]])</f>
        <v>5BE07#Box1_Box4#InBB</v>
      </c>
      <c r="N229" t="str">
        <f>_xlfn.TEXTJOIN("#",TRUE,PartList[[#This Row],[ASSLY MARK]],PartList[[#This Row],[BOX NO]],PartList[[#This Row],[In/Out]],PartList[[#This Row],[O2-Grid]])</f>
        <v>5BE07#Box1_Box4#InBB</v>
      </c>
      <c r="O229">
        <f>IF(PartList[[#This Row],[Unique]]="Yes",_xlfn.XLOOKUP(PartList[[#This Row],[ASSLY MARK]],FilteredPL!A:A,FilteredPL!B:B,0,0),0)</f>
        <v>0</v>
      </c>
      <c r="P229">
        <f>_xlfn.XLOOKUP(PartList[[#This Row],[ASSLY MARK]],MasterPL[SplitMarkNo],MasterPL[BILL WT.(KG)],0,0)</f>
        <v>0</v>
      </c>
      <c r="Q229" cm="1">
        <f t="array" ref="Q22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29" s="2" t="str">
        <v>6BE02</v>
      </c>
      <c r="AB229" s="2">
        <f>SUMIF(PartList[ASSLY MARK],AA229,PartList[Avail. Qty])</f>
        <v>0</v>
      </c>
    </row>
    <row r="230" spans="1:28" x14ac:dyDescent="0.25">
      <c r="A230">
        <v>632</v>
      </c>
      <c r="B230" t="s">
        <v>345</v>
      </c>
      <c r="C230" t="s">
        <v>513</v>
      </c>
      <c r="D230" t="s">
        <v>734</v>
      </c>
      <c r="E230" t="s">
        <v>5</v>
      </c>
      <c r="F230" t="str" cm="1">
        <f t="array" ref="F230">IF(SUM(IF(PartList[ASSLY MARK]=PartList[[#This Row],[ASSLY MARK]],1,0))&gt;1,"No","Yes")</f>
        <v>Yes</v>
      </c>
      <c r="G230" t="str" cm="1">
        <f t="array" ref="G230">_xlfn.TEXTJOIN("_",TRUE,TRIM(_xlfn.TEXTSPLIT(PartList[[#This Row],[GRID LOCATION]],{"PR01","/","-"})))</f>
        <v>10_11_B&gt;</v>
      </c>
      <c r="H230" t="str" cm="1">
        <f t="array" ref="H23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30" cm="1">
        <f t="array" ref="I23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30" t="str">
        <f>IF(IFERROR(SEARCH("&gt;",PartList[[#This Row],[ID]]),0),"O",IF(IFERROR(SEARCH("&lt;",PartList[[#This Row],[ID]]),0),"I",""))</f>
        <v>O</v>
      </c>
      <c r="K230" t="str" cm="1">
        <f t="array" ref="K2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30" t="str" cm="1">
        <f t="array" ref="L2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30" t="str">
        <f>_xlfn.TEXTJOIN("#",TRUE,PartList[[#This Row],[ASSLY MARK]],PartList[[#This Row],[BOX NO]],PartList[[#This Row],[In/Out]],PartList[[#This Row],[O1-Grid]])</f>
        <v>5BE08#Box1#O</v>
      </c>
      <c r="N230" t="str">
        <f>_xlfn.TEXTJOIN("#",TRUE,PartList[[#This Row],[ASSLY MARK]],PartList[[#This Row],[BOX NO]],PartList[[#This Row],[In/Out]],PartList[[#This Row],[O2-Grid]])</f>
        <v>5BE08#Box1#O</v>
      </c>
      <c r="O230">
        <f>IF(PartList[[#This Row],[Unique]]="Yes",_xlfn.XLOOKUP(PartList[[#This Row],[ASSLY MARK]],FilteredPL!A:A,FilteredPL!B:B,0,0),0)</f>
        <v>0</v>
      </c>
      <c r="P230">
        <f>_xlfn.XLOOKUP(PartList[[#This Row],[ASSLY MARK]],MasterPL[SplitMarkNo],MasterPL[BILL WT.(KG)],0,0)</f>
        <v>0</v>
      </c>
      <c r="Q230" cm="1">
        <f t="array" ref="Q23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30" s="2" t="str">
        <v>6BE03</v>
      </c>
      <c r="AB230" s="2">
        <f>SUMIF(PartList[ASSLY MARK],AA230,PartList[Avail. Qty])</f>
        <v>0</v>
      </c>
    </row>
    <row r="231" spans="1:28" x14ac:dyDescent="0.25">
      <c r="A231">
        <v>633</v>
      </c>
      <c r="B231" t="s">
        <v>346</v>
      </c>
      <c r="C231" t="s">
        <v>513</v>
      </c>
      <c r="D231" t="s">
        <v>734</v>
      </c>
      <c r="E231" t="s">
        <v>5</v>
      </c>
      <c r="F231" t="str" cm="1">
        <f t="array" ref="F231">IF(SUM(IF(PartList[ASSLY MARK]=PartList[[#This Row],[ASSLY MARK]],1,0))&gt;1,"No","Yes")</f>
        <v>Yes</v>
      </c>
      <c r="G231" t="str" cm="1">
        <f t="array" ref="G231">_xlfn.TEXTJOIN("_",TRUE,TRIM(_xlfn.TEXTSPLIT(PartList[[#This Row],[GRID LOCATION]],{"PR01","/","-"})))</f>
        <v>10_11_B&gt;</v>
      </c>
      <c r="H231" t="str" cm="1">
        <f t="array" ref="H23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31" cm="1">
        <f t="array" ref="I23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31" t="str">
        <f>IF(IFERROR(SEARCH("&gt;",PartList[[#This Row],[ID]]),0),"O",IF(IFERROR(SEARCH("&lt;",PartList[[#This Row],[ID]]),0),"I",""))</f>
        <v>O</v>
      </c>
      <c r="K231" t="str" cm="1">
        <f t="array" ref="K2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31" t="str" cm="1">
        <f t="array" ref="L2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31" t="str">
        <f>_xlfn.TEXTJOIN("#",TRUE,PartList[[#This Row],[ASSLY MARK]],PartList[[#This Row],[BOX NO]],PartList[[#This Row],[In/Out]],PartList[[#This Row],[O1-Grid]])</f>
        <v>5BE09#Box1#O</v>
      </c>
      <c r="N231" t="str">
        <f>_xlfn.TEXTJOIN("#",TRUE,PartList[[#This Row],[ASSLY MARK]],PartList[[#This Row],[BOX NO]],PartList[[#This Row],[In/Out]],PartList[[#This Row],[O2-Grid]])</f>
        <v>5BE09#Box1#O</v>
      </c>
      <c r="O231">
        <f>IF(PartList[[#This Row],[Unique]]="Yes",_xlfn.XLOOKUP(PartList[[#This Row],[ASSLY MARK]],FilteredPL!A:A,FilteredPL!B:B,0,0),0)</f>
        <v>0</v>
      </c>
      <c r="P231">
        <f>_xlfn.XLOOKUP(PartList[[#This Row],[ASSLY MARK]],MasterPL[SplitMarkNo],MasterPL[BILL WT.(KG)],0,0)</f>
        <v>0</v>
      </c>
      <c r="Q231" cm="1">
        <f t="array" ref="Q23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31" s="2" t="str">
        <v>6BE04</v>
      </c>
      <c r="AB231" s="2">
        <f>SUMIF(PartList[ASSLY MARK],AA231,PartList[Avail. Qty])</f>
        <v>0</v>
      </c>
    </row>
    <row r="232" spans="1:28" x14ac:dyDescent="0.25">
      <c r="A232">
        <v>635</v>
      </c>
      <c r="B232" t="s">
        <v>348</v>
      </c>
      <c r="C232" t="s">
        <v>514</v>
      </c>
      <c r="D232" t="s">
        <v>734</v>
      </c>
      <c r="E232" t="s">
        <v>5</v>
      </c>
      <c r="F232" t="str" cm="1">
        <f t="array" ref="F232">IF(SUM(IF(PartList[ASSLY MARK]=PartList[[#This Row],[ASSLY MARK]],1,0))&gt;1,"No","Yes")</f>
        <v>Yes</v>
      </c>
      <c r="G232" t="str" cm="1">
        <f t="array" ref="G232">_xlfn.TEXTJOIN("_",TRUE,TRIM(_xlfn.TEXTSPLIT(PartList[[#This Row],[GRID LOCATION]],{"PR01","/","-"})))</f>
        <v>10_11_A</v>
      </c>
      <c r="H232" t="str" cm="1">
        <f t="array" ref="H23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32" cm="1">
        <f t="array" ref="I23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32" t="str">
        <f>IF(IFERROR(SEARCH("&gt;",PartList[[#This Row],[ID]]),0),"O",IF(IFERROR(SEARCH("&lt;",PartList[[#This Row],[ID]]),0),"I",""))</f>
        <v/>
      </c>
      <c r="K232" t="str" cm="1">
        <f t="array" ref="K2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32" t="str" cm="1">
        <f t="array" ref="L2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232" t="str">
        <f>_xlfn.TEXTJOIN("#",TRUE,PartList[[#This Row],[ASSLY MARK]],PartList[[#This Row],[BOX NO]],PartList[[#This Row],[In/Out]],PartList[[#This Row],[O1-Grid]])</f>
        <v>5BE11#Box1#InB</v>
      </c>
      <c r="N232" t="str">
        <f>_xlfn.TEXTJOIN("#",TRUE,PartList[[#This Row],[ASSLY MARK]],PartList[[#This Row],[BOX NO]],PartList[[#This Row],[In/Out]],PartList[[#This Row],[O2-Grid]])</f>
        <v>5BE11#Box1#10_11_A</v>
      </c>
      <c r="O232">
        <f>IF(PartList[[#This Row],[Unique]]="Yes",_xlfn.XLOOKUP(PartList[[#This Row],[ASSLY MARK]],FilteredPL!A:A,FilteredPL!B:B,0,0),0)</f>
        <v>0</v>
      </c>
      <c r="P232">
        <f>_xlfn.XLOOKUP(PartList[[#This Row],[ASSLY MARK]],MasterPL[SplitMarkNo],MasterPL[BILL WT.(KG)],0,0)</f>
        <v>0</v>
      </c>
      <c r="Q232" cm="1">
        <f t="array" ref="Q23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32" s="2" t="str">
        <v>6BE05</v>
      </c>
      <c r="AB232" s="2">
        <f>SUMIF(PartList[ASSLY MARK],AA232,PartList[Avail. Qty])</f>
        <v>0</v>
      </c>
    </row>
    <row r="233" spans="1:28" x14ac:dyDescent="0.25">
      <c r="A233">
        <v>636</v>
      </c>
      <c r="B233" t="s">
        <v>349</v>
      </c>
      <c r="C233" t="s">
        <v>516</v>
      </c>
      <c r="D233" t="s">
        <v>734</v>
      </c>
      <c r="E233" t="s">
        <v>5</v>
      </c>
      <c r="F233" t="str" cm="1">
        <f t="array" ref="F233">IF(SUM(IF(PartList[ASSLY MARK]=PartList[[#This Row],[ASSLY MARK]],1,0))&gt;1,"No","Yes")</f>
        <v>Yes</v>
      </c>
      <c r="G233" t="str" cm="1">
        <f t="array" ref="G233">_xlfn.TEXTJOIN("_",TRUE,TRIM(_xlfn.TEXTSPLIT(PartList[[#This Row],[GRID LOCATION]],{"PR01","/","-"})))</f>
        <v>10_11_B</v>
      </c>
      <c r="H233" t="str" cm="1">
        <f t="array" ref="H23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33" cm="1">
        <f t="array" ref="I23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33" t="str">
        <f>IF(IFERROR(SEARCH("&gt;",PartList[[#This Row],[ID]]),0),"O",IF(IFERROR(SEARCH("&lt;",PartList[[#This Row],[ID]]),0),"I",""))</f>
        <v/>
      </c>
      <c r="K233" t="str" cm="1">
        <f t="array" ref="K2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33" t="str" cm="1">
        <f t="array" ref="L2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233" t="str">
        <f>_xlfn.TEXTJOIN("#",TRUE,PartList[[#This Row],[ASSLY MARK]],PartList[[#This Row],[BOX NO]],PartList[[#This Row],[In/Out]],PartList[[#This Row],[O1-Grid]])</f>
        <v>5BE12#Box1#InB</v>
      </c>
      <c r="N233" t="str">
        <f>_xlfn.TEXTJOIN("#",TRUE,PartList[[#This Row],[ASSLY MARK]],PartList[[#This Row],[BOX NO]],PartList[[#This Row],[In/Out]],PartList[[#This Row],[O2-Grid]])</f>
        <v>5BE12#Box1#10_11_B</v>
      </c>
      <c r="O233">
        <f>IF(PartList[[#This Row],[Unique]]="Yes",_xlfn.XLOOKUP(PartList[[#This Row],[ASSLY MARK]],FilteredPL!A:A,FilteredPL!B:B,0,0),0)</f>
        <v>0</v>
      </c>
      <c r="P233">
        <f>_xlfn.XLOOKUP(PartList[[#This Row],[ASSLY MARK]],MasterPL[SplitMarkNo],MasterPL[BILL WT.(KG)],0,0)</f>
        <v>0</v>
      </c>
      <c r="Q233" cm="1">
        <f t="array" ref="Q23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33" s="2" t="str">
        <v>6BE06</v>
      </c>
      <c r="AB233" s="2">
        <f>SUMIF(PartList[ASSLY MARK],AA233,PartList[Avail. Qty])</f>
        <v>0</v>
      </c>
    </row>
    <row r="234" spans="1:28" x14ac:dyDescent="0.25">
      <c r="A234">
        <v>637</v>
      </c>
      <c r="B234" t="s">
        <v>350</v>
      </c>
      <c r="C234" t="s">
        <v>513</v>
      </c>
      <c r="D234" t="s">
        <v>734</v>
      </c>
      <c r="E234" t="s">
        <v>5</v>
      </c>
      <c r="F234" t="str" cm="1">
        <f t="array" ref="F234">IF(SUM(IF(PartList[ASSLY MARK]=PartList[[#This Row],[ASSLY MARK]],1,0))&gt;1,"No","Yes")</f>
        <v>Yes</v>
      </c>
      <c r="G234" t="str" cm="1">
        <f t="array" ref="G234">_xlfn.TEXTJOIN("_",TRUE,TRIM(_xlfn.TEXTSPLIT(PartList[[#This Row],[GRID LOCATION]],{"PR01","/","-"})))</f>
        <v>10_11_B&gt;</v>
      </c>
      <c r="H234" t="str" cm="1">
        <f t="array" ref="H23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34" cm="1">
        <f t="array" ref="I23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34" t="str">
        <f>IF(IFERROR(SEARCH("&gt;",PartList[[#This Row],[ID]]),0),"O",IF(IFERROR(SEARCH("&lt;",PartList[[#This Row],[ID]]),0),"I",""))</f>
        <v>O</v>
      </c>
      <c r="K234" t="str" cm="1">
        <f t="array" ref="K2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34" t="str" cm="1">
        <f t="array" ref="L2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34" t="str">
        <f>_xlfn.TEXTJOIN("#",TRUE,PartList[[#This Row],[ASSLY MARK]],PartList[[#This Row],[BOX NO]],PartList[[#This Row],[In/Out]],PartList[[#This Row],[O1-Grid]])</f>
        <v>5BE13#Box1#O</v>
      </c>
      <c r="N234" t="str">
        <f>_xlfn.TEXTJOIN("#",TRUE,PartList[[#This Row],[ASSLY MARK]],PartList[[#This Row],[BOX NO]],PartList[[#This Row],[In/Out]],PartList[[#This Row],[O2-Grid]])</f>
        <v>5BE13#Box1#O</v>
      </c>
      <c r="O234">
        <f>IF(PartList[[#This Row],[Unique]]="Yes",_xlfn.XLOOKUP(PartList[[#This Row],[ASSLY MARK]],FilteredPL!A:A,FilteredPL!B:B,0,0),0)</f>
        <v>0</v>
      </c>
      <c r="P234">
        <f>_xlfn.XLOOKUP(PartList[[#This Row],[ASSLY MARK]],MasterPL[SplitMarkNo],MasterPL[BILL WT.(KG)],0,0)</f>
        <v>0</v>
      </c>
      <c r="Q234" cm="1">
        <f t="array" ref="Q23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34" s="2" t="str">
        <v>6BE07</v>
      </c>
      <c r="AB234" s="2">
        <f>SUMIF(PartList[ASSLY MARK],AA234,PartList[Avail. Qty])</f>
        <v>0</v>
      </c>
    </row>
    <row r="235" spans="1:28" x14ac:dyDescent="0.25">
      <c r="A235">
        <v>638</v>
      </c>
      <c r="B235" t="s">
        <v>351</v>
      </c>
      <c r="C235" t="s">
        <v>513</v>
      </c>
      <c r="D235" t="s">
        <v>734</v>
      </c>
      <c r="E235" t="s">
        <v>5</v>
      </c>
      <c r="F235" t="str" cm="1">
        <f t="array" ref="F235">IF(SUM(IF(PartList[ASSLY MARK]=PartList[[#This Row],[ASSLY MARK]],1,0))&gt;1,"No","Yes")</f>
        <v>Yes</v>
      </c>
      <c r="G235" t="str" cm="1">
        <f t="array" ref="G235">_xlfn.TEXTJOIN("_",TRUE,TRIM(_xlfn.TEXTSPLIT(PartList[[#This Row],[GRID LOCATION]],{"PR01","/","-"})))</f>
        <v>10_11_B&gt;</v>
      </c>
      <c r="H235" t="str" cm="1">
        <f t="array" ref="H23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35" cm="1">
        <f t="array" ref="I23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35" t="str">
        <f>IF(IFERROR(SEARCH("&gt;",PartList[[#This Row],[ID]]),0),"O",IF(IFERROR(SEARCH("&lt;",PartList[[#This Row],[ID]]),0),"I",""))</f>
        <v>O</v>
      </c>
      <c r="K235" t="str" cm="1">
        <f t="array" ref="K2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35" t="str" cm="1">
        <f t="array" ref="L2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35" t="str">
        <f>_xlfn.TEXTJOIN("#",TRUE,PartList[[#This Row],[ASSLY MARK]],PartList[[#This Row],[BOX NO]],PartList[[#This Row],[In/Out]],PartList[[#This Row],[O1-Grid]])</f>
        <v>5BE14#Box1#O</v>
      </c>
      <c r="N235" t="str">
        <f>_xlfn.TEXTJOIN("#",TRUE,PartList[[#This Row],[ASSLY MARK]],PartList[[#This Row],[BOX NO]],PartList[[#This Row],[In/Out]],PartList[[#This Row],[O2-Grid]])</f>
        <v>5BE14#Box1#O</v>
      </c>
      <c r="O235">
        <f>IF(PartList[[#This Row],[Unique]]="Yes",_xlfn.XLOOKUP(PartList[[#This Row],[ASSLY MARK]],FilteredPL!A:A,FilteredPL!B:B,0,0),0)</f>
        <v>0</v>
      </c>
      <c r="P235">
        <f>_xlfn.XLOOKUP(PartList[[#This Row],[ASSLY MARK]],MasterPL[SplitMarkNo],MasterPL[BILL WT.(KG)],0,0)</f>
        <v>0</v>
      </c>
      <c r="Q235" cm="1">
        <f t="array" ref="Q23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35" s="2" t="str">
        <v>6BE08</v>
      </c>
      <c r="AB235" s="2">
        <f>SUMIF(PartList[ASSLY MARK],AA235,PartList[Avail. Qty])</f>
        <v>0</v>
      </c>
    </row>
    <row r="236" spans="1:28" x14ac:dyDescent="0.25">
      <c r="A236">
        <v>639</v>
      </c>
      <c r="B236" t="s">
        <v>352</v>
      </c>
      <c r="C236" t="s">
        <v>512</v>
      </c>
      <c r="D236" t="s">
        <v>734</v>
      </c>
      <c r="E236" t="s">
        <v>5</v>
      </c>
      <c r="F236" t="str" cm="1">
        <f t="array" ref="F236">IF(SUM(IF(PartList[ASSLY MARK]=PartList[[#This Row],[ASSLY MARK]],1,0))&gt;1,"No","Yes")</f>
        <v>Yes</v>
      </c>
      <c r="G236" t="str" cm="1">
        <f t="array" ref="G236">_xlfn.TEXTJOIN("_",TRUE,TRIM(_xlfn.TEXTSPLIT(PartList[[#This Row],[GRID LOCATION]],{"PR01","/","-"})))</f>
        <v>10_11_A'_A</v>
      </c>
      <c r="H236" t="str" cm="1">
        <f t="array" ref="H23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36" cm="1">
        <f t="array" ref="I23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36" t="str">
        <f>IF(IFERROR(SEARCH("&gt;",PartList[[#This Row],[ID]]),0),"O",IF(IFERROR(SEARCH("&lt;",PartList[[#This Row],[ID]]),0),"I",""))</f>
        <v/>
      </c>
      <c r="K236" t="str" cm="1">
        <f t="array" ref="K2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36" t="str" cm="1">
        <f t="array" ref="L2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36" t="str">
        <f>_xlfn.TEXTJOIN("#",TRUE,PartList[[#This Row],[ASSLY MARK]],PartList[[#This Row],[BOX NO]],PartList[[#This Row],[In/Out]],PartList[[#This Row],[O1-Grid]])</f>
        <v>5BE15#Box1_Box4#InBB</v>
      </c>
      <c r="N236" t="str">
        <f>_xlfn.TEXTJOIN("#",TRUE,PartList[[#This Row],[ASSLY MARK]],PartList[[#This Row],[BOX NO]],PartList[[#This Row],[In/Out]],PartList[[#This Row],[O2-Grid]])</f>
        <v>5BE15#Box1_Box4#InBB</v>
      </c>
      <c r="O236">
        <f>IF(PartList[[#This Row],[Unique]]="Yes",_xlfn.XLOOKUP(PartList[[#This Row],[ASSLY MARK]],FilteredPL!A:A,FilteredPL!B:B,0,0),0)</f>
        <v>0</v>
      </c>
      <c r="P236">
        <f>_xlfn.XLOOKUP(PartList[[#This Row],[ASSLY MARK]],MasterPL[SplitMarkNo],MasterPL[BILL WT.(KG)],0,0)</f>
        <v>0</v>
      </c>
      <c r="Q236" cm="1">
        <f t="array" ref="Q23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36" s="2" t="str">
        <v>6BE09</v>
      </c>
      <c r="AB236" s="2">
        <f>SUMIF(PartList[ASSLY MARK],AA236,PartList[Avail. Qty])</f>
        <v>0</v>
      </c>
    </row>
    <row r="237" spans="1:28" x14ac:dyDescent="0.25">
      <c r="A237">
        <v>640</v>
      </c>
      <c r="B237" t="s">
        <v>354</v>
      </c>
      <c r="C237" t="s">
        <v>513</v>
      </c>
      <c r="D237" t="s">
        <v>734</v>
      </c>
      <c r="E237" t="s">
        <v>5</v>
      </c>
      <c r="F237" t="str" cm="1">
        <f t="array" ref="F237">IF(SUM(IF(PartList[ASSLY MARK]=PartList[[#This Row],[ASSLY MARK]],1,0))&gt;1,"No","Yes")</f>
        <v>Yes</v>
      </c>
      <c r="G237" t="str" cm="1">
        <f t="array" ref="G237">_xlfn.TEXTJOIN("_",TRUE,TRIM(_xlfn.TEXTSPLIT(PartList[[#This Row],[GRID LOCATION]],{"PR01","/","-"})))</f>
        <v>10_11_B&gt;</v>
      </c>
      <c r="H237" t="str" cm="1">
        <f t="array" ref="H23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37" cm="1">
        <f t="array" ref="I23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37" t="str">
        <f>IF(IFERROR(SEARCH("&gt;",PartList[[#This Row],[ID]]),0),"O",IF(IFERROR(SEARCH("&lt;",PartList[[#This Row],[ID]]),0),"I",""))</f>
        <v>O</v>
      </c>
      <c r="K237" t="str" cm="1">
        <f t="array" ref="K2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37" t="str" cm="1">
        <f t="array" ref="L2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37" t="str">
        <f>_xlfn.TEXTJOIN("#",TRUE,PartList[[#This Row],[ASSLY MARK]],PartList[[#This Row],[BOX NO]],PartList[[#This Row],[In/Out]],PartList[[#This Row],[O1-Grid]])</f>
        <v>5BE16#Box1#O</v>
      </c>
      <c r="N237" t="str">
        <f>_xlfn.TEXTJOIN("#",TRUE,PartList[[#This Row],[ASSLY MARK]],PartList[[#This Row],[BOX NO]],PartList[[#This Row],[In/Out]],PartList[[#This Row],[O2-Grid]])</f>
        <v>5BE16#Box1#O</v>
      </c>
      <c r="O237">
        <f>IF(PartList[[#This Row],[Unique]]="Yes",_xlfn.XLOOKUP(PartList[[#This Row],[ASSLY MARK]],FilteredPL!A:A,FilteredPL!B:B,0,0),0)</f>
        <v>0</v>
      </c>
      <c r="P237">
        <f>_xlfn.XLOOKUP(PartList[[#This Row],[ASSLY MARK]],MasterPL[SplitMarkNo],MasterPL[BILL WT.(KG)],0,0)</f>
        <v>0</v>
      </c>
      <c r="Q237" cm="1">
        <f t="array" ref="Q23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37" s="2" t="str">
        <v>6BE10</v>
      </c>
      <c r="AB237" s="2">
        <f>SUMIF(PartList[ASSLY MARK],AA237,PartList[Avail. Qty])</f>
        <v>0</v>
      </c>
    </row>
    <row r="238" spans="1:28" x14ac:dyDescent="0.25">
      <c r="A238">
        <v>641</v>
      </c>
      <c r="B238" t="s">
        <v>356</v>
      </c>
      <c r="C238" t="s">
        <v>513</v>
      </c>
      <c r="D238" t="s">
        <v>734</v>
      </c>
      <c r="E238" t="s">
        <v>5</v>
      </c>
      <c r="F238" t="str" cm="1">
        <f t="array" ref="F238">IF(SUM(IF(PartList[ASSLY MARK]=PartList[[#This Row],[ASSLY MARK]],1,0))&gt;1,"No","Yes")</f>
        <v>Yes</v>
      </c>
      <c r="G238" t="str" cm="1">
        <f t="array" ref="G238">_xlfn.TEXTJOIN("_",TRUE,TRIM(_xlfn.TEXTSPLIT(PartList[[#This Row],[GRID LOCATION]],{"PR01","/","-"})))</f>
        <v>10_11_B&gt;</v>
      </c>
      <c r="H238" t="str" cm="1">
        <f t="array" ref="H23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38" cm="1">
        <f t="array" ref="I23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38" t="str">
        <f>IF(IFERROR(SEARCH("&gt;",PartList[[#This Row],[ID]]),0),"O",IF(IFERROR(SEARCH("&lt;",PartList[[#This Row],[ID]]),0),"I",""))</f>
        <v>O</v>
      </c>
      <c r="K238" t="str" cm="1">
        <f t="array" ref="K2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38" t="str" cm="1">
        <f t="array" ref="L2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38" t="str">
        <f>_xlfn.TEXTJOIN("#",TRUE,PartList[[#This Row],[ASSLY MARK]],PartList[[#This Row],[BOX NO]],PartList[[#This Row],[In/Out]],PartList[[#This Row],[O1-Grid]])</f>
        <v>5BE17#Box1#O</v>
      </c>
      <c r="N238" t="str">
        <f>_xlfn.TEXTJOIN("#",TRUE,PartList[[#This Row],[ASSLY MARK]],PartList[[#This Row],[BOX NO]],PartList[[#This Row],[In/Out]],PartList[[#This Row],[O2-Grid]])</f>
        <v>5BE17#Box1#O</v>
      </c>
      <c r="O238">
        <f>IF(PartList[[#This Row],[Unique]]="Yes",_xlfn.XLOOKUP(PartList[[#This Row],[ASSLY MARK]],FilteredPL!A:A,FilteredPL!B:B,0,0),0)</f>
        <v>0</v>
      </c>
      <c r="P238">
        <f>_xlfn.XLOOKUP(PartList[[#This Row],[ASSLY MARK]],MasterPL[SplitMarkNo],MasterPL[BILL WT.(KG)],0,0)</f>
        <v>0</v>
      </c>
      <c r="Q238" cm="1">
        <f t="array" ref="Q23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38" s="2" t="str">
        <v>6BE12</v>
      </c>
      <c r="AB238" s="2">
        <f>SUMIF(PartList[ASSLY MARK],AA238,PartList[Avail. Qty])</f>
        <v>0</v>
      </c>
    </row>
    <row r="239" spans="1:28" x14ac:dyDescent="0.25">
      <c r="A239">
        <v>642</v>
      </c>
      <c r="B239" t="s">
        <v>357</v>
      </c>
      <c r="C239" t="s">
        <v>512</v>
      </c>
      <c r="D239" t="s">
        <v>734</v>
      </c>
      <c r="E239" t="s">
        <v>5</v>
      </c>
      <c r="F239" t="str" cm="1">
        <f t="array" ref="F239">IF(SUM(IF(PartList[ASSLY MARK]=PartList[[#This Row],[ASSLY MARK]],1,0))&gt;1,"No","Yes")</f>
        <v>Yes</v>
      </c>
      <c r="G239" t="str" cm="1">
        <f t="array" ref="G239">_xlfn.TEXTJOIN("_",TRUE,TRIM(_xlfn.TEXTSPLIT(PartList[[#This Row],[GRID LOCATION]],{"PR01","/","-"})))</f>
        <v>10_11_A'_A</v>
      </c>
      <c r="H239" t="str" cm="1">
        <f t="array" ref="H23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39" cm="1">
        <f t="array" ref="I23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39" t="str">
        <f>IF(IFERROR(SEARCH("&gt;",PartList[[#This Row],[ID]]),0),"O",IF(IFERROR(SEARCH("&lt;",PartList[[#This Row],[ID]]),0),"I",""))</f>
        <v/>
      </c>
      <c r="K239" t="str" cm="1">
        <f t="array" ref="K2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39" t="str" cm="1">
        <f t="array" ref="L2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39" t="str">
        <f>_xlfn.TEXTJOIN("#",TRUE,PartList[[#This Row],[ASSLY MARK]],PartList[[#This Row],[BOX NO]],PartList[[#This Row],[In/Out]],PartList[[#This Row],[O1-Grid]])</f>
        <v>5BE18#Box1_Box4#InBB</v>
      </c>
      <c r="N239" t="str">
        <f>_xlfn.TEXTJOIN("#",TRUE,PartList[[#This Row],[ASSLY MARK]],PartList[[#This Row],[BOX NO]],PartList[[#This Row],[In/Out]],PartList[[#This Row],[O2-Grid]])</f>
        <v>5BE18#Box1_Box4#InBB</v>
      </c>
      <c r="O239">
        <f>IF(PartList[[#This Row],[Unique]]="Yes",_xlfn.XLOOKUP(PartList[[#This Row],[ASSLY MARK]],FilteredPL!A:A,FilteredPL!B:B,0,0),0)</f>
        <v>0</v>
      </c>
      <c r="P239">
        <f>_xlfn.XLOOKUP(PartList[[#This Row],[ASSLY MARK]],MasterPL[SplitMarkNo],MasterPL[BILL WT.(KG)],0,0)</f>
        <v>0</v>
      </c>
      <c r="Q239" cm="1">
        <f t="array" ref="Q23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39" s="2" t="str">
        <v>6BE13</v>
      </c>
      <c r="AB239" s="2">
        <f>SUMIF(PartList[ASSLY MARK],AA239,PartList[Avail. Qty])</f>
        <v>0</v>
      </c>
    </row>
    <row r="240" spans="1:28" x14ac:dyDescent="0.25">
      <c r="A240">
        <v>643</v>
      </c>
      <c r="B240" t="s">
        <v>358</v>
      </c>
      <c r="C240" t="s">
        <v>512</v>
      </c>
      <c r="D240" t="s">
        <v>734</v>
      </c>
      <c r="E240" t="s">
        <v>5</v>
      </c>
      <c r="F240" t="str" cm="1">
        <f t="array" ref="F240">IF(SUM(IF(PartList[ASSLY MARK]=PartList[[#This Row],[ASSLY MARK]],1,0))&gt;1,"No","Yes")</f>
        <v>Yes</v>
      </c>
      <c r="G240" t="str" cm="1">
        <f t="array" ref="G240">_xlfn.TEXTJOIN("_",TRUE,TRIM(_xlfn.TEXTSPLIT(PartList[[#This Row],[GRID LOCATION]],{"PR01","/","-"})))</f>
        <v>10_11_A'_A</v>
      </c>
      <c r="H240" t="str" cm="1">
        <f t="array" ref="H24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40" cm="1">
        <f t="array" ref="I24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40" t="str">
        <f>IF(IFERROR(SEARCH("&gt;",PartList[[#This Row],[ID]]),0),"O",IF(IFERROR(SEARCH("&lt;",PartList[[#This Row],[ID]]),0),"I",""))</f>
        <v/>
      </c>
      <c r="K240" t="str" cm="1">
        <f t="array" ref="K2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40" t="str" cm="1">
        <f t="array" ref="L2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40" t="str">
        <f>_xlfn.TEXTJOIN("#",TRUE,PartList[[#This Row],[ASSLY MARK]],PartList[[#This Row],[BOX NO]],PartList[[#This Row],[In/Out]],PartList[[#This Row],[O1-Grid]])</f>
        <v>5BE19#Box1_Box4#InBB</v>
      </c>
      <c r="N240" t="str">
        <f>_xlfn.TEXTJOIN("#",TRUE,PartList[[#This Row],[ASSLY MARK]],PartList[[#This Row],[BOX NO]],PartList[[#This Row],[In/Out]],PartList[[#This Row],[O2-Grid]])</f>
        <v>5BE19#Box1_Box4#InBB</v>
      </c>
      <c r="O240">
        <f>IF(PartList[[#This Row],[Unique]]="Yes",_xlfn.XLOOKUP(PartList[[#This Row],[ASSLY MARK]],FilteredPL!A:A,FilteredPL!B:B,0,0),0)</f>
        <v>0</v>
      </c>
      <c r="P240">
        <f>_xlfn.XLOOKUP(PartList[[#This Row],[ASSLY MARK]],MasterPL[SplitMarkNo],MasterPL[BILL WT.(KG)],0,0)</f>
        <v>0</v>
      </c>
      <c r="Q240" cm="1">
        <f t="array" ref="Q24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40" s="2" t="str">
        <v>6BE14</v>
      </c>
      <c r="AB240" s="2">
        <f>SUMIF(PartList[ASSLY MARK],AA240,PartList[Avail. Qty])</f>
        <v>0</v>
      </c>
    </row>
    <row r="241" spans="1:28" x14ac:dyDescent="0.25">
      <c r="A241">
        <v>644</v>
      </c>
      <c r="B241" t="s">
        <v>359</v>
      </c>
      <c r="C241" t="s">
        <v>512</v>
      </c>
      <c r="D241" t="s">
        <v>734</v>
      </c>
      <c r="E241" t="s">
        <v>5</v>
      </c>
      <c r="F241" t="str" cm="1">
        <f t="array" ref="F241">IF(SUM(IF(PartList[ASSLY MARK]=PartList[[#This Row],[ASSLY MARK]],1,0))&gt;1,"No","Yes")</f>
        <v>Yes</v>
      </c>
      <c r="G241" t="str" cm="1">
        <f t="array" ref="G241">_xlfn.TEXTJOIN("_",TRUE,TRIM(_xlfn.TEXTSPLIT(PartList[[#This Row],[GRID LOCATION]],{"PR01","/","-"})))</f>
        <v>10_11_A'_A</v>
      </c>
      <c r="H241" t="str" cm="1">
        <f t="array" ref="H24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41" cm="1">
        <f t="array" ref="I24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41" t="str">
        <f>IF(IFERROR(SEARCH("&gt;",PartList[[#This Row],[ID]]),0),"O",IF(IFERROR(SEARCH("&lt;",PartList[[#This Row],[ID]]),0),"I",""))</f>
        <v/>
      </c>
      <c r="K241" t="str" cm="1">
        <f t="array" ref="K2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41" t="str" cm="1">
        <f t="array" ref="L2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41" t="str">
        <f>_xlfn.TEXTJOIN("#",TRUE,PartList[[#This Row],[ASSLY MARK]],PartList[[#This Row],[BOX NO]],PartList[[#This Row],[In/Out]],PartList[[#This Row],[O1-Grid]])</f>
        <v>5BE20#Box1_Box4#InBB</v>
      </c>
      <c r="N241" t="str">
        <f>_xlfn.TEXTJOIN("#",TRUE,PartList[[#This Row],[ASSLY MARK]],PartList[[#This Row],[BOX NO]],PartList[[#This Row],[In/Out]],PartList[[#This Row],[O2-Grid]])</f>
        <v>5BE20#Box1_Box4#InBB</v>
      </c>
      <c r="O241">
        <f>IF(PartList[[#This Row],[Unique]]="Yes",_xlfn.XLOOKUP(PartList[[#This Row],[ASSLY MARK]],FilteredPL!A:A,FilteredPL!B:B,0,0),0)</f>
        <v>0</v>
      </c>
      <c r="P241">
        <f>_xlfn.XLOOKUP(PartList[[#This Row],[ASSLY MARK]],MasterPL[SplitMarkNo],MasterPL[BILL WT.(KG)],0,0)</f>
        <v>0</v>
      </c>
      <c r="Q241" cm="1">
        <f t="array" ref="Q24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41" s="2" t="str">
        <v>6BE15</v>
      </c>
      <c r="AB241" s="2">
        <f>SUMIF(PartList[ASSLY MARK],AA241,PartList[Avail. Qty])</f>
        <v>0</v>
      </c>
    </row>
    <row r="242" spans="1:28" x14ac:dyDescent="0.25">
      <c r="A242">
        <v>645</v>
      </c>
      <c r="B242" t="s">
        <v>360</v>
      </c>
      <c r="C242" t="s">
        <v>513</v>
      </c>
      <c r="D242" t="s">
        <v>734</v>
      </c>
      <c r="E242" t="s">
        <v>5</v>
      </c>
      <c r="F242" t="str" cm="1">
        <f t="array" ref="F242">IF(SUM(IF(PartList[ASSLY MARK]=PartList[[#This Row],[ASSLY MARK]],1,0))&gt;1,"No","Yes")</f>
        <v>Yes</v>
      </c>
      <c r="G242" t="str" cm="1">
        <f t="array" ref="G242">_xlfn.TEXTJOIN("_",TRUE,TRIM(_xlfn.TEXTSPLIT(PartList[[#This Row],[GRID LOCATION]],{"PR01","/","-"})))</f>
        <v>10_11_B&gt;</v>
      </c>
      <c r="H242" t="str" cm="1">
        <f t="array" ref="H24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42" cm="1">
        <f t="array" ref="I24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42" t="str">
        <f>IF(IFERROR(SEARCH("&gt;",PartList[[#This Row],[ID]]),0),"O",IF(IFERROR(SEARCH("&lt;",PartList[[#This Row],[ID]]),0),"I",""))</f>
        <v>O</v>
      </c>
      <c r="K242" t="str" cm="1">
        <f t="array" ref="K2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42" t="str" cm="1">
        <f t="array" ref="L2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42" t="str">
        <f>_xlfn.TEXTJOIN("#",TRUE,PartList[[#This Row],[ASSLY MARK]],PartList[[#This Row],[BOX NO]],PartList[[#This Row],[In/Out]],PartList[[#This Row],[O1-Grid]])</f>
        <v>5BE21#Box1#O</v>
      </c>
      <c r="N242" t="str">
        <f>_xlfn.TEXTJOIN("#",TRUE,PartList[[#This Row],[ASSLY MARK]],PartList[[#This Row],[BOX NO]],PartList[[#This Row],[In/Out]],PartList[[#This Row],[O2-Grid]])</f>
        <v>5BE21#Box1#O</v>
      </c>
      <c r="O242">
        <f>IF(PartList[[#This Row],[Unique]]="Yes",_xlfn.XLOOKUP(PartList[[#This Row],[ASSLY MARK]],FilteredPL!A:A,FilteredPL!B:B,0,0),0)</f>
        <v>0</v>
      </c>
      <c r="P242">
        <f>_xlfn.XLOOKUP(PartList[[#This Row],[ASSLY MARK]],MasterPL[SplitMarkNo],MasterPL[BILL WT.(KG)],0,0)</f>
        <v>0</v>
      </c>
      <c r="Q242" cm="1">
        <f t="array" ref="Q24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42" s="2" t="str">
        <v>6BE16</v>
      </c>
      <c r="AB242" s="2">
        <f>SUMIF(PartList[ASSLY MARK],AA242,PartList[Avail. Qty])</f>
        <v>0</v>
      </c>
    </row>
    <row r="243" spans="1:28" x14ac:dyDescent="0.25">
      <c r="A243">
        <v>646</v>
      </c>
      <c r="B243" t="s">
        <v>361</v>
      </c>
      <c r="C243" t="s">
        <v>511</v>
      </c>
      <c r="D243" t="s">
        <v>734</v>
      </c>
      <c r="E243" t="s">
        <v>5</v>
      </c>
      <c r="F243" t="str" cm="1">
        <f t="array" ref="F243">IF(SUM(IF(PartList[ASSLY MARK]=PartList[[#This Row],[ASSLY MARK]],1,0))&gt;1,"No","Yes")</f>
        <v>No</v>
      </c>
      <c r="G243" t="str" cm="1">
        <f t="array" ref="G243">_xlfn.TEXTJOIN("_",TRUE,TRIM(_xlfn.TEXTSPLIT(PartList[[#This Row],[GRID LOCATION]],{"PR01","/","-"})))</f>
        <v>11_12_A'_A</v>
      </c>
      <c r="H243" t="str" cm="1">
        <f t="array" ref="H24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243" cm="1">
        <f t="array" ref="I24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43" t="str">
        <f>IF(IFERROR(SEARCH("&gt;",PartList[[#This Row],[ID]]),0),"O",IF(IFERROR(SEARCH("&lt;",PartList[[#This Row],[ID]]),0),"I",""))</f>
        <v/>
      </c>
      <c r="K243" t="str" cm="1">
        <f t="array" ref="K2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43" t="str" cm="1">
        <f t="array" ref="L2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43" t="str">
        <f>_xlfn.TEXTJOIN("#",TRUE,PartList[[#This Row],[ASSLY MARK]],PartList[[#This Row],[BOX NO]],PartList[[#This Row],[In/Out]],PartList[[#This Row],[O1-Grid]])</f>
        <v>5BE22#Box1_Box2_Box4_Box5#InBB</v>
      </c>
      <c r="N243" t="str">
        <f>_xlfn.TEXTJOIN("#",TRUE,PartList[[#This Row],[ASSLY MARK]],PartList[[#This Row],[BOX NO]],PartList[[#This Row],[In/Out]],PartList[[#This Row],[O2-Grid]])</f>
        <v>5BE22#Box1_Box2_Box4_Box5#InBB</v>
      </c>
      <c r="O243">
        <f>IF(PartList[[#This Row],[Unique]]="Yes",_xlfn.XLOOKUP(PartList[[#This Row],[ASSLY MARK]],FilteredPL!A:A,FilteredPL!B:B,0,0),0)</f>
        <v>0</v>
      </c>
      <c r="P243">
        <f>_xlfn.XLOOKUP(PartList[[#This Row],[ASSLY MARK]],MasterPL[SplitMarkNo],MasterPL[BILL WT.(KG)],0,0)</f>
        <v>0</v>
      </c>
      <c r="Q243" cm="1">
        <f t="array" ref="Q24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43" s="2" t="str">
        <v>6BE17</v>
      </c>
      <c r="AB243" s="2">
        <f>SUMIF(PartList[ASSLY MARK],AA243,PartList[Avail. Qty])</f>
        <v>0</v>
      </c>
    </row>
    <row r="244" spans="1:28" x14ac:dyDescent="0.25">
      <c r="A244">
        <v>647</v>
      </c>
      <c r="B244" t="s">
        <v>361</v>
      </c>
      <c r="C244" t="s">
        <v>511</v>
      </c>
      <c r="D244" t="s">
        <v>734</v>
      </c>
      <c r="E244" t="s">
        <v>5</v>
      </c>
      <c r="F244" t="str" cm="1">
        <f t="array" ref="F244">IF(SUM(IF(PartList[ASSLY MARK]=PartList[[#This Row],[ASSLY MARK]],1,0))&gt;1,"No","Yes")</f>
        <v>No</v>
      </c>
      <c r="G244" t="str" cm="1">
        <f t="array" ref="G244">_xlfn.TEXTJOIN("_",TRUE,TRIM(_xlfn.TEXTSPLIT(PartList[[#This Row],[GRID LOCATION]],{"PR01","/","-"})))</f>
        <v>11_12_A'_A</v>
      </c>
      <c r="H244" t="str" cm="1">
        <f t="array" ref="H24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244" cm="1">
        <f t="array" ref="I24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44" t="str">
        <f>IF(IFERROR(SEARCH("&gt;",PartList[[#This Row],[ID]]),0),"O",IF(IFERROR(SEARCH("&lt;",PartList[[#This Row],[ID]]),0),"I",""))</f>
        <v/>
      </c>
      <c r="K244" t="str" cm="1">
        <f t="array" ref="K2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44" t="str" cm="1">
        <f t="array" ref="L2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44" t="str">
        <f>_xlfn.TEXTJOIN("#",TRUE,PartList[[#This Row],[ASSLY MARK]],PartList[[#This Row],[BOX NO]],PartList[[#This Row],[In/Out]],PartList[[#This Row],[O1-Grid]])</f>
        <v>5BE22#Box1_Box2_Box4_Box5#InBB</v>
      </c>
      <c r="N244" t="str">
        <f>_xlfn.TEXTJOIN("#",TRUE,PartList[[#This Row],[ASSLY MARK]],PartList[[#This Row],[BOX NO]],PartList[[#This Row],[In/Out]],PartList[[#This Row],[O2-Grid]])</f>
        <v>5BE22#Box1_Box2_Box4_Box5#InBB</v>
      </c>
      <c r="O244">
        <f>IF(PartList[[#This Row],[Unique]]="Yes",_xlfn.XLOOKUP(PartList[[#This Row],[ASSLY MARK]],FilteredPL!A:A,FilteredPL!B:B,0,0),0)</f>
        <v>0</v>
      </c>
      <c r="P244">
        <f>_xlfn.XLOOKUP(PartList[[#This Row],[ASSLY MARK]],MasterPL[SplitMarkNo],MasterPL[BILL WT.(KG)],0,0)</f>
        <v>0</v>
      </c>
      <c r="Q244" cm="1">
        <f t="array" ref="Q24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44" s="2" t="str">
        <v>6BE18</v>
      </c>
      <c r="AB244" s="2">
        <f>SUMIF(PartList[ASSLY MARK],AA244,PartList[Avail. Qty])</f>
        <v>0</v>
      </c>
    </row>
    <row r="245" spans="1:28" x14ac:dyDescent="0.25">
      <c r="A245">
        <v>648</v>
      </c>
      <c r="B245" t="s">
        <v>362</v>
      </c>
      <c r="C245" t="s">
        <v>512</v>
      </c>
      <c r="D245" t="s">
        <v>734</v>
      </c>
      <c r="E245" t="s">
        <v>5</v>
      </c>
      <c r="F245" t="str" cm="1">
        <f t="array" ref="F245">IF(SUM(IF(PartList[ASSLY MARK]=PartList[[#This Row],[ASSLY MARK]],1,0))&gt;1,"No","Yes")</f>
        <v>Yes</v>
      </c>
      <c r="G245" t="str" cm="1">
        <f t="array" ref="G245">_xlfn.TEXTJOIN("_",TRUE,TRIM(_xlfn.TEXTSPLIT(PartList[[#This Row],[GRID LOCATION]],{"PR01","/","-"})))</f>
        <v>10_11_A'_A</v>
      </c>
      <c r="H245" t="str" cm="1">
        <f t="array" ref="H24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45" cm="1">
        <f t="array" ref="I24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45" t="str">
        <f>IF(IFERROR(SEARCH("&gt;",PartList[[#This Row],[ID]]),0),"O",IF(IFERROR(SEARCH("&lt;",PartList[[#This Row],[ID]]),0),"I",""))</f>
        <v/>
      </c>
      <c r="K245" t="str" cm="1">
        <f t="array" ref="K2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45" t="str" cm="1">
        <f t="array" ref="L2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45" t="str">
        <f>_xlfn.TEXTJOIN("#",TRUE,PartList[[#This Row],[ASSLY MARK]],PartList[[#This Row],[BOX NO]],PartList[[#This Row],[In/Out]],PartList[[#This Row],[O1-Grid]])</f>
        <v>5BE23#Box1_Box4#InBB</v>
      </c>
      <c r="N245" t="str">
        <f>_xlfn.TEXTJOIN("#",TRUE,PartList[[#This Row],[ASSLY MARK]],PartList[[#This Row],[BOX NO]],PartList[[#This Row],[In/Out]],PartList[[#This Row],[O2-Grid]])</f>
        <v>5BE23#Box1_Box4#InBB</v>
      </c>
      <c r="O245">
        <f>IF(PartList[[#This Row],[Unique]]="Yes",_xlfn.XLOOKUP(PartList[[#This Row],[ASSLY MARK]],FilteredPL!A:A,FilteredPL!B:B,0,0),0)</f>
        <v>0</v>
      </c>
      <c r="P245">
        <f>_xlfn.XLOOKUP(PartList[[#This Row],[ASSLY MARK]],MasterPL[SplitMarkNo],MasterPL[BILL WT.(KG)],0,0)</f>
        <v>0</v>
      </c>
      <c r="Q245" cm="1">
        <f t="array" ref="Q24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45" s="2" t="str">
        <v>6BE19</v>
      </c>
      <c r="AB245" s="2">
        <f>SUMIF(PartList[ASSLY MARK],AA245,PartList[Avail. Qty])</f>
        <v>0</v>
      </c>
    </row>
    <row r="246" spans="1:28" x14ac:dyDescent="0.25">
      <c r="A246">
        <v>649</v>
      </c>
      <c r="B246" t="s">
        <v>363</v>
      </c>
      <c r="C246" t="s">
        <v>513</v>
      </c>
      <c r="D246" t="s">
        <v>734</v>
      </c>
      <c r="E246" t="s">
        <v>5</v>
      </c>
      <c r="F246" t="str" cm="1">
        <f t="array" ref="F246">IF(SUM(IF(PartList[ASSLY MARK]=PartList[[#This Row],[ASSLY MARK]],1,0))&gt;1,"No","Yes")</f>
        <v>Yes</v>
      </c>
      <c r="G246" t="str" cm="1">
        <f t="array" ref="G246">_xlfn.TEXTJOIN("_",TRUE,TRIM(_xlfn.TEXTSPLIT(PartList[[#This Row],[GRID LOCATION]],{"PR01","/","-"})))</f>
        <v>10_11_B&gt;</v>
      </c>
      <c r="H246" t="str" cm="1">
        <f t="array" ref="H24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46" cm="1">
        <f t="array" ref="I24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46" t="str">
        <f>IF(IFERROR(SEARCH("&gt;",PartList[[#This Row],[ID]]),0),"O",IF(IFERROR(SEARCH("&lt;",PartList[[#This Row],[ID]]),0),"I",""))</f>
        <v>O</v>
      </c>
      <c r="K246" t="str" cm="1">
        <f t="array" ref="K2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46" t="str" cm="1">
        <f t="array" ref="L2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46" t="str">
        <f>_xlfn.TEXTJOIN("#",TRUE,PartList[[#This Row],[ASSLY MARK]],PartList[[#This Row],[BOX NO]],PartList[[#This Row],[In/Out]],PartList[[#This Row],[O1-Grid]])</f>
        <v>5BE24#Box1#O</v>
      </c>
      <c r="N246" t="str">
        <f>_xlfn.TEXTJOIN("#",TRUE,PartList[[#This Row],[ASSLY MARK]],PartList[[#This Row],[BOX NO]],PartList[[#This Row],[In/Out]],PartList[[#This Row],[O2-Grid]])</f>
        <v>5BE24#Box1#O</v>
      </c>
      <c r="O246">
        <f>IF(PartList[[#This Row],[Unique]]="Yes",_xlfn.XLOOKUP(PartList[[#This Row],[ASSLY MARK]],FilteredPL!A:A,FilteredPL!B:B,0,0),0)</f>
        <v>0</v>
      </c>
      <c r="P246">
        <f>_xlfn.XLOOKUP(PartList[[#This Row],[ASSLY MARK]],MasterPL[SplitMarkNo],MasterPL[BILL WT.(KG)],0,0)</f>
        <v>0</v>
      </c>
      <c r="Q246" cm="1">
        <f t="array" ref="Q24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46" s="2" t="str">
        <v>6BE20</v>
      </c>
      <c r="AB246" s="2">
        <f>SUMIF(PartList[ASSLY MARK],AA246,PartList[Avail. Qty])</f>
        <v>0</v>
      </c>
    </row>
    <row r="247" spans="1:28" x14ac:dyDescent="0.25">
      <c r="A247">
        <v>650</v>
      </c>
      <c r="B247" t="s">
        <v>364</v>
      </c>
      <c r="C247" t="s">
        <v>528</v>
      </c>
      <c r="D247" t="s">
        <v>734</v>
      </c>
      <c r="E247" t="s">
        <v>5</v>
      </c>
      <c r="F247" t="str" cm="1">
        <f t="array" ref="F247">IF(SUM(IF(PartList[ASSLY MARK]=PartList[[#This Row],[ASSLY MARK]],1,0))&gt;1,"No","Yes")</f>
        <v>Yes</v>
      </c>
      <c r="G247" t="str" cm="1">
        <f t="array" ref="G247">_xlfn.TEXTJOIN("_",TRUE,TRIM(_xlfn.TEXTSPLIT(PartList[[#This Row],[GRID LOCATION]],{"PR01","/","-"})))</f>
        <v>11_A'_A</v>
      </c>
      <c r="H247" t="str" cm="1">
        <f t="array" ref="H24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47" cm="1">
        <f t="array" ref="I24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47" t="str">
        <f>IF(IFERROR(SEARCH("&gt;",PartList[[#This Row],[ID]]),0),"O",IF(IFERROR(SEARCH("&lt;",PartList[[#This Row],[ID]]),0),"I",""))</f>
        <v/>
      </c>
      <c r="K247" t="str" cm="1">
        <f t="array" ref="K2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47" t="str" cm="1">
        <f t="array" ref="L2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47" t="str">
        <f>_xlfn.TEXTJOIN("#",TRUE,PartList[[#This Row],[ASSLY MARK]],PartList[[#This Row],[BOX NO]],PartList[[#This Row],[In/Out]],PartList[[#This Row],[O1-Grid]])</f>
        <v>5BE25#Box1_Box4#InBB</v>
      </c>
      <c r="N247" t="str">
        <f>_xlfn.TEXTJOIN("#",TRUE,PartList[[#This Row],[ASSLY MARK]],PartList[[#This Row],[BOX NO]],PartList[[#This Row],[In/Out]],PartList[[#This Row],[O2-Grid]])</f>
        <v>5BE25#Box1_Box4#InBB</v>
      </c>
      <c r="O247">
        <f>IF(PartList[[#This Row],[Unique]]="Yes",_xlfn.XLOOKUP(PartList[[#This Row],[ASSLY MARK]],FilteredPL!A:A,FilteredPL!B:B,0,0),0)</f>
        <v>0</v>
      </c>
      <c r="P247">
        <f>_xlfn.XLOOKUP(PartList[[#This Row],[ASSLY MARK]],MasterPL[SplitMarkNo],MasterPL[BILL WT.(KG)],0,0)</f>
        <v>0</v>
      </c>
      <c r="Q247" cm="1">
        <f t="array" ref="Q24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47" s="2" t="str">
        <v>6BE21</v>
      </c>
      <c r="AB247" s="2">
        <f>SUMIF(PartList[ASSLY MARK],AA247,PartList[Avail. Qty])</f>
        <v>0</v>
      </c>
    </row>
    <row r="248" spans="1:28" x14ac:dyDescent="0.25">
      <c r="A248">
        <v>651</v>
      </c>
      <c r="B248" t="s">
        <v>365</v>
      </c>
      <c r="C248" t="s">
        <v>530</v>
      </c>
      <c r="D248" t="s">
        <v>734</v>
      </c>
      <c r="E248" t="s">
        <v>5</v>
      </c>
      <c r="F248" t="str" cm="1">
        <f t="array" ref="F248">IF(SUM(IF(PartList[ASSLY MARK]=PartList[[#This Row],[ASSLY MARK]],1,0))&gt;1,"No","Yes")</f>
        <v>Yes</v>
      </c>
      <c r="G248" t="str" cm="1">
        <f t="array" ref="G248">_xlfn.TEXTJOIN("_",TRUE,TRIM(_xlfn.TEXTSPLIT(PartList[[#This Row],[GRID LOCATION]],{"PR01","/","-"})))</f>
        <v>11_B&gt;</v>
      </c>
      <c r="H248" t="str" cm="1">
        <f t="array" ref="H24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48" cm="1">
        <f t="array" ref="I24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48" t="str">
        <f>IF(IFERROR(SEARCH("&gt;",PartList[[#This Row],[ID]]),0),"O",IF(IFERROR(SEARCH("&lt;",PartList[[#This Row],[ID]]),0),"I",""))</f>
        <v>O</v>
      </c>
      <c r="K248" t="str" cm="1">
        <f t="array" ref="K2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48" t="str" cm="1">
        <f t="array" ref="L2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48" t="str">
        <f>_xlfn.TEXTJOIN("#",TRUE,PartList[[#This Row],[ASSLY MARK]],PartList[[#This Row],[BOX NO]],PartList[[#This Row],[In/Out]],PartList[[#This Row],[O1-Grid]])</f>
        <v>5BE26#Box1#O</v>
      </c>
      <c r="N248" t="str">
        <f>_xlfn.TEXTJOIN("#",TRUE,PartList[[#This Row],[ASSLY MARK]],PartList[[#This Row],[BOX NO]],PartList[[#This Row],[In/Out]],PartList[[#This Row],[O2-Grid]])</f>
        <v>5BE26#Box1#O</v>
      </c>
      <c r="O248">
        <f>IF(PartList[[#This Row],[Unique]]="Yes",_xlfn.XLOOKUP(PartList[[#This Row],[ASSLY MARK]],FilteredPL!A:A,FilteredPL!B:B,0,0),0)</f>
        <v>0</v>
      </c>
      <c r="P248">
        <f>_xlfn.XLOOKUP(PartList[[#This Row],[ASSLY MARK]],MasterPL[SplitMarkNo],MasterPL[BILL WT.(KG)],0,0)</f>
        <v>0</v>
      </c>
      <c r="Q248" cm="1">
        <f t="array" ref="Q24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48" s="2" t="str">
        <v>6BE22</v>
      </c>
      <c r="AB248" s="2">
        <f>SUMIF(PartList[ASSLY MARK],AA248,PartList[Avail. Qty])</f>
        <v>0</v>
      </c>
    </row>
    <row r="249" spans="1:28" x14ac:dyDescent="0.25">
      <c r="A249">
        <v>652</v>
      </c>
      <c r="B249" t="s">
        <v>366</v>
      </c>
      <c r="C249" t="s">
        <v>531</v>
      </c>
      <c r="D249" t="s">
        <v>734</v>
      </c>
      <c r="E249" t="s">
        <v>5</v>
      </c>
      <c r="F249" t="str" cm="1">
        <f t="array" ref="F249">IF(SUM(IF(PartList[ASSLY MARK]=PartList[[#This Row],[ASSLY MARK]],1,0))&gt;1,"No","Yes")</f>
        <v>Yes</v>
      </c>
      <c r="G249" t="str" cm="1">
        <f t="array" ref="G249">_xlfn.TEXTJOIN("_",TRUE,TRIM(_xlfn.TEXTSPLIT(PartList[[#This Row],[GRID LOCATION]],{"PR01","/","-"})))</f>
        <v>11_12_B&gt;</v>
      </c>
      <c r="H249" t="str" cm="1">
        <f t="array" ref="H24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49" cm="1">
        <f t="array" ref="I24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49" t="str">
        <f>IF(IFERROR(SEARCH("&gt;",PartList[[#This Row],[ID]]),0),"O",IF(IFERROR(SEARCH("&lt;",PartList[[#This Row],[ID]]),0),"I",""))</f>
        <v>O</v>
      </c>
      <c r="K249" t="str" cm="1">
        <f t="array" ref="K2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49" t="str" cm="1">
        <f t="array" ref="L2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49" t="str">
        <f>_xlfn.TEXTJOIN("#",TRUE,PartList[[#This Row],[ASSLY MARK]],PartList[[#This Row],[BOX NO]],PartList[[#This Row],[In/Out]],PartList[[#This Row],[O1-Grid]])</f>
        <v>5BE27#Box1_Box2#O</v>
      </c>
      <c r="N249" t="str">
        <f>_xlfn.TEXTJOIN("#",TRUE,PartList[[#This Row],[ASSLY MARK]],PartList[[#This Row],[BOX NO]],PartList[[#This Row],[In/Out]],PartList[[#This Row],[O2-Grid]])</f>
        <v>5BE27#Box1_Box2#O</v>
      </c>
      <c r="O249">
        <f>IF(PartList[[#This Row],[Unique]]="Yes",_xlfn.XLOOKUP(PartList[[#This Row],[ASSLY MARK]],FilteredPL!A:A,FilteredPL!B:B,0,0),0)</f>
        <v>0</v>
      </c>
      <c r="P249">
        <f>_xlfn.XLOOKUP(PartList[[#This Row],[ASSLY MARK]],MasterPL[SplitMarkNo],MasterPL[BILL WT.(KG)],0,0)</f>
        <v>0</v>
      </c>
      <c r="Q249" cm="1">
        <f t="array" ref="Q24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49" s="2" t="str">
        <v>6BE23</v>
      </c>
      <c r="AB249" s="2">
        <f>SUMIF(PartList[ASSLY MARK],AA249,PartList[Avail. Qty])</f>
        <v>0</v>
      </c>
    </row>
    <row r="250" spans="1:28" x14ac:dyDescent="0.25">
      <c r="A250">
        <v>653</v>
      </c>
      <c r="B250" t="s">
        <v>863</v>
      </c>
      <c r="C250" t="s">
        <v>531</v>
      </c>
      <c r="D250" t="s">
        <v>734</v>
      </c>
      <c r="E250" t="s">
        <v>5</v>
      </c>
      <c r="F250" t="str" cm="1">
        <f t="array" ref="F250">IF(SUM(IF(PartList[ASSLY MARK]=PartList[[#This Row],[ASSLY MARK]],1,0))&gt;1,"No","Yes")</f>
        <v>Yes</v>
      </c>
      <c r="G250" t="str" cm="1">
        <f t="array" ref="G250">_xlfn.TEXTJOIN("_",TRUE,TRIM(_xlfn.TEXTSPLIT(PartList[[#This Row],[GRID LOCATION]],{"PR01","/","-"})))</f>
        <v>11_12_B&gt;</v>
      </c>
      <c r="H250" t="str" cm="1">
        <f t="array" ref="H25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50" cm="1">
        <f t="array" ref="I25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50" t="str">
        <f>IF(IFERROR(SEARCH("&gt;",PartList[[#This Row],[ID]]),0),"O",IF(IFERROR(SEARCH("&lt;",PartList[[#This Row],[ID]]),0),"I",""))</f>
        <v>O</v>
      </c>
      <c r="K250" t="str" cm="1">
        <f t="array" ref="K2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50" t="str" cm="1">
        <f t="array" ref="L2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50" t="str">
        <f>_xlfn.TEXTJOIN("#",TRUE,PartList[[#This Row],[ASSLY MARK]],PartList[[#This Row],[BOX NO]],PartList[[#This Row],[In/Out]],PartList[[#This Row],[O1-Grid]])</f>
        <v>5BE28#Box1_Box2#O</v>
      </c>
      <c r="N250" t="str">
        <f>_xlfn.TEXTJOIN("#",TRUE,PartList[[#This Row],[ASSLY MARK]],PartList[[#This Row],[BOX NO]],PartList[[#This Row],[In/Out]],PartList[[#This Row],[O2-Grid]])</f>
        <v>5BE28#Box1_Box2#O</v>
      </c>
      <c r="O250">
        <f>IF(PartList[[#This Row],[Unique]]="Yes",_xlfn.XLOOKUP(PartList[[#This Row],[ASSLY MARK]],FilteredPL!A:A,FilteredPL!B:B,0,0),0)</f>
        <v>0</v>
      </c>
      <c r="P250">
        <f>_xlfn.XLOOKUP(PartList[[#This Row],[ASSLY MARK]],MasterPL[SplitMarkNo],MasterPL[BILL WT.(KG)],0,0)</f>
        <v>0</v>
      </c>
      <c r="Q250" cm="1">
        <f t="array" ref="Q25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50" s="2" t="str">
        <v>6BE24</v>
      </c>
      <c r="AB250" s="2">
        <f>SUMIF(PartList[ASSLY MARK],AA250,PartList[Avail. Qty])</f>
        <v>0</v>
      </c>
    </row>
    <row r="251" spans="1:28" x14ac:dyDescent="0.25">
      <c r="A251">
        <v>654</v>
      </c>
      <c r="B251" t="s">
        <v>864</v>
      </c>
      <c r="C251" t="s">
        <v>511</v>
      </c>
      <c r="D251" t="s">
        <v>734</v>
      </c>
      <c r="E251" t="s">
        <v>5</v>
      </c>
      <c r="F251" t="str" cm="1">
        <f t="array" ref="F251">IF(SUM(IF(PartList[ASSLY MARK]=PartList[[#This Row],[ASSLY MARK]],1,0))&gt;1,"No","Yes")</f>
        <v>Yes</v>
      </c>
      <c r="G251" t="str" cm="1">
        <f t="array" ref="G251">_xlfn.TEXTJOIN("_",TRUE,TRIM(_xlfn.TEXTSPLIT(PartList[[#This Row],[GRID LOCATION]],{"PR01","/","-"})))</f>
        <v>11_12_A'_A</v>
      </c>
      <c r="H251" t="str" cm="1">
        <f t="array" ref="H25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251" cm="1">
        <f t="array" ref="I25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51" t="str">
        <f>IF(IFERROR(SEARCH("&gt;",PartList[[#This Row],[ID]]),0),"O",IF(IFERROR(SEARCH("&lt;",PartList[[#This Row],[ID]]),0),"I",""))</f>
        <v/>
      </c>
      <c r="K251" t="str" cm="1">
        <f t="array" ref="K2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51" t="str" cm="1">
        <f t="array" ref="L2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51" t="str">
        <f>_xlfn.TEXTJOIN("#",TRUE,PartList[[#This Row],[ASSLY MARK]],PartList[[#This Row],[BOX NO]],PartList[[#This Row],[In/Out]],PartList[[#This Row],[O1-Grid]])</f>
        <v>5BE29#Box1_Box2_Box4_Box5#InBB</v>
      </c>
      <c r="N251" t="str">
        <f>_xlfn.TEXTJOIN("#",TRUE,PartList[[#This Row],[ASSLY MARK]],PartList[[#This Row],[BOX NO]],PartList[[#This Row],[In/Out]],PartList[[#This Row],[O2-Grid]])</f>
        <v>5BE29#Box1_Box2_Box4_Box5#InBB</v>
      </c>
      <c r="O251">
        <f>IF(PartList[[#This Row],[Unique]]="Yes",_xlfn.XLOOKUP(PartList[[#This Row],[ASSLY MARK]],FilteredPL!A:A,FilteredPL!B:B,0,0),0)</f>
        <v>0</v>
      </c>
      <c r="P251">
        <f>_xlfn.XLOOKUP(PartList[[#This Row],[ASSLY MARK]],MasterPL[SplitMarkNo],MasterPL[BILL WT.(KG)],0,0)</f>
        <v>0</v>
      </c>
      <c r="Q251" cm="1">
        <f t="array" ref="Q25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51" s="2" t="str">
        <v>6BE25</v>
      </c>
      <c r="AB251" s="2">
        <f>SUMIF(PartList[ASSLY MARK],AA251,PartList[Avail. Qty])</f>
        <v>0</v>
      </c>
    </row>
    <row r="252" spans="1:28" x14ac:dyDescent="0.25">
      <c r="A252">
        <v>655</v>
      </c>
      <c r="B252" t="s">
        <v>865</v>
      </c>
      <c r="C252" t="s">
        <v>531</v>
      </c>
      <c r="D252" t="s">
        <v>734</v>
      </c>
      <c r="E252" t="s">
        <v>5</v>
      </c>
      <c r="F252" t="str" cm="1">
        <f t="array" ref="F252">IF(SUM(IF(PartList[ASSLY MARK]=PartList[[#This Row],[ASSLY MARK]],1,0))&gt;1,"No","Yes")</f>
        <v>Yes</v>
      </c>
      <c r="G252" t="str" cm="1">
        <f t="array" ref="G252">_xlfn.TEXTJOIN("_",TRUE,TRIM(_xlfn.TEXTSPLIT(PartList[[#This Row],[GRID LOCATION]],{"PR01","/","-"})))</f>
        <v>11_12_B&gt;</v>
      </c>
      <c r="H252" t="str" cm="1">
        <f t="array" ref="H25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52" cm="1">
        <f t="array" ref="I25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52" t="str">
        <f>IF(IFERROR(SEARCH("&gt;",PartList[[#This Row],[ID]]),0),"O",IF(IFERROR(SEARCH("&lt;",PartList[[#This Row],[ID]]),0),"I",""))</f>
        <v>O</v>
      </c>
      <c r="K252" t="str" cm="1">
        <f t="array" ref="K2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52" t="str" cm="1">
        <f t="array" ref="L2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52" t="str">
        <f>_xlfn.TEXTJOIN("#",TRUE,PartList[[#This Row],[ASSLY MARK]],PartList[[#This Row],[BOX NO]],PartList[[#This Row],[In/Out]],PartList[[#This Row],[O1-Grid]])</f>
        <v>5BE30#Box1_Box2#O</v>
      </c>
      <c r="N252" t="str">
        <f>_xlfn.TEXTJOIN("#",TRUE,PartList[[#This Row],[ASSLY MARK]],PartList[[#This Row],[BOX NO]],PartList[[#This Row],[In/Out]],PartList[[#This Row],[O2-Grid]])</f>
        <v>5BE30#Box1_Box2#O</v>
      </c>
      <c r="O252">
        <f>IF(PartList[[#This Row],[Unique]]="Yes",_xlfn.XLOOKUP(PartList[[#This Row],[ASSLY MARK]],FilteredPL!A:A,FilteredPL!B:B,0,0),0)</f>
        <v>0</v>
      </c>
      <c r="P252">
        <f>_xlfn.XLOOKUP(PartList[[#This Row],[ASSLY MARK]],MasterPL[SplitMarkNo],MasterPL[BILL WT.(KG)],0,0)</f>
        <v>0</v>
      </c>
      <c r="Q252" cm="1">
        <f t="array" ref="Q25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52" s="2" t="str">
        <v>6BE26</v>
      </c>
      <c r="AB252" s="2">
        <f>SUMIF(PartList[ASSLY MARK],AA252,PartList[Avail. Qty])</f>
        <v>0</v>
      </c>
    </row>
    <row r="253" spans="1:28" x14ac:dyDescent="0.25">
      <c r="A253">
        <v>656</v>
      </c>
      <c r="B253" t="s">
        <v>866</v>
      </c>
      <c r="C253" t="s">
        <v>511</v>
      </c>
      <c r="D253" t="s">
        <v>734</v>
      </c>
      <c r="E253" t="s">
        <v>5</v>
      </c>
      <c r="F253" t="str" cm="1">
        <f t="array" ref="F253">IF(SUM(IF(PartList[ASSLY MARK]=PartList[[#This Row],[ASSLY MARK]],1,0))&gt;1,"No","Yes")</f>
        <v>No</v>
      </c>
      <c r="G253" t="str" cm="1">
        <f t="array" ref="G253">_xlfn.TEXTJOIN("_",TRUE,TRIM(_xlfn.TEXTSPLIT(PartList[[#This Row],[GRID LOCATION]],{"PR01","/","-"})))</f>
        <v>11_12_A'_A</v>
      </c>
      <c r="H253" t="str" cm="1">
        <f t="array" ref="H25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253" cm="1">
        <f t="array" ref="I25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53" t="str">
        <f>IF(IFERROR(SEARCH("&gt;",PartList[[#This Row],[ID]]),0),"O",IF(IFERROR(SEARCH("&lt;",PartList[[#This Row],[ID]]),0),"I",""))</f>
        <v/>
      </c>
      <c r="K253" t="str" cm="1">
        <f t="array" ref="K2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53" t="str" cm="1">
        <f t="array" ref="L2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53" t="str">
        <f>_xlfn.TEXTJOIN("#",TRUE,PartList[[#This Row],[ASSLY MARK]],PartList[[#This Row],[BOX NO]],PartList[[#This Row],[In/Out]],PartList[[#This Row],[O1-Grid]])</f>
        <v>5BE31#Box1_Box2_Box4_Box5#InBB</v>
      </c>
      <c r="N253" t="str">
        <f>_xlfn.TEXTJOIN("#",TRUE,PartList[[#This Row],[ASSLY MARK]],PartList[[#This Row],[BOX NO]],PartList[[#This Row],[In/Out]],PartList[[#This Row],[O2-Grid]])</f>
        <v>5BE31#Box1_Box2_Box4_Box5#InBB</v>
      </c>
      <c r="O253">
        <f>IF(PartList[[#This Row],[Unique]]="Yes",_xlfn.XLOOKUP(PartList[[#This Row],[ASSLY MARK]],FilteredPL!A:A,FilteredPL!B:B,0,0),0)</f>
        <v>0</v>
      </c>
      <c r="P253">
        <f>_xlfn.XLOOKUP(PartList[[#This Row],[ASSLY MARK]],MasterPL[SplitMarkNo],MasterPL[BILL WT.(KG)],0,0)</f>
        <v>0</v>
      </c>
      <c r="Q253" cm="1">
        <f t="array" ref="Q25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53" s="2" t="str">
        <v>6BE27</v>
      </c>
      <c r="AB253" s="2">
        <f>SUMIF(PartList[ASSLY MARK],AA253,PartList[Avail. Qty])</f>
        <v>0</v>
      </c>
    </row>
    <row r="254" spans="1:28" x14ac:dyDescent="0.25">
      <c r="A254">
        <v>657</v>
      </c>
      <c r="B254" t="s">
        <v>866</v>
      </c>
      <c r="C254" t="s">
        <v>511</v>
      </c>
      <c r="D254" t="s">
        <v>734</v>
      </c>
      <c r="E254" t="s">
        <v>5</v>
      </c>
      <c r="F254" t="str" cm="1">
        <f t="array" ref="F254">IF(SUM(IF(PartList[ASSLY MARK]=PartList[[#This Row],[ASSLY MARK]],1,0))&gt;1,"No","Yes")</f>
        <v>No</v>
      </c>
      <c r="G254" t="str" cm="1">
        <f t="array" ref="G254">_xlfn.TEXTJOIN("_",TRUE,TRIM(_xlfn.TEXTSPLIT(PartList[[#This Row],[GRID LOCATION]],{"PR01","/","-"})))</f>
        <v>11_12_A'_A</v>
      </c>
      <c r="H254" t="str" cm="1">
        <f t="array" ref="H25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254" cm="1">
        <f t="array" ref="I25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54" t="str">
        <f>IF(IFERROR(SEARCH("&gt;",PartList[[#This Row],[ID]]),0),"O",IF(IFERROR(SEARCH("&lt;",PartList[[#This Row],[ID]]),0),"I",""))</f>
        <v/>
      </c>
      <c r="K254" t="str" cm="1">
        <f t="array" ref="K2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54" t="str" cm="1">
        <f t="array" ref="L2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54" t="str">
        <f>_xlfn.TEXTJOIN("#",TRUE,PartList[[#This Row],[ASSLY MARK]],PartList[[#This Row],[BOX NO]],PartList[[#This Row],[In/Out]],PartList[[#This Row],[O1-Grid]])</f>
        <v>5BE31#Box1_Box2_Box4_Box5#InBB</v>
      </c>
      <c r="N254" t="str">
        <f>_xlfn.TEXTJOIN("#",TRUE,PartList[[#This Row],[ASSLY MARK]],PartList[[#This Row],[BOX NO]],PartList[[#This Row],[In/Out]],PartList[[#This Row],[O2-Grid]])</f>
        <v>5BE31#Box1_Box2_Box4_Box5#InBB</v>
      </c>
      <c r="O254">
        <f>IF(PartList[[#This Row],[Unique]]="Yes",_xlfn.XLOOKUP(PartList[[#This Row],[ASSLY MARK]],FilteredPL!A:A,FilteredPL!B:B,0,0),0)</f>
        <v>0</v>
      </c>
      <c r="P254">
        <f>_xlfn.XLOOKUP(PartList[[#This Row],[ASSLY MARK]],MasterPL[SplitMarkNo],MasterPL[BILL WT.(KG)],0,0)</f>
        <v>0</v>
      </c>
      <c r="Q254" cm="1">
        <f t="array" ref="Q25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54" s="2" t="str">
        <v>6BE29</v>
      </c>
      <c r="AB254" s="2">
        <f>SUMIF(PartList[ASSLY MARK],AA254,PartList[Avail. Qty])</f>
        <v>0</v>
      </c>
    </row>
    <row r="255" spans="1:28" x14ac:dyDescent="0.25">
      <c r="A255">
        <v>658</v>
      </c>
      <c r="B255" t="s">
        <v>867</v>
      </c>
      <c r="C255" t="s">
        <v>531</v>
      </c>
      <c r="D255" t="s">
        <v>734</v>
      </c>
      <c r="E255" t="s">
        <v>5</v>
      </c>
      <c r="F255" t="str" cm="1">
        <f t="array" ref="F255">IF(SUM(IF(PartList[ASSLY MARK]=PartList[[#This Row],[ASSLY MARK]],1,0))&gt;1,"No","Yes")</f>
        <v>Yes</v>
      </c>
      <c r="G255" t="str" cm="1">
        <f t="array" ref="G255">_xlfn.TEXTJOIN("_",TRUE,TRIM(_xlfn.TEXTSPLIT(PartList[[#This Row],[GRID LOCATION]],{"PR01","/","-"})))</f>
        <v>11_12_B&gt;</v>
      </c>
      <c r="H255" t="str" cm="1">
        <f t="array" ref="H25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55" cm="1">
        <f t="array" ref="I25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55" t="str">
        <f>IF(IFERROR(SEARCH("&gt;",PartList[[#This Row],[ID]]),0),"O",IF(IFERROR(SEARCH("&lt;",PartList[[#This Row],[ID]]),0),"I",""))</f>
        <v>O</v>
      </c>
      <c r="K255" t="str" cm="1">
        <f t="array" ref="K2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55" t="str" cm="1">
        <f t="array" ref="L2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55" t="str">
        <f>_xlfn.TEXTJOIN("#",TRUE,PartList[[#This Row],[ASSLY MARK]],PartList[[#This Row],[BOX NO]],PartList[[#This Row],[In/Out]],PartList[[#This Row],[O1-Grid]])</f>
        <v>5BE32#Box1_Box2#O</v>
      </c>
      <c r="N255" t="str">
        <f>_xlfn.TEXTJOIN("#",TRUE,PartList[[#This Row],[ASSLY MARK]],PartList[[#This Row],[BOX NO]],PartList[[#This Row],[In/Out]],PartList[[#This Row],[O2-Grid]])</f>
        <v>5BE32#Box1_Box2#O</v>
      </c>
      <c r="O255">
        <f>IF(PartList[[#This Row],[Unique]]="Yes",_xlfn.XLOOKUP(PartList[[#This Row],[ASSLY MARK]],FilteredPL!A:A,FilteredPL!B:B,0,0),0)</f>
        <v>0</v>
      </c>
      <c r="P255">
        <f>_xlfn.XLOOKUP(PartList[[#This Row],[ASSLY MARK]],MasterPL[SplitMarkNo],MasterPL[BILL WT.(KG)],0,0)</f>
        <v>0</v>
      </c>
      <c r="Q255" cm="1">
        <f t="array" ref="Q25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55" s="2" t="str">
        <v>6BE30</v>
      </c>
      <c r="AB255" s="2">
        <f>SUMIF(PartList[ASSLY MARK],AA255,PartList[Avail. Qty])</f>
        <v>0</v>
      </c>
    </row>
    <row r="256" spans="1:28" x14ac:dyDescent="0.25">
      <c r="A256">
        <v>659</v>
      </c>
      <c r="B256" t="s">
        <v>868</v>
      </c>
      <c r="C256" t="s">
        <v>531</v>
      </c>
      <c r="D256" t="s">
        <v>734</v>
      </c>
      <c r="E256" t="s">
        <v>5</v>
      </c>
      <c r="F256" t="str" cm="1">
        <f t="array" ref="F256">IF(SUM(IF(PartList[ASSLY MARK]=PartList[[#This Row],[ASSLY MARK]],1,0))&gt;1,"No","Yes")</f>
        <v>Yes</v>
      </c>
      <c r="G256" t="str" cm="1">
        <f t="array" ref="G256">_xlfn.TEXTJOIN("_",TRUE,TRIM(_xlfn.TEXTSPLIT(PartList[[#This Row],[GRID LOCATION]],{"PR01","/","-"})))</f>
        <v>11_12_B&gt;</v>
      </c>
      <c r="H256" t="str" cm="1">
        <f t="array" ref="H25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56" cm="1">
        <f t="array" ref="I25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56" t="str">
        <f>IF(IFERROR(SEARCH("&gt;",PartList[[#This Row],[ID]]),0),"O",IF(IFERROR(SEARCH("&lt;",PartList[[#This Row],[ID]]),0),"I",""))</f>
        <v>O</v>
      </c>
      <c r="K256" t="str" cm="1">
        <f t="array" ref="K2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56" t="str" cm="1">
        <f t="array" ref="L2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56" t="str">
        <f>_xlfn.TEXTJOIN("#",TRUE,PartList[[#This Row],[ASSLY MARK]],PartList[[#This Row],[BOX NO]],PartList[[#This Row],[In/Out]],PartList[[#This Row],[O1-Grid]])</f>
        <v>5BE33#Box1_Box2#O</v>
      </c>
      <c r="N256" t="str">
        <f>_xlfn.TEXTJOIN("#",TRUE,PartList[[#This Row],[ASSLY MARK]],PartList[[#This Row],[BOX NO]],PartList[[#This Row],[In/Out]],PartList[[#This Row],[O2-Grid]])</f>
        <v>5BE33#Box1_Box2#O</v>
      </c>
      <c r="O256">
        <f>IF(PartList[[#This Row],[Unique]]="Yes",_xlfn.XLOOKUP(PartList[[#This Row],[ASSLY MARK]],FilteredPL!A:A,FilteredPL!B:B,0,0),0)</f>
        <v>0</v>
      </c>
      <c r="P256">
        <f>_xlfn.XLOOKUP(PartList[[#This Row],[ASSLY MARK]],MasterPL[SplitMarkNo],MasterPL[BILL WT.(KG)],0,0)</f>
        <v>0</v>
      </c>
      <c r="Q256" cm="1">
        <f t="array" ref="Q25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56" s="2" t="str">
        <v>6BE31</v>
      </c>
      <c r="AB256" s="2">
        <f>SUMIF(PartList[ASSLY MARK],AA256,PartList[Avail. Qty])</f>
        <v>0</v>
      </c>
    </row>
    <row r="257" spans="1:28" x14ac:dyDescent="0.25">
      <c r="A257">
        <v>660</v>
      </c>
      <c r="B257" t="s">
        <v>869</v>
      </c>
      <c r="C257" t="s">
        <v>511</v>
      </c>
      <c r="D257" t="s">
        <v>734</v>
      </c>
      <c r="E257" t="s">
        <v>5</v>
      </c>
      <c r="F257" t="str" cm="1">
        <f t="array" ref="F257">IF(SUM(IF(PartList[ASSLY MARK]=PartList[[#This Row],[ASSLY MARK]],1,0))&gt;1,"No","Yes")</f>
        <v>Yes</v>
      </c>
      <c r="G257" t="str" cm="1">
        <f t="array" ref="G257">_xlfn.TEXTJOIN("_",TRUE,TRIM(_xlfn.TEXTSPLIT(PartList[[#This Row],[GRID LOCATION]],{"PR01","/","-"})))</f>
        <v>11_12_A'_A</v>
      </c>
      <c r="H257" t="str" cm="1">
        <f t="array" ref="H25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257" cm="1">
        <f t="array" ref="I25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57" t="str">
        <f>IF(IFERROR(SEARCH("&gt;",PartList[[#This Row],[ID]]),0),"O",IF(IFERROR(SEARCH("&lt;",PartList[[#This Row],[ID]]),0),"I",""))</f>
        <v/>
      </c>
      <c r="K257" t="str" cm="1">
        <f t="array" ref="K2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57" t="str" cm="1">
        <f t="array" ref="L2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57" t="str">
        <f>_xlfn.TEXTJOIN("#",TRUE,PartList[[#This Row],[ASSLY MARK]],PartList[[#This Row],[BOX NO]],PartList[[#This Row],[In/Out]],PartList[[#This Row],[O1-Grid]])</f>
        <v>5BE34#Box1_Box2_Box4_Box5#InBB</v>
      </c>
      <c r="N257" t="str">
        <f>_xlfn.TEXTJOIN("#",TRUE,PartList[[#This Row],[ASSLY MARK]],PartList[[#This Row],[BOX NO]],PartList[[#This Row],[In/Out]],PartList[[#This Row],[O2-Grid]])</f>
        <v>5BE34#Box1_Box2_Box4_Box5#InBB</v>
      </c>
      <c r="O257">
        <f>IF(PartList[[#This Row],[Unique]]="Yes",_xlfn.XLOOKUP(PartList[[#This Row],[ASSLY MARK]],FilteredPL!A:A,FilteredPL!B:B,0,0),0)</f>
        <v>0</v>
      </c>
      <c r="P257">
        <f>_xlfn.XLOOKUP(PartList[[#This Row],[ASSLY MARK]],MasterPL[SplitMarkNo],MasterPL[BILL WT.(KG)],0,0)</f>
        <v>0</v>
      </c>
      <c r="Q257" cm="1">
        <f t="array" ref="Q25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57" s="2" t="str">
        <v>6BE32</v>
      </c>
      <c r="AB257" s="2">
        <f>SUMIF(PartList[ASSLY MARK],AA257,PartList[Avail. Qty])</f>
        <v>0</v>
      </c>
    </row>
    <row r="258" spans="1:28" x14ac:dyDescent="0.25">
      <c r="A258">
        <v>661</v>
      </c>
      <c r="B258" t="s">
        <v>870</v>
      </c>
      <c r="C258" t="s">
        <v>531</v>
      </c>
      <c r="D258" t="s">
        <v>734</v>
      </c>
      <c r="E258" t="s">
        <v>5</v>
      </c>
      <c r="F258" t="str" cm="1">
        <f t="array" ref="F258">IF(SUM(IF(PartList[ASSLY MARK]=PartList[[#This Row],[ASSLY MARK]],1,0))&gt;1,"No","Yes")</f>
        <v>Yes</v>
      </c>
      <c r="G258" t="str" cm="1">
        <f t="array" ref="G258">_xlfn.TEXTJOIN("_",TRUE,TRIM(_xlfn.TEXTSPLIT(PartList[[#This Row],[GRID LOCATION]],{"PR01","/","-"})))</f>
        <v>11_12_B&gt;</v>
      </c>
      <c r="H258" t="str" cm="1">
        <f t="array" ref="H25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58" cm="1">
        <f t="array" ref="I25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58" t="str">
        <f>IF(IFERROR(SEARCH("&gt;",PartList[[#This Row],[ID]]),0),"O",IF(IFERROR(SEARCH("&lt;",PartList[[#This Row],[ID]]),0),"I",""))</f>
        <v>O</v>
      </c>
      <c r="K258" t="str" cm="1">
        <f t="array" ref="K2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58" t="str" cm="1">
        <f t="array" ref="L2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58" t="str">
        <f>_xlfn.TEXTJOIN("#",TRUE,PartList[[#This Row],[ASSLY MARK]],PartList[[#This Row],[BOX NO]],PartList[[#This Row],[In/Out]],PartList[[#This Row],[O1-Grid]])</f>
        <v>5BE35#Box1_Box2#O</v>
      </c>
      <c r="N258" t="str">
        <f>_xlfn.TEXTJOIN("#",TRUE,PartList[[#This Row],[ASSLY MARK]],PartList[[#This Row],[BOX NO]],PartList[[#This Row],[In/Out]],PartList[[#This Row],[O2-Grid]])</f>
        <v>5BE35#Box1_Box2#O</v>
      </c>
      <c r="O258">
        <f>IF(PartList[[#This Row],[Unique]]="Yes",_xlfn.XLOOKUP(PartList[[#This Row],[ASSLY MARK]],FilteredPL!A:A,FilteredPL!B:B,0,0),0)</f>
        <v>0</v>
      </c>
      <c r="P258">
        <f>_xlfn.XLOOKUP(PartList[[#This Row],[ASSLY MARK]],MasterPL[SplitMarkNo],MasterPL[BILL WT.(KG)],0,0)</f>
        <v>0</v>
      </c>
      <c r="Q258" cm="1">
        <f t="array" ref="Q25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58" s="2" t="str">
        <v>6BE33</v>
      </c>
      <c r="AB258" s="2">
        <f>SUMIF(PartList[ASSLY MARK],AA258,PartList[Avail. Qty])</f>
        <v>0</v>
      </c>
    </row>
    <row r="259" spans="1:28" x14ac:dyDescent="0.25">
      <c r="A259">
        <v>662</v>
      </c>
      <c r="B259" t="s">
        <v>871</v>
      </c>
      <c r="C259" t="s">
        <v>511</v>
      </c>
      <c r="D259" t="s">
        <v>734</v>
      </c>
      <c r="E259" t="s">
        <v>5</v>
      </c>
      <c r="F259" t="str" cm="1">
        <f t="array" ref="F259">IF(SUM(IF(PartList[ASSLY MARK]=PartList[[#This Row],[ASSLY MARK]],1,0))&gt;1,"No","Yes")</f>
        <v>Yes</v>
      </c>
      <c r="G259" t="str" cm="1">
        <f t="array" ref="G259">_xlfn.TEXTJOIN("_",TRUE,TRIM(_xlfn.TEXTSPLIT(PartList[[#This Row],[GRID LOCATION]],{"PR01","/","-"})))</f>
        <v>11_12_A'_A</v>
      </c>
      <c r="H259" t="str" cm="1">
        <f t="array" ref="H25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259" cm="1">
        <f t="array" ref="I25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59" t="str">
        <f>IF(IFERROR(SEARCH("&gt;",PartList[[#This Row],[ID]]),0),"O",IF(IFERROR(SEARCH("&lt;",PartList[[#This Row],[ID]]),0),"I",""))</f>
        <v/>
      </c>
      <c r="K259" t="str" cm="1">
        <f t="array" ref="K2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59" t="str" cm="1">
        <f t="array" ref="L2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59" t="str">
        <f>_xlfn.TEXTJOIN("#",TRUE,PartList[[#This Row],[ASSLY MARK]],PartList[[#This Row],[BOX NO]],PartList[[#This Row],[In/Out]],PartList[[#This Row],[O1-Grid]])</f>
        <v>5BE36#Box1_Box2_Box4_Box5#InBB</v>
      </c>
      <c r="N259" t="str">
        <f>_xlfn.TEXTJOIN("#",TRUE,PartList[[#This Row],[ASSLY MARK]],PartList[[#This Row],[BOX NO]],PartList[[#This Row],[In/Out]],PartList[[#This Row],[O2-Grid]])</f>
        <v>5BE36#Box1_Box2_Box4_Box5#InBB</v>
      </c>
      <c r="O259">
        <f>IF(PartList[[#This Row],[Unique]]="Yes",_xlfn.XLOOKUP(PartList[[#This Row],[ASSLY MARK]],FilteredPL!A:A,FilteredPL!B:B,0,0),0)</f>
        <v>0</v>
      </c>
      <c r="P259">
        <f>_xlfn.XLOOKUP(PartList[[#This Row],[ASSLY MARK]],MasterPL[SplitMarkNo],MasterPL[BILL WT.(KG)],0,0)</f>
        <v>0</v>
      </c>
      <c r="Q259" cm="1">
        <f t="array" ref="Q25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59" s="2" t="str">
        <v>6BE34</v>
      </c>
      <c r="AB259" s="2">
        <f>SUMIF(PartList[ASSLY MARK],AA259,PartList[Avail. Qty])</f>
        <v>0</v>
      </c>
    </row>
    <row r="260" spans="1:28" x14ac:dyDescent="0.25">
      <c r="A260">
        <v>663</v>
      </c>
      <c r="B260" t="s">
        <v>872</v>
      </c>
      <c r="C260" t="s">
        <v>534</v>
      </c>
      <c r="D260" t="s">
        <v>734</v>
      </c>
      <c r="E260" t="s">
        <v>5</v>
      </c>
      <c r="F260" t="str" cm="1">
        <f t="array" ref="F260">IF(SUM(IF(PartList[ASSLY MARK]=PartList[[#This Row],[ASSLY MARK]],1,0))&gt;1,"No","Yes")</f>
        <v>Yes</v>
      </c>
      <c r="G260" t="str" cm="1">
        <f t="array" ref="G260">_xlfn.TEXTJOIN("_",TRUE,TRIM(_xlfn.TEXTSPLIT(PartList[[#This Row],[GRID LOCATION]],{"PR01","/","-"})))</f>
        <v>11_12_B</v>
      </c>
      <c r="H260" t="str" cm="1">
        <f t="array" ref="H26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60" cm="1">
        <f t="array" ref="I26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60" t="str">
        <f>IF(IFERROR(SEARCH("&gt;",PartList[[#This Row],[ID]]),0),"O",IF(IFERROR(SEARCH("&lt;",PartList[[#This Row],[ID]]),0),"I",""))</f>
        <v/>
      </c>
      <c r="K260" t="str" cm="1">
        <f t="array" ref="K2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60" t="str" cm="1">
        <f t="array" ref="L2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60" t="str">
        <f>_xlfn.TEXTJOIN("#",TRUE,PartList[[#This Row],[ASSLY MARK]],PartList[[#This Row],[BOX NO]],PartList[[#This Row],[In/Out]],PartList[[#This Row],[O1-Grid]])</f>
        <v>5BE37#Box1_Box2#InBB</v>
      </c>
      <c r="N260" t="str">
        <f>_xlfn.TEXTJOIN("#",TRUE,PartList[[#This Row],[ASSLY MARK]],PartList[[#This Row],[BOX NO]],PartList[[#This Row],[In/Out]],PartList[[#This Row],[O2-Grid]])</f>
        <v>5BE37#Box1_Box2#InBB</v>
      </c>
      <c r="O260">
        <f>IF(PartList[[#This Row],[Unique]]="Yes",_xlfn.XLOOKUP(PartList[[#This Row],[ASSLY MARK]],FilteredPL!A:A,FilteredPL!B:B,0,0),0)</f>
        <v>0</v>
      </c>
      <c r="P260">
        <f>_xlfn.XLOOKUP(PartList[[#This Row],[ASSLY MARK]],MasterPL[SplitMarkNo],MasterPL[BILL WT.(KG)],0,0)</f>
        <v>0</v>
      </c>
      <c r="Q260" cm="1">
        <f t="array" ref="Q26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60" s="2" t="str">
        <v>6BE35</v>
      </c>
      <c r="AB260" s="2">
        <f>SUMIF(PartList[ASSLY MARK],AA260,PartList[Avail. Qty])</f>
        <v>0</v>
      </c>
    </row>
    <row r="261" spans="1:28" x14ac:dyDescent="0.25">
      <c r="A261">
        <v>664</v>
      </c>
      <c r="B261" t="s">
        <v>873</v>
      </c>
      <c r="C261" t="s">
        <v>533</v>
      </c>
      <c r="D261" t="s">
        <v>734</v>
      </c>
      <c r="E261" t="s">
        <v>5</v>
      </c>
      <c r="F261" t="str" cm="1">
        <f t="array" ref="F261">IF(SUM(IF(PartList[ASSLY MARK]=PartList[[#This Row],[ASSLY MARK]],1,0))&gt;1,"No","Yes")</f>
        <v>Yes</v>
      </c>
      <c r="G261" t="str" cm="1">
        <f t="array" ref="G261">_xlfn.TEXTJOIN("_",TRUE,TRIM(_xlfn.TEXTSPLIT(PartList[[#This Row],[GRID LOCATION]],{"PR01","/","-"})))</f>
        <v>11_12_A</v>
      </c>
      <c r="H261" t="str" cm="1">
        <f t="array" ref="H26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61" cm="1">
        <f t="array" ref="I26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61" t="str">
        <f>IF(IFERROR(SEARCH("&gt;",PartList[[#This Row],[ID]]),0),"O",IF(IFERROR(SEARCH("&lt;",PartList[[#This Row],[ID]]),0),"I",""))</f>
        <v/>
      </c>
      <c r="K261" t="str" cm="1">
        <f t="array" ref="K2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61" t="str" cm="1">
        <f t="array" ref="L2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61" t="str">
        <f>_xlfn.TEXTJOIN("#",TRUE,PartList[[#This Row],[ASSLY MARK]],PartList[[#This Row],[BOX NO]],PartList[[#This Row],[In/Out]],PartList[[#This Row],[O1-Grid]])</f>
        <v>5BE38#Box1_Box2#InBB</v>
      </c>
      <c r="N261" t="str">
        <f>_xlfn.TEXTJOIN("#",TRUE,PartList[[#This Row],[ASSLY MARK]],PartList[[#This Row],[BOX NO]],PartList[[#This Row],[In/Out]],PartList[[#This Row],[O2-Grid]])</f>
        <v>5BE38#Box1_Box2#InBB</v>
      </c>
      <c r="O261">
        <f>IF(PartList[[#This Row],[Unique]]="Yes",_xlfn.XLOOKUP(PartList[[#This Row],[ASSLY MARK]],FilteredPL!A:A,FilteredPL!B:B,0,0),0)</f>
        <v>0</v>
      </c>
      <c r="P261">
        <f>_xlfn.XLOOKUP(PartList[[#This Row],[ASSLY MARK]],MasterPL[SplitMarkNo],MasterPL[BILL WT.(KG)],0,0)</f>
        <v>0</v>
      </c>
      <c r="Q261" cm="1">
        <f t="array" ref="Q26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61" s="2" t="str">
        <v>6BE36</v>
      </c>
      <c r="AB261" s="2">
        <f>SUMIF(PartList[ASSLY MARK],AA261,PartList[Avail. Qty])</f>
        <v>0</v>
      </c>
    </row>
    <row r="262" spans="1:28" x14ac:dyDescent="0.25">
      <c r="A262">
        <v>665</v>
      </c>
      <c r="B262" t="s">
        <v>874</v>
      </c>
      <c r="C262" t="s">
        <v>531</v>
      </c>
      <c r="D262" t="s">
        <v>734</v>
      </c>
      <c r="E262" t="s">
        <v>5</v>
      </c>
      <c r="F262" t="str" cm="1">
        <f t="array" ref="F262">IF(SUM(IF(PartList[ASSLY MARK]=PartList[[#This Row],[ASSLY MARK]],1,0))&gt;1,"No","Yes")</f>
        <v>Yes</v>
      </c>
      <c r="G262" t="str" cm="1">
        <f t="array" ref="G262">_xlfn.TEXTJOIN("_",TRUE,TRIM(_xlfn.TEXTSPLIT(PartList[[#This Row],[GRID LOCATION]],{"PR01","/","-"})))</f>
        <v>11_12_B&gt;</v>
      </c>
      <c r="H262" t="str" cm="1">
        <f t="array" ref="H26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62" cm="1">
        <f t="array" ref="I26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62" t="str">
        <f>IF(IFERROR(SEARCH("&gt;",PartList[[#This Row],[ID]]),0),"O",IF(IFERROR(SEARCH("&lt;",PartList[[#This Row],[ID]]),0),"I",""))</f>
        <v>O</v>
      </c>
      <c r="K262" t="str" cm="1">
        <f t="array" ref="K2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62" t="str" cm="1">
        <f t="array" ref="L2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62" t="str">
        <f>_xlfn.TEXTJOIN("#",TRUE,PartList[[#This Row],[ASSLY MARK]],PartList[[#This Row],[BOX NO]],PartList[[#This Row],[In/Out]],PartList[[#This Row],[O1-Grid]])</f>
        <v>5BE39#Box1_Box2#O</v>
      </c>
      <c r="N262" t="str">
        <f>_xlfn.TEXTJOIN("#",TRUE,PartList[[#This Row],[ASSLY MARK]],PartList[[#This Row],[BOX NO]],PartList[[#This Row],[In/Out]],PartList[[#This Row],[O2-Grid]])</f>
        <v>5BE39#Box1_Box2#O</v>
      </c>
      <c r="O262">
        <f>IF(PartList[[#This Row],[Unique]]="Yes",_xlfn.XLOOKUP(PartList[[#This Row],[ASSLY MARK]],FilteredPL!A:A,FilteredPL!B:B,0,0),0)</f>
        <v>0</v>
      </c>
      <c r="P262">
        <f>_xlfn.XLOOKUP(PartList[[#This Row],[ASSLY MARK]],MasterPL[SplitMarkNo],MasterPL[BILL WT.(KG)],0,0)</f>
        <v>0</v>
      </c>
      <c r="Q262" cm="1">
        <f t="array" ref="Q26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62" s="2" t="str">
        <v>6BE37</v>
      </c>
      <c r="AB262" s="2">
        <f>SUMIF(PartList[ASSLY MARK],AA262,PartList[Avail. Qty])</f>
        <v>0</v>
      </c>
    </row>
    <row r="263" spans="1:28" x14ac:dyDescent="0.25">
      <c r="A263">
        <v>666</v>
      </c>
      <c r="B263" t="s">
        <v>875</v>
      </c>
      <c r="C263" t="s">
        <v>511</v>
      </c>
      <c r="D263" t="s">
        <v>734</v>
      </c>
      <c r="E263" t="s">
        <v>5</v>
      </c>
      <c r="F263" t="str" cm="1">
        <f t="array" ref="F263">IF(SUM(IF(PartList[ASSLY MARK]=PartList[[#This Row],[ASSLY MARK]],1,0))&gt;1,"No","Yes")</f>
        <v>Yes</v>
      </c>
      <c r="G263" t="str" cm="1">
        <f t="array" ref="G263">_xlfn.TEXTJOIN("_",TRUE,TRIM(_xlfn.TEXTSPLIT(PartList[[#This Row],[GRID LOCATION]],{"PR01","/","-"})))</f>
        <v>11_12_A'_A</v>
      </c>
      <c r="H263" t="str" cm="1">
        <f t="array" ref="H26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263" cm="1">
        <f t="array" ref="I26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63" t="str">
        <f>IF(IFERROR(SEARCH("&gt;",PartList[[#This Row],[ID]]),0),"O",IF(IFERROR(SEARCH("&lt;",PartList[[#This Row],[ID]]),0),"I",""))</f>
        <v/>
      </c>
      <c r="K263" t="str" cm="1">
        <f t="array" ref="K2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63" t="str" cm="1">
        <f t="array" ref="L2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63" t="str">
        <f>_xlfn.TEXTJOIN("#",TRUE,PartList[[#This Row],[ASSLY MARK]],PartList[[#This Row],[BOX NO]],PartList[[#This Row],[In/Out]],PartList[[#This Row],[O1-Grid]])</f>
        <v>5BE40#Box1_Box2_Box4_Box5#InBB</v>
      </c>
      <c r="N263" t="str">
        <f>_xlfn.TEXTJOIN("#",TRUE,PartList[[#This Row],[ASSLY MARK]],PartList[[#This Row],[BOX NO]],PartList[[#This Row],[In/Out]],PartList[[#This Row],[O2-Grid]])</f>
        <v>5BE40#Box1_Box2_Box4_Box5#InBB</v>
      </c>
      <c r="O263">
        <f>IF(PartList[[#This Row],[Unique]]="Yes",_xlfn.XLOOKUP(PartList[[#This Row],[ASSLY MARK]],FilteredPL!A:A,FilteredPL!B:B,0,0),0)</f>
        <v>0</v>
      </c>
      <c r="P263">
        <f>_xlfn.XLOOKUP(PartList[[#This Row],[ASSLY MARK]],MasterPL[SplitMarkNo],MasterPL[BILL WT.(KG)],0,0)</f>
        <v>0</v>
      </c>
      <c r="Q263" cm="1">
        <f t="array" ref="Q26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63" s="2" t="str">
        <v>6BE38</v>
      </c>
      <c r="AB263" s="2">
        <f>SUMIF(PartList[ASSLY MARK],AA263,PartList[Avail. Qty])</f>
        <v>0</v>
      </c>
    </row>
    <row r="264" spans="1:28" x14ac:dyDescent="0.25">
      <c r="A264">
        <v>667</v>
      </c>
      <c r="B264" t="s">
        <v>876</v>
      </c>
      <c r="C264" t="s">
        <v>511</v>
      </c>
      <c r="D264" t="s">
        <v>734</v>
      </c>
      <c r="E264" t="s">
        <v>5</v>
      </c>
      <c r="F264" t="str" cm="1">
        <f t="array" ref="F264">IF(SUM(IF(PartList[ASSLY MARK]=PartList[[#This Row],[ASSLY MARK]],1,0))&gt;1,"No","Yes")</f>
        <v>Yes</v>
      </c>
      <c r="G264" t="str" cm="1">
        <f t="array" ref="G264">_xlfn.TEXTJOIN("_",TRUE,TRIM(_xlfn.TEXTSPLIT(PartList[[#This Row],[GRID LOCATION]],{"PR01","/","-"})))</f>
        <v>11_12_A'_A</v>
      </c>
      <c r="H264" t="str" cm="1">
        <f t="array" ref="H26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264" cm="1">
        <f t="array" ref="I26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64" t="str">
        <f>IF(IFERROR(SEARCH("&gt;",PartList[[#This Row],[ID]]),0),"O",IF(IFERROR(SEARCH("&lt;",PartList[[#This Row],[ID]]),0),"I",""))</f>
        <v/>
      </c>
      <c r="K264" t="str" cm="1">
        <f t="array" ref="K2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64" t="str" cm="1">
        <f t="array" ref="L2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64" t="str">
        <f>_xlfn.TEXTJOIN("#",TRUE,PartList[[#This Row],[ASSLY MARK]],PartList[[#This Row],[BOX NO]],PartList[[#This Row],[In/Out]],PartList[[#This Row],[O1-Grid]])</f>
        <v>5BE41#Box1_Box2_Box4_Box5#InBB</v>
      </c>
      <c r="N264" t="str">
        <f>_xlfn.TEXTJOIN("#",TRUE,PartList[[#This Row],[ASSLY MARK]],PartList[[#This Row],[BOX NO]],PartList[[#This Row],[In/Out]],PartList[[#This Row],[O2-Grid]])</f>
        <v>5BE41#Box1_Box2_Box4_Box5#InBB</v>
      </c>
      <c r="O264">
        <f>IF(PartList[[#This Row],[Unique]]="Yes",_xlfn.XLOOKUP(PartList[[#This Row],[ASSLY MARK]],FilteredPL!A:A,FilteredPL!B:B,0,0),0)</f>
        <v>0</v>
      </c>
      <c r="P264">
        <f>_xlfn.XLOOKUP(PartList[[#This Row],[ASSLY MARK]],MasterPL[SplitMarkNo],MasterPL[BILL WT.(KG)],0,0)</f>
        <v>0</v>
      </c>
      <c r="Q264" cm="1">
        <f t="array" ref="Q26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64" s="2" t="str">
        <v>6BE39</v>
      </c>
      <c r="AB264" s="2">
        <f>SUMIF(PartList[ASSLY MARK],AA264,PartList[Avail. Qty])</f>
        <v>0</v>
      </c>
    </row>
    <row r="265" spans="1:28" x14ac:dyDescent="0.25">
      <c r="A265">
        <v>668</v>
      </c>
      <c r="B265" t="s">
        <v>877</v>
      </c>
      <c r="C265" t="s">
        <v>511</v>
      </c>
      <c r="D265" t="s">
        <v>734</v>
      </c>
      <c r="E265" t="s">
        <v>5</v>
      </c>
      <c r="F265" t="str" cm="1">
        <f t="array" ref="F265">IF(SUM(IF(PartList[ASSLY MARK]=PartList[[#This Row],[ASSLY MARK]],1,0))&gt;1,"No","Yes")</f>
        <v>Yes</v>
      </c>
      <c r="G265" t="str" cm="1">
        <f t="array" ref="G265">_xlfn.TEXTJOIN("_",TRUE,TRIM(_xlfn.TEXTSPLIT(PartList[[#This Row],[GRID LOCATION]],{"PR01","/","-"})))</f>
        <v>11_12_A'_A</v>
      </c>
      <c r="H265" t="str" cm="1">
        <f t="array" ref="H26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265" cm="1">
        <f t="array" ref="I26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65" t="str">
        <f>IF(IFERROR(SEARCH("&gt;",PartList[[#This Row],[ID]]),0),"O",IF(IFERROR(SEARCH("&lt;",PartList[[#This Row],[ID]]),0),"I",""))</f>
        <v/>
      </c>
      <c r="K265" t="str" cm="1">
        <f t="array" ref="K2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65" t="str" cm="1">
        <f t="array" ref="L2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65" t="str">
        <f>_xlfn.TEXTJOIN("#",TRUE,PartList[[#This Row],[ASSLY MARK]],PartList[[#This Row],[BOX NO]],PartList[[#This Row],[In/Out]],PartList[[#This Row],[O1-Grid]])</f>
        <v>5BE42#Box1_Box2_Box4_Box5#InBB</v>
      </c>
      <c r="N265" t="str">
        <f>_xlfn.TEXTJOIN("#",TRUE,PartList[[#This Row],[ASSLY MARK]],PartList[[#This Row],[BOX NO]],PartList[[#This Row],[In/Out]],PartList[[#This Row],[O2-Grid]])</f>
        <v>5BE42#Box1_Box2_Box4_Box5#InBB</v>
      </c>
      <c r="O265">
        <f>IF(PartList[[#This Row],[Unique]]="Yes",_xlfn.XLOOKUP(PartList[[#This Row],[ASSLY MARK]],FilteredPL!A:A,FilteredPL!B:B,0,0),0)</f>
        <v>0</v>
      </c>
      <c r="P265">
        <f>_xlfn.XLOOKUP(PartList[[#This Row],[ASSLY MARK]],MasterPL[SplitMarkNo],MasterPL[BILL WT.(KG)],0,0)</f>
        <v>0</v>
      </c>
      <c r="Q265" cm="1">
        <f t="array" ref="Q26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65" s="2" t="str">
        <v>6BE40</v>
      </c>
      <c r="AB265" s="2">
        <f>SUMIF(PartList[ASSLY MARK],AA265,PartList[Avail. Qty])</f>
        <v>0</v>
      </c>
    </row>
    <row r="266" spans="1:28" x14ac:dyDescent="0.25">
      <c r="A266">
        <v>669</v>
      </c>
      <c r="B266" t="s">
        <v>878</v>
      </c>
      <c r="C266" t="s">
        <v>511</v>
      </c>
      <c r="D266" t="s">
        <v>734</v>
      </c>
      <c r="E266" t="s">
        <v>5</v>
      </c>
      <c r="F266" t="str" cm="1">
        <f t="array" ref="F266">IF(SUM(IF(PartList[ASSLY MARK]=PartList[[#This Row],[ASSLY MARK]],1,0))&gt;1,"No","Yes")</f>
        <v>Yes</v>
      </c>
      <c r="G266" t="str" cm="1">
        <f t="array" ref="G266">_xlfn.TEXTJOIN("_",TRUE,TRIM(_xlfn.TEXTSPLIT(PartList[[#This Row],[GRID LOCATION]],{"PR01","/","-"})))</f>
        <v>11_12_A'_A</v>
      </c>
      <c r="H266" t="str" cm="1">
        <f t="array" ref="H26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266" cm="1">
        <f t="array" ref="I26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66" t="str">
        <f>IF(IFERROR(SEARCH("&gt;",PartList[[#This Row],[ID]]),0),"O",IF(IFERROR(SEARCH("&lt;",PartList[[#This Row],[ID]]),0),"I",""))</f>
        <v/>
      </c>
      <c r="K266" t="str" cm="1">
        <f t="array" ref="K2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66" t="str" cm="1">
        <f t="array" ref="L2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66" t="str">
        <f>_xlfn.TEXTJOIN("#",TRUE,PartList[[#This Row],[ASSLY MARK]],PartList[[#This Row],[BOX NO]],PartList[[#This Row],[In/Out]],PartList[[#This Row],[O1-Grid]])</f>
        <v>5BE43#Box1_Box2_Box4_Box5#InBB</v>
      </c>
      <c r="N266" t="str">
        <f>_xlfn.TEXTJOIN("#",TRUE,PartList[[#This Row],[ASSLY MARK]],PartList[[#This Row],[BOX NO]],PartList[[#This Row],[In/Out]],PartList[[#This Row],[O2-Grid]])</f>
        <v>5BE43#Box1_Box2_Box4_Box5#InBB</v>
      </c>
      <c r="O266">
        <f>IF(PartList[[#This Row],[Unique]]="Yes",_xlfn.XLOOKUP(PartList[[#This Row],[ASSLY MARK]],FilteredPL!A:A,FilteredPL!B:B,0,0),0)</f>
        <v>0</v>
      </c>
      <c r="P266">
        <f>_xlfn.XLOOKUP(PartList[[#This Row],[ASSLY MARK]],MasterPL[SplitMarkNo],MasterPL[BILL WT.(KG)],0,0)</f>
        <v>0</v>
      </c>
      <c r="Q266" cm="1">
        <f t="array" ref="Q26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66" s="2" t="str">
        <v>6BE52</v>
      </c>
      <c r="AB266" s="2">
        <f>SUMIF(PartList[ASSLY MARK],AA266,PartList[Avail. Qty])</f>
        <v>0</v>
      </c>
    </row>
    <row r="267" spans="1:28" x14ac:dyDescent="0.25">
      <c r="A267">
        <v>670</v>
      </c>
      <c r="B267" t="s">
        <v>879</v>
      </c>
      <c r="C267" t="s">
        <v>511</v>
      </c>
      <c r="D267" t="s">
        <v>734</v>
      </c>
      <c r="E267" t="s">
        <v>5</v>
      </c>
      <c r="F267" t="str" cm="1">
        <f t="array" ref="F267">IF(SUM(IF(PartList[ASSLY MARK]=PartList[[#This Row],[ASSLY MARK]],1,0))&gt;1,"No","Yes")</f>
        <v>Yes</v>
      </c>
      <c r="G267" t="str" cm="1">
        <f t="array" ref="G267">_xlfn.TEXTJOIN("_",TRUE,TRIM(_xlfn.TEXTSPLIT(PartList[[#This Row],[GRID LOCATION]],{"PR01","/","-"})))</f>
        <v>11_12_A'_A</v>
      </c>
      <c r="H267" t="str" cm="1">
        <f t="array" ref="H26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267" cm="1">
        <f t="array" ref="I26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67" t="str">
        <f>IF(IFERROR(SEARCH("&gt;",PartList[[#This Row],[ID]]),0),"O",IF(IFERROR(SEARCH("&lt;",PartList[[#This Row],[ID]]),0),"I",""))</f>
        <v/>
      </c>
      <c r="K267" t="str" cm="1">
        <f t="array" ref="K2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67" t="str" cm="1">
        <f t="array" ref="L2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67" t="str">
        <f>_xlfn.TEXTJOIN("#",TRUE,PartList[[#This Row],[ASSLY MARK]],PartList[[#This Row],[BOX NO]],PartList[[#This Row],[In/Out]],PartList[[#This Row],[O1-Grid]])</f>
        <v>5BE44#Box1_Box2_Box4_Box5#InBB</v>
      </c>
      <c r="N267" t="str">
        <f>_xlfn.TEXTJOIN("#",TRUE,PartList[[#This Row],[ASSLY MARK]],PartList[[#This Row],[BOX NO]],PartList[[#This Row],[In/Out]],PartList[[#This Row],[O2-Grid]])</f>
        <v>5BE44#Box1_Box2_Box4_Box5#InBB</v>
      </c>
      <c r="O267">
        <f>IF(PartList[[#This Row],[Unique]]="Yes",_xlfn.XLOOKUP(PartList[[#This Row],[ASSLY MARK]],FilteredPL!A:A,FilteredPL!B:B,0,0),0)</f>
        <v>0</v>
      </c>
      <c r="P267">
        <f>_xlfn.XLOOKUP(PartList[[#This Row],[ASSLY MARK]],MasterPL[SplitMarkNo],MasterPL[BILL WT.(KG)],0,0)</f>
        <v>0</v>
      </c>
      <c r="Q267" cm="1">
        <f t="array" ref="Q26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67" s="2" t="str">
        <v>6BE53</v>
      </c>
      <c r="AB267" s="2">
        <f>SUMIF(PartList[ASSLY MARK],AA267,PartList[Avail. Qty])</f>
        <v>0</v>
      </c>
    </row>
    <row r="268" spans="1:28" x14ac:dyDescent="0.25">
      <c r="A268">
        <v>678</v>
      </c>
      <c r="B268" t="s">
        <v>887</v>
      </c>
      <c r="C268" t="s">
        <v>512</v>
      </c>
      <c r="D268" t="s">
        <v>734</v>
      </c>
      <c r="E268" t="s">
        <v>5</v>
      </c>
      <c r="F268" t="str" cm="1">
        <f t="array" ref="F268">IF(SUM(IF(PartList[ASSLY MARK]=PartList[[#This Row],[ASSLY MARK]],1,0))&gt;1,"No","Yes")</f>
        <v>Yes</v>
      </c>
      <c r="G268" t="str" cm="1">
        <f t="array" ref="G268">_xlfn.TEXTJOIN("_",TRUE,TRIM(_xlfn.TEXTSPLIT(PartList[[#This Row],[GRID LOCATION]],{"PR01","/","-"})))</f>
        <v>10_11_A'_A</v>
      </c>
      <c r="H268" t="str" cm="1">
        <f t="array" ref="H26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68" cm="1">
        <f t="array" ref="I26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68" t="str">
        <f>IF(IFERROR(SEARCH("&gt;",PartList[[#This Row],[ID]]),0),"O",IF(IFERROR(SEARCH("&lt;",PartList[[#This Row],[ID]]),0),"I",""))</f>
        <v/>
      </c>
      <c r="K268" t="str" cm="1">
        <f t="array" ref="K2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68" t="str" cm="1">
        <f t="array" ref="L2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68" t="str">
        <f>_xlfn.TEXTJOIN("#",TRUE,PartList[[#This Row],[ASSLY MARK]],PartList[[#This Row],[BOX NO]],PartList[[#This Row],[In/Out]],PartList[[#This Row],[O1-Grid]])</f>
        <v>5BE52#Box1_Box4#InBB</v>
      </c>
      <c r="N268" t="str">
        <f>_xlfn.TEXTJOIN("#",TRUE,PartList[[#This Row],[ASSLY MARK]],PartList[[#This Row],[BOX NO]],PartList[[#This Row],[In/Out]],PartList[[#This Row],[O2-Grid]])</f>
        <v>5BE52#Box1_Box4#InBB</v>
      </c>
      <c r="O268">
        <f>IF(PartList[[#This Row],[Unique]]="Yes",_xlfn.XLOOKUP(PartList[[#This Row],[ASSLY MARK]],FilteredPL!A:A,FilteredPL!B:B,0,0),0)</f>
        <v>0</v>
      </c>
      <c r="P268">
        <f>_xlfn.XLOOKUP(PartList[[#This Row],[ASSLY MARK]],MasterPL[SplitMarkNo],MasterPL[BILL WT.(KG)],0,0)</f>
        <v>0</v>
      </c>
      <c r="Q268" cm="1">
        <f t="array" ref="Q26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68" s="2" t="str">
        <v>6BE55</v>
      </c>
      <c r="AB268" s="2">
        <f>SUMIF(PartList[ASSLY MARK],AA268,PartList[Avail. Qty])</f>
        <v>0</v>
      </c>
    </row>
    <row r="269" spans="1:28" x14ac:dyDescent="0.25">
      <c r="A269">
        <v>679</v>
      </c>
      <c r="B269" t="s">
        <v>888</v>
      </c>
      <c r="C269" t="s">
        <v>531</v>
      </c>
      <c r="D269" t="s">
        <v>734</v>
      </c>
      <c r="E269" t="s">
        <v>5</v>
      </c>
      <c r="F269" t="str" cm="1">
        <f t="array" ref="F269">IF(SUM(IF(PartList[ASSLY MARK]=PartList[[#This Row],[ASSLY MARK]],1,0))&gt;1,"No","Yes")</f>
        <v>Yes</v>
      </c>
      <c r="G269" t="str" cm="1">
        <f t="array" ref="G269">_xlfn.TEXTJOIN("_",TRUE,TRIM(_xlfn.TEXTSPLIT(PartList[[#This Row],[GRID LOCATION]],{"PR01","/","-"})))</f>
        <v>11_12_B&gt;</v>
      </c>
      <c r="H269" t="str" cm="1">
        <f t="array" ref="H26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69" cm="1">
        <f t="array" ref="I26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69" t="str">
        <f>IF(IFERROR(SEARCH("&gt;",PartList[[#This Row],[ID]]),0),"O",IF(IFERROR(SEARCH("&lt;",PartList[[#This Row],[ID]]),0),"I",""))</f>
        <v>O</v>
      </c>
      <c r="K269" t="str" cm="1">
        <f t="array" ref="K2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69" t="str" cm="1">
        <f t="array" ref="L2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69" t="str">
        <f>_xlfn.TEXTJOIN("#",TRUE,PartList[[#This Row],[ASSLY MARK]],PartList[[#This Row],[BOX NO]],PartList[[#This Row],[In/Out]],PartList[[#This Row],[O1-Grid]])</f>
        <v>5BE53#Box1_Box2#O</v>
      </c>
      <c r="N269" t="str">
        <f>_xlfn.TEXTJOIN("#",TRUE,PartList[[#This Row],[ASSLY MARK]],PartList[[#This Row],[BOX NO]],PartList[[#This Row],[In/Out]],PartList[[#This Row],[O2-Grid]])</f>
        <v>5BE53#Box1_Box2#O</v>
      </c>
      <c r="O269">
        <f>IF(PartList[[#This Row],[Unique]]="Yes",_xlfn.XLOOKUP(PartList[[#This Row],[ASSLY MARK]],FilteredPL!A:A,FilteredPL!B:B,0,0),0)</f>
        <v>0</v>
      </c>
      <c r="P269">
        <f>_xlfn.XLOOKUP(PartList[[#This Row],[ASSLY MARK]],MasterPL[SplitMarkNo],MasterPL[BILL WT.(KG)],0,0)</f>
        <v>0</v>
      </c>
      <c r="Q269" cm="1">
        <f t="array" ref="Q26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69" s="2" t="str">
        <v>6BE84</v>
      </c>
      <c r="AB269" s="2">
        <f>SUMIF(PartList[ASSLY MARK],AA269,PartList[Avail. Qty])</f>
        <v>1</v>
      </c>
    </row>
    <row r="270" spans="1:28" x14ac:dyDescent="0.25">
      <c r="A270">
        <v>682</v>
      </c>
      <c r="B270" t="s">
        <v>368</v>
      </c>
      <c r="C270" t="s">
        <v>513</v>
      </c>
      <c r="D270" t="s">
        <v>892</v>
      </c>
      <c r="E270" t="s">
        <v>6</v>
      </c>
      <c r="F270" t="str" cm="1">
        <f t="array" ref="F270">IF(SUM(IF(PartList[ASSLY MARK]=PartList[[#This Row],[ASSLY MARK]],1,0))&gt;1,"No","Yes")</f>
        <v>Yes</v>
      </c>
      <c r="G270" t="str" cm="1">
        <f t="array" ref="G270">_xlfn.TEXTJOIN("_",TRUE,TRIM(_xlfn.TEXTSPLIT(PartList[[#This Row],[GRID LOCATION]],{"PR01","/","-"})))</f>
        <v>10_11_B&gt;</v>
      </c>
      <c r="H270" t="str" cm="1">
        <f t="array" ref="H27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70" cm="1">
        <f t="array" ref="I27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70" t="str">
        <f>IF(IFERROR(SEARCH("&gt;",PartList[[#This Row],[ID]]),0),"O",IF(IFERROR(SEARCH("&lt;",PartList[[#This Row],[ID]]),0),"I",""))</f>
        <v>O</v>
      </c>
      <c r="K270" t="str" cm="1">
        <f t="array" ref="K2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70" t="str" cm="1">
        <f t="array" ref="L2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70" t="str">
        <f>_xlfn.TEXTJOIN("#",TRUE,PartList[[#This Row],[ASSLY MARK]],PartList[[#This Row],[BOX NO]],PartList[[#This Row],[In/Out]],PartList[[#This Row],[O1-Grid]])</f>
        <v>5HB01#Box1#O</v>
      </c>
      <c r="N270" t="str">
        <f>_xlfn.TEXTJOIN("#",TRUE,PartList[[#This Row],[ASSLY MARK]],PartList[[#This Row],[BOX NO]],PartList[[#This Row],[In/Out]],PartList[[#This Row],[O2-Grid]])</f>
        <v>5HB01#Box1#O</v>
      </c>
      <c r="O270">
        <f>IF(PartList[[#This Row],[Unique]]="Yes",_xlfn.XLOOKUP(PartList[[#This Row],[ASSLY MARK]],FilteredPL!A:A,FilteredPL!B:B,0,0),0)</f>
        <v>0</v>
      </c>
      <c r="P270">
        <f>_xlfn.XLOOKUP(PartList[[#This Row],[ASSLY MARK]],MasterPL[SplitMarkNo],MasterPL[BILL WT.(KG)],0,0)</f>
        <v>0</v>
      </c>
      <c r="Q270" cm="1">
        <f t="array" ref="Q27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70" s="2" t="str">
        <v>6BE85</v>
      </c>
      <c r="AB270" s="2">
        <f>SUMIF(PartList[ASSLY MARK],AA270,PartList[Avail. Qty])</f>
        <v>0</v>
      </c>
    </row>
    <row r="271" spans="1:28" x14ac:dyDescent="0.25">
      <c r="A271">
        <v>683</v>
      </c>
      <c r="B271" t="s">
        <v>369</v>
      </c>
      <c r="C271" t="s">
        <v>512</v>
      </c>
      <c r="D271" t="s">
        <v>892</v>
      </c>
      <c r="E271" t="s">
        <v>6</v>
      </c>
      <c r="F271" t="str" cm="1">
        <f t="array" ref="F271">IF(SUM(IF(PartList[ASSLY MARK]=PartList[[#This Row],[ASSLY MARK]],1,0))&gt;1,"No","Yes")</f>
        <v>Yes</v>
      </c>
      <c r="G271" t="str" cm="1">
        <f t="array" ref="G271">_xlfn.TEXTJOIN("_",TRUE,TRIM(_xlfn.TEXTSPLIT(PartList[[#This Row],[GRID LOCATION]],{"PR01","/","-"})))</f>
        <v>10_11_A'_A</v>
      </c>
      <c r="H271" t="str" cm="1">
        <f t="array" ref="H27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71" cm="1">
        <f t="array" ref="I27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71" t="str">
        <f>IF(IFERROR(SEARCH("&gt;",PartList[[#This Row],[ID]]),0),"O",IF(IFERROR(SEARCH("&lt;",PartList[[#This Row],[ID]]),0),"I",""))</f>
        <v/>
      </c>
      <c r="K271" t="str" cm="1">
        <f t="array" ref="K2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71" t="str" cm="1">
        <f t="array" ref="L2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71" t="str">
        <f>_xlfn.TEXTJOIN("#",TRUE,PartList[[#This Row],[ASSLY MARK]],PartList[[#This Row],[BOX NO]],PartList[[#This Row],[In/Out]],PartList[[#This Row],[O1-Grid]])</f>
        <v>5HB02#Box1_Box4#InBB</v>
      </c>
      <c r="N271" t="str">
        <f>_xlfn.TEXTJOIN("#",TRUE,PartList[[#This Row],[ASSLY MARK]],PartList[[#This Row],[BOX NO]],PartList[[#This Row],[In/Out]],PartList[[#This Row],[O2-Grid]])</f>
        <v>5HB02#Box1_Box4#InBB</v>
      </c>
      <c r="O271">
        <f>IF(PartList[[#This Row],[Unique]]="Yes",_xlfn.XLOOKUP(PartList[[#This Row],[ASSLY MARK]],FilteredPL!A:A,FilteredPL!B:B,0,0),0)</f>
        <v>0</v>
      </c>
      <c r="P271">
        <f>_xlfn.XLOOKUP(PartList[[#This Row],[ASSLY MARK]],MasterPL[SplitMarkNo],MasterPL[BILL WT.(KG)],0,0)</f>
        <v>0</v>
      </c>
      <c r="Q271" cm="1">
        <f t="array" ref="Q27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71" s="2" t="str">
        <v>6BE86</v>
      </c>
      <c r="AB271" s="2">
        <f>SUMIF(PartList[ASSLY MARK],AA271,PartList[Avail. Qty])</f>
        <v>0</v>
      </c>
    </row>
    <row r="272" spans="1:28" x14ac:dyDescent="0.25">
      <c r="A272">
        <v>684</v>
      </c>
      <c r="B272" t="s">
        <v>370</v>
      </c>
      <c r="C272" t="s">
        <v>513</v>
      </c>
      <c r="D272" t="s">
        <v>892</v>
      </c>
      <c r="E272" t="s">
        <v>6</v>
      </c>
      <c r="F272" t="str" cm="1">
        <f t="array" ref="F272">IF(SUM(IF(PartList[ASSLY MARK]=PartList[[#This Row],[ASSLY MARK]],1,0))&gt;1,"No","Yes")</f>
        <v>Yes</v>
      </c>
      <c r="G272" t="str" cm="1">
        <f t="array" ref="G272">_xlfn.TEXTJOIN("_",TRUE,TRIM(_xlfn.TEXTSPLIT(PartList[[#This Row],[GRID LOCATION]],{"PR01","/","-"})))</f>
        <v>10_11_B&gt;</v>
      </c>
      <c r="H272" t="str" cm="1">
        <f t="array" ref="H27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72" cm="1">
        <f t="array" ref="I27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72" t="str">
        <f>IF(IFERROR(SEARCH("&gt;",PartList[[#This Row],[ID]]),0),"O",IF(IFERROR(SEARCH("&lt;",PartList[[#This Row],[ID]]),0),"I",""))</f>
        <v>O</v>
      </c>
      <c r="K272" t="str" cm="1">
        <f t="array" ref="K2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72" t="str" cm="1">
        <f t="array" ref="L2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72" t="str">
        <f>_xlfn.TEXTJOIN("#",TRUE,PartList[[#This Row],[ASSLY MARK]],PartList[[#This Row],[BOX NO]],PartList[[#This Row],[In/Out]],PartList[[#This Row],[O1-Grid]])</f>
        <v>5HB03#Box1#O</v>
      </c>
      <c r="N272" t="str">
        <f>_xlfn.TEXTJOIN("#",TRUE,PartList[[#This Row],[ASSLY MARK]],PartList[[#This Row],[BOX NO]],PartList[[#This Row],[In/Out]],PartList[[#This Row],[O2-Grid]])</f>
        <v>5HB03#Box1#O</v>
      </c>
      <c r="O272">
        <f>IF(PartList[[#This Row],[Unique]]="Yes",_xlfn.XLOOKUP(PartList[[#This Row],[ASSLY MARK]],FilteredPL!A:A,FilteredPL!B:B,0,0),0)</f>
        <v>0</v>
      </c>
      <c r="P272">
        <f>_xlfn.XLOOKUP(PartList[[#This Row],[ASSLY MARK]],MasterPL[SplitMarkNo],MasterPL[BILL WT.(KG)],0,0)</f>
        <v>0</v>
      </c>
      <c r="Q272" cm="1">
        <f t="array" ref="Q27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72" s="2" t="str">
        <v>6BE108</v>
      </c>
      <c r="AB272" s="2">
        <f>SUMIF(PartList[ASSLY MARK],AA272,PartList[Avail. Qty])</f>
        <v>0</v>
      </c>
    </row>
    <row r="273" spans="1:28" x14ac:dyDescent="0.25">
      <c r="A273">
        <v>685</v>
      </c>
      <c r="B273" t="s">
        <v>371</v>
      </c>
      <c r="C273" t="s">
        <v>512</v>
      </c>
      <c r="D273" t="s">
        <v>892</v>
      </c>
      <c r="E273" t="s">
        <v>6</v>
      </c>
      <c r="F273" t="str" cm="1">
        <f t="array" ref="F273">IF(SUM(IF(PartList[ASSLY MARK]=PartList[[#This Row],[ASSLY MARK]],1,0))&gt;1,"No","Yes")</f>
        <v>Yes</v>
      </c>
      <c r="G273" t="str" cm="1">
        <f t="array" ref="G273">_xlfn.TEXTJOIN("_",TRUE,TRIM(_xlfn.TEXTSPLIT(PartList[[#This Row],[GRID LOCATION]],{"PR01","/","-"})))</f>
        <v>10_11_A'_A</v>
      </c>
      <c r="H273" t="str" cm="1">
        <f t="array" ref="H27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73" cm="1">
        <f t="array" ref="I27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73" t="str">
        <f>IF(IFERROR(SEARCH("&gt;",PartList[[#This Row],[ID]]),0),"O",IF(IFERROR(SEARCH("&lt;",PartList[[#This Row],[ID]]),0),"I",""))</f>
        <v/>
      </c>
      <c r="K273" t="str" cm="1">
        <f t="array" ref="K2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73" t="str" cm="1">
        <f t="array" ref="L2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73" t="str">
        <f>_xlfn.TEXTJOIN("#",TRUE,PartList[[#This Row],[ASSLY MARK]],PartList[[#This Row],[BOX NO]],PartList[[#This Row],[In/Out]],PartList[[#This Row],[O1-Grid]])</f>
        <v>5HB04#Box1_Box4#InBB</v>
      </c>
      <c r="N273" t="str">
        <f>_xlfn.TEXTJOIN("#",TRUE,PartList[[#This Row],[ASSLY MARK]],PartList[[#This Row],[BOX NO]],PartList[[#This Row],[In/Out]],PartList[[#This Row],[O2-Grid]])</f>
        <v>5HB04#Box1_Box4#InBB</v>
      </c>
      <c r="O273">
        <f>IF(PartList[[#This Row],[Unique]]="Yes",_xlfn.XLOOKUP(PartList[[#This Row],[ASSLY MARK]],FilteredPL!A:A,FilteredPL!B:B,0,0),0)</f>
        <v>0</v>
      </c>
      <c r="P273">
        <f>_xlfn.XLOOKUP(PartList[[#This Row],[ASSLY MARK]],MasterPL[SplitMarkNo],MasterPL[BILL WT.(KG)],0,0)</f>
        <v>0</v>
      </c>
      <c r="Q273" cm="1">
        <f t="array" ref="Q27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73" s="2" t="str">
        <v>6HA01</v>
      </c>
      <c r="AB273" s="2">
        <f>SUMIF(PartList[ASSLY MARK],AA273,PartList[Avail. Qty])</f>
        <v>0</v>
      </c>
    </row>
    <row r="274" spans="1:28" x14ac:dyDescent="0.25">
      <c r="A274">
        <v>686</v>
      </c>
      <c r="B274" t="s">
        <v>372</v>
      </c>
      <c r="C274" t="s">
        <v>511</v>
      </c>
      <c r="D274" t="s">
        <v>892</v>
      </c>
      <c r="E274" t="s">
        <v>6</v>
      </c>
      <c r="F274" t="str" cm="1">
        <f t="array" ref="F274">IF(SUM(IF(PartList[ASSLY MARK]=PartList[[#This Row],[ASSLY MARK]],1,0))&gt;1,"No","Yes")</f>
        <v>Yes</v>
      </c>
      <c r="G274" t="str" cm="1">
        <f t="array" ref="G274">_xlfn.TEXTJOIN("_",TRUE,TRIM(_xlfn.TEXTSPLIT(PartList[[#This Row],[GRID LOCATION]],{"PR01","/","-"})))</f>
        <v>11_12_A'_A</v>
      </c>
      <c r="H274" t="str" cm="1">
        <f t="array" ref="H27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274" cm="1">
        <f t="array" ref="I27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74" t="str">
        <f>IF(IFERROR(SEARCH("&gt;",PartList[[#This Row],[ID]]),0),"O",IF(IFERROR(SEARCH("&lt;",PartList[[#This Row],[ID]]),0),"I",""))</f>
        <v/>
      </c>
      <c r="K274" t="str" cm="1">
        <f t="array" ref="K2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74" t="str" cm="1">
        <f t="array" ref="L2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74" t="str">
        <f>_xlfn.TEXTJOIN("#",TRUE,PartList[[#This Row],[ASSLY MARK]],PartList[[#This Row],[BOX NO]],PartList[[#This Row],[In/Out]],PartList[[#This Row],[O1-Grid]])</f>
        <v>5HB05#Box1_Box2_Box4_Box5#InBB</v>
      </c>
      <c r="N274" t="str">
        <f>_xlfn.TEXTJOIN("#",TRUE,PartList[[#This Row],[ASSLY MARK]],PartList[[#This Row],[BOX NO]],PartList[[#This Row],[In/Out]],PartList[[#This Row],[O2-Grid]])</f>
        <v>5HB05#Box1_Box2_Box4_Box5#InBB</v>
      </c>
      <c r="O274">
        <f>IF(PartList[[#This Row],[Unique]]="Yes",_xlfn.XLOOKUP(PartList[[#This Row],[ASSLY MARK]],FilteredPL!A:A,FilteredPL!B:B,0,0),0)</f>
        <v>0</v>
      </c>
      <c r="P274">
        <f>_xlfn.XLOOKUP(PartList[[#This Row],[ASSLY MARK]],MasterPL[SplitMarkNo],MasterPL[BILL WT.(KG)],0,0)</f>
        <v>0</v>
      </c>
      <c r="Q274" cm="1">
        <f t="array" ref="Q27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74" s="2" t="str">
        <v>6HA02</v>
      </c>
      <c r="AB274" s="2">
        <f>SUMIF(PartList[ASSLY MARK],AA274,PartList[Avail. Qty])</f>
        <v>0</v>
      </c>
    </row>
    <row r="275" spans="1:28" x14ac:dyDescent="0.25">
      <c r="A275">
        <v>687</v>
      </c>
      <c r="B275" t="s">
        <v>373</v>
      </c>
      <c r="C275" t="s">
        <v>511</v>
      </c>
      <c r="D275" t="s">
        <v>892</v>
      </c>
      <c r="E275" t="s">
        <v>6</v>
      </c>
      <c r="F275" t="str" cm="1">
        <f t="array" ref="F275">IF(SUM(IF(PartList[ASSLY MARK]=PartList[[#This Row],[ASSLY MARK]],1,0))&gt;1,"No","Yes")</f>
        <v>Yes</v>
      </c>
      <c r="G275" t="str" cm="1">
        <f t="array" ref="G275">_xlfn.TEXTJOIN("_",TRUE,TRIM(_xlfn.TEXTSPLIT(PartList[[#This Row],[GRID LOCATION]],{"PR01","/","-"})))</f>
        <v>11_12_A'_A</v>
      </c>
      <c r="H275" t="str" cm="1">
        <f t="array" ref="H27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275" cm="1">
        <f t="array" ref="I27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75" t="str">
        <f>IF(IFERROR(SEARCH("&gt;",PartList[[#This Row],[ID]]),0),"O",IF(IFERROR(SEARCH("&lt;",PartList[[#This Row],[ID]]),0),"I",""))</f>
        <v/>
      </c>
      <c r="K275" t="str" cm="1">
        <f t="array" ref="K2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75" t="str" cm="1">
        <f t="array" ref="L2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75" t="str">
        <f>_xlfn.TEXTJOIN("#",TRUE,PartList[[#This Row],[ASSLY MARK]],PartList[[#This Row],[BOX NO]],PartList[[#This Row],[In/Out]],PartList[[#This Row],[O1-Grid]])</f>
        <v>5HB06#Box1_Box2_Box4_Box5#InBB</v>
      </c>
      <c r="N275" t="str">
        <f>_xlfn.TEXTJOIN("#",TRUE,PartList[[#This Row],[ASSLY MARK]],PartList[[#This Row],[BOX NO]],PartList[[#This Row],[In/Out]],PartList[[#This Row],[O2-Grid]])</f>
        <v>5HB06#Box1_Box2_Box4_Box5#InBB</v>
      </c>
      <c r="O275">
        <f>IF(PartList[[#This Row],[Unique]]="Yes",_xlfn.XLOOKUP(PartList[[#This Row],[ASSLY MARK]],FilteredPL!A:A,FilteredPL!B:B,0,0),0)</f>
        <v>0</v>
      </c>
      <c r="P275">
        <f>_xlfn.XLOOKUP(PartList[[#This Row],[ASSLY MARK]],MasterPL[SplitMarkNo],MasterPL[BILL WT.(KG)],0,0)</f>
        <v>0</v>
      </c>
      <c r="Q275" cm="1">
        <f t="array" ref="Q27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75" s="2" t="str">
        <v>6HB01</v>
      </c>
      <c r="AB275" s="2">
        <f>SUMIF(PartList[ASSLY MARK],AA275,PartList[Avail. Qty])</f>
        <v>0</v>
      </c>
    </row>
    <row r="276" spans="1:28" x14ac:dyDescent="0.25">
      <c r="A276">
        <v>688</v>
      </c>
      <c r="B276" t="s">
        <v>374</v>
      </c>
      <c r="C276" t="s">
        <v>511</v>
      </c>
      <c r="D276" t="s">
        <v>893</v>
      </c>
      <c r="E276" t="s">
        <v>6</v>
      </c>
      <c r="F276" t="str" cm="1">
        <f t="array" ref="F276">IF(SUM(IF(PartList[ASSLY MARK]=PartList[[#This Row],[ASSLY MARK]],1,0))&gt;1,"No","Yes")</f>
        <v>Yes</v>
      </c>
      <c r="G276" t="str" cm="1">
        <f t="array" ref="G276">_xlfn.TEXTJOIN("_",TRUE,TRIM(_xlfn.TEXTSPLIT(PartList[[#This Row],[GRID LOCATION]],{"PR01","/","-"})))</f>
        <v>11_12_A'_A</v>
      </c>
      <c r="H276" t="str" cm="1">
        <f t="array" ref="H27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276" cm="1">
        <f t="array" ref="I27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76" t="str">
        <f>IF(IFERROR(SEARCH("&gt;",PartList[[#This Row],[ID]]),0),"O",IF(IFERROR(SEARCH("&lt;",PartList[[#This Row],[ID]]),0),"I",""))</f>
        <v/>
      </c>
      <c r="K276" t="str" cm="1">
        <f t="array" ref="K2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76" t="str" cm="1">
        <f t="array" ref="L2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76" t="str">
        <f>_xlfn.TEXTJOIN("#",TRUE,PartList[[#This Row],[ASSLY MARK]],PartList[[#This Row],[BOX NO]],PartList[[#This Row],[In/Out]],PartList[[#This Row],[O1-Grid]])</f>
        <v>5HB07#Box1_Box2_Box4_Box5#InBB</v>
      </c>
      <c r="N276" t="str">
        <f>_xlfn.TEXTJOIN("#",TRUE,PartList[[#This Row],[ASSLY MARK]],PartList[[#This Row],[BOX NO]],PartList[[#This Row],[In/Out]],PartList[[#This Row],[O2-Grid]])</f>
        <v>5HB07#Box1_Box2_Box4_Box5#InBB</v>
      </c>
      <c r="O276">
        <f>IF(PartList[[#This Row],[Unique]]="Yes",_xlfn.XLOOKUP(PartList[[#This Row],[ASSLY MARK]],FilteredPL!A:A,FilteredPL!B:B,0,0),0)</f>
        <v>0</v>
      </c>
      <c r="P276">
        <f>_xlfn.XLOOKUP(PartList[[#This Row],[ASSLY MARK]],MasterPL[SplitMarkNo],MasterPL[BILL WT.(KG)],0,0)</f>
        <v>0</v>
      </c>
      <c r="Q276" cm="1">
        <f t="array" ref="Q27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76" s="2" t="str">
        <v>6HB02</v>
      </c>
      <c r="AB276" s="2">
        <f>SUMIF(PartList[ASSLY MARK],AA276,PartList[Avail. Qty])</f>
        <v>0</v>
      </c>
    </row>
    <row r="277" spans="1:28" x14ac:dyDescent="0.25">
      <c r="A277">
        <v>689</v>
      </c>
      <c r="B277" t="s">
        <v>375</v>
      </c>
      <c r="C277" t="s">
        <v>512</v>
      </c>
      <c r="D277" t="s">
        <v>353</v>
      </c>
      <c r="E277" t="s">
        <v>645</v>
      </c>
      <c r="F277" t="str" cm="1">
        <f t="array" ref="F277">IF(SUM(IF(PartList[ASSLY MARK]=PartList[[#This Row],[ASSLY MARK]],1,0))&gt;1,"No","Yes")</f>
        <v>Yes</v>
      </c>
      <c r="G277" t="str" cm="1">
        <f t="array" ref="G277">_xlfn.TEXTJOIN("_",TRUE,TRIM(_xlfn.TEXTSPLIT(PartList[[#This Row],[GRID LOCATION]],{"PR01","/","-"})))</f>
        <v>10_11_A'_A</v>
      </c>
      <c r="H277" t="str" cm="1">
        <f t="array" ref="H27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77" cm="1">
        <f t="array" ref="I27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77" t="str">
        <f>IF(IFERROR(SEARCH("&gt;",PartList[[#This Row],[ID]]),0),"O",IF(IFERROR(SEARCH("&lt;",PartList[[#This Row],[ID]]),0),"I",""))</f>
        <v/>
      </c>
      <c r="K277" t="str" cm="1">
        <f t="array" ref="K2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77" t="str" cm="1">
        <f t="array" ref="L2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77" t="str">
        <f>_xlfn.TEXTJOIN("#",TRUE,PartList[[#This Row],[ASSLY MARK]],PartList[[#This Row],[BOX NO]],PartList[[#This Row],[In/Out]],PartList[[#This Row],[O1-Grid]])</f>
        <v>5SC01#Box1_Box4#InBB</v>
      </c>
      <c r="N277" t="str">
        <f>_xlfn.TEXTJOIN("#",TRUE,PartList[[#This Row],[ASSLY MARK]],PartList[[#This Row],[BOX NO]],PartList[[#This Row],[In/Out]],PartList[[#This Row],[O2-Grid]])</f>
        <v>5SC01#Box1_Box4#InBB</v>
      </c>
      <c r="O277">
        <f>IF(PartList[[#This Row],[Unique]]="Yes",_xlfn.XLOOKUP(PartList[[#This Row],[ASSLY MARK]],FilteredPL!A:A,FilteredPL!B:B,0,0),0)</f>
        <v>0</v>
      </c>
      <c r="P277">
        <f>_xlfn.XLOOKUP(PartList[[#This Row],[ASSLY MARK]],MasterPL[SplitMarkNo],MasterPL[BILL WT.(KG)],0,0)</f>
        <v>0</v>
      </c>
      <c r="Q277" cm="1">
        <f t="array" ref="Q27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77" s="2" t="str">
        <v>6HB03</v>
      </c>
      <c r="AB277" s="2">
        <f>SUMIF(PartList[ASSLY MARK],AA277,PartList[Avail. Qty])</f>
        <v>0</v>
      </c>
    </row>
    <row r="278" spans="1:28" x14ac:dyDescent="0.25">
      <c r="A278">
        <v>690</v>
      </c>
      <c r="B278" t="s">
        <v>894</v>
      </c>
      <c r="C278" t="s">
        <v>513</v>
      </c>
      <c r="D278" t="s">
        <v>353</v>
      </c>
      <c r="E278" t="s">
        <v>145</v>
      </c>
      <c r="F278" t="str" cm="1">
        <f t="array" ref="F278">IF(SUM(IF(PartList[ASSLY MARK]=PartList[[#This Row],[ASSLY MARK]],1,0))&gt;1,"No","Yes")</f>
        <v>Yes</v>
      </c>
      <c r="G278" t="str" cm="1">
        <f t="array" ref="G278">_xlfn.TEXTJOIN("_",TRUE,TRIM(_xlfn.TEXTSPLIT(PartList[[#This Row],[GRID LOCATION]],{"PR01","/","-"})))</f>
        <v>10_11_B&gt;</v>
      </c>
      <c r="H278" t="str" cm="1">
        <f t="array" ref="H27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78" cm="1">
        <f t="array" ref="I27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78" t="str">
        <f>IF(IFERROR(SEARCH("&gt;",PartList[[#This Row],[ID]]),0),"O",IF(IFERROR(SEARCH("&lt;",PartList[[#This Row],[ID]]),0),"I",""))</f>
        <v>O</v>
      </c>
      <c r="K278" t="str" cm="1">
        <f t="array" ref="K2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78" t="str" cm="1">
        <f t="array" ref="L2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78" t="str">
        <f>_xlfn.TEXTJOIN("#",TRUE,PartList[[#This Row],[ASSLY MARK]],PartList[[#This Row],[BOX NO]],PartList[[#This Row],[In/Out]],PartList[[#This Row],[O1-Grid]])</f>
        <v>5SC02#Box1#O</v>
      </c>
      <c r="N278" t="str">
        <f>_xlfn.TEXTJOIN("#",TRUE,PartList[[#This Row],[ASSLY MARK]],PartList[[#This Row],[BOX NO]],PartList[[#This Row],[In/Out]],PartList[[#This Row],[O2-Grid]])</f>
        <v>5SC02#Box1#O</v>
      </c>
      <c r="O278">
        <f>IF(PartList[[#This Row],[Unique]]="Yes",_xlfn.XLOOKUP(PartList[[#This Row],[ASSLY MARK]],FilteredPL!A:A,FilteredPL!B:B,0,0),0)</f>
        <v>0</v>
      </c>
      <c r="P278">
        <f>_xlfn.XLOOKUP(PartList[[#This Row],[ASSLY MARK]],MasterPL[SplitMarkNo],MasterPL[BILL WT.(KG)],0,0)</f>
        <v>0</v>
      </c>
      <c r="Q278" cm="1">
        <f t="array" ref="Q27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78" s="2" t="str">
        <v>6HB04</v>
      </c>
      <c r="AB278" s="2">
        <f>SUMIF(PartList[ASSLY MARK],AA278,PartList[Avail. Qty])</f>
        <v>0</v>
      </c>
    </row>
    <row r="279" spans="1:28" x14ac:dyDescent="0.25">
      <c r="A279">
        <v>691</v>
      </c>
      <c r="B279" t="s">
        <v>895</v>
      </c>
      <c r="C279" t="s">
        <v>530</v>
      </c>
      <c r="D279" t="s">
        <v>353</v>
      </c>
      <c r="E279" t="s">
        <v>145</v>
      </c>
      <c r="F279" t="str" cm="1">
        <f t="array" ref="F279">IF(SUM(IF(PartList[ASSLY MARK]=PartList[[#This Row],[ASSLY MARK]],1,0))&gt;1,"No","Yes")</f>
        <v>Yes</v>
      </c>
      <c r="G279" t="str" cm="1">
        <f t="array" ref="G279">_xlfn.TEXTJOIN("_",TRUE,TRIM(_xlfn.TEXTSPLIT(PartList[[#This Row],[GRID LOCATION]],{"PR01","/","-"})))</f>
        <v>11_B&gt;</v>
      </c>
      <c r="H279" t="str" cm="1">
        <f t="array" ref="H27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79" cm="1">
        <f t="array" ref="I27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79" t="str">
        <f>IF(IFERROR(SEARCH("&gt;",PartList[[#This Row],[ID]]),0),"O",IF(IFERROR(SEARCH("&lt;",PartList[[#This Row],[ID]]),0),"I",""))</f>
        <v>O</v>
      </c>
      <c r="K279" t="str" cm="1">
        <f t="array" ref="K2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79" t="str" cm="1">
        <f t="array" ref="L2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79" t="str">
        <f>_xlfn.TEXTJOIN("#",TRUE,PartList[[#This Row],[ASSLY MARK]],PartList[[#This Row],[BOX NO]],PartList[[#This Row],[In/Out]],PartList[[#This Row],[O1-Grid]])</f>
        <v>5SC03#Box1#O</v>
      </c>
      <c r="N279" t="str">
        <f>_xlfn.TEXTJOIN("#",TRUE,PartList[[#This Row],[ASSLY MARK]],PartList[[#This Row],[BOX NO]],PartList[[#This Row],[In/Out]],PartList[[#This Row],[O2-Grid]])</f>
        <v>5SC03#Box1#O</v>
      </c>
      <c r="O279">
        <f>IF(PartList[[#This Row],[Unique]]="Yes",_xlfn.XLOOKUP(PartList[[#This Row],[ASSLY MARK]],FilteredPL!A:A,FilteredPL!B:B,0,0),0)</f>
        <v>0</v>
      </c>
      <c r="P279">
        <f>_xlfn.XLOOKUP(PartList[[#This Row],[ASSLY MARK]],MasterPL[SplitMarkNo],MasterPL[BILL WT.(KG)],0,0)</f>
        <v>0</v>
      </c>
      <c r="Q279" cm="1">
        <f t="array" ref="Q27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79" s="2" t="str">
        <v>6HB05</v>
      </c>
      <c r="AB279" s="2">
        <f>SUMIF(PartList[ASSLY MARK],AA279,PartList[Avail. Qty])</f>
        <v>0</v>
      </c>
    </row>
    <row r="280" spans="1:28" x14ac:dyDescent="0.25">
      <c r="A280">
        <v>692</v>
      </c>
      <c r="B280" t="s">
        <v>377</v>
      </c>
      <c r="C280" t="s">
        <v>514</v>
      </c>
      <c r="D280" t="s">
        <v>353</v>
      </c>
      <c r="E280" t="s">
        <v>5</v>
      </c>
      <c r="F280" t="str" cm="1">
        <f t="array" ref="F280">IF(SUM(IF(PartList[ASSLY MARK]=PartList[[#This Row],[ASSLY MARK]],1,0))&gt;1,"No","Yes")</f>
        <v>Yes</v>
      </c>
      <c r="G280" t="str" cm="1">
        <f t="array" ref="G280">_xlfn.TEXTJOIN("_",TRUE,TRIM(_xlfn.TEXTSPLIT(PartList[[#This Row],[GRID LOCATION]],{"PR01","/","-"})))</f>
        <v>10_11_A</v>
      </c>
      <c r="H280" t="str" cm="1">
        <f t="array" ref="H28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80" cm="1">
        <f t="array" ref="I28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80" t="str">
        <f>IF(IFERROR(SEARCH("&gt;",PartList[[#This Row],[ID]]),0),"O",IF(IFERROR(SEARCH("&lt;",PartList[[#This Row],[ID]]),0),"I",""))</f>
        <v/>
      </c>
      <c r="K280" t="str" cm="1">
        <f t="array" ref="K2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80" t="str" cm="1">
        <f t="array" ref="L2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280" t="str">
        <f>_xlfn.TEXTJOIN("#",TRUE,PartList[[#This Row],[ASSLY MARK]],PartList[[#This Row],[BOX NO]],PartList[[#This Row],[In/Out]],PartList[[#This Row],[O1-Grid]])</f>
        <v>6BE01#Box1#InB</v>
      </c>
      <c r="N280" t="str">
        <f>_xlfn.TEXTJOIN("#",TRUE,PartList[[#This Row],[ASSLY MARK]],PartList[[#This Row],[BOX NO]],PartList[[#This Row],[In/Out]],PartList[[#This Row],[O2-Grid]])</f>
        <v>6BE01#Box1#10_11_A</v>
      </c>
      <c r="O280">
        <f>IF(PartList[[#This Row],[Unique]]="Yes",_xlfn.XLOOKUP(PartList[[#This Row],[ASSLY MARK]],FilteredPL!A:A,FilteredPL!B:B,0,0),0)</f>
        <v>0</v>
      </c>
      <c r="P280">
        <f>_xlfn.XLOOKUP(PartList[[#This Row],[ASSLY MARK]],MasterPL[SplitMarkNo],MasterPL[BILL WT.(KG)],0,0)</f>
        <v>0</v>
      </c>
      <c r="Q280" cm="1">
        <f t="array" ref="Q28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80" s="2" t="str">
        <v>6HB06</v>
      </c>
      <c r="AB280" s="2">
        <f>SUMIF(PartList[ASSLY MARK],AA280,PartList[Avail. Qty])</f>
        <v>0</v>
      </c>
    </row>
    <row r="281" spans="1:28" x14ac:dyDescent="0.25">
      <c r="A281">
        <v>693</v>
      </c>
      <c r="B281" t="s">
        <v>379</v>
      </c>
      <c r="C281" t="s">
        <v>513</v>
      </c>
      <c r="D281" t="s">
        <v>353</v>
      </c>
      <c r="E281" t="s">
        <v>5</v>
      </c>
      <c r="F281" t="str" cm="1">
        <f t="array" ref="F281">IF(SUM(IF(PartList[ASSLY MARK]=PartList[[#This Row],[ASSLY MARK]],1,0))&gt;1,"No","Yes")</f>
        <v>Yes</v>
      </c>
      <c r="G281" t="str" cm="1">
        <f t="array" ref="G281">_xlfn.TEXTJOIN("_",TRUE,TRIM(_xlfn.TEXTSPLIT(PartList[[#This Row],[GRID LOCATION]],{"PR01","/","-"})))</f>
        <v>10_11_B&gt;</v>
      </c>
      <c r="H281" t="str" cm="1">
        <f t="array" ref="H28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81" cm="1">
        <f t="array" ref="I28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81" t="str">
        <f>IF(IFERROR(SEARCH("&gt;",PartList[[#This Row],[ID]]),0),"O",IF(IFERROR(SEARCH("&lt;",PartList[[#This Row],[ID]]),0),"I",""))</f>
        <v>O</v>
      </c>
      <c r="K281" t="str" cm="1">
        <f t="array" ref="K2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81" t="str" cm="1">
        <f t="array" ref="L2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81" t="str">
        <f>_xlfn.TEXTJOIN("#",TRUE,PartList[[#This Row],[ASSLY MARK]],PartList[[#This Row],[BOX NO]],PartList[[#This Row],[In/Out]],PartList[[#This Row],[O1-Grid]])</f>
        <v>6BE02#Box1#O</v>
      </c>
      <c r="N281" t="str">
        <f>_xlfn.TEXTJOIN("#",TRUE,PartList[[#This Row],[ASSLY MARK]],PartList[[#This Row],[BOX NO]],PartList[[#This Row],[In/Out]],PartList[[#This Row],[O2-Grid]])</f>
        <v>6BE02#Box1#O</v>
      </c>
      <c r="O281">
        <f>IF(PartList[[#This Row],[Unique]]="Yes",_xlfn.XLOOKUP(PartList[[#This Row],[ASSLY MARK]],FilteredPL!A:A,FilteredPL!B:B,0,0),0)</f>
        <v>0</v>
      </c>
      <c r="P281">
        <f>_xlfn.XLOOKUP(PartList[[#This Row],[ASSLY MARK]],MasterPL[SplitMarkNo],MasterPL[BILL WT.(KG)],0,0)</f>
        <v>0</v>
      </c>
      <c r="Q281" cm="1">
        <f t="array" ref="Q28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81" s="2" t="str">
        <v>6HB07</v>
      </c>
      <c r="AB281" s="2">
        <f>SUMIF(PartList[ASSLY MARK],AA281,PartList[Avail. Qty])</f>
        <v>0</v>
      </c>
    </row>
    <row r="282" spans="1:28" x14ac:dyDescent="0.25">
      <c r="A282">
        <v>694</v>
      </c>
      <c r="B282" t="s">
        <v>380</v>
      </c>
      <c r="C282" t="s">
        <v>515</v>
      </c>
      <c r="D282" t="s">
        <v>353</v>
      </c>
      <c r="E282" t="s">
        <v>5</v>
      </c>
      <c r="F282" t="str" cm="1">
        <f t="array" ref="F282">IF(SUM(IF(PartList[ASSLY MARK]=PartList[[#This Row],[ASSLY MARK]],1,0))&gt;1,"No","Yes")</f>
        <v>Yes</v>
      </c>
      <c r="G282" t="str" cm="1">
        <f t="array" ref="G282">_xlfn.TEXTJOIN("_",TRUE,TRIM(_xlfn.TEXTSPLIT(PartList[[#This Row],[GRID LOCATION]],{"PR01","/","-"})))</f>
        <v>10_11_A_B</v>
      </c>
      <c r="H282" t="str" cm="1">
        <f t="array" ref="H28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82" cm="1">
        <f t="array" ref="I28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82" t="str">
        <f>IF(IFERROR(SEARCH("&gt;",PartList[[#This Row],[ID]]),0),"O",IF(IFERROR(SEARCH("&lt;",PartList[[#This Row],[ID]]),0),"I",""))</f>
        <v/>
      </c>
      <c r="K282" t="str" cm="1">
        <f t="array" ref="K2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82" t="str" cm="1">
        <f t="array" ref="L2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282" t="str">
        <f>_xlfn.TEXTJOIN("#",TRUE,PartList[[#This Row],[ASSLY MARK]],PartList[[#This Row],[BOX NO]],PartList[[#This Row],[In/Out]],PartList[[#This Row],[O1-Grid]])</f>
        <v>6BE03#Box1#InB</v>
      </c>
      <c r="N282" t="str">
        <f>_xlfn.TEXTJOIN("#",TRUE,PartList[[#This Row],[ASSLY MARK]],PartList[[#This Row],[BOX NO]],PartList[[#This Row],[In/Out]],PartList[[#This Row],[O2-Grid]])</f>
        <v>6BE03#Box1#InB</v>
      </c>
      <c r="O282">
        <f>IF(PartList[[#This Row],[Unique]]="Yes",_xlfn.XLOOKUP(PartList[[#This Row],[ASSLY MARK]],FilteredPL!A:A,FilteredPL!B:B,0,0),0)</f>
        <v>0</v>
      </c>
      <c r="P282">
        <f>_xlfn.XLOOKUP(PartList[[#This Row],[ASSLY MARK]],MasterPL[SplitMarkNo],MasterPL[BILL WT.(KG)],0,0)</f>
        <v>0</v>
      </c>
      <c r="Q282" cm="1">
        <f t="array" ref="Q28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82" s="2" t="str">
        <v>6HB08</v>
      </c>
      <c r="AB282" s="2">
        <f>SUMIF(PartList[ASSLY MARK],AA282,PartList[Avail. Qty])</f>
        <v>0</v>
      </c>
    </row>
    <row r="283" spans="1:28" x14ac:dyDescent="0.25">
      <c r="A283">
        <v>695</v>
      </c>
      <c r="B283" t="s">
        <v>381</v>
      </c>
      <c r="C283" t="s">
        <v>516</v>
      </c>
      <c r="D283" t="s">
        <v>353</v>
      </c>
      <c r="E283" t="s">
        <v>5</v>
      </c>
      <c r="F283" t="str" cm="1">
        <f t="array" ref="F283">IF(SUM(IF(PartList[ASSLY MARK]=PartList[[#This Row],[ASSLY MARK]],1,0))&gt;1,"No","Yes")</f>
        <v>Yes</v>
      </c>
      <c r="G283" t="str" cm="1">
        <f t="array" ref="G283">_xlfn.TEXTJOIN("_",TRUE,TRIM(_xlfn.TEXTSPLIT(PartList[[#This Row],[GRID LOCATION]],{"PR01","/","-"})))</f>
        <v>10_11_B</v>
      </c>
      <c r="H283" t="str" cm="1">
        <f t="array" ref="H28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83" cm="1">
        <f t="array" ref="I28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83" t="str">
        <f>IF(IFERROR(SEARCH("&gt;",PartList[[#This Row],[ID]]),0),"O",IF(IFERROR(SEARCH("&lt;",PartList[[#This Row],[ID]]),0),"I",""))</f>
        <v/>
      </c>
      <c r="K283" t="str" cm="1">
        <f t="array" ref="K2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83" t="str" cm="1">
        <f t="array" ref="L2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283" t="str">
        <f>_xlfn.TEXTJOIN("#",TRUE,PartList[[#This Row],[ASSLY MARK]],PartList[[#This Row],[BOX NO]],PartList[[#This Row],[In/Out]],PartList[[#This Row],[O1-Grid]])</f>
        <v>6BE04#Box1#InB</v>
      </c>
      <c r="N283" t="str">
        <f>_xlfn.TEXTJOIN("#",TRUE,PartList[[#This Row],[ASSLY MARK]],PartList[[#This Row],[BOX NO]],PartList[[#This Row],[In/Out]],PartList[[#This Row],[O2-Grid]])</f>
        <v>6BE04#Box1#10_11_B</v>
      </c>
      <c r="O283">
        <f>IF(PartList[[#This Row],[Unique]]="Yes",_xlfn.XLOOKUP(PartList[[#This Row],[ASSLY MARK]],FilteredPL!A:A,FilteredPL!B:B,0,0),0)</f>
        <v>0</v>
      </c>
      <c r="P283">
        <f>_xlfn.XLOOKUP(PartList[[#This Row],[ASSLY MARK]],MasterPL[SplitMarkNo],MasterPL[BILL WT.(KG)],0,0)</f>
        <v>0</v>
      </c>
      <c r="Q283" cm="1">
        <f t="array" ref="Q28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83" s="2" t="str">
        <v>6HB09</v>
      </c>
      <c r="AB283" s="2">
        <f>SUMIF(PartList[ASSLY MARK],AA283,PartList[Avail. Qty])</f>
        <v>0</v>
      </c>
    </row>
    <row r="284" spans="1:28" x14ac:dyDescent="0.25">
      <c r="A284">
        <v>696</v>
      </c>
      <c r="B284" t="s">
        <v>382</v>
      </c>
      <c r="C284" t="s">
        <v>515</v>
      </c>
      <c r="D284" t="s">
        <v>353</v>
      </c>
      <c r="E284" t="s">
        <v>5</v>
      </c>
      <c r="F284" t="str" cm="1">
        <f t="array" ref="F284">IF(SUM(IF(PartList[ASSLY MARK]=PartList[[#This Row],[ASSLY MARK]],1,0))&gt;1,"No","Yes")</f>
        <v>Yes</v>
      </c>
      <c r="G284" t="str" cm="1">
        <f t="array" ref="G284">_xlfn.TEXTJOIN("_",TRUE,TRIM(_xlfn.TEXTSPLIT(PartList[[#This Row],[GRID LOCATION]],{"PR01","/","-"})))</f>
        <v>10_11_A_B</v>
      </c>
      <c r="H284" t="str" cm="1">
        <f t="array" ref="H28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84" cm="1">
        <f t="array" ref="I28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84" t="str">
        <f>IF(IFERROR(SEARCH("&gt;",PartList[[#This Row],[ID]]),0),"O",IF(IFERROR(SEARCH("&lt;",PartList[[#This Row],[ID]]),0),"I",""))</f>
        <v/>
      </c>
      <c r="K284" t="str" cm="1">
        <f t="array" ref="K2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84" t="str" cm="1">
        <f t="array" ref="L2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284" t="str">
        <f>_xlfn.TEXTJOIN("#",TRUE,PartList[[#This Row],[ASSLY MARK]],PartList[[#This Row],[BOX NO]],PartList[[#This Row],[In/Out]],PartList[[#This Row],[O1-Grid]])</f>
        <v>6BE05#Box1#InB</v>
      </c>
      <c r="N284" t="str">
        <f>_xlfn.TEXTJOIN("#",TRUE,PartList[[#This Row],[ASSLY MARK]],PartList[[#This Row],[BOX NO]],PartList[[#This Row],[In/Out]],PartList[[#This Row],[O2-Grid]])</f>
        <v>6BE05#Box1#InB</v>
      </c>
      <c r="O284">
        <f>IF(PartList[[#This Row],[Unique]]="Yes",_xlfn.XLOOKUP(PartList[[#This Row],[ASSLY MARK]],FilteredPL!A:A,FilteredPL!B:B,0,0),0)</f>
        <v>0</v>
      </c>
      <c r="P284">
        <f>_xlfn.XLOOKUP(PartList[[#This Row],[ASSLY MARK]],MasterPL[SplitMarkNo],MasterPL[BILL WT.(KG)],0,0)</f>
        <v>0</v>
      </c>
      <c r="Q284" cm="1">
        <f t="array" ref="Q28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84" s="2" t="str">
        <v>6HB10</v>
      </c>
      <c r="AB284" s="2">
        <f>SUMIF(PartList[ASSLY MARK],AA284,PartList[Avail. Qty])</f>
        <v>0</v>
      </c>
    </row>
    <row r="285" spans="1:28" x14ac:dyDescent="0.25">
      <c r="A285">
        <v>697</v>
      </c>
      <c r="B285" t="s">
        <v>383</v>
      </c>
      <c r="C285" t="s">
        <v>515</v>
      </c>
      <c r="D285" t="s">
        <v>353</v>
      </c>
      <c r="E285" t="s">
        <v>5</v>
      </c>
      <c r="F285" t="str" cm="1">
        <f t="array" ref="F285">IF(SUM(IF(PartList[ASSLY MARK]=PartList[[#This Row],[ASSLY MARK]],1,0))&gt;1,"No","Yes")</f>
        <v>Yes</v>
      </c>
      <c r="G285" t="str" cm="1">
        <f t="array" ref="G285">_xlfn.TEXTJOIN("_",TRUE,TRIM(_xlfn.TEXTSPLIT(PartList[[#This Row],[GRID LOCATION]],{"PR01","/","-"})))</f>
        <v>10_11_A_B</v>
      </c>
      <c r="H285" t="str" cm="1">
        <f t="array" ref="H28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85" cm="1">
        <f t="array" ref="I28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85" t="str">
        <f>IF(IFERROR(SEARCH("&gt;",PartList[[#This Row],[ID]]),0),"O",IF(IFERROR(SEARCH("&lt;",PartList[[#This Row],[ID]]),0),"I",""))</f>
        <v/>
      </c>
      <c r="K285" t="str" cm="1">
        <f t="array" ref="K2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85" t="str" cm="1">
        <f t="array" ref="L2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285" t="str">
        <f>_xlfn.TEXTJOIN("#",TRUE,PartList[[#This Row],[ASSLY MARK]],PartList[[#This Row],[BOX NO]],PartList[[#This Row],[In/Out]],PartList[[#This Row],[O1-Grid]])</f>
        <v>6BE06#Box1#InB</v>
      </c>
      <c r="N285" t="str">
        <f>_xlfn.TEXTJOIN("#",TRUE,PartList[[#This Row],[ASSLY MARK]],PartList[[#This Row],[BOX NO]],PartList[[#This Row],[In/Out]],PartList[[#This Row],[O2-Grid]])</f>
        <v>6BE06#Box1#InB</v>
      </c>
      <c r="O285">
        <f>IF(PartList[[#This Row],[Unique]]="Yes",_xlfn.XLOOKUP(PartList[[#This Row],[ASSLY MARK]],FilteredPL!A:A,FilteredPL!B:B,0,0),0)</f>
        <v>0</v>
      </c>
      <c r="P285">
        <f>_xlfn.XLOOKUP(PartList[[#This Row],[ASSLY MARK]],MasterPL[SplitMarkNo],MasterPL[BILL WT.(KG)],0,0)</f>
        <v>0</v>
      </c>
      <c r="Q285" cm="1">
        <f t="array" ref="Q28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85" s="2" t="str">
        <v>6HB11</v>
      </c>
      <c r="AB285" s="2">
        <f>SUMIF(PartList[ASSLY MARK],AA285,PartList[Avail. Qty])</f>
        <v>0</v>
      </c>
    </row>
    <row r="286" spans="1:28" x14ac:dyDescent="0.25">
      <c r="A286">
        <v>698</v>
      </c>
      <c r="B286" t="s">
        <v>384</v>
      </c>
      <c r="C286" t="s">
        <v>531</v>
      </c>
      <c r="D286" t="s">
        <v>353</v>
      </c>
      <c r="E286" t="s">
        <v>5</v>
      </c>
      <c r="F286" t="str" cm="1">
        <f t="array" ref="F286">IF(SUM(IF(PartList[ASSLY MARK]=PartList[[#This Row],[ASSLY MARK]],1,0))&gt;1,"No","Yes")</f>
        <v>Yes</v>
      </c>
      <c r="G286" t="str" cm="1">
        <f t="array" ref="G286">_xlfn.TEXTJOIN("_",TRUE,TRIM(_xlfn.TEXTSPLIT(PartList[[#This Row],[GRID LOCATION]],{"PR01","/","-"})))</f>
        <v>11_12_B&gt;</v>
      </c>
      <c r="H286" t="str" cm="1">
        <f t="array" ref="H28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286" cm="1">
        <f t="array" ref="I28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86" t="str">
        <f>IF(IFERROR(SEARCH("&gt;",PartList[[#This Row],[ID]]),0),"O",IF(IFERROR(SEARCH("&lt;",PartList[[#This Row],[ID]]),0),"I",""))</f>
        <v>O</v>
      </c>
      <c r="K286" t="str" cm="1">
        <f t="array" ref="K2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86" t="str" cm="1">
        <f t="array" ref="L2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86" t="str">
        <f>_xlfn.TEXTJOIN("#",TRUE,PartList[[#This Row],[ASSLY MARK]],PartList[[#This Row],[BOX NO]],PartList[[#This Row],[In/Out]],PartList[[#This Row],[O1-Grid]])</f>
        <v>6BE07#Box1_Box2#O</v>
      </c>
      <c r="N286" t="str">
        <f>_xlfn.TEXTJOIN("#",TRUE,PartList[[#This Row],[ASSLY MARK]],PartList[[#This Row],[BOX NO]],PartList[[#This Row],[In/Out]],PartList[[#This Row],[O2-Grid]])</f>
        <v>6BE07#Box1_Box2#O</v>
      </c>
      <c r="O286">
        <f>IF(PartList[[#This Row],[Unique]]="Yes",_xlfn.XLOOKUP(PartList[[#This Row],[ASSLY MARK]],FilteredPL!A:A,FilteredPL!B:B,0,0),0)</f>
        <v>0</v>
      </c>
      <c r="P286">
        <f>_xlfn.XLOOKUP(PartList[[#This Row],[ASSLY MARK]],MasterPL[SplitMarkNo],MasterPL[BILL WT.(KG)],0,0)</f>
        <v>0</v>
      </c>
      <c r="Q286" cm="1">
        <f t="array" ref="Q28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86" s="2" t="str">
        <v>6HB12</v>
      </c>
      <c r="AB286" s="2">
        <f>SUMIF(PartList[ASSLY MARK],AA286,PartList[Avail. Qty])</f>
        <v>0</v>
      </c>
    </row>
    <row r="287" spans="1:28" x14ac:dyDescent="0.25">
      <c r="A287">
        <v>699</v>
      </c>
      <c r="B287" t="s">
        <v>385</v>
      </c>
      <c r="C287" t="s">
        <v>512</v>
      </c>
      <c r="D287" t="s">
        <v>353</v>
      </c>
      <c r="E287" t="s">
        <v>5</v>
      </c>
      <c r="F287" t="str" cm="1">
        <f t="array" ref="F287">IF(SUM(IF(PartList[ASSLY MARK]=PartList[[#This Row],[ASSLY MARK]],1,0))&gt;1,"No","Yes")</f>
        <v>Yes</v>
      </c>
      <c r="G287" t="str" cm="1">
        <f t="array" ref="G287">_xlfn.TEXTJOIN("_",TRUE,TRIM(_xlfn.TEXTSPLIT(PartList[[#This Row],[GRID LOCATION]],{"PR01","/","-"})))</f>
        <v>10_11_A'_A</v>
      </c>
      <c r="H287" t="str" cm="1">
        <f t="array" ref="H28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87" cm="1">
        <f t="array" ref="I28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87" t="str">
        <f>IF(IFERROR(SEARCH("&gt;",PartList[[#This Row],[ID]]),0),"O",IF(IFERROR(SEARCH("&lt;",PartList[[#This Row],[ID]]),0),"I",""))</f>
        <v/>
      </c>
      <c r="K287" t="str" cm="1">
        <f t="array" ref="K2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87" t="str" cm="1">
        <f t="array" ref="L2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87" t="str">
        <f>_xlfn.TEXTJOIN("#",TRUE,PartList[[#This Row],[ASSLY MARK]],PartList[[#This Row],[BOX NO]],PartList[[#This Row],[In/Out]],PartList[[#This Row],[O1-Grid]])</f>
        <v>6BE08#Box1_Box4#InBB</v>
      </c>
      <c r="N287" t="str">
        <f>_xlfn.TEXTJOIN("#",TRUE,PartList[[#This Row],[ASSLY MARK]],PartList[[#This Row],[BOX NO]],PartList[[#This Row],[In/Out]],PartList[[#This Row],[O2-Grid]])</f>
        <v>6BE08#Box1_Box4#InBB</v>
      </c>
      <c r="O287">
        <f>IF(PartList[[#This Row],[Unique]]="Yes",_xlfn.XLOOKUP(PartList[[#This Row],[ASSLY MARK]],FilteredPL!A:A,FilteredPL!B:B,0,0),0)</f>
        <v>0</v>
      </c>
      <c r="P287">
        <f>_xlfn.XLOOKUP(PartList[[#This Row],[ASSLY MARK]],MasterPL[SplitMarkNo],MasterPL[BILL WT.(KG)],0,0)</f>
        <v>0</v>
      </c>
      <c r="Q287" cm="1">
        <f t="array" ref="Q28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87" s="2" t="str">
        <v>6HB13</v>
      </c>
      <c r="AB287" s="2">
        <f>SUMIF(PartList[ASSLY MARK],AA287,PartList[Avail. Qty])</f>
        <v>0</v>
      </c>
    </row>
    <row r="288" spans="1:28" x14ac:dyDescent="0.25">
      <c r="A288">
        <v>700</v>
      </c>
      <c r="B288" t="s">
        <v>386</v>
      </c>
      <c r="C288" t="s">
        <v>515</v>
      </c>
      <c r="D288" t="s">
        <v>353</v>
      </c>
      <c r="E288" t="s">
        <v>5</v>
      </c>
      <c r="F288" t="str" cm="1">
        <f t="array" ref="F288">IF(SUM(IF(PartList[ASSLY MARK]=PartList[[#This Row],[ASSLY MARK]],1,0))&gt;1,"No","Yes")</f>
        <v>Yes</v>
      </c>
      <c r="G288" t="str" cm="1">
        <f t="array" ref="G288">_xlfn.TEXTJOIN("_",TRUE,TRIM(_xlfn.TEXTSPLIT(PartList[[#This Row],[GRID LOCATION]],{"PR01","/","-"})))</f>
        <v>10_11_A_B</v>
      </c>
      <c r="H288" t="str" cm="1">
        <f t="array" ref="H28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88" cm="1">
        <f t="array" ref="I28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88" t="str">
        <f>IF(IFERROR(SEARCH("&gt;",PartList[[#This Row],[ID]]),0),"O",IF(IFERROR(SEARCH("&lt;",PartList[[#This Row],[ID]]),0),"I",""))</f>
        <v/>
      </c>
      <c r="K288" t="str" cm="1">
        <f t="array" ref="K2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88" t="str" cm="1">
        <f t="array" ref="L2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288" t="str">
        <f>_xlfn.TEXTJOIN("#",TRUE,PartList[[#This Row],[ASSLY MARK]],PartList[[#This Row],[BOX NO]],PartList[[#This Row],[In/Out]],PartList[[#This Row],[O1-Grid]])</f>
        <v>6BE09#Box1#InB</v>
      </c>
      <c r="N288" t="str">
        <f>_xlfn.TEXTJOIN("#",TRUE,PartList[[#This Row],[ASSLY MARK]],PartList[[#This Row],[BOX NO]],PartList[[#This Row],[In/Out]],PartList[[#This Row],[O2-Grid]])</f>
        <v>6BE09#Box1#InB</v>
      </c>
      <c r="O288">
        <f>IF(PartList[[#This Row],[Unique]]="Yes",_xlfn.XLOOKUP(PartList[[#This Row],[ASSLY MARK]],FilteredPL!A:A,FilteredPL!B:B,0,0),0)</f>
        <v>0</v>
      </c>
      <c r="P288">
        <f>_xlfn.XLOOKUP(PartList[[#This Row],[ASSLY MARK]],MasterPL[SplitMarkNo],MasterPL[BILL WT.(KG)],0,0)</f>
        <v>0</v>
      </c>
      <c r="Q288" cm="1">
        <f t="array" ref="Q28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88" s="2" t="str">
        <v>6HB14</v>
      </c>
      <c r="AB288" s="2">
        <f>SUMIF(PartList[ASSLY MARK],AA288,PartList[Avail. Qty])</f>
        <v>0</v>
      </c>
    </row>
    <row r="289" spans="1:28" x14ac:dyDescent="0.25">
      <c r="A289">
        <v>701</v>
      </c>
      <c r="B289" t="s">
        <v>387</v>
      </c>
      <c r="C289" t="s">
        <v>513</v>
      </c>
      <c r="D289" t="s">
        <v>353</v>
      </c>
      <c r="E289" t="s">
        <v>5</v>
      </c>
      <c r="F289" t="str" cm="1">
        <f t="array" ref="F289">IF(SUM(IF(PartList[ASSLY MARK]=PartList[[#This Row],[ASSLY MARK]],1,0))&gt;1,"No","Yes")</f>
        <v>Yes</v>
      </c>
      <c r="G289" t="str" cm="1">
        <f t="array" ref="G289">_xlfn.TEXTJOIN("_",TRUE,TRIM(_xlfn.TEXTSPLIT(PartList[[#This Row],[GRID LOCATION]],{"PR01","/","-"})))</f>
        <v>10_11_B&gt;</v>
      </c>
      <c r="H289" t="str" cm="1">
        <f t="array" ref="H28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89" cm="1">
        <f t="array" ref="I28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89" t="str">
        <f>IF(IFERROR(SEARCH("&gt;",PartList[[#This Row],[ID]]),0),"O",IF(IFERROR(SEARCH("&lt;",PartList[[#This Row],[ID]]),0),"I",""))</f>
        <v>O</v>
      </c>
      <c r="K289" t="str" cm="1">
        <f t="array" ref="K2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89" t="str" cm="1">
        <f t="array" ref="L2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89" t="str">
        <f>_xlfn.TEXTJOIN("#",TRUE,PartList[[#This Row],[ASSLY MARK]],PartList[[#This Row],[BOX NO]],PartList[[#This Row],[In/Out]],PartList[[#This Row],[O1-Grid]])</f>
        <v>6BE10#Box1#O</v>
      </c>
      <c r="N289" t="str">
        <f>_xlfn.TEXTJOIN("#",TRUE,PartList[[#This Row],[ASSLY MARK]],PartList[[#This Row],[BOX NO]],PartList[[#This Row],[In/Out]],PartList[[#This Row],[O2-Grid]])</f>
        <v>6BE10#Box1#O</v>
      </c>
      <c r="O289">
        <f>IF(PartList[[#This Row],[Unique]]="Yes",_xlfn.XLOOKUP(PartList[[#This Row],[ASSLY MARK]],FilteredPL!A:A,FilteredPL!B:B,0,0),0)</f>
        <v>0</v>
      </c>
      <c r="P289">
        <f>_xlfn.XLOOKUP(PartList[[#This Row],[ASSLY MARK]],MasterPL[SplitMarkNo],MasterPL[BILL WT.(KG)],0,0)</f>
        <v>0</v>
      </c>
      <c r="Q289" cm="1">
        <f t="array" ref="Q28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89" s="2" t="str">
        <v>6HB15</v>
      </c>
      <c r="AB289" s="2">
        <f>SUMIF(PartList[ASSLY MARK],AA289,PartList[Avail. Qty])</f>
        <v>0</v>
      </c>
    </row>
    <row r="290" spans="1:28" x14ac:dyDescent="0.25">
      <c r="A290">
        <v>703</v>
      </c>
      <c r="B290" t="s">
        <v>389</v>
      </c>
      <c r="C290" t="s">
        <v>515</v>
      </c>
      <c r="D290" t="s">
        <v>353</v>
      </c>
      <c r="E290" t="s">
        <v>5</v>
      </c>
      <c r="F290" t="str" cm="1">
        <f t="array" ref="F290">IF(SUM(IF(PartList[ASSLY MARK]=PartList[[#This Row],[ASSLY MARK]],1,0))&gt;1,"No","Yes")</f>
        <v>Yes</v>
      </c>
      <c r="G290" t="str" cm="1">
        <f t="array" ref="G290">_xlfn.TEXTJOIN("_",TRUE,TRIM(_xlfn.TEXTSPLIT(PartList[[#This Row],[GRID LOCATION]],{"PR01","/","-"})))</f>
        <v>10_11_A_B</v>
      </c>
      <c r="H290" t="str" cm="1">
        <f t="array" ref="H29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90" cm="1">
        <f t="array" ref="I29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90" t="str">
        <f>IF(IFERROR(SEARCH("&gt;",PartList[[#This Row],[ID]]),0),"O",IF(IFERROR(SEARCH("&lt;",PartList[[#This Row],[ID]]),0),"I",""))</f>
        <v/>
      </c>
      <c r="K290" t="str" cm="1">
        <f t="array" ref="K2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90" t="str" cm="1">
        <f t="array" ref="L2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290" t="str">
        <f>_xlfn.TEXTJOIN("#",TRUE,PartList[[#This Row],[ASSLY MARK]],PartList[[#This Row],[BOX NO]],PartList[[#This Row],[In/Out]],PartList[[#This Row],[O1-Grid]])</f>
        <v>6BE12#Box1#InB</v>
      </c>
      <c r="N290" t="str">
        <f>_xlfn.TEXTJOIN("#",TRUE,PartList[[#This Row],[ASSLY MARK]],PartList[[#This Row],[BOX NO]],PartList[[#This Row],[In/Out]],PartList[[#This Row],[O2-Grid]])</f>
        <v>6BE12#Box1#InB</v>
      </c>
      <c r="O290">
        <f>IF(PartList[[#This Row],[Unique]]="Yes",_xlfn.XLOOKUP(PartList[[#This Row],[ASSLY MARK]],FilteredPL!A:A,FilteredPL!B:B,0,0),0)</f>
        <v>0</v>
      </c>
      <c r="P290">
        <f>_xlfn.XLOOKUP(PartList[[#This Row],[ASSLY MARK]],MasterPL[SplitMarkNo],MasterPL[BILL WT.(KG)],0,0)</f>
        <v>0</v>
      </c>
      <c r="Q290" cm="1">
        <f t="array" ref="Q29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90" s="2" t="str">
        <v>6HB16</v>
      </c>
      <c r="AB290" s="2">
        <f>SUMIF(PartList[ASSLY MARK],AA290,PartList[Avail. Qty])</f>
        <v>0</v>
      </c>
    </row>
    <row r="291" spans="1:28" x14ac:dyDescent="0.25">
      <c r="A291">
        <v>704</v>
      </c>
      <c r="B291" t="s">
        <v>390</v>
      </c>
      <c r="C291" t="s">
        <v>515</v>
      </c>
      <c r="D291" t="s">
        <v>353</v>
      </c>
      <c r="E291" t="s">
        <v>5</v>
      </c>
      <c r="F291" t="str" cm="1">
        <f t="array" ref="F291">IF(SUM(IF(PartList[ASSLY MARK]=PartList[[#This Row],[ASSLY MARK]],1,0))&gt;1,"No","Yes")</f>
        <v>Yes</v>
      </c>
      <c r="G291" t="str" cm="1">
        <f t="array" ref="G291">_xlfn.TEXTJOIN("_",TRUE,TRIM(_xlfn.TEXTSPLIT(PartList[[#This Row],[GRID LOCATION]],{"PR01","/","-"})))</f>
        <v>10_11_A_B</v>
      </c>
      <c r="H291" t="str" cm="1">
        <f t="array" ref="H29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91" cm="1">
        <f t="array" ref="I29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91" t="str">
        <f>IF(IFERROR(SEARCH("&gt;",PartList[[#This Row],[ID]]),0),"O",IF(IFERROR(SEARCH("&lt;",PartList[[#This Row],[ID]]),0),"I",""))</f>
        <v/>
      </c>
      <c r="K291" t="str" cm="1">
        <f t="array" ref="K2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91" t="str" cm="1">
        <f t="array" ref="L2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291" t="str">
        <f>_xlfn.TEXTJOIN("#",TRUE,PartList[[#This Row],[ASSLY MARK]],PartList[[#This Row],[BOX NO]],PartList[[#This Row],[In/Out]],PartList[[#This Row],[O1-Grid]])</f>
        <v>6BE13#Box1#InB</v>
      </c>
      <c r="N291" t="str">
        <f>_xlfn.TEXTJOIN("#",TRUE,PartList[[#This Row],[ASSLY MARK]],PartList[[#This Row],[BOX NO]],PartList[[#This Row],[In/Out]],PartList[[#This Row],[O2-Grid]])</f>
        <v>6BE13#Box1#InB</v>
      </c>
      <c r="O291">
        <f>IF(PartList[[#This Row],[Unique]]="Yes",_xlfn.XLOOKUP(PartList[[#This Row],[ASSLY MARK]],FilteredPL!A:A,FilteredPL!B:B,0,0),0)</f>
        <v>0</v>
      </c>
      <c r="P291">
        <f>_xlfn.XLOOKUP(PartList[[#This Row],[ASSLY MARK]],MasterPL[SplitMarkNo],MasterPL[BILL WT.(KG)],0,0)</f>
        <v>0</v>
      </c>
      <c r="Q291" cm="1">
        <f t="array" ref="Q29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91" s="2" t="str">
        <v>6HB17</v>
      </c>
      <c r="AB291" s="2">
        <f>SUMIF(PartList[ASSLY MARK],AA291,PartList[Avail. Qty])</f>
        <v>0</v>
      </c>
    </row>
    <row r="292" spans="1:28" x14ac:dyDescent="0.25">
      <c r="A292">
        <v>705</v>
      </c>
      <c r="B292" t="s">
        <v>391</v>
      </c>
      <c r="C292" t="s">
        <v>515</v>
      </c>
      <c r="D292" t="s">
        <v>353</v>
      </c>
      <c r="E292" t="s">
        <v>5</v>
      </c>
      <c r="F292" t="str" cm="1">
        <f t="array" ref="F292">IF(SUM(IF(PartList[ASSLY MARK]=PartList[[#This Row],[ASSLY MARK]],1,0))&gt;1,"No","Yes")</f>
        <v>Yes</v>
      </c>
      <c r="G292" t="str" cm="1">
        <f t="array" ref="G292">_xlfn.TEXTJOIN("_",TRUE,TRIM(_xlfn.TEXTSPLIT(PartList[[#This Row],[GRID LOCATION]],{"PR01","/","-"})))</f>
        <v>10_11_A_B</v>
      </c>
      <c r="H292" t="str" cm="1">
        <f t="array" ref="H29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92" cm="1">
        <f t="array" ref="I29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92" t="str">
        <f>IF(IFERROR(SEARCH("&gt;",PartList[[#This Row],[ID]]),0),"O",IF(IFERROR(SEARCH("&lt;",PartList[[#This Row],[ID]]),0),"I",""))</f>
        <v/>
      </c>
      <c r="K292" t="str" cm="1">
        <f t="array" ref="K2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92" t="str" cm="1">
        <f t="array" ref="L2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292" t="str">
        <f>_xlfn.TEXTJOIN("#",TRUE,PartList[[#This Row],[ASSLY MARK]],PartList[[#This Row],[BOX NO]],PartList[[#This Row],[In/Out]],PartList[[#This Row],[O1-Grid]])</f>
        <v>6BE14#Box1#InB</v>
      </c>
      <c r="N292" t="str">
        <f>_xlfn.TEXTJOIN("#",TRUE,PartList[[#This Row],[ASSLY MARK]],PartList[[#This Row],[BOX NO]],PartList[[#This Row],[In/Out]],PartList[[#This Row],[O2-Grid]])</f>
        <v>6BE14#Box1#InB</v>
      </c>
      <c r="O292">
        <f>IF(PartList[[#This Row],[Unique]]="Yes",_xlfn.XLOOKUP(PartList[[#This Row],[ASSLY MARK]],FilteredPL!A:A,FilteredPL!B:B,0,0),0)</f>
        <v>0</v>
      </c>
      <c r="P292">
        <f>_xlfn.XLOOKUP(PartList[[#This Row],[ASSLY MARK]],MasterPL[SplitMarkNo],MasterPL[BILL WT.(KG)],0,0)</f>
        <v>0</v>
      </c>
      <c r="Q292" cm="1">
        <f t="array" ref="Q29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92" s="2" t="str">
        <v>C01</v>
      </c>
      <c r="AB292" s="2">
        <f>SUMIF(PartList[ASSLY MARK],AA292,PartList[Avail. Qty])</f>
        <v>1</v>
      </c>
    </row>
    <row r="293" spans="1:28" x14ac:dyDescent="0.25">
      <c r="A293">
        <v>706</v>
      </c>
      <c r="B293" t="s">
        <v>896</v>
      </c>
      <c r="C293" t="s">
        <v>515</v>
      </c>
      <c r="D293" t="s">
        <v>353</v>
      </c>
      <c r="E293" t="s">
        <v>5</v>
      </c>
      <c r="F293" t="str" cm="1">
        <f t="array" ref="F293">IF(SUM(IF(PartList[ASSLY MARK]=PartList[[#This Row],[ASSLY MARK]],1,0))&gt;1,"No","Yes")</f>
        <v>Yes</v>
      </c>
      <c r="G293" t="str" cm="1">
        <f t="array" ref="G293">_xlfn.TEXTJOIN("_",TRUE,TRIM(_xlfn.TEXTSPLIT(PartList[[#This Row],[GRID LOCATION]],{"PR01","/","-"})))</f>
        <v>10_11_A_B</v>
      </c>
      <c r="H293" t="str" cm="1">
        <f t="array" ref="H29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93" cm="1">
        <f t="array" ref="I29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93" t="str">
        <f>IF(IFERROR(SEARCH("&gt;",PartList[[#This Row],[ID]]),0),"O",IF(IFERROR(SEARCH("&lt;",PartList[[#This Row],[ID]]),0),"I",""))</f>
        <v/>
      </c>
      <c r="K293" t="str" cm="1">
        <f t="array" ref="K2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93" t="str" cm="1">
        <f t="array" ref="L2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293" t="str">
        <f>_xlfn.TEXTJOIN("#",TRUE,PartList[[#This Row],[ASSLY MARK]],PartList[[#This Row],[BOX NO]],PartList[[#This Row],[In/Out]],PartList[[#This Row],[O1-Grid]])</f>
        <v>6BE15#Box1#InB</v>
      </c>
      <c r="N293" t="str">
        <f>_xlfn.TEXTJOIN("#",TRUE,PartList[[#This Row],[ASSLY MARK]],PartList[[#This Row],[BOX NO]],PartList[[#This Row],[In/Out]],PartList[[#This Row],[O2-Grid]])</f>
        <v>6BE15#Box1#InB</v>
      </c>
      <c r="O293">
        <f>IF(PartList[[#This Row],[Unique]]="Yes",_xlfn.XLOOKUP(PartList[[#This Row],[ASSLY MARK]],FilteredPL!A:A,FilteredPL!B:B,0,0),0)</f>
        <v>0</v>
      </c>
      <c r="P293">
        <f>_xlfn.XLOOKUP(PartList[[#This Row],[ASSLY MARK]],MasterPL[SplitMarkNo],MasterPL[BILL WT.(KG)],0,0)</f>
        <v>0</v>
      </c>
      <c r="Q293" cm="1">
        <f t="array" ref="Q29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93" s="2" t="str">
        <v>C02</v>
      </c>
      <c r="AB293" s="2">
        <f>SUMIF(PartList[ASSLY MARK],AA293,PartList[Avail. Qty])</f>
        <v>0</v>
      </c>
    </row>
    <row r="294" spans="1:28" x14ac:dyDescent="0.25">
      <c r="A294">
        <v>707</v>
      </c>
      <c r="B294" t="s">
        <v>897</v>
      </c>
      <c r="C294" t="s">
        <v>515</v>
      </c>
      <c r="D294" t="s">
        <v>353</v>
      </c>
      <c r="E294" t="s">
        <v>5</v>
      </c>
      <c r="F294" t="str" cm="1">
        <f t="array" ref="F294">IF(SUM(IF(PartList[ASSLY MARK]=PartList[[#This Row],[ASSLY MARK]],1,0))&gt;1,"No","Yes")</f>
        <v>Yes</v>
      </c>
      <c r="G294" t="str" cm="1">
        <f t="array" ref="G294">_xlfn.TEXTJOIN("_",TRUE,TRIM(_xlfn.TEXTSPLIT(PartList[[#This Row],[GRID LOCATION]],{"PR01","/","-"})))</f>
        <v>10_11_A_B</v>
      </c>
      <c r="H294" t="str" cm="1">
        <f t="array" ref="H29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94" cm="1">
        <f t="array" ref="I29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94" t="str">
        <f>IF(IFERROR(SEARCH("&gt;",PartList[[#This Row],[ID]]),0),"O",IF(IFERROR(SEARCH("&lt;",PartList[[#This Row],[ID]]),0),"I",""))</f>
        <v/>
      </c>
      <c r="K294" t="str" cm="1">
        <f t="array" ref="K2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94" t="str" cm="1">
        <f t="array" ref="L2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294" t="str">
        <f>_xlfn.TEXTJOIN("#",TRUE,PartList[[#This Row],[ASSLY MARK]],PartList[[#This Row],[BOX NO]],PartList[[#This Row],[In/Out]],PartList[[#This Row],[O1-Grid]])</f>
        <v>6BE16#Box1#InB</v>
      </c>
      <c r="N294" t="str">
        <f>_xlfn.TEXTJOIN("#",TRUE,PartList[[#This Row],[ASSLY MARK]],PartList[[#This Row],[BOX NO]],PartList[[#This Row],[In/Out]],PartList[[#This Row],[O2-Grid]])</f>
        <v>6BE16#Box1#InB</v>
      </c>
      <c r="O294">
        <f>IF(PartList[[#This Row],[Unique]]="Yes",_xlfn.XLOOKUP(PartList[[#This Row],[ASSLY MARK]],FilteredPL!A:A,FilteredPL!B:B,0,0),0)</f>
        <v>0</v>
      </c>
      <c r="P294">
        <f>_xlfn.XLOOKUP(PartList[[#This Row],[ASSLY MARK]],MasterPL[SplitMarkNo],MasterPL[BILL WT.(KG)],0,0)</f>
        <v>0</v>
      </c>
      <c r="Q294" cm="1">
        <f t="array" ref="Q29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94" s="2" t="str">
        <v>C03</v>
      </c>
      <c r="AB294" s="2">
        <f>SUMIF(PartList[ASSLY MARK],AA294,PartList[Avail. Qty])</f>
        <v>1</v>
      </c>
    </row>
    <row r="295" spans="1:28" x14ac:dyDescent="0.25">
      <c r="A295">
        <v>708</v>
      </c>
      <c r="B295" t="s">
        <v>898</v>
      </c>
      <c r="C295" t="s">
        <v>515</v>
      </c>
      <c r="D295" t="s">
        <v>353</v>
      </c>
      <c r="E295" t="s">
        <v>5</v>
      </c>
      <c r="F295" t="str" cm="1">
        <f t="array" ref="F295">IF(SUM(IF(PartList[ASSLY MARK]=PartList[[#This Row],[ASSLY MARK]],1,0))&gt;1,"No","Yes")</f>
        <v>Yes</v>
      </c>
      <c r="G295" t="str" cm="1">
        <f t="array" ref="G295">_xlfn.TEXTJOIN("_",TRUE,TRIM(_xlfn.TEXTSPLIT(PartList[[#This Row],[GRID LOCATION]],{"PR01","/","-"})))</f>
        <v>10_11_A_B</v>
      </c>
      <c r="H295" t="str" cm="1">
        <f t="array" ref="H29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95" cm="1">
        <f t="array" ref="I29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95" t="str">
        <f>IF(IFERROR(SEARCH("&gt;",PartList[[#This Row],[ID]]),0),"O",IF(IFERROR(SEARCH("&lt;",PartList[[#This Row],[ID]]),0),"I",""))</f>
        <v/>
      </c>
      <c r="K295" t="str" cm="1">
        <f t="array" ref="K2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295" t="str" cm="1">
        <f t="array" ref="L2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295" t="str">
        <f>_xlfn.TEXTJOIN("#",TRUE,PartList[[#This Row],[ASSLY MARK]],PartList[[#This Row],[BOX NO]],PartList[[#This Row],[In/Out]],PartList[[#This Row],[O1-Grid]])</f>
        <v>6BE17#Box1#InB</v>
      </c>
      <c r="N295" t="str">
        <f>_xlfn.TEXTJOIN("#",TRUE,PartList[[#This Row],[ASSLY MARK]],PartList[[#This Row],[BOX NO]],PartList[[#This Row],[In/Out]],PartList[[#This Row],[O2-Grid]])</f>
        <v>6BE17#Box1#InB</v>
      </c>
      <c r="O295">
        <f>IF(PartList[[#This Row],[Unique]]="Yes",_xlfn.XLOOKUP(PartList[[#This Row],[ASSLY MARK]],FilteredPL!A:A,FilteredPL!B:B,0,0),0)</f>
        <v>0</v>
      </c>
      <c r="P295">
        <f>_xlfn.XLOOKUP(PartList[[#This Row],[ASSLY MARK]],MasterPL[SplitMarkNo],MasterPL[BILL WT.(KG)],0,0)</f>
        <v>0</v>
      </c>
      <c r="Q295" cm="1">
        <f t="array" ref="Q29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95" s="2" t="str">
        <v>C06</v>
      </c>
      <c r="AB295" s="2">
        <f>SUMIF(PartList[ASSLY MARK],AA295,PartList[Avail. Qty])</f>
        <v>1</v>
      </c>
    </row>
    <row r="296" spans="1:28" x14ac:dyDescent="0.25">
      <c r="A296">
        <v>709</v>
      </c>
      <c r="B296" t="s">
        <v>899</v>
      </c>
      <c r="C296" t="s">
        <v>512</v>
      </c>
      <c r="D296" t="s">
        <v>353</v>
      </c>
      <c r="E296" t="s">
        <v>5</v>
      </c>
      <c r="F296" t="str" cm="1">
        <f t="array" ref="F296">IF(SUM(IF(PartList[ASSLY MARK]=PartList[[#This Row],[ASSLY MARK]],1,0))&gt;1,"No","Yes")</f>
        <v>Yes</v>
      </c>
      <c r="G296" t="str" cm="1">
        <f t="array" ref="G296">_xlfn.TEXTJOIN("_",TRUE,TRIM(_xlfn.TEXTSPLIT(PartList[[#This Row],[GRID LOCATION]],{"PR01","/","-"})))</f>
        <v>10_11_A'_A</v>
      </c>
      <c r="H296" t="str" cm="1">
        <f t="array" ref="H29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96" cm="1">
        <f t="array" ref="I29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96" t="str">
        <f>IF(IFERROR(SEARCH("&gt;",PartList[[#This Row],[ID]]),0),"O",IF(IFERROR(SEARCH("&lt;",PartList[[#This Row],[ID]]),0),"I",""))</f>
        <v/>
      </c>
      <c r="K296" t="str" cm="1">
        <f t="array" ref="K2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96" t="str" cm="1">
        <f t="array" ref="L2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96" t="str">
        <f>_xlfn.TEXTJOIN("#",TRUE,PartList[[#This Row],[ASSLY MARK]],PartList[[#This Row],[BOX NO]],PartList[[#This Row],[In/Out]],PartList[[#This Row],[O1-Grid]])</f>
        <v>6BE18#Box1_Box4#InBB</v>
      </c>
      <c r="N296" t="str">
        <f>_xlfn.TEXTJOIN("#",TRUE,PartList[[#This Row],[ASSLY MARK]],PartList[[#This Row],[BOX NO]],PartList[[#This Row],[In/Out]],PartList[[#This Row],[O2-Grid]])</f>
        <v>6BE18#Box1_Box4#InBB</v>
      </c>
      <c r="O296">
        <f>IF(PartList[[#This Row],[Unique]]="Yes",_xlfn.XLOOKUP(PartList[[#This Row],[ASSLY MARK]],FilteredPL!A:A,FilteredPL!B:B,0,0),0)</f>
        <v>0</v>
      </c>
      <c r="P296">
        <f>_xlfn.XLOOKUP(PartList[[#This Row],[ASSLY MARK]],MasterPL[SplitMarkNo],MasterPL[BILL WT.(KG)],0,0)</f>
        <v>0</v>
      </c>
      <c r="Q296" cm="1">
        <f t="array" ref="Q29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96" s="2" t="str">
        <v>C07</v>
      </c>
      <c r="AB296" s="2">
        <f>SUMIF(PartList[ASSLY MARK],AA296,PartList[Avail. Qty])</f>
        <v>0</v>
      </c>
    </row>
    <row r="297" spans="1:28" x14ac:dyDescent="0.25">
      <c r="A297">
        <v>710</v>
      </c>
      <c r="B297" t="s">
        <v>900</v>
      </c>
      <c r="C297" t="s">
        <v>513</v>
      </c>
      <c r="D297" t="s">
        <v>353</v>
      </c>
      <c r="E297" t="s">
        <v>5</v>
      </c>
      <c r="F297" t="str" cm="1">
        <f t="array" ref="F297">IF(SUM(IF(PartList[ASSLY MARK]=PartList[[#This Row],[ASSLY MARK]],1,0))&gt;1,"No","Yes")</f>
        <v>Yes</v>
      </c>
      <c r="G297" t="str" cm="1">
        <f t="array" ref="G297">_xlfn.TEXTJOIN("_",TRUE,TRIM(_xlfn.TEXTSPLIT(PartList[[#This Row],[GRID LOCATION]],{"PR01","/","-"})))</f>
        <v>10_11_B&gt;</v>
      </c>
      <c r="H297" t="str" cm="1">
        <f t="array" ref="H29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97" cm="1">
        <f t="array" ref="I29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97" t="str">
        <f>IF(IFERROR(SEARCH("&gt;",PartList[[#This Row],[ID]]),0),"O",IF(IFERROR(SEARCH("&lt;",PartList[[#This Row],[ID]]),0),"I",""))</f>
        <v>O</v>
      </c>
      <c r="K297" t="str" cm="1">
        <f t="array" ref="K2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97" t="str" cm="1">
        <f t="array" ref="L2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97" t="str">
        <f>_xlfn.TEXTJOIN("#",TRUE,PartList[[#This Row],[ASSLY MARK]],PartList[[#This Row],[BOX NO]],PartList[[#This Row],[In/Out]],PartList[[#This Row],[O1-Grid]])</f>
        <v>6BE19#Box1#O</v>
      </c>
      <c r="N297" t="str">
        <f>_xlfn.TEXTJOIN("#",TRUE,PartList[[#This Row],[ASSLY MARK]],PartList[[#This Row],[BOX NO]],PartList[[#This Row],[In/Out]],PartList[[#This Row],[O2-Grid]])</f>
        <v>6BE19#Box1#O</v>
      </c>
      <c r="O297">
        <f>IF(PartList[[#This Row],[Unique]]="Yes",_xlfn.XLOOKUP(PartList[[#This Row],[ASSLY MARK]],FilteredPL!A:A,FilteredPL!B:B,0,0),0)</f>
        <v>0</v>
      </c>
      <c r="P297">
        <f>_xlfn.XLOOKUP(PartList[[#This Row],[ASSLY MARK]],MasterPL[SplitMarkNo],MasterPL[BILL WT.(KG)],0,0)</f>
        <v>0</v>
      </c>
      <c r="Q297" cm="1">
        <f t="array" ref="Q29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97" s="2" t="str">
        <v>C08</v>
      </c>
      <c r="AB297" s="2">
        <f>SUMIF(PartList[ASSLY MARK],AA297,PartList[Avail. Qty])</f>
        <v>0</v>
      </c>
    </row>
    <row r="298" spans="1:28" x14ac:dyDescent="0.25">
      <c r="A298">
        <v>711</v>
      </c>
      <c r="B298" t="s">
        <v>901</v>
      </c>
      <c r="C298" t="s">
        <v>513</v>
      </c>
      <c r="D298" t="s">
        <v>353</v>
      </c>
      <c r="E298" t="s">
        <v>5</v>
      </c>
      <c r="F298" t="str" cm="1">
        <f t="array" ref="F298">IF(SUM(IF(PartList[ASSLY MARK]=PartList[[#This Row],[ASSLY MARK]],1,0))&gt;1,"No","Yes")</f>
        <v>Yes</v>
      </c>
      <c r="G298" t="str" cm="1">
        <f t="array" ref="G298">_xlfn.TEXTJOIN("_",TRUE,TRIM(_xlfn.TEXTSPLIT(PartList[[#This Row],[GRID LOCATION]],{"PR01","/","-"})))</f>
        <v>10_11_B&gt;</v>
      </c>
      <c r="H298" t="str" cm="1">
        <f t="array" ref="H29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298" cm="1">
        <f t="array" ref="I29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98" t="str">
        <f>IF(IFERROR(SEARCH("&gt;",PartList[[#This Row],[ID]]),0),"O",IF(IFERROR(SEARCH("&lt;",PartList[[#This Row],[ID]]),0),"I",""))</f>
        <v>O</v>
      </c>
      <c r="K298" t="str" cm="1">
        <f t="array" ref="K2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298" t="str" cm="1">
        <f t="array" ref="L2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298" t="str">
        <f>_xlfn.TEXTJOIN("#",TRUE,PartList[[#This Row],[ASSLY MARK]],PartList[[#This Row],[BOX NO]],PartList[[#This Row],[In/Out]],PartList[[#This Row],[O1-Grid]])</f>
        <v>6BE20#Box1#O</v>
      </c>
      <c r="N298" t="str">
        <f>_xlfn.TEXTJOIN("#",TRUE,PartList[[#This Row],[ASSLY MARK]],PartList[[#This Row],[BOX NO]],PartList[[#This Row],[In/Out]],PartList[[#This Row],[O2-Grid]])</f>
        <v>6BE20#Box1#O</v>
      </c>
      <c r="O298">
        <f>IF(PartList[[#This Row],[Unique]]="Yes",_xlfn.XLOOKUP(PartList[[#This Row],[ASSLY MARK]],FilteredPL!A:A,FilteredPL!B:B,0,0),0)</f>
        <v>0</v>
      </c>
      <c r="P298">
        <f>_xlfn.XLOOKUP(PartList[[#This Row],[ASSLY MARK]],MasterPL[SplitMarkNo],MasterPL[BILL WT.(KG)],0,0)</f>
        <v>0</v>
      </c>
      <c r="Q298" cm="1">
        <f t="array" ref="Q29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98" s="2" t="str">
        <v>C09</v>
      </c>
      <c r="AB298" s="2">
        <f>SUMIF(PartList[ASSLY MARK],AA298,PartList[Avail. Qty])</f>
        <v>1</v>
      </c>
    </row>
    <row r="299" spans="1:28" x14ac:dyDescent="0.25">
      <c r="A299">
        <v>712</v>
      </c>
      <c r="B299" t="s">
        <v>902</v>
      </c>
      <c r="C299" t="s">
        <v>512</v>
      </c>
      <c r="D299" t="s">
        <v>353</v>
      </c>
      <c r="E299" t="s">
        <v>5</v>
      </c>
      <c r="F299" t="str" cm="1">
        <f t="array" ref="F299">IF(SUM(IF(PartList[ASSLY MARK]=PartList[[#This Row],[ASSLY MARK]],1,0))&gt;1,"No","Yes")</f>
        <v>Yes</v>
      </c>
      <c r="G299" t="str" cm="1">
        <f t="array" ref="G299">_xlfn.TEXTJOIN("_",TRUE,TRIM(_xlfn.TEXTSPLIT(PartList[[#This Row],[GRID LOCATION]],{"PR01","/","-"})))</f>
        <v>10_11_A'_A</v>
      </c>
      <c r="H299" t="str" cm="1">
        <f t="array" ref="H29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299" cm="1">
        <f t="array" ref="I29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299" t="str">
        <f>IF(IFERROR(SEARCH("&gt;",PartList[[#This Row],[ID]]),0),"O",IF(IFERROR(SEARCH("&lt;",PartList[[#This Row],[ID]]),0),"I",""))</f>
        <v/>
      </c>
      <c r="K299" t="str" cm="1">
        <f t="array" ref="K2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299" t="str" cm="1">
        <f t="array" ref="L2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299" t="str">
        <f>_xlfn.TEXTJOIN("#",TRUE,PartList[[#This Row],[ASSLY MARK]],PartList[[#This Row],[BOX NO]],PartList[[#This Row],[In/Out]],PartList[[#This Row],[O1-Grid]])</f>
        <v>6BE21#Box1_Box4#InBB</v>
      </c>
      <c r="N299" t="str">
        <f>_xlfn.TEXTJOIN("#",TRUE,PartList[[#This Row],[ASSLY MARK]],PartList[[#This Row],[BOX NO]],PartList[[#This Row],[In/Out]],PartList[[#This Row],[O2-Grid]])</f>
        <v>6BE21#Box1_Box4#InBB</v>
      </c>
      <c r="O299">
        <f>IF(PartList[[#This Row],[Unique]]="Yes",_xlfn.XLOOKUP(PartList[[#This Row],[ASSLY MARK]],FilteredPL!A:A,FilteredPL!B:B,0,0),0)</f>
        <v>0</v>
      </c>
      <c r="P299">
        <f>_xlfn.XLOOKUP(PartList[[#This Row],[ASSLY MARK]],MasterPL[SplitMarkNo],MasterPL[BILL WT.(KG)],0,0)</f>
        <v>0</v>
      </c>
      <c r="Q299" cm="1">
        <f t="array" ref="Q29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299" s="2" t="str">
        <v>C10</v>
      </c>
      <c r="AB299" s="2">
        <f>SUMIF(PartList[ASSLY MARK],AA299,PartList[Avail. Qty])</f>
        <v>1</v>
      </c>
    </row>
    <row r="300" spans="1:28" x14ac:dyDescent="0.25">
      <c r="A300">
        <v>713</v>
      </c>
      <c r="B300" t="s">
        <v>903</v>
      </c>
      <c r="C300" t="s">
        <v>515</v>
      </c>
      <c r="D300" t="s">
        <v>353</v>
      </c>
      <c r="E300" t="s">
        <v>5</v>
      </c>
      <c r="F300" t="str" cm="1">
        <f t="array" ref="F300">IF(SUM(IF(PartList[ASSLY MARK]=PartList[[#This Row],[ASSLY MARK]],1,0))&gt;1,"No","Yes")</f>
        <v>Yes</v>
      </c>
      <c r="G300" t="str" cm="1">
        <f t="array" ref="G300">_xlfn.TEXTJOIN("_",TRUE,TRIM(_xlfn.TEXTSPLIT(PartList[[#This Row],[GRID LOCATION]],{"PR01","/","-"})))</f>
        <v>10_11_A_B</v>
      </c>
      <c r="H300" t="str" cm="1">
        <f t="array" ref="H30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00" cm="1">
        <f t="array" ref="I30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00" t="str">
        <f>IF(IFERROR(SEARCH("&gt;",PartList[[#This Row],[ID]]),0),"O",IF(IFERROR(SEARCH("&lt;",PartList[[#This Row],[ID]]),0),"I",""))</f>
        <v/>
      </c>
      <c r="K300" t="str" cm="1">
        <f t="array" ref="K3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300" t="str" cm="1">
        <f t="array" ref="L3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00" t="str">
        <f>_xlfn.TEXTJOIN("#",TRUE,PartList[[#This Row],[ASSLY MARK]],PartList[[#This Row],[BOX NO]],PartList[[#This Row],[In/Out]],PartList[[#This Row],[O1-Grid]])</f>
        <v>6BE22#Box1#InB</v>
      </c>
      <c r="N300" t="str">
        <f>_xlfn.TEXTJOIN("#",TRUE,PartList[[#This Row],[ASSLY MARK]],PartList[[#This Row],[BOX NO]],PartList[[#This Row],[In/Out]],PartList[[#This Row],[O2-Grid]])</f>
        <v>6BE22#Box1#InB</v>
      </c>
      <c r="O300">
        <f>IF(PartList[[#This Row],[Unique]]="Yes",_xlfn.XLOOKUP(PartList[[#This Row],[ASSLY MARK]],FilteredPL!A:A,FilteredPL!B:B,0,0),0)</f>
        <v>0</v>
      </c>
      <c r="P300">
        <f>_xlfn.XLOOKUP(PartList[[#This Row],[ASSLY MARK]],MasterPL[SplitMarkNo],MasterPL[BILL WT.(KG)],0,0)</f>
        <v>0</v>
      </c>
      <c r="Q300" cm="1">
        <f t="array" ref="Q30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00" s="2" t="str">
        <v>C11</v>
      </c>
      <c r="AB300" s="2">
        <f>SUMIF(PartList[ASSLY MARK],AA300,PartList[Avail. Qty])</f>
        <v>1</v>
      </c>
    </row>
    <row r="301" spans="1:28" x14ac:dyDescent="0.25">
      <c r="A301">
        <v>714</v>
      </c>
      <c r="B301" t="s">
        <v>904</v>
      </c>
      <c r="C301" t="s">
        <v>529</v>
      </c>
      <c r="D301" t="s">
        <v>353</v>
      </c>
      <c r="E301" t="s">
        <v>5</v>
      </c>
      <c r="F301" t="str" cm="1">
        <f t="array" ref="F301">IF(SUM(IF(PartList[ASSLY MARK]=PartList[[#This Row],[ASSLY MARK]],1,0))&gt;1,"No","Yes")</f>
        <v>Yes</v>
      </c>
      <c r="G301" t="str" cm="1">
        <f t="array" ref="G301">_xlfn.TEXTJOIN("_",TRUE,TRIM(_xlfn.TEXTSPLIT(PartList[[#This Row],[GRID LOCATION]],{"PR01","/","-"})))</f>
        <v>11_A_B</v>
      </c>
      <c r="H301" t="str" cm="1">
        <f t="array" ref="H30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01" cm="1">
        <f t="array" ref="I30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01" t="str">
        <f>IF(IFERROR(SEARCH("&gt;",PartList[[#This Row],[ID]]),0),"O",IF(IFERROR(SEARCH("&lt;",PartList[[#This Row],[ID]]),0),"I",""))</f>
        <v/>
      </c>
      <c r="K301" t="str" cm="1">
        <f t="array" ref="K3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11_A_B</v>
      </c>
      <c r="L301" t="str" cm="1">
        <f t="array" ref="L3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01" t="str">
        <f>_xlfn.TEXTJOIN("#",TRUE,PartList[[#This Row],[ASSLY MARK]],PartList[[#This Row],[BOX NO]],PartList[[#This Row],[In/Out]],PartList[[#This Row],[O1-Grid]])</f>
        <v>6BE23#Box1#11_A_B</v>
      </c>
      <c r="N301" t="str">
        <f>_xlfn.TEXTJOIN("#",TRUE,PartList[[#This Row],[ASSLY MARK]],PartList[[#This Row],[BOX NO]],PartList[[#This Row],[In/Out]],PartList[[#This Row],[O2-Grid]])</f>
        <v>6BE23#Box1#InB</v>
      </c>
      <c r="O301">
        <f>IF(PartList[[#This Row],[Unique]]="Yes",_xlfn.XLOOKUP(PartList[[#This Row],[ASSLY MARK]],FilteredPL!A:A,FilteredPL!B:B,0,0),0)</f>
        <v>0</v>
      </c>
      <c r="P301">
        <f>_xlfn.XLOOKUP(PartList[[#This Row],[ASSLY MARK]],MasterPL[SplitMarkNo],MasterPL[BILL WT.(KG)],0,0)</f>
        <v>0</v>
      </c>
      <c r="Q301" cm="1">
        <f t="array" ref="Q30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01" s="2" t="str">
        <v>C12</v>
      </c>
      <c r="AB301" s="2">
        <f>SUMIF(PartList[ASSLY MARK],AA301,PartList[Avail. Qty])</f>
        <v>1</v>
      </c>
    </row>
    <row r="302" spans="1:28" x14ac:dyDescent="0.25">
      <c r="A302">
        <v>715</v>
      </c>
      <c r="B302" t="s">
        <v>905</v>
      </c>
      <c r="C302" t="s">
        <v>528</v>
      </c>
      <c r="D302" t="s">
        <v>353</v>
      </c>
      <c r="E302" t="s">
        <v>5</v>
      </c>
      <c r="F302" t="str" cm="1">
        <f t="array" ref="F302">IF(SUM(IF(PartList[ASSLY MARK]=PartList[[#This Row],[ASSLY MARK]],1,0))&gt;1,"No","Yes")</f>
        <v>Yes</v>
      </c>
      <c r="G302" t="str" cm="1">
        <f t="array" ref="G302">_xlfn.TEXTJOIN("_",TRUE,TRIM(_xlfn.TEXTSPLIT(PartList[[#This Row],[GRID LOCATION]],{"PR01","/","-"})))</f>
        <v>11_A'_A</v>
      </c>
      <c r="H302" t="str" cm="1">
        <f t="array" ref="H30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302" cm="1">
        <f t="array" ref="I30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02" t="str">
        <f>IF(IFERROR(SEARCH("&gt;",PartList[[#This Row],[ID]]),0),"O",IF(IFERROR(SEARCH("&lt;",PartList[[#This Row],[ID]]),0),"I",""))</f>
        <v/>
      </c>
      <c r="K302" t="str" cm="1">
        <f t="array" ref="K3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02" t="str" cm="1">
        <f t="array" ref="L3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02" t="str">
        <f>_xlfn.TEXTJOIN("#",TRUE,PartList[[#This Row],[ASSLY MARK]],PartList[[#This Row],[BOX NO]],PartList[[#This Row],[In/Out]],PartList[[#This Row],[O1-Grid]])</f>
        <v>6BE24#Box1_Box4#InBB</v>
      </c>
      <c r="N302" t="str">
        <f>_xlfn.TEXTJOIN("#",TRUE,PartList[[#This Row],[ASSLY MARK]],PartList[[#This Row],[BOX NO]],PartList[[#This Row],[In/Out]],PartList[[#This Row],[O2-Grid]])</f>
        <v>6BE24#Box1_Box4#InBB</v>
      </c>
      <c r="O302">
        <f>IF(PartList[[#This Row],[Unique]]="Yes",_xlfn.XLOOKUP(PartList[[#This Row],[ASSLY MARK]],FilteredPL!A:A,FilteredPL!B:B,0,0),0)</f>
        <v>0</v>
      </c>
      <c r="P302">
        <f>_xlfn.XLOOKUP(PartList[[#This Row],[ASSLY MARK]],MasterPL[SplitMarkNo],MasterPL[BILL WT.(KG)],0,0)</f>
        <v>0</v>
      </c>
      <c r="Q302" cm="1">
        <f t="array" ref="Q30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02" s="2" t="str">
        <v>C13</v>
      </c>
      <c r="AB302" s="2">
        <f>SUMIF(PartList[ASSLY MARK],AA302,PartList[Avail. Qty])</f>
        <v>0</v>
      </c>
    </row>
    <row r="303" spans="1:28" x14ac:dyDescent="0.25">
      <c r="A303">
        <v>716</v>
      </c>
      <c r="B303" t="s">
        <v>906</v>
      </c>
      <c r="C303" t="s">
        <v>529</v>
      </c>
      <c r="D303" t="s">
        <v>353</v>
      </c>
      <c r="E303" t="s">
        <v>5</v>
      </c>
      <c r="F303" t="str" cm="1">
        <f t="array" ref="F303">IF(SUM(IF(PartList[ASSLY MARK]=PartList[[#This Row],[ASSLY MARK]],1,0))&gt;1,"No","Yes")</f>
        <v>Yes</v>
      </c>
      <c r="G303" t="str" cm="1">
        <f t="array" ref="G303">_xlfn.TEXTJOIN("_",TRUE,TRIM(_xlfn.TEXTSPLIT(PartList[[#This Row],[GRID LOCATION]],{"PR01","/","-"})))</f>
        <v>11_A_B</v>
      </c>
      <c r="H303" t="str" cm="1">
        <f t="array" ref="H30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03" cm="1">
        <f t="array" ref="I30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03" t="str">
        <f>IF(IFERROR(SEARCH("&gt;",PartList[[#This Row],[ID]]),0),"O",IF(IFERROR(SEARCH("&lt;",PartList[[#This Row],[ID]]),0),"I",""))</f>
        <v/>
      </c>
      <c r="K303" t="str" cm="1">
        <f t="array" ref="K3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11_A_B</v>
      </c>
      <c r="L303" t="str" cm="1">
        <f t="array" ref="L3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03" t="str">
        <f>_xlfn.TEXTJOIN("#",TRUE,PartList[[#This Row],[ASSLY MARK]],PartList[[#This Row],[BOX NO]],PartList[[#This Row],[In/Out]],PartList[[#This Row],[O1-Grid]])</f>
        <v>6BE25#Box1#11_A_B</v>
      </c>
      <c r="N303" t="str">
        <f>_xlfn.TEXTJOIN("#",TRUE,PartList[[#This Row],[ASSLY MARK]],PartList[[#This Row],[BOX NO]],PartList[[#This Row],[In/Out]],PartList[[#This Row],[O2-Grid]])</f>
        <v>6BE25#Box1#InB</v>
      </c>
      <c r="O303">
        <f>IF(PartList[[#This Row],[Unique]]="Yes",_xlfn.XLOOKUP(PartList[[#This Row],[ASSLY MARK]],FilteredPL!A:A,FilteredPL!B:B,0,0),0)</f>
        <v>0</v>
      </c>
      <c r="P303">
        <f>_xlfn.XLOOKUP(PartList[[#This Row],[ASSLY MARK]],MasterPL[SplitMarkNo],MasterPL[BILL WT.(KG)],0,0)</f>
        <v>0</v>
      </c>
      <c r="Q303" cm="1">
        <f t="array" ref="Q30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03" s="2" t="str">
        <v>C14</v>
      </c>
      <c r="AB303" s="2">
        <f>SUMIF(PartList[ASSLY MARK],AA303,PartList[Avail. Qty])</f>
        <v>1</v>
      </c>
    </row>
    <row r="304" spans="1:28" x14ac:dyDescent="0.25">
      <c r="A304">
        <v>717</v>
      </c>
      <c r="B304" t="s">
        <v>907</v>
      </c>
      <c r="C304" t="s">
        <v>529</v>
      </c>
      <c r="D304" t="s">
        <v>378</v>
      </c>
      <c r="E304" t="s">
        <v>5</v>
      </c>
      <c r="F304" t="str" cm="1">
        <f t="array" ref="F304">IF(SUM(IF(PartList[ASSLY MARK]=PartList[[#This Row],[ASSLY MARK]],1,0))&gt;1,"No","Yes")</f>
        <v>Yes</v>
      </c>
      <c r="G304" t="str" cm="1">
        <f t="array" ref="G304">_xlfn.TEXTJOIN("_",TRUE,TRIM(_xlfn.TEXTSPLIT(PartList[[#This Row],[GRID LOCATION]],{"PR01","/","-"})))</f>
        <v>11_A_B</v>
      </c>
      <c r="H304" t="str" cm="1">
        <f t="array" ref="H30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04" cm="1">
        <f t="array" ref="I30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04" t="str">
        <f>IF(IFERROR(SEARCH("&gt;",PartList[[#This Row],[ID]]),0),"O",IF(IFERROR(SEARCH("&lt;",PartList[[#This Row],[ID]]),0),"I",""))</f>
        <v/>
      </c>
      <c r="K304" t="str" cm="1">
        <f t="array" ref="K3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11_A_B</v>
      </c>
      <c r="L304" t="str" cm="1">
        <f t="array" ref="L3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04" t="str">
        <f>_xlfn.TEXTJOIN("#",TRUE,PartList[[#This Row],[ASSLY MARK]],PartList[[#This Row],[BOX NO]],PartList[[#This Row],[In/Out]],PartList[[#This Row],[O1-Grid]])</f>
        <v>6BE26#Box1#11_A_B</v>
      </c>
      <c r="N304" t="str">
        <f>_xlfn.TEXTJOIN("#",TRUE,PartList[[#This Row],[ASSLY MARK]],PartList[[#This Row],[BOX NO]],PartList[[#This Row],[In/Out]],PartList[[#This Row],[O2-Grid]])</f>
        <v>6BE26#Box1#InB</v>
      </c>
      <c r="O304">
        <f>IF(PartList[[#This Row],[Unique]]="Yes",_xlfn.XLOOKUP(PartList[[#This Row],[ASSLY MARK]],FilteredPL!A:A,FilteredPL!B:B,0,0),0)</f>
        <v>0</v>
      </c>
      <c r="P304">
        <f>_xlfn.XLOOKUP(PartList[[#This Row],[ASSLY MARK]],MasterPL[SplitMarkNo],MasterPL[BILL WT.(KG)],0,0)</f>
        <v>0</v>
      </c>
      <c r="Q304" cm="1">
        <f t="array" ref="Q30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04" s="2" t="str">
        <v>C15</v>
      </c>
      <c r="AB304" s="2">
        <f>SUMIF(PartList[ASSLY MARK],AA304,PartList[Avail. Qty])</f>
        <v>0</v>
      </c>
    </row>
    <row r="305" spans="1:28" x14ac:dyDescent="0.25">
      <c r="A305">
        <v>718</v>
      </c>
      <c r="B305" t="s">
        <v>908</v>
      </c>
      <c r="C305" t="s">
        <v>530</v>
      </c>
      <c r="D305" t="s">
        <v>353</v>
      </c>
      <c r="E305" t="s">
        <v>5</v>
      </c>
      <c r="F305" t="str" cm="1">
        <f t="array" ref="F305">IF(SUM(IF(PartList[ASSLY MARK]=PartList[[#This Row],[ASSLY MARK]],1,0))&gt;1,"No","Yes")</f>
        <v>Yes</v>
      </c>
      <c r="G305" t="str" cm="1">
        <f t="array" ref="G305">_xlfn.TEXTJOIN("_",TRUE,TRIM(_xlfn.TEXTSPLIT(PartList[[#This Row],[GRID LOCATION]],{"PR01","/","-"})))</f>
        <v>11_B&gt;</v>
      </c>
      <c r="H305" t="str" cm="1">
        <f t="array" ref="H30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05" cm="1">
        <f t="array" ref="I30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05" t="str">
        <f>IF(IFERROR(SEARCH("&gt;",PartList[[#This Row],[ID]]),0),"O",IF(IFERROR(SEARCH("&lt;",PartList[[#This Row],[ID]]),0),"I",""))</f>
        <v>O</v>
      </c>
      <c r="K305" t="str" cm="1">
        <f t="array" ref="K3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305" t="str" cm="1">
        <f t="array" ref="L3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305" t="str">
        <f>_xlfn.TEXTJOIN("#",TRUE,PartList[[#This Row],[ASSLY MARK]],PartList[[#This Row],[BOX NO]],PartList[[#This Row],[In/Out]],PartList[[#This Row],[O1-Grid]])</f>
        <v>6BE27#Box1#O</v>
      </c>
      <c r="N305" t="str">
        <f>_xlfn.TEXTJOIN("#",TRUE,PartList[[#This Row],[ASSLY MARK]],PartList[[#This Row],[BOX NO]],PartList[[#This Row],[In/Out]],PartList[[#This Row],[O2-Grid]])</f>
        <v>6BE27#Box1#O</v>
      </c>
      <c r="O305">
        <f>IF(PartList[[#This Row],[Unique]]="Yes",_xlfn.XLOOKUP(PartList[[#This Row],[ASSLY MARK]],FilteredPL!A:A,FilteredPL!B:B,0,0),0)</f>
        <v>0</v>
      </c>
      <c r="P305">
        <f>_xlfn.XLOOKUP(PartList[[#This Row],[ASSLY MARK]],MasterPL[SplitMarkNo],MasterPL[BILL WT.(KG)],0,0)</f>
        <v>0</v>
      </c>
      <c r="Q305" cm="1">
        <f t="array" ref="Q30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05" s="2" t="str">
        <v>C16</v>
      </c>
      <c r="AB305" s="2">
        <f>SUMIF(PartList[ASSLY MARK],AA305,PartList[Avail. Qty])</f>
        <v>0</v>
      </c>
    </row>
    <row r="306" spans="1:28" x14ac:dyDescent="0.25">
      <c r="A306">
        <v>720</v>
      </c>
      <c r="B306" t="s">
        <v>910</v>
      </c>
      <c r="C306" t="s">
        <v>511</v>
      </c>
      <c r="D306" t="s">
        <v>353</v>
      </c>
      <c r="E306" t="s">
        <v>5</v>
      </c>
      <c r="F306" t="str" cm="1">
        <f t="array" ref="F306">IF(SUM(IF(PartList[ASSLY MARK]=PartList[[#This Row],[ASSLY MARK]],1,0))&gt;1,"No","Yes")</f>
        <v>No</v>
      </c>
      <c r="G306" t="str" cm="1">
        <f t="array" ref="G306">_xlfn.TEXTJOIN("_",TRUE,TRIM(_xlfn.TEXTSPLIT(PartList[[#This Row],[GRID LOCATION]],{"PR01","/","-"})))</f>
        <v>11_12_A'_A</v>
      </c>
      <c r="H306" t="str" cm="1">
        <f t="array" ref="H30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306" cm="1">
        <f t="array" ref="I30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06" t="str">
        <f>IF(IFERROR(SEARCH("&gt;",PartList[[#This Row],[ID]]),0),"O",IF(IFERROR(SEARCH("&lt;",PartList[[#This Row],[ID]]),0),"I",""))</f>
        <v/>
      </c>
      <c r="K306" t="str" cm="1">
        <f t="array" ref="K3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06" t="str" cm="1">
        <f t="array" ref="L3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06" t="str">
        <f>_xlfn.TEXTJOIN("#",TRUE,PartList[[#This Row],[ASSLY MARK]],PartList[[#This Row],[BOX NO]],PartList[[#This Row],[In/Out]],PartList[[#This Row],[O1-Grid]])</f>
        <v>6BE29#Box1_Box2_Box4_Box5#InBB</v>
      </c>
      <c r="N306" t="str">
        <f>_xlfn.TEXTJOIN("#",TRUE,PartList[[#This Row],[ASSLY MARK]],PartList[[#This Row],[BOX NO]],PartList[[#This Row],[In/Out]],PartList[[#This Row],[O2-Grid]])</f>
        <v>6BE29#Box1_Box2_Box4_Box5#InBB</v>
      </c>
      <c r="O306">
        <f>IF(PartList[[#This Row],[Unique]]="Yes",_xlfn.XLOOKUP(PartList[[#This Row],[ASSLY MARK]],FilteredPL!A:A,FilteredPL!B:B,0,0),0)</f>
        <v>0</v>
      </c>
      <c r="P306">
        <f>_xlfn.XLOOKUP(PartList[[#This Row],[ASSLY MARK]],MasterPL[SplitMarkNo],MasterPL[BILL WT.(KG)],0,0)</f>
        <v>0</v>
      </c>
      <c r="Q306" cm="1">
        <f t="array" ref="Q30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06" s="2" t="str">
        <v>C17</v>
      </c>
      <c r="AB306" s="2">
        <f>SUMIF(PartList[ASSLY MARK],AA306,PartList[Avail. Qty])</f>
        <v>0</v>
      </c>
    </row>
    <row r="307" spans="1:28" x14ac:dyDescent="0.25">
      <c r="A307">
        <v>721</v>
      </c>
      <c r="B307" t="s">
        <v>910</v>
      </c>
      <c r="C307" t="s">
        <v>511</v>
      </c>
      <c r="D307" t="s">
        <v>353</v>
      </c>
      <c r="E307" t="s">
        <v>5</v>
      </c>
      <c r="F307" t="str" cm="1">
        <f t="array" ref="F307">IF(SUM(IF(PartList[ASSLY MARK]=PartList[[#This Row],[ASSLY MARK]],1,0))&gt;1,"No","Yes")</f>
        <v>No</v>
      </c>
      <c r="G307" t="str" cm="1">
        <f t="array" ref="G307">_xlfn.TEXTJOIN("_",TRUE,TRIM(_xlfn.TEXTSPLIT(PartList[[#This Row],[GRID LOCATION]],{"PR01","/","-"})))</f>
        <v>11_12_A'_A</v>
      </c>
      <c r="H307" t="str" cm="1">
        <f t="array" ref="H30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307" cm="1">
        <f t="array" ref="I30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07" t="str">
        <f>IF(IFERROR(SEARCH("&gt;",PartList[[#This Row],[ID]]),0),"O",IF(IFERROR(SEARCH("&lt;",PartList[[#This Row],[ID]]),0),"I",""))</f>
        <v/>
      </c>
      <c r="K307" t="str" cm="1">
        <f t="array" ref="K3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07" t="str" cm="1">
        <f t="array" ref="L3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07" t="str">
        <f>_xlfn.TEXTJOIN("#",TRUE,PartList[[#This Row],[ASSLY MARK]],PartList[[#This Row],[BOX NO]],PartList[[#This Row],[In/Out]],PartList[[#This Row],[O1-Grid]])</f>
        <v>6BE29#Box1_Box2_Box4_Box5#InBB</v>
      </c>
      <c r="N307" t="str">
        <f>_xlfn.TEXTJOIN("#",TRUE,PartList[[#This Row],[ASSLY MARK]],PartList[[#This Row],[BOX NO]],PartList[[#This Row],[In/Out]],PartList[[#This Row],[O2-Grid]])</f>
        <v>6BE29#Box1_Box2_Box4_Box5#InBB</v>
      </c>
      <c r="O307">
        <f>IF(PartList[[#This Row],[Unique]]="Yes",_xlfn.XLOOKUP(PartList[[#This Row],[ASSLY MARK]],FilteredPL!A:A,FilteredPL!B:B,0,0),0)</f>
        <v>0</v>
      </c>
      <c r="P307">
        <f>_xlfn.XLOOKUP(PartList[[#This Row],[ASSLY MARK]],MasterPL[SplitMarkNo],MasterPL[BILL WT.(KG)],0,0)</f>
        <v>0</v>
      </c>
      <c r="Q307" cm="1">
        <f t="array" ref="Q30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07" s="2" t="str">
        <v>C21</v>
      </c>
      <c r="AB307" s="2">
        <f>SUMIF(PartList[ASSLY MARK],AA307,PartList[Avail. Qty])</f>
        <v>0</v>
      </c>
    </row>
    <row r="308" spans="1:28" x14ac:dyDescent="0.25">
      <c r="A308">
        <v>722</v>
      </c>
      <c r="B308" t="s">
        <v>910</v>
      </c>
      <c r="C308" t="s">
        <v>511</v>
      </c>
      <c r="D308" t="s">
        <v>353</v>
      </c>
      <c r="E308" t="s">
        <v>5</v>
      </c>
      <c r="F308" t="str" cm="1">
        <f t="array" ref="F308">IF(SUM(IF(PartList[ASSLY MARK]=PartList[[#This Row],[ASSLY MARK]],1,0))&gt;1,"No","Yes")</f>
        <v>No</v>
      </c>
      <c r="G308" t="str" cm="1">
        <f t="array" ref="G308">_xlfn.TEXTJOIN("_",TRUE,TRIM(_xlfn.TEXTSPLIT(PartList[[#This Row],[GRID LOCATION]],{"PR01","/","-"})))</f>
        <v>11_12_A'_A</v>
      </c>
      <c r="H308" t="str" cm="1">
        <f t="array" ref="H30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308" cm="1">
        <f t="array" ref="I30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08" t="str">
        <f>IF(IFERROR(SEARCH("&gt;",PartList[[#This Row],[ID]]),0),"O",IF(IFERROR(SEARCH("&lt;",PartList[[#This Row],[ID]]),0),"I",""))</f>
        <v/>
      </c>
      <c r="K308" t="str" cm="1">
        <f t="array" ref="K3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08" t="str" cm="1">
        <f t="array" ref="L3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08" t="str">
        <f>_xlfn.TEXTJOIN("#",TRUE,PartList[[#This Row],[ASSLY MARK]],PartList[[#This Row],[BOX NO]],PartList[[#This Row],[In/Out]],PartList[[#This Row],[O1-Grid]])</f>
        <v>6BE29#Box1_Box2_Box4_Box5#InBB</v>
      </c>
      <c r="N308" t="str">
        <f>_xlfn.TEXTJOIN("#",TRUE,PartList[[#This Row],[ASSLY MARK]],PartList[[#This Row],[BOX NO]],PartList[[#This Row],[In/Out]],PartList[[#This Row],[O2-Grid]])</f>
        <v>6BE29#Box1_Box2_Box4_Box5#InBB</v>
      </c>
      <c r="O308">
        <f>IF(PartList[[#This Row],[Unique]]="Yes",_xlfn.XLOOKUP(PartList[[#This Row],[ASSLY MARK]],FilteredPL!A:A,FilteredPL!B:B,0,0),0)</f>
        <v>0</v>
      </c>
      <c r="P308">
        <f>_xlfn.XLOOKUP(PartList[[#This Row],[ASSLY MARK]],MasterPL[SplitMarkNo],MasterPL[BILL WT.(KG)],0,0)</f>
        <v>0</v>
      </c>
      <c r="Q308" cm="1">
        <f t="array" ref="Q30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08" s="2" t="str">
        <v>C37</v>
      </c>
      <c r="AB308" s="2">
        <f>SUMIF(PartList[ASSLY MARK],AA308,PartList[Avail. Qty])</f>
        <v>1</v>
      </c>
    </row>
    <row r="309" spans="1:28" x14ac:dyDescent="0.25">
      <c r="A309">
        <v>723</v>
      </c>
      <c r="B309" t="s">
        <v>910</v>
      </c>
      <c r="C309" t="s">
        <v>511</v>
      </c>
      <c r="D309" t="s">
        <v>353</v>
      </c>
      <c r="E309" t="s">
        <v>5</v>
      </c>
      <c r="F309" t="str" cm="1">
        <f t="array" ref="F309">IF(SUM(IF(PartList[ASSLY MARK]=PartList[[#This Row],[ASSLY MARK]],1,0))&gt;1,"No","Yes")</f>
        <v>No</v>
      </c>
      <c r="G309" t="str" cm="1">
        <f t="array" ref="G309">_xlfn.TEXTJOIN("_",TRUE,TRIM(_xlfn.TEXTSPLIT(PartList[[#This Row],[GRID LOCATION]],{"PR01","/","-"})))</f>
        <v>11_12_A'_A</v>
      </c>
      <c r="H309" t="str" cm="1">
        <f t="array" ref="H30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309" cm="1">
        <f t="array" ref="I30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09" t="str">
        <f>IF(IFERROR(SEARCH("&gt;",PartList[[#This Row],[ID]]),0),"O",IF(IFERROR(SEARCH("&lt;",PartList[[#This Row],[ID]]),0),"I",""))</f>
        <v/>
      </c>
      <c r="K309" t="str" cm="1">
        <f t="array" ref="K3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09" t="str" cm="1">
        <f t="array" ref="L3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09" t="str">
        <f>_xlfn.TEXTJOIN("#",TRUE,PartList[[#This Row],[ASSLY MARK]],PartList[[#This Row],[BOX NO]],PartList[[#This Row],[In/Out]],PartList[[#This Row],[O1-Grid]])</f>
        <v>6BE29#Box1_Box2_Box4_Box5#InBB</v>
      </c>
      <c r="N309" t="str">
        <f>_xlfn.TEXTJOIN("#",TRUE,PartList[[#This Row],[ASSLY MARK]],PartList[[#This Row],[BOX NO]],PartList[[#This Row],[In/Out]],PartList[[#This Row],[O2-Grid]])</f>
        <v>6BE29#Box1_Box2_Box4_Box5#InBB</v>
      </c>
      <c r="O309">
        <f>IF(PartList[[#This Row],[Unique]]="Yes",_xlfn.XLOOKUP(PartList[[#This Row],[ASSLY MARK]],FilteredPL!A:A,FilteredPL!B:B,0,0),0)</f>
        <v>0</v>
      </c>
      <c r="P309">
        <f>_xlfn.XLOOKUP(PartList[[#This Row],[ASSLY MARK]],MasterPL[SplitMarkNo],MasterPL[BILL WT.(KG)],0,0)</f>
        <v>0</v>
      </c>
      <c r="Q309" cm="1">
        <f t="array" ref="Q30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09" s="2" t="str">
        <v>C38</v>
      </c>
      <c r="AB309" s="2">
        <f>SUMIF(PartList[ASSLY MARK],AA309,PartList[Avail. Qty])</f>
        <v>1</v>
      </c>
    </row>
    <row r="310" spans="1:28" x14ac:dyDescent="0.25">
      <c r="A310">
        <v>725</v>
      </c>
      <c r="B310" t="s">
        <v>910</v>
      </c>
      <c r="C310" t="s">
        <v>511</v>
      </c>
      <c r="D310" t="s">
        <v>353</v>
      </c>
      <c r="E310" t="s">
        <v>5</v>
      </c>
      <c r="F310" t="str" cm="1">
        <f t="array" ref="F310">IF(SUM(IF(PartList[ASSLY MARK]=PartList[[#This Row],[ASSLY MARK]],1,0))&gt;1,"No","Yes")</f>
        <v>No</v>
      </c>
      <c r="G310" t="str" cm="1">
        <f t="array" ref="G310">_xlfn.TEXTJOIN("_",TRUE,TRIM(_xlfn.TEXTSPLIT(PartList[[#This Row],[GRID LOCATION]],{"PR01","/","-"})))</f>
        <v>11_12_A'_A</v>
      </c>
      <c r="H310" t="str" cm="1">
        <f t="array" ref="H31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310" cm="1">
        <f t="array" ref="I31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10" t="str">
        <f>IF(IFERROR(SEARCH("&gt;",PartList[[#This Row],[ID]]),0),"O",IF(IFERROR(SEARCH("&lt;",PartList[[#This Row],[ID]]),0),"I",""))</f>
        <v/>
      </c>
      <c r="K310" t="str" cm="1">
        <f t="array" ref="K3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10" t="str" cm="1">
        <f t="array" ref="L3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10" t="str">
        <f>_xlfn.TEXTJOIN("#",TRUE,PartList[[#This Row],[ASSLY MARK]],PartList[[#This Row],[BOX NO]],PartList[[#This Row],[In/Out]],PartList[[#This Row],[O1-Grid]])</f>
        <v>6BE29#Box1_Box2_Box4_Box5#InBB</v>
      </c>
      <c r="N310" t="str">
        <f>_xlfn.TEXTJOIN("#",TRUE,PartList[[#This Row],[ASSLY MARK]],PartList[[#This Row],[BOX NO]],PartList[[#This Row],[In/Out]],PartList[[#This Row],[O2-Grid]])</f>
        <v>6BE29#Box1_Box2_Box4_Box5#InBB</v>
      </c>
      <c r="O310">
        <f>IF(PartList[[#This Row],[Unique]]="Yes",_xlfn.XLOOKUP(PartList[[#This Row],[ASSLY MARK]],FilteredPL!A:A,FilteredPL!B:B,0,0),0)</f>
        <v>0</v>
      </c>
      <c r="P310">
        <f>_xlfn.XLOOKUP(PartList[[#This Row],[ASSLY MARK]],MasterPL[SplitMarkNo],MasterPL[BILL WT.(KG)],0,0)</f>
        <v>0</v>
      </c>
      <c r="Q310" cm="1">
        <f t="array" ref="Q31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10" s="2" t="str">
        <v>SF01</v>
      </c>
      <c r="AB310" s="2">
        <f>SUMIF(PartList[ASSLY MARK],AA310,PartList[Avail. Qty])</f>
        <v>24</v>
      </c>
    </row>
    <row r="311" spans="1:28" x14ac:dyDescent="0.25">
      <c r="A311">
        <v>727</v>
      </c>
      <c r="B311" t="s">
        <v>911</v>
      </c>
      <c r="C311" t="s">
        <v>532</v>
      </c>
      <c r="D311" t="s">
        <v>912</v>
      </c>
      <c r="E311" t="s">
        <v>5</v>
      </c>
      <c r="F311" t="str" cm="1">
        <f t="array" ref="F311">IF(SUM(IF(PartList[ASSLY MARK]=PartList[[#This Row],[ASSLY MARK]],1,0))&gt;1,"No","Yes")</f>
        <v>No</v>
      </c>
      <c r="G311" t="str" cm="1">
        <f t="array" ref="G311">_xlfn.TEXTJOIN("_",TRUE,TRIM(_xlfn.TEXTSPLIT(PartList[[#This Row],[GRID LOCATION]],{"PR01","/","-"})))</f>
        <v>11_12_A_B</v>
      </c>
      <c r="H311" t="str" cm="1">
        <f t="array" ref="H31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11" cm="1">
        <f t="array" ref="I31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11" t="str">
        <f>IF(IFERROR(SEARCH("&gt;",PartList[[#This Row],[ID]]),0),"O",IF(IFERROR(SEARCH("&lt;",PartList[[#This Row],[ID]]),0),"I",""))</f>
        <v/>
      </c>
      <c r="K311" t="str" cm="1">
        <f t="array" ref="K3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11" t="str" cm="1">
        <f t="array" ref="L3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11" t="str">
        <f>_xlfn.TEXTJOIN("#",TRUE,PartList[[#This Row],[ASSLY MARK]],PartList[[#This Row],[BOX NO]],PartList[[#This Row],[In/Out]],PartList[[#This Row],[O1-Grid]])</f>
        <v>6BE30#Box1_Box2#InBB</v>
      </c>
      <c r="N311" t="str">
        <f>_xlfn.TEXTJOIN("#",TRUE,PartList[[#This Row],[ASSLY MARK]],PartList[[#This Row],[BOX NO]],PartList[[#This Row],[In/Out]],PartList[[#This Row],[O2-Grid]])</f>
        <v>6BE30#Box1_Box2#InBB</v>
      </c>
      <c r="O311">
        <f>IF(PartList[[#This Row],[Unique]]="Yes",_xlfn.XLOOKUP(PartList[[#This Row],[ASSLY MARK]],FilteredPL!A:A,FilteredPL!B:B,0,0),0)</f>
        <v>0</v>
      </c>
      <c r="P311">
        <f>_xlfn.XLOOKUP(PartList[[#This Row],[ASSLY MARK]],MasterPL[SplitMarkNo],MasterPL[BILL WT.(KG)],0,0)</f>
        <v>0</v>
      </c>
      <c r="Q311" cm="1">
        <f t="array" ref="Q31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11" s="2" t="str">
        <v>SF02</v>
      </c>
      <c r="AB311" s="2">
        <f>SUMIF(PartList[ASSLY MARK],AA311,PartList[Avail. Qty])</f>
        <v>76</v>
      </c>
    </row>
    <row r="312" spans="1:28" x14ac:dyDescent="0.25">
      <c r="A312">
        <v>729</v>
      </c>
      <c r="B312" t="s">
        <v>911</v>
      </c>
      <c r="C312" t="s">
        <v>532</v>
      </c>
      <c r="D312" t="s">
        <v>912</v>
      </c>
      <c r="E312" t="s">
        <v>5</v>
      </c>
      <c r="F312" t="str" cm="1">
        <f t="array" ref="F312">IF(SUM(IF(PartList[ASSLY MARK]=PartList[[#This Row],[ASSLY MARK]],1,0))&gt;1,"No","Yes")</f>
        <v>No</v>
      </c>
      <c r="G312" t="str" cm="1">
        <f t="array" ref="G312">_xlfn.TEXTJOIN("_",TRUE,TRIM(_xlfn.TEXTSPLIT(PartList[[#This Row],[GRID LOCATION]],{"PR01","/","-"})))</f>
        <v>11_12_A_B</v>
      </c>
      <c r="H312" t="str" cm="1">
        <f t="array" ref="H31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12" cm="1">
        <f t="array" ref="I31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12" t="str">
        <f>IF(IFERROR(SEARCH("&gt;",PartList[[#This Row],[ID]]),0),"O",IF(IFERROR(SEARCH("&lt;",PartList[[#This Row],[ID]]),0),"I",""))</f>
        <v/>
      </c>
      <c r="K312" t="str" cm="1">
        <f t="array" ref="K3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12" t="str" cm="1">
        <f t="array" ref="L3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12" t="str">
        <f>_xlfn.TEXTJOIN("#",TRUE,PartList[[#This Row],[ASSLY MARK]],PartList[[#This Row],[BOX NO]],PartList[[#This Row],[In/Out]],PartList[[#This Row],[O1-Grid]])</f>
        <v>6BE30#Box1_Box2#InBB</v>
      </c>
      <c r="N312" t="str">
        <f>_xlfn.TEXTJOIN("#",TRUE,PartList[[#This Row],[ASSLY MARK]],PartList[[#This Row],[BOX NO]],PartList[[#This Row],[In/Out]],PartList[[#This Row],[O2-Grid]])</f>
        <v>6BE30#Box1_Box2#InBB</v>
      </c>
      <c r="O312">
        <f>IF(PartList[[#This Row],[Unique]]="Yes",_xlfn.XLOOKUP(PartList[[#This Row],[ASSLY MARK]],FilteredPL!A:A,FilteredPL!B:B,0,0),0)</f>
        <v>0</v>
      </c>
      <c r="P312">
        <f>_xlfn.XLOOKUP(PartList[[#This Row],[ASSLY MARK]],MasterPL[SplitMarkNo],MasterPL[BILL WT.(KG)],0,0)</f>
        <v>0</v>
      </c>
      <c r="Q312" cm="1">
        <f t="array" ref="Q31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12" s="2" t="str">
        <v>SF03</v>
      </c>
      <c r="AB312" s="2">
        <f>SUMIF(PartList[ASSLY MARK],AA312,PartList[Avail. Qty])</f>
        <v>12</v>
      </c>
    </row>
    <row r="313" spans="1:28" x14ac:dyDescent="0.25">
      <c r="A313">
        <v>730</v>
      </c>
      <c r="B313" t="s">
        <v>913</v>
      </c>
      <c r="C313" t="s">
        <v>532</v>
      </c>
      <c r="D313" t="s">
        <v>355</v>
      </c>
      <c r="E313" t="s">
        <v>5</v>
      </c>
      <c r="F313" t="str" cm="1">
        <f t="array" ref="F313">IF(SUM(IF(PartList[ASSLY MARK]=PartList[[#This Row],[ASSLY MARK]],1,0))&gt;1,"No","Yes")</f>
        <v>Yes</v>
      </c>
      <c r="G313" t="str" cm="1">
        <f t="array" ref="G313">_xlfn.TEXTJOIN("_",TRUE,TRIM(_xlfn.TEXTSPLIT(PartList[[#This Row],[GRID LOCATION]],{"PR01","/","-"})))</f>
        <v>11_12_A_B</v>
      </c>
      <c r="H313" t="str" cm="1">
        <f t="array" ref="H31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13" cm="1">
        <f t="array" ref="I31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13" t="str">
        <f>IF(IFERROR(SEARCH("&gt;",PartList[[#This Row],[ID]]),0),"O",IF(IFERROR(SEARCH("&lt;",PartList[[#This Row],[ID]]),0),"I",""))</f>
        <v/>
      </c>
      <c r="K313" t="str" cm="1">
        <f t="array" ref="K3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13" t="str" cm="1">
        <f t="array" ref="L3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13" t="str">
        <f>_xlfn.TEXTJOIN("#",TRUE,PartList[[#This Row],[ASSLY MARK]],PartList[[#This Row],[BOX NO]],PartList[[#This Row],[In/Out]],PartList[[#This Row],[O1-Grid]])</f>
        <v>6BE31#Box1_Box2#InBB</v>
      </c>
      <c r="N313" t="str">
        <f>_xlfn.TEXTJOIN("#",TRUE,PartList[[#This Row],[ASSLY MARK]],PartList[[#This Row],[BOX NO]],PartList[[#This Row],[In/Out]],PartList[[#This Row],[O2-Grid]])</f>
        <v>6BE31#Box1_Box2#InBB</v>
      </c>
      <c r="O313">
        <f>IF(PartList[[#This Row],[Unique]]="Yes",_xlfn.XLOOKUP(PartList[[#This Row],[ASSLY MARK]],FilteredPL!A:A,FilteredPL!B:B,0,0),0)</f>
        <v>0</v>
      </c>
      <c r="P313">
        <f>_xlfn.XLOOKUP(PartList[[#This Row],[ASSLY MARK]],MasterPL[SplitMarkNo],MasterPL[BILL WT.(KG)],0,0)</f>
        <v>0</v>
      </c>
      <c r="Q313" cm="1">
        <f t="array" ref="Q31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13" s="2" t="str">
        <v>SF04</v>
      </c>
      <c r="AB313" s="2">
        <f>SUMIF(PartList[ASSLY MARK],AA313,PartList[Avail. Qty])</f>
        <v>37</v>
      </c>
    </row>
    <row r="314" spans="1:28" x14ac:dyDescent="0.25">
      <c r="A314">
        <v>731</v>
      </c>
      <c r="B314" t="s">
        <v>914</v>
      </c>
      <c r="C314" t="s">
        <v>511</v>
      </c>
      <c r="D314" t="s">
        <v>353</v>
      </c>
      <c r="E314" t="s">
        <v>5</v>
      </c>
      <c r="F314" t="str" cm="1">
        <f t="array" ref="F314">IF(SUM(IF(PartList[ASSLY MARK]=PartList[[#This Row],[ASSLY MARK]],1,0))&gt;1,"No","Yes")</f>
        <v>Yes</v>
      </c>
      <c r="G314" t="str" cm="1">
        <f t="array" ref="G314">_xlfn.TEXTJOIN("_",TRUE,TRIM(_xlfn.TEXTSPLIT(PartList[[#This Row],[GRID LOCATION]],{"PR01","/","-"})))</f>
        <v>11_12_A'_A</v>
      </c>
      <c r="H314" t="str" cm="1">
        <f t="array" ref="H31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314" cm="1">
        <f t="array" ref="I31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14" t="str">
        <f>IF(IFERROR(SEARCH("&gt;",PartList[[#This Row],[ID]]),0),"O",IF(IFERROR(SEARCH("&lt;",PartList[[#This Row],[ID]]),0),"I",""))</f>
        <v/>
      </c>
      <c r="K314" t="str" cm="1">
        <f t="array" ref="K3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14" t="str" cm="1">
        <f t="array" ref="L3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14" t="str">
        <f>_xlfn.TEXTJOIN("#",TRUE,PartList[[#This Row],[ASSLY MARK]],PartList[[#This Row],[BOX NO]],PartList[[#This Row],[In/Out]],PartList[[#This Row],[O1-Grid]])</f>
        <v>6BE32#Box1_Box2_Box4_Box5#InBB</v>
      </c>
      <c r="N314" t="str">
        <f>_xlfn.TEXTJOIN("#",TRUE,PartList[[#This Row],[ASSLY MARK]],PartList[[#This Row],[BOX NO]],PartList[[#This Row],[In/Out]],PartList[[#This Row],[O2-Grid]])</f>
        <v>6BE32#Box1_Box2_Box4_Box5#InBB</v>
      </c>
      <c r="O314">
        <f>IF(PartList[[#This Row],[Unique]]="Yes",_xlfn.XLOOKUP(PartList[[#This Row],[ASSLY MARK]],FilteredPL!A:A,FilteredPL!B:B,0,0),0)</f>
        <v>0</v>
      </c>
      <c r="P314">
        <f>_xlfn.XLOOKUP(PartList[[#This Row],[ASSLY MARK]],MasterPL[SplitMarkNo],MasterPL[BILL WT.(KG)],0,0)</f>
        <v>0</v>
      </c>
      <c r="Q314" cm="1">
        <f t="array" ref="Q31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14" s="2" t="str">
        <v>SF05</v>
      </c>
      <c r="AB314" s="2">
        <f>SUMIF(PartList[ASSLY MARK],AA314,PartList[Avail. Qty])</f>
        <v>8</v>
      </c>
    </row>
    <row r="315" spans="1:28" x14ac:dyDescent="0.25">
      <c r="A315">
        <v>732</v>
      </c>
      <c r="B315" t="s">
        <v>915</v>
      </c>
      <c r="C315" t="s">
        <v>532</v>
      </c>
      <c r="D315" t="s">
        <v>353</v>
      </c>
      <c r="E315" t="s">
        <v>5</v>
      </c>
      <c r="F315" t="str" cm="1">
        <f t="array" ref="F315">IF(SUM(IF(PartList[ASSLY MARK]=PartList[[#This Row],[ASSLY MARK]],1,0))&gt;1,"No","Yes")</f>
        <v>Yes</v>
      </c>
      <c r="G315" t="str" cm="1">
        <f t="array" ref="G315">_xlfn.TEXTJOIN("_",TRUE,TRIM(_xlfn.TEXTSPLIT(PartList[[#This Row],[GRID LOCATION]],{"PR01","/","-"})))</f>
        <v>11_12_A_B</v>
      </c>
      <c r="H315" t="str" cm="1">
        <f t="array" ref="H31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15" cm="1">
        <f t="array" ref="I31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15" t="str">
        <f>IF(IFERROR(SEARCH("&gt;",PartList[[#This Row],[ID]]),0),"O",IF(IFERROR(SEARCH("&lt;",PartList[[#This Row],[ID]]),0),"I",""))</f>
        <v/>
      </c>
      <c r="K315" t="str" cm="1">
        <f t="array" ref="K3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15" t="str" cm="1">
        <f t="array" ref="L3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15" t="str">
        <f>_xlfn.TEXTJOIN("#",TRUE,PartList[[#This Row],[ASSLY MARK]],PartList[[#This Row],[BOX NO]],PartList[[#This Row],[In/Out]],PartList[[#This Row],[O1-Grid]])</f>
        <v>6BE33#Box1_Box2#InBB</v>
      </c>
      <c r="N315" t="str">
        <f>_xlfn.TEXTJOIN("#",TRUE,PartList[[#This Row],[ASSLY MARK]],PartList[[#This Row],[BOX NO]],PartList[[#This Row],[In/Out]],PartList[[#This Row],[O2-Grid]])</f>
        <v>6BE33#Box1_Box2#InBB</v>
      </c>
      <c r="O315">
        <f>IF(PartList[[#This Row],[Unique]]="Yes",_xlfn.XLOOKUP(PartList[[#This Row],[ASSLY MARK]],FilteredPL!A:A,FilteredPL!B:B,0,0),0)</f>
        <v>0</v>
      </c>
      <c r="P315">
        <f>_xlfn.XLOOKUP(PartList[[#This Row],[ASSLY MARK]],MasterPL[SplitMarkNo],MasterPL[BILL WT.(KG)],0,0)</f>
        <v>0</v>
      </c>
      <c r="Q315" cm="1">
        <f t="array" ref="Q31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15" s="2" t="str">
        <v>SF06</v>
      </c>
      <c r="AB315" s="2">
        <f>SUMIF(PartList[ASSLY MARK],AA315,PartList[Avail. Qty])</f>
        <v>4</v>
      </c>
    </row>
    <row r="316" spans="1:28" x14ac:dyDescent="0.25">
      <c r="A316">
        <v>733</v>
      </c>
      <c r="B316" t="s">
        <v>916</v>
      </c>
      <c r="C316" t="s">
        <v>534</v>
      </c>
      <c r="D316" t="s">
        <v>378</v>
      </c>
      <c r="E316" t="s">
        <v>5</v>
      </c>
      <c r="F316" t="str" cm="1">
        <f t="array" ref="F316">IF(SUM(IF(PartList[ASSLY MARK]=PartList[[#This Row],[ASSLY MARK]],1,0))&gt;1,"No","Yes")</f>
        <v>Yes</v>
      </c>
      <c r="G316" t="str" cm="1">
        <f t="array" ref="G316">_xlfn.TEXTJOIN("_",TRUE,TRIM(_xlfn.TEXTSPLIT(PartList[[#This Row],[GRID LOCATION]],{"PR01","/","-"})))</f>
        <v>11_12_B</v>
      </c>
      <c r="H316" t="str" cm="1">
        <f t="array" ref="H31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16" cm="1">
        <f t="array" ref="I31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16" t="str">
        <f>IF(IFERROR(SEARCH("&gt;",PartList[[#This Row],[ID]]),0),"O",IF(IFERROR(SEARCH("&lt;",PartList[[#This Row],[ID]]),0),"I",""))</f>
        <v/>
      </c>
      <c r="K316" t="str" cm="1">
        <f t="array" ref="K3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16" t="str" cm="1">
        <f t="array" ref="L3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16" t="str">
        <f>_xlfn.TEXTJOIN("#",TRUE,PartList[[#This Row],[ASSLY MARK]],PartList[[#This Row],[BOX NO]],PartList[[#This Row],[In/Out]],PartList[[#This Row],[O1-Grid]])</f>
        <v>6BE34#Box1_Box2#InBB</v>
      </c>
      <c r="N316" t="str">
        <f>_xlfn.TEXTJOIN("#",TRUE,PartList[[#This Row],[ASSLY MARK]],PartList[[#This Row],[BOX NO]],PartList[[#This Row],[In/Out]],PartList[[#This Row],[O2-Grid]])</f>
        <v>6BE34#Box1_Box2#InBB</v>
      </c>
      <c r="O316">
        <f>IF(PartList[[#This Row],[Unique]]="Yes",_xlfn.XLOOKUP(PartList[[#This Row],[ASSLY MARK]],FilteredPL!A:A,FilteredPL!B:B,0,0),0)</f>
        <v>0</v>
      </c>
      <c r="P316">
        <f>_xlfn.XLOOKUP(PartList[[#This Row],[ASSLY MARK]],MasterPL[SplitMarkNo],MasterPL[BILL WT.(KG)],0,0)</f>
        <v>0</v>
      </c>
      <c r="Q316" cm="1">
        <f t="array" ref="Q31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16" s="2" t="str">
        <v>SF11</v>
      </c>
      <c r="AB316" s="2">
        <f>SUMIF(PartList[ASSLY MARK],AA316,PartList[Avail. Qty])</f>
        <v>0</v>
      </c>
    </row>
    <row r="317" spans="1:28" x14ac:dyDescent="0.25">
      <c r="A317">
        <v>734</v>
      </c>
      <c r="B317" t="s">
        <v>917</v>
      </c>
      <c r="C317" t="s">
        <v>533</v>
      </c>
      <c r="D317" t="s">
        <v>353</v>
      </c>
      <c r="E317" t="s">
        <v>5</v>
      </c>
      <c r="F317" t="str" cm="1">
        <f t="array" ref="F317">IF(SUM(IF(PartList[ASSLY MARK]=PartList[[#This Row],[ASSLY MARK]],1,0))&gt;1,"No","Yes")</f>
        <v>Yes</v>
      </c>
      <c r="G317" t="str" cm="1">
        <f t="array" ref="G317">_xlfn.TEXTJOIN("_",TRUE,TRIM(_xlfn.TEXTSPLIT(PartList[[#This Row],[GRID LOCATION]],{"PR01","/","-"})))</f>
        <v>11_12_A</v>
      </c>
      <c r="H317" t="str" cm="1">
        <f t="array" ref="H31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17" cm="1">
        <f t="array" ref="I31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17" t="str">
        <f>IF(IFERROR(SEARCH("&gt;",PartList[[#This Row],[ID]]),0),"O",IF(IFERROR(SEARCH("&lt;",PartList[[#This Row],[ID]]),0),"I",""))</f>
        <v/>
      </c>
      <c r="K317" t="str" cm="1">
        <f t="array" ref="K3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17" t="str" cm="1">
        <f t="array" ref="L3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17" t="str">
        <f>_xlfn.TEXTJOIN("#",TRUE,PartList[[#This Row],[ASSLY MARK]],PartList[[#This Row],[BOX NO]],PartList[[#This Row],[In/Out]],PartList[[#This Row],[O1-Grid]])</f>
        <v>6BE35#Box1_Box2#InBB</v>
      </c>
      <c r="N317" t="str">
        <f>_xlfn.TEXTJOIN("#",TRUE,PartList[[#This Row],[ASSLY MARK]],PartList[[#This Row],[BOX NO]],PartList[[#This Row],[In/Out]],PartList[[#This Row],[O2-Grid]])</f>
        <v>6BE35#Box1_Box2#InBB</v>
      </c>
      <c r="O317">
        <f>IF(PartList[[#This Row],[Unique]]="Yes",_xlfn.XLOOKUP(PartList[[#This Row],[ASSLY MARK]],FilteredPL!A:A,FilteredPL!B:B,0,0),0)</f>
        <v>0</v>
      </c>
      <c r="P317">
        <f>_xlfn.XLOOKUP(PartList[[#This Row],[ASSLY MARK]],MasterPL[SplitMarkNo],MasterPL[BILL WT.(KG)],0,0)</f>
        <v>0</v>
      </c>
      <c r="Q317" cm="1">
        <f t="array" ref="Q31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17" s="2" t="str">
        <v>SF12</v>
      </c>
      <c r="AB317" s="2">
        <f>SUMIF(PartList[ASSLY MARK],AA317,PartList[Avail. Qty])</f>
        <v>0</v>
      </c>
    </row>
    <row r="318" spans="1:28" x14ac:dyDescent="0.25">
      <c r="A318">
        <v>735</v>
      </c>
      <c r="B318" t="s">
        <v>918</v>
      </c>
      <c r="C318" t="s">
        <v>533</v>
      </c>
      <c r="D318" t="s">
        <v>378</v>
      </c>
      <c r="E318" t="s">
        <v>5</v>
      </c>
      <c r="F318" t="str" cm="1">
        <f t="array" ref="F318">IF(SUM(IF(PartList[ASSLY MARK]=PartList[[#This Row],[ASSLY MARK]],1,0))&gt;1,"No","Yes")</f>
        <v>Yes</v>
      </c>
      <c r="G318" t="str" cm="1">
        <f t="array" ref="G318">_xlfn.TEXTJOIN("_",TRUE,TRIM(_xlfn.TEXTSPLIT(PartList[[#This Row],[GRID LOCATION]],{"PR01","/","-"})))</f>
        <v>11_12_A</v>
      </c>
      <c r="H318" t="str" cm="1">
        <f t="array" ref="H31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18" cm="1">
        <f t="array" ref="I31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18" t="str">
        <f>IF(IFERROR(SEARCH("&gt;",PartList[[#This Row],[ID]]),0),"O",IF(IFERROR(SEARCH("&lt;",PartList[[#This Row],[ID]]),0),"I",""))</f>
        <v/>
      </c>
      <c r="K318" t="str" cm="1">
        <f t="array" ref="K3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18" t="str" cm="1">
        <f t="array" ref="L3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18" t="str">
        <f>_xlfn.TEXTJOIN("#",TRUE,PartList[[#This Row],[ASSLY MARK]],PartList[[#This Row],[BOX NO]],PartList[[#This Row],[In/Out]],PartList[[#This Row],[O1-Grid]])</f>
        <v>6BE36#Box1_Box2#InBB</v>
      </c>
      <c r="N318" t="str">
        <f>_xlfn.TEXTJOIN("#",TRUE,PartList[[#This Row],[ASSLY MARK]],PartList[[#This Row],[BOX NO]],PartList[[#This Row],[In/Out]],PartList[[#This Row],[O2-Grid]])</f>
        <v>6BE36#Box1_Box2#InBB</v>
      </c>
      <c r="O318">
        <f>IF(PartList[[#This Row],[Unique]]="Yes",_xlfn.XLOOKUP(PartList[[#This Row],[ASSLY MARK]],FilteredPL!A:A,FilteredPL!B:B,0,0),0)</f>
        <v>0</v>
      </c>
      <c r="P318">
        <f>_xlfn.XLOOKUP(PartList[[#This Row],[ASSLY MARK]],MasterPL[SplitMarkNo],MasterPL[BILL WT.(KG)],0,0)</f>
        <v>0</v>
      </c>
      <c r="Q318" cm="1">
        <f t="array" ref="Q31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18" s="2" t="str">
        <v>SF13</v>
      </c>
      <c r="AB318" s="2">
        <f>SUMIF(PartList[ASSLY MARK],AA318,PartList[Avail. Qty])</f>
        <v>0</v>
      </c>
    </row>
    <row r="319" spans="1:28" x14ac:dyDescent="0.25">
      <c r="A319">
        <v>736</v>
      </c>
      <c r="B319" t="s">
        <v>919</v>
      </c>
      <c r="C319" t="s">
        <v>532</v>
      </c>
      <c r="D319" t="s">
        <v>353</v>
      </c>
      <c r="E319" t="s">
        <v>5</v>
      </c>
      <c r="F319" t="str" cm="1">
        <f t="array" ref="F319">IF(SUM(IF(PartList[ASSLY MARK]=PartList[[#This Row],[ASSLY MARK]],1,0))&gt;1,"No","Yes")</f>
        <v>Yes</v>
      </c>
      <c r="G319" t="str" cm="1">
        <f t="array" ref="G319">_xlfn.TEXTJOIN("_",TRUE,TRIM(_xlfn.TEXTSPLIT(PartList[[#This Row],[GRID LOCATION]],{"PR01","/","-"})))</f>
        <v>11_12_A_B</v>
      </c>
      <c r="H319" t="str" cm="1">
        <f t="array" ref="H31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19" cm="1">
        <f t="array" ref="I31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19" t="str">
        <f>IF(IFERROR(SEARCH("&gt;",PartList[[#This Row],[ID]]),0),"O",IF(IFERROR(SEARCH("&lt;",PartList[[#This Row],[ID]]),0),"I",""))</f>
        <v/>
      </c>
      <c r="K319" t="str" cm="1">
        <f t="array" ref="K3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19" t="str" cm="1">
        <f t="array" ref="L3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19" t="str">
        <f>_xlfn.TEXTJOIN("#",TRUE,PartList[[#This Row],[ASSLY MARK]],PartList[[#This Row],[BOX NO]],PartList[[#This Row],[In/Out]],PartList[[#This Row],[O1-Grid]])</f>
        <v>6BE37#Box1_Box2#InBB</v>
      </c>
      <c r="N319" t="str">
        <f>_xlfn.TEXTJOIN("#",TRUE,PartList[[#This Row],[ASSLY MARK]],PartList[[#This Row],[BOX NO]],PartList[[#This Row],[In/Out]],PartList[[#This Row],[O2-Grid]])</f>
        <v>6BE37#Box1_Box2#InBB</v>
      </c>
      <c r="O319">
        <f>IF(PartList[[#This Row],[Unique]]="Yes",_xlfn.XLOOKUP(PartList[[#This Row],[ASSLY MARK]],FilteredPL!A:A,FilteredPL!B:B,0,0),0)</f>
        <v>0</v>
      </c>
      <c r="P319">
        <f>_xlfn.XLOOKUP(PartList[[#This Row],[ASSLY MARK]],MasterPL[SplitMarkNo],MasterPL[BILL WT.(KG)],0,0)</f>
        <v>0</v>
      </c>
      <c r="Q319" cm="1">
        <f t="array" ref="Q31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19" s="2" t="str">
        <v>SW01</v>
      </c>
      <c r="AB319" s="2">
        <f>SUMIF(PartList[ASSLY MARK],AA319,PartList[Avail. Qty])</f>
        <v>0</v>
      </c>
    </row>
    <row r="320" spans="1:28" x14ac:dyDescent="0.25">
      <c r="A320">
        <v>737</v>
      </c>
      <c r="B320" t="s">
        <v>920</v>
      </c>
      <c r="C320" t="s">
        <v>532</v>
      </c>
      <c r="D320" t="s">
        <v>378</v>
      </c>
      <c r="E320" t="s">
        <v>5</v>
      </c>
      <c r="F320" t="str" cm="1">
        <f t="array" ref="F320">IF(SUM(IF(PartList[ASSLY MARK]=PartList[[#This Row],[ASSLY MARK]],1,0))&gt;1,"No","Yes")</f>
        <v>Yes</v>
      </c>
      <c r="G320" t="str" cm="1">
        <f t="array" ref="G320">_xlfn.TEXTJOIN("_",TRUE,TRIM(_xlfn.TEXTSPLIT(PartList[[#This Row],[GRID LOCATION]],{"PR01","/","-"})))</f>
        <v>11_12_A_B</v>
      </c>
      <c r="H320" t="str" cm="1">
        <f t="array" ref="H32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20" cm="1">
        <f t="array" ref="I32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20" t="str">
        <f>IF(IFERROR(SEARCH("&gt;",PartList[[#This Row],[ID]]),0),"O",IF(IFERROR(SEARCH("&lt;",PartList[[#This Row],[ID]]),0),"I",""))</f>
        <v/>
      </c>
      <c r="K320" t="str" cm="1">
        <f t="array" ref="K3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20" t="str" cm="1">
        <f t="array" ref="L3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20" t="str">
        <f>_xlfn.TEXTJOIN("#",TRUE,PartList[[#This Row],[ASSLY MARK]],PartList[[#This Row],[BOX NO]],PartList[[#This Row],[In/Out]],PartList[[#This Row],[O1-Grid]])</f>
        <v>6BE38#Box1_Box2#InBB</v>
      </c>
      <c r="N320" t="str">
        <f>_xlfn.TEXTJOIN("#",TRUE,PartList[[#This Row],[ASSLY MARK]],PartList[[#This Row],[BOX NO]],PartList[[#This Row],[In/Out]],PartList[[#This Row],[O2-Grid]])</f>
        <v>6BE38#Box1_Box2#InBB</v>
      </c>
      <c r="O320">
        <f>IF(PartList[[#This Row],[Unique]]="Yes",_xlfn.XLOOKUP(PartList[[#This Row],[ASSLY MARK]],FilteredPL!A:A,FilteredPL!B:B,0,0),0)</f>
        <v>0</v>
      </c>
      <c r="P320">
        <f>_xlfn.XLOOKUP(PartList[[#This Row],[ASSLY MARK]],MasterPL[SplitMarkNo],MasterPL[BILL WT.(KG)],0,0)</f>
        <v>0</v>
      </c>
      <c r="Q320" cm="1">
        <f t="array" ref="Q32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20" s="2" t="str">
        <v>SW02</v>
      </c>
      <c r="AB320" s="2">
        <f>SUMIF(PartList[ASSLY MARK],AA320,PartList[Avail. Qty])</f>
        <v>0</v>
      </c>
    </row>
    <row r="321" spans="1:28" x14ac:dyDescent="0.25">
      <c r="A321">
        <v>738</v>
      </c>
      <c r="B321" t="s">
        <v>921</v>
      </c>
      <c r="C321" t="s">
        <v>511</v>
      </c>
      <c r="D321" t="s">
        <v>353</v>
      </c>
      <c r="E321" t="s">
        <v>5</v>
      </c>
      <c r="F321" t="str" cm="1">
        <f t="array" ref="F321">IF(SUM(IF(PartList[ASSLY MARK]=PartList[[#This Row],[ASSLY MARK]],1,0))&gt;1,"No","Yes")</f>
        <v>Yes</v>
      </c>
      <c r="G321" t="str" cm="1">
        <f t="array" ref="G321">_xlfn.TEXTJOIN("_",TRUE,TRIM(_xlfn.TEXTSPLIT(PartList[[#This Row],[GRID LOCATION]],{"PR01","/","-"})))</f>
        <v>11_12_A'_A</v>
      </c>
      <c r="H321" t="str" cm="1">
        <f t="array" ref="H32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321" cm="1">
        <f t="array" ref="I32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21" t="str">
        <f>IF(IFERROR(SEARCH("&gt;",PartList[[#This Row],[ID]]),0),"O",IF(IFERROR(SEARCH("&lt;",PartList[[#This Row],[ID]]),0),"I",""))</f>
        <v/>
      </c>
      <c r="K321" t="str" cm="1">
        <f t="array" ref="K3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21" t="str" cm="1">
        <f t="array" ref="L3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21" t="str">
        <f>_xlfn.TEXTJOIN("#",TRUE,PartList[[#This Row],[ASSLY MARK]],PartList[[#This Row],[BOX NO]],PartList[[#This Row],[In/Out]],PartList[[#This Row],[O1-Grid]])</f>
        <v>6BE39#Box1_Box2_Box4_Box5#InBB</v>
      </c>
      <c r="N321" t="str">
        <f>_xlfn.TEXTJOIN("#",TRUE,PartList[[#This Row],[ASSLY MARK]],PartList[[#This Row],[BOX NO]],PartList[[#This Row],[In/Out]],PartList[[#This Row],[O2-Grid]])</f>
        <v>6BE39#Box1_Box2_Box4_Box5#InBB</v>
      </c>
      <c r="O321">
        <f>IF(PartList[[#This Row],[Unique]]="Yes",_xlfn.XLOOKUP(PartList[[#This Row],[ASSLY MARK]],FilteredPL!A:A,FilteredPL!B:B,0,0),0)</f>
        <v>0</v>
      </c>
      <c r="P321">
        <f>_xlfn.XLOOKUP(PartList[[#This Row],[ASSLY MARK]],MasterPL[SplitMarkNo],MasterPL[BILL WT.(KG)],0,0)</f>
        <v>0</v>
      </c>
      <c r="Q321" cm="1">
        <f t="array" ref="Q32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21" s="2" t="str">
        <v>SW03</v>
      </c>
      <c r="AB321" s="2">
        <f>SUMIF(PartList[ASSLY MARK],AA321,PartList[Avail. Qty])</f>
        <v>0</v>
      </c>
    </row>
    <row r="322" spans="1:28" x14ac:dyDescent="0.25">
      <c r="A322">
        <v>739</v>
      </c>
      <c r="B322" t="s">
        <v>922</v>
      </c>
      <c r="C322" t="s">
        <v>532</v>
      </c>
      <c r="D322" t="s">
        <v>353</v>
      </c>
      <c r="E322" t="s">
        <v>5</v>
      </c>
      <c r="F322" t="str" cm="1">
        <f t="array" ref="F322">IF(SUM(IF(PartList[ASSLY MARK]=PartList[[#This Row],[ASSLY MARK]],1,0))&gt;1,"No","Yes")</f>
        <v>Yes</v>
      </c>
      <c r="G322" t="str" cm="1">
        <f t="array" ref="G322">_xlfn.TEXTJOIN("_",TRUE,TRIM(_xlfn.TEXTSPLIT(PartList[[#This Row],[GRID LOCATION]],{"PR01","/","-"})))</f>
        <v>11_12_A_B</v>
      </c>
      <c r="H322" t="str" cm="1">
        <f t="array" ref="H32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22" cm="1">
        <f t="array" ref="I32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22" t="str">
        <f>IF(IFERROR(SEARCH("&gt;",PartList[[#This Row],[ID]]),0),"O",IF(IFERROR(SEARCH("&lt;",PartList[[#This Row],[ID]]),0),"I",""))</f>
        <v/>
      </c>
      <c r="K322" t="str" cm="1">
        <f t="array" ref="K3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22" t="str" cm="1">
        <f t="array" ref="L3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22" t="str">
        <f>_xlfn.TEXTJOIN("#",TRUE,PartList[[#This Row],[ASSLY MARK]],PartList[[#This Row],[BOX NO]],PartList[[#This Row],[In/Out]],PartList[[#This Row],[O1-Grid]])</f>
        <v>6BE40#Box1_Box2#InBB</v>
      </c>
      <c r="N322" t="str">
        <f>_xlfn.TEXTJOIN("#",TRUE,PartList[[#This Row],[ASSLY MARK]],PartList[[#This Row],[BOX NO]],PartList[[#This Row],[In/Out]],PartList[[#This Row],[O2-Grid]])</f>
        <v>6BE40#Box1_Box2#InBB</v>
      </c>
      <c r="O322">
        <f>IF(PartList[[#This Row],[Unique]]="Yes",_xlfn.XLOOKUP(PartList[[#This Row],[ASSLY MARK]],FilteredPL!A:A,FilteredPL!B:B,0,0),0)</f>
        <v>0</v>
      </c>
      <c r="P322">
        <f>_xlfn.XLOOKUP(PartList[[#This Row],[ASSLY MARK]],MasterPL[SplitMarkNo],MasterPL[BILL WT.(KG)],0,0)</f>
        <v>0</v>
      </c>
      <c r="Q322" cm="1">
        <f t="array" ref="Q32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22" s="2" t="str">
        <v>SW05</v>
      </c>
      <c r="AB322" s="2">
        <f>SUMIF(PartList[ASSLY MARK],AA322,PartList[Avail. Qty])</f>
        <v>0</v>
      </c>
    </row>
    <row r="323" spans="1:28" x14ac:dyDescent="0.25">
      <c r="A323">
        <v>752</v>
      </c>
      <c r="B323" t="s">
        <v>934</v>
      </c>
      <c r="C323" t="s">
        <v>509</v>
      </c>
      <c r="D323" t="s">
        <v>353</v>
      </c>
      <c r="E323" t="s">
        <v>5</v>
      </c>
      <c r="F323" t="str" cm="1">
        <f t="array" ref="F323">IF(SUM(IF(PartList[ASSLY MARK]=PartList[[#This Row],[ASSLY MARK]],1,0))&gt;1,"No","Yes")</f>
        <v>Yes</v>
      </c>
      <c r="G323" t="str" cm="1">
        <f t="array" ref="G323">_xlfn.TEXTJOIN("_",TRUE,TRIM(_xlfn.TEXTSPLIT(PartList[[#This Row],[GRID LOCATION]],{"PR01","/","-"})))</f>
        <v>10_A_B</v>
      </c>
      <c r="H323" t="str" cm="1">
        <f t="array" ref="H32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23" cm="1">
        <f t="array" ref="I32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23" t="str">
        <f>IF(IFERROR(SEARCH("&gt;",PartList[[#This Row],[ID]]),0),"O",IF(IFERROR(SEARCH("&lt;",PartList[[#This Row],[ID]]),0),"I",""))</f>
        <v/>
      </c>
      <c r="K323" t="str" cm="1">
        <f t="array" ref="K3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10_A_B</v>
      </c>
      <c r="L323" t="str" cm="1">
        <f t="array" ref="L3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23" t="str">
        <f>_xlfn.TEXTJOIN("#",TRUE,PartList[[#This Row],[ASSLY MARK]],PartList[[#This Row],[BOX NO]],PartList[[#This Row],[In/Out]],PartList[[#This Row],[O1-Grid]])</f>
        <v>6BE52#Box1#10_A_B</v>
      </c>
      <c r="N323" t="str">
        <f>_xlfn.TEXTJOIN("#",TRUE,PartList[[#This Row],[ASSLY MARK]],PartList[[#This Row],[BOX NO]],PartList[[#This Row],[In/Out]],PartList[[#This Row],[O2-Grid]])</f>
        <v>6BE52#Box1#InB</v>
      </c>
      <c r="O323">
        <f>IF(PartList[[#This Row],[Unique]]="Yes",_xlfn.XLOOKUP(PartList[[#This Row],[ASSLY MARK]],FilteredPL!A:A,FilteredPL!B:B,0,0),0)</f>
        <v>0</v>
      </c>
      <c r="P323">
        <f>_xlfn.XLOOKUP(PartList[[#This Row],[ASSLY MARK]],MasterPL[SplitMarkNo],MasterPL[BILL WT.(KG)],0,0)</f>
        <v>0</v>
      </c>
      <c r="Q323" cm="1">
        <f t="array" ref="Q32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23" s="2" t="str">
        <v>VB01</v>
      </c>
      <c r="AB323" s="2">
        <f>SUMIF(PartList[ASSLY MARK],AA323,PartList[Avail. Qty])</f>
        <v>0</v>
      </c>
    </row>
    <row r="324" spans="1:28" x14ac:dyDescent="0.25">
      <c r="A324">
        <v>753</v>
      </c>
      <c r="B324" t="s">
        <v>935</v>
      </c>
      <c r="C324" t="s">
        <v>509</v>
      </c>
      <c r="D324" t="s">
        <v>378</v>
      </c>
      <c r="E324" t="s">
        <v>5</v>
      </c>
      <c r="F324" t="str" cm="1">
        <f t="array" ref="F324">IF(SUM(IF(PartList[ASSLY MARK]=PartList[[#This Row],[ASSLY MARK]],1,0))&gt;1,"No","Yes")</f>
        <v>Yes</v>
      </c>
      <c r="G324" t="str" cm="1">
        <f t="array" ref="G324">_xlfn.TEXTJOIN("_",TRUE,TRIM(_xlfn.TEXTSPLIT(PartList[[#This Row],[GRID LOCATION]],{"PR01","/","-"})))</f>
        <v>10_A_B</v>
      </c>
      <c r="H324" t="str" cm="1">
        <f t="array" ref="H32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24" cm="1">
        <f t="array" ref="I32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24" t="str">
        <f>IF(IFERROR(SEARCH("&gt;",PartList[[#This Row],[ID]]),0),"O",IF(IFERROR(SEARCH("&lt;",PartList[[#This Row],[ID]]),0),"I",""))</f>
        <v/>
      </c>
      <c r="K324" t="str" cm="1">
        <f t="array" ref="K3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10_A_B</v>
      </c>
      <c r="L324" t="str" cm="1">
        <f t="array" ref="L3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24" t="str">
        <f>_xlfn.TEXTJOIN("#",TRUE,PartList[[#This Row],[ASSLY MARK]],PartList[[#This Row],[BOX NO]],PartList[[#This Row],[In/Out]],PartList[[#This Row],[O1-Grid]])</f>
        <v>6BE53#Box1#10_A_B</v>
      </c>
      <c r="N324" t="str">
        <f>_xlfn.TEXTJOIN("#",TRUE,PartList[[#This Row],[ASSLY MARK]],PartList[[#This Row],[BOX NO]],PartList[[#This Row],[In/Out]],PartList[[#This Row],[O2-Grid]])</f>
        <v>6BE53#Box1#InB</v>
      </c>
      <c r="O324">
        <f>IF(PartList[[#This Row],[Unique]]="Yes",_xlfn.XLOOKUP(PartList[[#This Row],[ASSLY MARK]],FilteredPL!A:A,FilteredPL!B:B,0,0),0)</f>
        <v>0</v>
      </c>
      <c r="P324">
        <f>_xlfn.XLOOKUP(PartList[[#This Row],[ASSLY MARK]],MasterPL[SplitMarkNo],MasterPL[BILL WT.(KG)],0,0)</f>
        <v>0</v>
      </c>
      <c r="Q324" cm="1">
        <f t="array" ref="Q32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24" s="2" t="str">
        <v>VB02</v>
      </c>
      <c r="AB324" s="2">
        <f>SUMIF(PartList[ASSLY MARK],AA324,PartList[Avail. Qty])</f>
        <v>0</v>
      </c>
    </row>
    <row r="325" spans="1:28" x14ac:dyDescent="0.25">
      <c r="A325">
        <v>755</v>
      </c>
      <c r="B325" t="s">
        <v>937</v>
      </c>
      <c r="C325" t="s">
        <v>534</v>
      </c>
      <c r="D325" t="s">
        <v>353</v>
      </c>
      <c r="E325" t="s">
        <v>5</v>
      </c>
      <c r="F325" t="str" cm="1">
        <f t="array" ref="F325">IF(SUM(IF(PartList[ASSLY MARK]=PartList[[#This Row],[ASSLY MARK]],1,0))&gt;1,"No","Yes")</f>
        <v>Yes</v>
      </c>
      <c r="G325" t="str" cm="1">
        <f t="array" ref="G325">_xlfn.TEXTJOIN("_",TRUE,TRIM(_xlfn.TEXTSPLIT(PartList[[#This Row],[GRID LOCATION]],{"PR01","/","-"})))</f>
        <v>11_12_B</v>
      </c>
      <c r="H325" t="str" cm="1">
        <f t="array" ref="H32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25" cm="1">
        <f t="array" ref="I32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25" t="str">
        <f>IF(IFERROR(SEARCH("&gt;",PartList[[#This Row],[ID]]),0),"O",IF(IFERROR(SEARCH("&lt;",PartList[[#This Row],[ID]]),0),"I",""))</f>
        <v/>
      </c>
      <c r="K325" t="str" cm="1">
        <f t="array" ref="K3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25" t="str" cm="1">
        <f t="array" ref="L3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25" t="str">
        <f>_xlfn.TEXTJOIN("#",TRUE,PartList[[#This Row],[ASSLY MARK]],PartList[[#This Row],[BOX NO]],PartList[[#This Row],[In/Out]],PartList[[#This Row],[O1-Grid]])</f>
        <v>6BE55#Box1_Box2#InBB</v>
      </c>
      <c r="N325" t="str">
        <f>_xlfn.TEXTJOIN("#",TRUE,PartList[[#This Row],[ASSLY MARK]],PartList[[#This Row],[BOX NO]],PartList[[#This Row],[In/Out]],PartList[[#This Row],[O2-Grid]])</f>
        <v>6BE55#Box1_Box2#InBB</v>
      </c>
      <c r="O325">
        <f>IF(PartList[[#This Row],[Unique]]="Yes",_xlfn.XLOOKUP(PartList[[#This Row],[ASSLY MARK]],FilteredPL!A:A,FilteredPL!B:B,0,0),0)</f>
        <v>0</v>
      </c>
      <c r="P325">
        <f>_xlfn.XLOOKUP(PartList[[#This Row],[ASSLY MARK]],MasterPL[SplitMarkNo],MasterPL[BILL WT.(KG)],0,0)</f>
        <v>0</v>
      </c>
      <c r="Q325" cm="1">
        <f t="array" ref="Q32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25" s="2" t="str">
        <v>VB03</v>
      </c>
      <c r="AB325" s="2">
        <f>SUMIF(PartList[ASSLY MARK],AA325,PartList[Avail. Qty])</f>
        <v>0</v>
      </c>
    </row>
    <row r="326" spans="1:28" x14ac:dyDescent="0.25">
      <c r="A326">
        <v>790</v>
      </c>
      <c r="B326" t="s">
        <v>966</v>
      </c>
      <c r="C326" t="s">
        <v>617</v>
      </c>
      <c r="D326" t="s">
        <v>353</v>
      </c>
      <c r="E326" t="s">
        <v>5</v>
      </c>
      <c r="F326" t="str" cm="1">
        <f t="array" ref="F326">IF(SUM(IF(PartList[ASSLY MARK]=PartList[[#This Row],[ASSLY MARK]],1,0))&gt;1,"No","Yes")</f>
        <v>Yes</v>
      </c>
      <c r="G326" t="str" cm="1">
        <f t="array" ref="G326">_xlfn.TEXTJOIN("_",TRUE,TRIM(_xlfn.TEXTSPLIT(PartList[[#This Row],[GRID LOCATION]],{"PR01","/","-"})))</f>
        <v>14_A_B</v>
      </c>
      <c r="H326" t="str" cm="1">
        <f t="array" ref="H32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</v>
      </c>
      <c r="I326" cm="1">
        <f t="array" ref="I32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26" t="str">
        <f>IF(IFERROR(SEARCH("&gt;",PartList[[#This Row],[ID]]),0),"O",IF(IFERROR(SEARCH("&lt;",PartList[[#This Row],[ID]]),0),"I",""))</f>
        <v/>
      </c>
      <c r="K326" t="str" cm="1">
        <f t="array" ref="K3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26" t="str" cm="1">
        <f t="array" ref="L3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26" t="str">
        <f>_xlfn.TEXTJOIN("#",TRUE,PartList[[#This Row],[ASSLY MARK]],PartList[[#This Row],[BOX NO]],PartList[[#This Row],[In/Out]],PartList[[#This Row],[O1-Grid]])</f>
        <v>6BE84#Box1_Box2_Box3#InBB</v>
      </c>
      <c r="N326" t="str">
        <f>_xlfn.TEXTJOIN("#",TRUE,PartList[[#This Row],[ASSLY MARK]],PartList[[#This Row],[BOX NO]],PartList[[#This Row],[In/Out]],PartList[[#This Row],[O2-Grid]])</f>
        <v>6BE84#Box1_Box2_Box3#InBB</v>
      </c>
      <c r="O326">
        <f>IF(PartList[[#This Row],[Unique]]="Yes",_xlfn.XLOOKUP(PartList[[#This Row],[ASSLY MARK]],FilteredPL!A:A,FilteredPL!B:B,0,0),0)</f>
        <v>1</v>
      </c>
      <c r="P326">
        <f>_xlfn.XLOOKUP(PartList[[#This Row],[ASSLY MARK]],MasterPL[SplitMarkNo],MasterPL[BILL WT.(KG)],0,0)</f>
        <v>2026.83</v>
      </c>
      <c r="Q326" cm="1">
        <f t="array" ref="Q32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26" s="2" t="str">
        <v>VB04</v>
      </c>
      <c r="AB326" s="2">
        <f>SUMIF(PartList[ASSLY MARK],AA326,PartList[Avail. Qty])</f>
        <v>0</v>
      </c>
    </row>
    <row r="327" spans="1:28" x14ac:dyDescent="0.25">
      <c r="A327">
        <v>791</v>
      </c>
      <c r="B327" t="s">
        <v>967</v>
      </c>
      <c r="C327" t="s">
        <v>617</v>
      </c>
      <c r="D327" t="s">
        <v>378</v>
      </c>
      <c r="E327" t="s">
        <v>5</v>
      </c>
      <c r="F327" t="str" cm="1">
        <f t="array" ref="F327">IF(SUM(IF(PartList[ASSLY MARK]=PartList[[#This Row],[ASSLY MARK]],1,0))&gt;1,"No","Yes")</f>
        <v>Yes</v>
      </c>
      <c r="G327" t="str" cm="1">
        <f t="array" ref="G327">_xlfn.TEXTJOIN("_",TRUE,TRIM(_xlfn.TEXTSPLIT(PartList[[#This Row],[GRID LOCATION]],{"PR01","/","-"})))</f>
        <v>14_A_B</v>
      </c>
      <c r="H327" t="str" cm="1">
        <f t="array" ref="H32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</v>
      </c>
      <c r="I327" cm="1">
        <f t="array" ref="I32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27" t="str">
        <f>IF(IFERROR(SEARCH("&gt;",PartList[[#This Row],[ID]]),0),"O",IF(IFERROR(SEARCH("&lt;",PartList[[#This Row],[ID]]),0),"I",""))</f>
        <v/>
      </c>
      <c r="K327" t="str" cm="1">
        <f t="array" ref="K3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27" t="str" cm="1">
        <f t="array" ref="L3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27" t="str">
        <f>_xlfn.TEXTJOIN("#",TRUE,PartList[[#This Row],[ASSLY MARK]],PartList[[#This Row],[BOX NO]],PartList[[#This Row],[In/Out]],PartList[[#This Row],[O1-Grid]])</f>
        <v>6BE85#Box1_Box2_Box3#InBB</v>
      </c>
      <c r="N327" t="str">
        <f>_xlfn.TEXTJOIN("#",TRUE,PartList[[#This Row],[ASSLY MARK]],PartList[[#This Row],[BOX NO]],PartList[[#This Row],[In/Out]],PartList[[#This Row],[O2-Grid]])</f>
        <v>6BE85#Box1_Box2_Box3#InBB</v>
      </c>
      <c r="O327">
        <f>IF(PartList[[#This Row],[Unique]]="Yes",_xlfn.XLOOKUP(PartList[[#This Row],[ASSLY MARK]],FilteredPL!A:A,FilteredPL!B:B,0,0),0)</f>
        <v>0</v>
      </c>
      <c r="P327">
        <f>_xlfn.XLOOKUP(PartList[[#This Row],[ASSLY MARK]],MasterPL[SplitMarkNo],MasterPL[BILL WT.(KG)],0,0)</f>
        <v>0</v>
      </c>
      <c r="Q327" cm="1">
        <f t="array" ref="Q32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27" s="2" t="str">
        <v>VB05</v>
      </c>
      <c r="AB327" s="2">
        <f>SUMIF(PartList[ASSLY MARK],AA327,PartList[Avail. Qty])</f>
        <v>0</v>
      </c>
    </row>
    <row r="328" spans="1:28" x14ac:dyDescent="0.25">
      <c r="A328">
        <v>792</v>
      </c>
      <c r="B328" t="s">
        <v>968</v>
      </c>
      <c r="C328" t="s">
        <v>619</v>
      </c>
      <c r="D328" t="s">
        <v>378</v>
      </c>
      <c r="E328" t="s">
        <v>5</v>
      </c>
      <c r="F328" t="str" cm="1">
        <f t="array" ref="F328">IF(SUM(IF(PartList[ASSLY MARK]=PartList[[#This Row],[ASSLY MARK]],1,0))&gt;1,"No","Yes")</f>
        <v>Yes</v>
      </c>
      <c r="G328" t="str" cm="1">
        <f t="array" ref="G328">_xlfn.TEXTJOIN("_",TRUE,TRIM(_xlfn.TEXTSPLIT(PartList[[#This Row],[GRID LOCATION]],{"PR01","/","-"})))</f>
        <v>14_B&gt;</v>
      </c>
      <c r="H328" t="str" cm="1">
        <f t="array" ref="H32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328" cm="1">
        <f t="array" ref="I32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28" t="str">
        <f>IF(IFERROR(SEARCH("&gt;",PartList[[#This Row],[ID]]),0),"O",IF(IFERROR(SEARCH("&lt;",PartList[[#This Row],[ID]]),0),"I",""))</f>
        <v>O</v>
      </c>
      <c r="K328" t="str" cm="1">
        <f t="array" ref="K3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328" t="str" cm="1">
        <f t="array" ref="L3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328" t="str">
        <f>_xlfn.TEXTJOIN("#",TRUE,PartList[[#This Row],[ASSLY MARK]],PartList[[#This Row],[BOX NO]],PartList[[#This Row],[In/Out]],PartList[[#This Row],[O1-Grid]])</f>
        <v>6BE86#Box1_Box2_Box3_Box6#O</v>
      </c>
      <c r="N328" t="str">
        <f>_xlfn.TEXTJOIN("#",TRUE,PartList[[#This Row],[ASSLY MARK]],PartList[[#This Row],[BOX NO]],PartList[[#This Row],[In/Out]],PartList[[#This Row],[O2-Grid]])</f>
        <v>6BE86#Box1_Box2_Box3_Box6#O</v>
      </c>
      <c r="O328">
        <f>IF(PartList[[#This Row],[Unique]]="Yes",_xlfn.XLOOKUP(PartList[[#This Row],[ASSLY MARK]],FilteredPL!A:A,FilteredPL!B:B,0,0),0)</f>
        <v>0</v>
      </c>
      <c r="P328">
        <f>_xlfn.XLOOKUP(PartList[[#This Row],[ASSLY MARK]],MasterPL[SplitMarkNo],MasterPL[BILL WT.(KG)],0,0)</f>
        <v>0</v>
      </c>
      <c r="Q328" cm="1">
        <f t="array" ref="Q32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28" s="2" t="str">
        <v>VB07</v>
      </c>
      <c r="AB328" s="2">
        <f>SUMIF(PartList[ASSLY MARK],AA328,PartList[Avail. Qty])</f>
        <v>0</v>
      </c>
    </row>
    <row r="329" spans="1:28" x14ac:dyDescent="0.25">
      <c r="A329">
        <v>816</v>
      </c>
      <c r="B329" t="s">
        <v>990</v>
      </c>
      <c r="C329" t="s">
        <v>512</v>
      </c>
      <c r="D329" t="s">
        <v>353</v>
      </c>
      <c r="E329" t="s">
        <v>5</v>
      </c>
      <c r="F329" t="str" cm="1">
        <f t="array" ref="F329">IF(SUM(IF(PartList[ASSLY MARK]=PartList[[#This Row],[ASSLY MARK]],1,0))&gt;1,"No","Yes")</f>
        <v>Yes</v>
      </c>
      <c r="G329" t="str" cm="1">
        <f t="array" ref="G329">_xlfn.TEXTJOIN("_",TRUE,TRIM(_xlfn.TEXTSPLIT(PartList[[#This Row],[GRID LOCATION]],{"PR01","/","-"})))</f>
        <v>10_11_A'_A</v>
      </c>
      <c r="H329" t="str" cm="1">
        <f t="array" ref="H32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329" cm="1">
        <f t="array" ref="I32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29" t="str">
        <f>IF(IFERROR(SEARCH("&gt;",PartList[[#This Row],[ID]]),0),"O",IF(IFERROR(SEARCH("&lt;",PartList[[#This Row],[ID]]),0),"I",""))</f>
        <v/>
      </c>
      <c r="K329" t="str" cm="1">
        <f t="array" ref="K3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29" t="str" cm="1">
        <f t="array" ref="L3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29" t="str">
        <f>_xlfn.TEXTJOIN("#",TRUE,PartList[[#This Row],[ASSLY MARK]],PartList[[#This Row],[BOX NO]],PartList[[#This Row],[In/Out]],PartList[[#This Row],[O1-Grid]])</f>
        <v>6BE108#Box1_Box4#InBB</v>
      </c>
      <c r="N329" t="str">
        <f>_xlfn.TEXTJOIN("#",TRUE,PartList[[#This Row],[ASSLY MARK]],PartList[[#This Row],[BOX NO]],PartList[[#This Row],[In/Out]],PartList[[#This Row],[O2-Grid]])</f>
        <v>6BE108#Box1_Box4#InBB</v>
      </c>
      <c r="O329">
        <f>IF(PartList[[#This Row],[Unique]]="Yes",_xlfn.XLOOKUP(PartList[[#This Row],[ASSLY MARK]],FilteredPL!A:A,FilteredPL!B:B,0,0),0)</f>
        <v>0</v>
      </c>
      <c r="P329">
        <f>_xlfn.XLOOKUP(PartList[[#This Row],[ASSLY MARK]],MasterPL[SplitMarkNo],MasterPL[BILL WT.(KG)],0,0)</f>
        <v>0</v>
      </c>
      <c r="Q329" cm="1">
        <f t="array" ref="Q32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29" s="2" t="str">
        <v>VB08</v>
      </c>
      <c r="AB329" s="2">
        <f>SUMIF(PartList[ASSLY MARK],AA329,PartList[Avail. Qty])</f>
        <v>0</v>
      </c>
    </row>
    <row r="330" spans="1:28" x14ac:dyDescent="0.25">
      <c r="A330">
        <v>817</v>
      </c>
      <c r="B330" t="s">
        <v>991</v>
      </c>
      <c r="C330" t="s">
        <v>529</v>
      </c>
      <c r="D330" t="s">
        <v>992</v>
      </c>
      <c r="E330" t="s">
        <v>8</v>
      </c>
      <c r="F330" t="str" cm="1">
        <f t="array" ref="F330">IF(SUM(IF(PartList[ASSLY MARK]=PartList[[#This Row],[ASSLY MARK]],1,0))&gt;1,"No","Yes")</f>
        <v>Yes</v>
      </c>
      <c r="G330" t="str" cm="1">
        <f t="array" ref="G330">_xlfn.TEXTJOIN("_",TRUE,TRIM(_xlfn.TEXTSPLIT(PartList[[#This Row],[GRID LOCATION]],{"PR01","/","-"})))</f>
        <v>11_A_B</v>
      </c>
      <c r="H330" t="str" cm="1">
        <f t="array" ref="H33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30" cm="1">
        <f t="array" ref="I33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30" t="str">
        <f>IF(IFERROR(SEARCH("&gt;",PartList[[#This Row],[ID]]),0),"O",IF(IFERROR(SEARCH("&lt;",PartList[[#This Row],[ID]]),0),"I",""))</f>
        <v/>
      </c>
      <c r="K330" t="str" cm="1">
        <f t="array" ref="K3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11_A_B</v>
      </c>
      <c r="L330" t="str" cm="1">
        <f t="array" ref="L3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30" t="str">
        <f>_xlfn.TEXTJOIN("#",TRUE,PartList[[#This Row],[ASSLY MARK]],PartList[[#This Row],[BOX NO]],PartList[[#This Row],[In/Out]],PartList[[#This Row],[O1-Grid]])</f>
        <v>6HA01#Box1#11_A_B</v>
      </c>
      <c r="N330" t="str">
        <f>_xlfn.TEXTJOIN("#",TRUE,PartList[[#This Row],[ASSLY MARK]],PartList[[#This Row],[BOX NO]],PartList[[#This Row],[In/Out]],PartList[[#This Row],[O2-Grid]])</f>
        <v>6HA01#Box1#InB</v>
      </c>
      <c r="O330">
        <f>IF(PartList[[#This Row],[Unique]]="Yes",_xlfn.XLOOKUP(PartList[[#This Row],[ASSLY MARK]],FilteredPL!A:A,FilteredPL!B:B,0,0),0)</f>
        <v>0</v>
      </c>
      <c r="P330">
        <f>_xlfn.XLOOKUP(PartList[[#This Row],[ASSLY MARK]],MasterPL[SplitMarkNo],MasterPL[BILL WT.(KG)],0,0)</f>
        <v>0</v>
      </c>
      <c r="Q330" cm="1">
        <f t="array" ref="Q33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30" s="2" t="str">
        <v>VB09</v>
      </c>
      <c r="AB330" s="2">
        <f>SUMIF(PartList[ASSLY MARK],AA330,PartList[Avail. Qty])</f>
        <v>0</v>
      </c>
    </row>
    <row r="331" spans="1:28" x14ac:dyDescent="0.25">
      <c r="A331">
        <v>818</v>
      </c>
      <c r="B331" t="s">
        <v>993</v>
      </c>
      <c r="C331" t="s">
        <v>532</v>
      </c>
      <c r="D331" t="s">
        <v>994</v>
      </c>
      <c r="E331" t="s">
        <v>8</v>
      </c>
      <c r="F331" t="str" cm="1">
        <f t="array" ref="F331">IF(SUM(IF(PartList[ASSLY MARK]=PartList[[#This Row],[ASSLY MARK]],1,0))&gt;1,"No","Yes")</f>
        <v>No</v>
      </c>
      <c r="G331" t="str" cm="1">
        <f t="array" ref="G331">_xlfn.TEXTJOIN("_",TRUE,TRIM(_xlfn.TEXTSPLIT(PartList[[#This Row],[GRID LOCATION]],{"PR01","/","-"})))</f>
        <v>11_12_A_B</v>
      </c>
      <c r="H331" t="str" cm="1">
        <f t="array" ref="H33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31" cm="1">
        <f t="array" ref="I33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31" t="str">
        <f>IF(IFERROR(SEARCH("&gt;",PartList[[#This Row],[ID]]),0),"O",IF(IFERROR(SEARCH("&lt;",PartList[[#This Row],[ID]]),0),"I",""))</f>
        <v/>
      </c>
      <c r="K331" t="str" cm="1">
        <f t="array" ref="K3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31" t="str" cm="1">
        <f t="array" ref="L3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31" t="str">
        <f>_xlfn.TEXTJOIN("#",TRUE,PartList[[#This Row],[ASSLY MARK]],PartList[[#This Row],[BOX NO]],PartList[[#This Row],[In/Out]],PartList[[#This Row],[O1-Grid]])</f>
        <v>6HA02#Box1_Box2#InBB</v>
      </c>
      <c r="N331" t="str">
        <f>_xlfn.TEXTJOIN("#",TRUE,PartList[[#This Row],[ASSLY MARK]],PartList[[#This Row],[BOX NO]],PartList[[#This Row],[In/Out]],PartList[[#This Row],[O2-Grid]])</f>
        <v>6HA02#Box1_Box2#InBB</v>
      </c>
      <c r="O331">
        <f>IF(PartList[[#This Row],[Unique]]="Yes",_xlfn.XLOOKUP(PartList[[#This Row],[ASSLY MARK]],FilteredPL!A:A,FilteredPL!B:B,0,0),0)</f>
        <v>0</v>
      </c>
      <c r="P331">
        <f>_xlfn.XLOOKUP(PartList[[#This Row],[ASSLY MARK]],MasterPL[SplitMarkNo],MasterPL[BILL WT.(KG)],0,0)</f>
        <v>0</v>
      </c>
      <c r="Q331" cm="1">
        <f t="array" ref="Q33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31" s="2" t="str">
        <v>VB10</v>
      </c>
      <c r="AB331" s="2">
        <f>SUMIF(PartList[ASSLY MARK],AA331,PartList[Avail. Qty])</f>
        <v>0</v>
      </c>
    </row>
    <row r="332" spans="1:28" x14ac:dyDescent="0.25">
      <c r="A332">
        <v>819</v>
      </c>
      <c r="B332" t="s">
        <v>993</v>
      </c>
      <c r="C332" t="s">
        <v>532</v>
      </c>
      <c r="D332" t="s">
        <v>994</v>
      </c>
      <c r="E332" t="s">
        <v>8</v>
      </c>
      <c r="F332" t="str" cm="1">
        <f t="array" ref="F332">IF(SUM(IF(PartList[ASSLY MARK]=PartList[[#This Row],[ASSLY MARK]],1,0))&gt;1,"No","Yes")</f>
        <v>No</v>
      </c>
      <c r="G332" t="str" cm="1">
        <f t="array" ref="G332">_xlfn.TEXTJOIN("_",TRUE,TRIM(_xlfn.TEXTSPLIT(PartList[[#This Row],[GRID LOCATION]],{"PR01","/","-"})))</f>
        <v>11_12_A_B</v>
      </c>
      <c r="H332" t="str" cm="1">
        <f t="array" ref="H33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32" cm="1">
        <f t="array" ref="I33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32" t="str">
        <f>IF(IFERROR(SEARCH("&gt;",PartList[[#This Row],[ID]]),0),"O",IF(IFERROR(SEARCH("&lt;",PartList[[#This Row],[ID]]),0),"I",""))</f>
        <v/>
      </c>
      <c r="K332" t="str" cm="1">
        <f t="array" ref="K3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32" t="str" cm="1">
        <f t="array" ref="L3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32" t="str">
        <f>_xlfn.TEXTJOIN("#",TRUE,PartList[[#This Row],[ASSLY MARK]],PartList[[#This Row],[BOX NO]],PartList[[#This Row],[In/Out]],PartList[[#This Row],[O1-Grid]])</f>
        <v>6HA02#Box1_Box2#InBB</v>
      </c>
      <c r="N332" t="str">
        <f>_xlfn.TEXTJOIN("#",TRUE,PartList[[#This Row],[ASSLY MARK]],PartList[[#This Row],[BOX NO]],PartList[[#This Row],[In/Out]],PartList[[#This Row],[O2-Grid]])</f>
        <v>6HA02#Box1_Box2#InBB</v>
      </c>
      <c r="O332">
        <f>IF(PartList[[#This Row],[Unique]]="Yes",_xlfn.XLOOKUP(PartList[[#This Row],[ASSLY MARK]],FilteredPL!A:A,FilteredPL!B:B,0,0),0)</f>
        <v>0</v>
      </c>
      <c r="P332">
        <f>_xlfn.XLOOKUP(PartList[[#This Row],[ASSLY MARK]],MasterPL[SplitMarkNo],MasterPL[BILL WT.(KG)],0,0)</f>
        <v>0</v>
      </c>
      <c r="Q332" cm="1">
        <f t="array" ref="Q33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32" s="2" t="str">
        <v>VB11</v>
      </c>
      <c r="AB332" s="2">
        <f>SUMIF(PartList[ASSLY MARK],AA332,PartList[Avail. Qty])</f>
        <v>0</v>
      </c>
    </row>
    <row r="333" spans="1:28" x14ac:dyDescent="0.25">
      <c r="A333">
        <v>820</v>
      </c>
      <c r="B333" t="s">
        <v>392</v>
      </c>
      <c r="C333" t="s">
        <v>515</v>
      </c>
      <c r="D333" t="s">
        <v>995</v>
      </c>
      <c r="E333" t="s">
        <v>6</v>
      </c>
      <c r="F333" t="str" cm="1">
        <f t="array" ref="F333">IF(SUM(IF(PartList[ASSLY MARK]=PartList[[#This Row],[ASSLY MARK]],1,0))&gt;1,"No","Yes")</f>
        <v>No</v>
      </c>
      <c r="G333" t="str" cm="1">
        <f t="array" ref="G333">_xlfn.TEXTJOIN("_",TRUE,TRIM(_xlfn.TEXTSPLIT(PartList[[#This Row],[GRID LOCATION]],{"PR01","/","-"})))</f>
        <v>10_11_A_B</v>
      </c>
      <c r="H333" t="str" cm="1">
        <f t="array" ref="H33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33" cm="1">
        <f t="array" ref="I33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33" t="str">
        <f>IF(IFERROR(SEARCH("&gt;",PartList[[#This Row],[ID]]),0),"O",IF(IFERROR(SEARCH("&lt;",PartList[[#This Row],[ID]]),0),"I",""))</f>
        <v/>
      </c>
      <c r="K333" t="str" cm="1">
        <f t="array" ref="K3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333" t="str" cm="1">
        <f t="array" ref="L3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33" t="str">
        <f>_xlfn.TEXTJOIN("#",TRUE,PartList[[#This Row],[ASSLY MARK]],PartList[[#This Row],[BOX NO]],PartList[[#This Row],[In/Out]],PartList[[#This Row],[O1-Grid]])</f>
        <v>6HB01#Box1#InB</v>
      </c>
      <c r="N333" t="str">
        <f>_xlfn.TEXTJOIN("#",TRUE,PartList[[#This Row],[ASSLY MARK]],PartList[[#This Row],[BOX NO]],PartList[[#This Row],[In/Out]],PartList[[#This Row],[O2-Grid]])</f>
        <v>6HB01#Box1#InB</v>
      </c>
      <c r="O333">
        <f>IF(PartList[[#This Row],[Unique]]="Yes",_xlfn.XLOOKUP(PartList[[#This Row],[ASSLY MARK]],FilteredPL!A:A,FilteredPL!B:B,0,0),0)</f>
        <v>0</v>
      </c>
      <c r="P333">
        <f>_xlfn.XLOOKUP(PartList[[#This Row],[ASSLY MARK]],MasterPL[SplitMarkNo],MasterPL[BILL WT.(KG)],0,0)</f>
        <v>0</v>
      </c>
      <c r="Q333" cm="1">
        <f t="array" ref="Q33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33" s="2" t="str">
        <v>VB12</v>
      </c>
      <c r="AB333" s="2">
        <f>SUMIF(PartList[ASSLY MARK],AA333,PartList[Avail. Qty])</f>
        <v>0</v>
      </c>
    </row>
    <row r="334" spans="1:28" x14ac:dyDescent="0.25">
      <c r="A334">
        <v>821</v>
      </c>
      <c r="B334" t="s">
        <v>392</v>
      </c>
      <c r="C334" t="s">
        <v>515</v>
      </c>
      <c r="D334" t="s">
        <v>995</v>
      </c>
      <c r="E334" t="s">
        <v>6</v>
      </c>
      <c r="F334" t="str" cm="1">
        <f t="array" ref="F334">IF(SUM(IF(PartList[ASSLY MARK]=PartList[[#This Row],[ASSLY MARK]],1,0))&gt;1,"No","Yes")</f>
        <v>No</v>
      </c>
      <c r="G334" t="str" cm="1">
        <f t="array" ref="G334">_xlfn.TEXTJOIN("_",TRUE,TRIM(_xlfn.TEXTSPLIT(PartList[[#This Row],[GRID LOCATION]],{"PR01","/","-"})))</f>
        <v>10_11_A_B</v>
      </c>
      <c r="H334" t="str" cm="1">
        <f t="array" ref="H33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34" cm="1">
        <f t="array" ref="I33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34" t="str">
        <f>IF(IFERROR(SEARCH("&gt;",PartList[[#This Row],[ID]]),0),"O",IF(IFERROR(SEARCH("&lt;",PartList[[#This Row],[ID]]),0),"I",""))</f>
        <v/>
      </c>
      <c r="K334" t="str" cm="1">
        <f t="array" ref="K3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334" t="str" cm="1">
        <f t="array" ref="L3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34" t="str">
        <f>_xlfn.TEXTJOIN("#",TRUE,PartList[[#This Row],[ASSLY MARK]],PartList[[#This Row],[BOX NO]],PartList[[#This Row],[In/Out]],PartList[[#This Row],[O1-Grid]])</f>
        <v>6HB01#Box1#InB</v>
      </c>
      <c r="N334" t="str">
        <f>_xlfn.TEXTJOIN("#",TRUE,PartList[[#This Row],[ASSLY MARK]],PartList[[#This Row],[BOX NO]],PartList[[#This Row],[In/Out]],PartList[[#This Row],[O2-Grid]])</f>
        <v>6HB01#Box1#InB</v>
      </c>
      <c r="O334">
        <f>IF(PartList[[#This Row],[Unique]]="Yes",_xlfn.XLOOKUP(PartList[[#This Row],[ASSLY MARK]],FilteredPL!A:A,FilteredPL!B:B,0,0),0)</f>
        <v>0</v>
      </c>
      <c r="P334">
        <f>_xlfn.XLOOKUP(PartList[[#This Row],[ASSLY MARK]],MasterPL[SplitMarkNo],MasterPL[BILL WT.(KG)],0,0)</f>
        <v>0</v>
      </c>
      <c r="Q334" cm="1">
        <f t="array" ref="Q33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34" s="2" t="str">
        <v>VB13</v>
      </c>
      <c r="AB334" s="2">
        <f>SUMIF(PartList[ASSLY MARK],AA334,PartList[Avail. Qty])</f>
        <v>0</v>
      </c>
    </row>
    <row r="335" spans="1:28" x14ac:dyDescent="0.25">
      <c r="A335">
        <v>822</v>
      </c>
      <c r="B335" t="s">
        <v>392</v>
      </c>
      <c r="C335" t="s">
        <v>515</v>
      </c>
      <c r="D335" t="s">
        <v>995</v>
      </c>
      <c r="E335" t="s">
        <v>6</v>
      </c>
      <c r="F335" t="str" cm="1">
        <f t="array" ref="F335">IF(SUM(IF(PartList[ASSLY MARK]=PartList[[#This Row],[ASSLY MARK]],1,0))&gt;1,"No","Yes")</f>
        <v>No</v>
      </c>
      <c r="G335" t="str" cm="1">
        <f t="array" ref="G335">_xlfn.TEXTJOIN("_",TRUE,TRIM(_xlfn.TEXTSPLIT(PartList[[#This Row],[GRID LOCATION]],{"PR01","/","-"})))</f>
        <v>10_11_A_B</v>
      </c>
      <c r="H335" t="str" cm="1">
        <f t="array" ref="H33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35" cm="1">
        <f t="array" ref="I33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35" t="str">
        <f>IF(IFERROR(SEARCH("&gt;",PartList[[#This Row],[ID]]),0),"O",IF(IFERROR(SEARCH("&lt;",PartList[[#This Row],[ID]]),0),"I",""))</f>
        <v/>
      </c>
      <c r="K335" t="str" cm="1">
        <f t="array" ref="K3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335" t="str" cm="1">
        <f t="array" ref="L3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35" t="str">
        <f>_xlfn.TEXTJOIN("#",TRUE,PartList[[#This Row],[ASSLY MARK]],PartList[[#This Row],[BOX NO]],PartList[[#This Row],[In/Out]],PartList[[#This Row],[O1-Grid]])</f>
        <v>6HB01#Box1#InB</v>
      </c>
      <c r="N335" t="str">
        <f>_xlfn.TEXTJOIN("#",TRUE,PartList[[#This Row],[ASSLY MARK]],PartList[[#This Row],[BOX NO]],PartList[[#This Row],[In/Out]],PartList[[#This Row],[O2-Grid]])</f>
        <v>6HB01#Box1#InB</v>
      </c>
      <c r="O335">
        <f>IF(PartList[[#This Row],[Unique]]="Yes",_xlfn.XLOOKUP(PartList[[#This Row],[ASSLY MARK]],FilteredPL!A:A,FilteredPL!B:B,0,0),0)</f>
        <v>0</v>
      </c>
      <c r="P335">
        <f>_xlfn.XLOOKUP(PartList[[#This Row],[ASSLY MARK]],MasterPL[SplitMarkNo],MasterPL[BILL WT.(KG)],0,0)</f>
        <v>0</v>
      </c>
      <c r="Q335" cm="1">
        <f t="array" ref="Q33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35" s="2" t="str">
        <v>VB14</v>
      </c>
      <c r="AB335" s="2">
        <f>SUMIF(PartList[ASSLY MARK],AA335,PartList[Avail. Qty])</f>
        <v>0</v>
      </c>
    </row>
    <row r="336" spans="1:28" x14ac:dyDescent="0.25">
      <c r="A336">
        <v>823</v>
      </c>
      <c r="B336" t="s">
        <v>392</v>
      </c>
      <c r="C336" t="s">
        <v>515</v>
      </c>
      <c r="D336" t="s">
        <v>995</v>
      </c>
      <c r="E336" t="s">
        <v>6</v>
      </c>
      <c r="F336" t="str" cm="1">
        <f t="array" ref="F336">IF(SUM(IF(PartList[ASSLY MARK]=PartList[[#This Row],[ASSLY MARK]],1,0))&gt;1,"No","Yes")</f>
        <v>No</v>
      </c>
      <c r="G336" t="str" cm="1">
        <f t="array" ref="G336">_xlfn.TEXTJOIN("_",TRUE,TRIM(_xlfn.TEXTSPLIT(PartList[[#This Row],[GRID LOCATION]],{"PR01","/","-"})))</f>
        <v>10_11_A_B</v>
      </c>
      <c r="H336" t="str" cm="1">
        <f t="array" ref="H33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36" cm="1">
        <f t="array" ref="I33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36" t="str">
        <f>IF(IFERROR(SEARCH("&gt;",PartList[[#This Row],[ID]]),0),"O",IF(IFERROR(SEARCH("&lt;",PartList[[#This Row],[ID]]),0),"I",""))</f>
        <v/>
      </c>
      <c r="K336" t="str" cm="1">
        <f t="array" ref="K3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336" t="str" cm="1">
        <f t="array" ref="L3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36" t="str">
        <f>_xlfn.TEXTJOIN("#",TRUE,PartList[[#This Row],[ASSLY MARK]],PartList[[#This Row],[BOX NO]],PartList[[#This Row],[In/Out]],PartList[[#This Row],[O1-Grid]])</f>
        <v>6HB01#Box1#InB</v>
      </c>
      <c r="N336" t="str">
        <f>_xlfn.TEXTJOIN("#",TRUE,PartList[[#This Row],[ASSLY MARK]],PartList[[#This Row],[BOX NO]],PartList[[#This Row],[In/Out]],PartList[[#This Row],[O2-Grid]])</f>
        <v>6HB01#Box1#InB</v>
      </c>
      <c r="O336">
        <f>IF(PartList[[#This Row],[Unique]]="Yes",_xlfn.XLOOKUP(PartList[[#This Row],[ASSLY MARK]],FilteredPL!A:A,FilteredPL!B:B,0,0),0)</f>
        <v>0</v>
      </c>
      <c r="P336">
        <f>_xlfn.XLOOKUP(PartList[[#This Row],[ASSLY MARK]],MasterPL[SplitMarkNo],MasterPL[BILL WT.(KG)],0,0)</f>
        <v>0</v>
      </c>
      <c r="Q336" cm="1">
        <f t="array" ref="Q33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36" s="2" t="str">
        <v>VB15</v>
      </c>
      <c r="AB336" s="2">
        <f>SUMIF(PartList[ASSLY MARK],AA336,PartList[Avail. Qty])</f>
        <v>0</v>
      </c>
    </row>
    <row r="337" spans="1:28" x14ac:dyDescent="0.25">
      <c r="A337">
        <v>824</v>
      </c>
      <c r="B337" t="s">
        <v>394</v>
      </c>
      <c r="C337" t="s">
        <v>515</v>
      </c>
      <c r="D337" t="s">
        <v>995</v>
      </c>
      <c r="E337" t="s">
        <v>6</v>
      </c>
      <c r="F337" t="str" cm="1">
        <f t="array" ref="F337">IF(SUM(IF(PartList[ASSLY MARK]=PartList[[#This Row],[ASSLY MARK]],1,0))&gt;1,"No","Yes")</f>
        <v>No</v>
      </c>
      <c r="G337" t="str" cm="1">
        <f t="array" ref="G337">_xlfn.TEXTJOIN("_",TRUE,TRIM(_xlfn.TEXTSPLIT(PartList[[#This Row],[GRID LOCATION]],{"PR01","/","-"})))</f>
        <v>10_11_A_B</v>
      </c>
      <c r="H337" t="str" cm="1">
        <f t="array" ref="H33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37" cm="1">
        <f t="array" ref="I33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37" t="str">
        <f>IF(IFERROR(SEARCH("&gt;",PartList[[#This Row],[ID]]),0),"O",IF(IFERROR(SEARCH("&lt;",PartList[[#This Row],[ID]]),0),"I",""))</f>
        <v/>
      </c>
      <c r="K337" t="str" cm="1">
        <f t="array" ref="K3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337" t="str" cm="1">
        <f t="array" ref="L3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37" t="str">
        <f>_xlfn.TEXTJOIN("#",TRUE,PartList[[#This Row],[ASSLY MARK]],PartList[[#This Row],[BOX NO]],PartList[[#This Row],[In/Out]],PartList[[#This Row],[O1-Grid]])</f>
        <v>6HB02#Box1#InB</v>
      </c>
      <c r="N337" t="str">
        <f>_xlfn.TEXTJOIN("#",TRUE,PartList[[#This Row],[ASSLY MARK]],PartList[[#This Row],[BOX NO]],PartList[[#This Row],[In/Out]],PartList[[#This Row],[O2-Grid]])</f>
        <v>6HB02#Box1#InB</v>
      </c>
      <c r="O337">
        <f>IF(PartList[[#This Row],[Unique]]="Yes",_xlfn.XLOOKUP(PartList[[#This Row],[ASSLY MARK]],FilteredPL!A:A,FilteredPL!B:B,0,0),0)</f>
        <v>0</v>
      </c>
      <c r="P337">
        <f>_xlfn.XLOOKUP(PartList[[#This Row],[ASSLY MARK]],MasterPL[SplitMarkNo],MasterPL[BILL WT.(KG)],0,0)</f>
        <v>0</v>
      </c>
      <c r="Q337" cm="1">
        <f t="array" ref="Q33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37" s="2" t="str">
        <v>VB16</v>
      </c>
      <c r="AB337" s="2">
        <f>SUMIF(PartList[ASSLY MARK],AA337,PartList[Avail. Qty])</f>
        <v>0</v>
      </c>
    </row>
    <row r="338" spans="1:28" x14ac:dyDescent="0.25">
      <c r="A338">
        <v>825</v>
      </c>
      <c r="B338" t="s">
        <v>394</v>
      </c>
      <c r="C338" t="s">
        <v>515</v>
      </c>
      <c r="D338" t="s">
        <v>995</v>
      </c>
      <c r="E338" t="s">
        <v>6</v>
      </c>
      <c r="F338" t="str" cm="1">
        <f t="array" ref="F338">IF(SUM(IF(PartList[ASSLY MARK]=PartList[[#This Row],[ASSLY MARK]],1,0))&gt;1,"No","Yes")</f>
        <v>No</v>
      </c>
      <c r="G338" t="str" cm="1">
        <f t="array" ref="G338">_xlfn.TEXTJOIN("_",TRUE,TRIM(_xlfn.TEXTSPLIT(PartList[[#This Row],[GRID LOCATION]],{"PR01","/","-"})))</f>
        <v>10_11_A_B</v>
      </c>
      <c r="H338" t="str" cm="1">
        <f t="array" ref="H33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38" cm="1">
        <f t="array" ref="I33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38" t="str">
        <f>IF(IFERROR(SEARCH("&gt;",PartList[[#This Row],[ID]]),0),"O",IF(IFERROR(SEARCH("&lt;",PartList[[#This Row],[ID]]),0),"I",""))</f>
        <v/>
      </c>
      <c r="K338" t="str" cm="1">
        <f t="array" ref="K3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338" t="str" cm="1">
        <f t="array" ref="L3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38" t="str">
        <f>_xlfn.TEXTJOIN("#",TRUE,PartList[[#This Row],[ASSLY MARK]],PartList[[#This Row],[BOX NO]],PartList[[#This Row],[In/Out]],PartList[[#This Row],[O1-Grid]])</f>
        <v>6HB02#Box1#InB</v>
      </c>
      <c r="N338" t="str">
        <f>_xlfn.TEXTJOIN("#",TRUE,PartList[[#This Row],[ASSLY MARK]],PartList[[#This Row],[BOX NO]],PartList[[#This Row],[In/Out]],PartList[[#This Row],[O2-Grid]])</f>
        <v>6HB02#Box1#InB</v>
      </c>
      <c r="O338">
        <f>IF(PartList[[#This Row],[Unique]]="Yes",_xlfn.XLOOKUP(PartList[[#This Row],[ASSLY MARK]],FilteredPL!A:A,FilteredPL!B:B,0,0),0)</f>
        <v>0</v>
      </c>
      <c r="P338">
        <f>_xlfn.XLOOKUP(PartList[[#This Row],[ASSLY MARK]],MasterPL[SplitMarkNo],MasterPL[BILL WT.(KG)],0,0)</f>
        <v>0</v>
      </c>
      <c r="Q338" cm="1">
        <f t="array" ref="Q33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38" s="2" t="str">
        <v>VB17</v>
      </c>
      <c r="AB338" s="2">
        <f>SUMIF(PartList[ASSLY MARK],AA338,PartList[Avail. Qty])</f>
        <v>0</v>
      </c>
    </row>
    <row r="339" spans="1:28" x14ac:dyDescent="0.25">
      <c r="A339">
        <v>826</v>
      </c>
      <c r="B339" t="s">
        <v>395</v>
      </c>
      <c r="C339" t="s">
        <v>512</v>
      </c>
      <c r="D339" t="s">
        <v>995</v>
      </c>
      <c r="E339" t="s">
        <v>6</v>
      </c>
      <c r="F339" t="str" cm="1">
        <f t="array" ref="F339">IF(SUM(IF(PartList[ASSLY MARK]=PartList[[#This Row],[ASSLY MARK]],1,0))&gt;1,"No","Yes")</f>
        <v>Yes</v>
      </c>
      <c r="G339" t="str" cm="1">
        <f t="array" ref="G339">_xlfn.TEXTJOIN("_",TRUE,TRIM(_xlfn.TEXTSPLIT(PartList[[#This Row],[GRID LOCATION]],{"PR01","/","-"})))</f>
        <v>10_11_A'_A</v>
      </c>
      <c r="H339" t="str" cm="1">
        <f t="array" ref="H33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339" cm="1">
        <f t="array" ref="I33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39" t="str">
        <f>IF(IFERROR(SEARCH("&gt;",PartList[[#This Row],[ID]]),0),"O",IF(IFERROR(SEARCH("&lt;",PartList[[#This Row],[ID]]),0),"I",""))</f>
        <v/>
      </c>
      <c r="K339" t="str" cm="1">
        <f t="array" ref="K3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39" t="str" cm="1">
        <f t="array" ref="L3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39" t="str">
        <f>_xlfn.TEXTJOIN("#",TRUE,PartList[[#This Row],[ASSLY MARK]],PartList[[#This Row],[BOX NO]],PartList[[#This Row],[In/Out]],PartList[[#This Row],[O1-Grid]])</f>
        <v>6HB03#Box1_Box4#InBB</v>
      </c>
      <c r="N339" t="str">
        <f>_xlfn.TEXTJOIN("#",TRUE,PartList[[#This Row],[ASSLY MARK]],PartList[[#This Row],[BOX NO]],PartList[[#This Row],[In/Out]],PartList[[#This Row],[O2-Grid]])</f>
        <v>6HB03#Box1_Box4#InBB</v>
      </c>
      <c r="O339">
        <f>IF(PartList[[#This Row],[Unique]]="Yes",_xlfn.XLOOKUP(PartList[[#This Row],[ASSLY MARK]],FilteredPL!A:A,FilteredPL!B:B,0,0),0)</f>
        <v>0</v>
      </c>
      <c r="P339">
        <f>_xlfn.XLOOKUP(PartList[[#This Row],[ASSLY MARK]],MasterPL[SplitMarkNo],MasterPL[BILL WT.(KG)],0,0)</f>
        <v>0</v>
      </c>
      <c r="Q339" cm="1">
        <f t="array" ref="Q33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39" s="2" t="str">
        <v>VB18</v>
      </c>
      <c r="AB339" s="2">
        <f>SUMIF(PartList[ASSLY MARK],AA339,PartList[Avail. Qty])</f>
        <v>0</v>
      </c>
    </row>
    <row r="340" spans="1:28" x14ac:dyDescent="0.25">
      <c r="A340">
        <v>827</v>
      </c>
      <c r="B340" t="s">
        <v>396</v>
      </c>
      <c r="C340" t="s">
        <v>513</v>
      </c>
      <c r="D340" t="s">
        <v>995</v>
      </c>
      <c r="E340" t="s">
        <v>6</v>
      </c>
      <c r="F340" t="str" cm="1">
        <f t="array" ref="F340">IF(SUM(IF(PartList[ASSLY MARK]=PartList[[#This Row],[ASSLY MARK]],1,0))&gt;1,"No","Yes")</f>
        <v>Yes</v>
      </c>
      <c r="G340" t="str" cm="1">
        <f t="array" ref="G340">_xlfn.TEXTJOIN("_",TRUE,TRIM(_xlfn.TEXTSPLIT(PartList[[#This Row],[GRID LOCATION]],{"PR01","/","-"})))</f>
        <v>10_11_B&gt;</v>
      </c>
      <c r="H340" t="str" cm="1">
        <f t="array" ref="H34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40" cm="1">
        <f t="array" ref="I34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40" t="str">
        <f>IF(IFERROR(SEARCH("&gt;",PartList[[#This Row],[ID]]),0),"O",IF(IFERROR(SEARCH("&lt;",PartList[[#This Row],[ID]]),0),"I",""))</f>
        <v>O</v>
      </c>
      <c r="K340" t="str" cm="1">
        <f t="array" ref="K3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340" t="str" cm="1">
        <f t="array" ref="L3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340" t="str">
        <f>_xlfn.TEXTJOIN("#",TRUE,PartList[[#This Row],[ASSLY MARK]],PartList[[#This Row],[BOX NO]],PartList[[#This Row],[In/Out]],PartList[[#This Row],[O1-Grid]])</f>
        <v>6HB04#Box1#O</v>
      </c>
      <c r="N340" t="str">
        <f>_xlfn.TEXTJOIN("#",TRUE,PartList[[#This Row],[ASSLY MARK]],PartList[[#This Row],[BOX NO]],PartList[[#This Row],[In/Out]],PartList[[#This Row],[O2-Grid]])</f>
        <v>6HB04#Box1#O</v>
      </c>
      <c r="O340">
        <f>IF(PartList[[#This Row],[Unique]]="Yes",_xlfn.XLOOKUP(PartList[[#This Row],[ASSLY MARK]],FilteredPL!A:A,FilteredPL!B:B,0,0),0)</f>
        <v>0</v>
      </c>
      <c r="P340">
        <f>_xlfn.XLOOKUP(PartList[[#This Row],[ASSLY MARK]],MasterPL[SplitMarkNo],MasterPL[BILL WT.(KG)],0,0)</f>
        <v>0</v>
      </c>
      <c r="Q340" cm="1">
        <f t="array" ref="Q34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40" s="2" t="str">
        <v>VB19</v>
      </c>
      <c r="AB340" s="2">
        <f>SUMIF(PartList[ASSLY MARK],AA340,PartList[Avail. Qty])</f>
        <v>0</v>
      </c>
    </row>
    <row r="341" spans="1:28" x14ac:dyDescent="0.25">
      <c r="A341">
        <v>828</v>
      </c>
      <c r="B341" t="s">
        <v>397</v>
      </c>
      <c r="C341" t="s">
        <v>515</v>
      </c>
      <c r="D341" t="s">
        <v>995</v>
      </c>
      <c r="E341" t="s">
        <v>6</v>
      </c>
      <c r="F341" t="str" cm="1">
        <f t="array" ref="F341">IF(SUM(IF(PartList[ASSLY MARK]=PartList[[#This Row],[ASSLY MARK]],1,0))&gt;1,"No","Yes")</f>
        <v>No</v>
      </c>
      <c r="G341" t="str" cm="1">
        <f t="array" ref="G341">_xlfn.TEXTJOIN("_",TRUE,TRIM(_xlfn.TEXTSPLIT(PartList[[#This Row],[GRID LOCATION]],{"PR01","/","-"})))</f>
        <v>10_11_A_B</v>
      </c>
      <c r="H341" t="str" cm="1">
        <f t="array" ref="H34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41" cm="1">
        <f t="array" ref="I34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41" t="str">
        <f>IF(IFERROR(SEARCH("&gt;",PartList[[#This Row],[ID]]),0),"O",IF(IFERROR(SEARCH("&lt;",PartList[[#This Row],[ID]]),0),"I",""))</f>
        <v/>
      </c>
      <c r="K341" t="str" cm="1">
        <f t="array" ref="K3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341" t="str" cm="1">
        <f t="array" ref="L3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41" t="str">
        <f>_xlfn.TEXTJOIN("#",TRUE,PartList[[#This Row],[ASSLY MARK]],PartList[[#This Row],[BOX NO]],PartList[[#This Row],[In/Out]],PartList[[#This Row],[O1-Grid]])</f>
        <v>6HB05#Box1#InB</v>
      </c>
      <c r="N341" t="str">
        <f>_xlfn.TEXTJOIN("#",TRUE,PartList[[#This Row],[ASSLY MARK]],PartList[[#This Row],[BOX NO]],PartList[[#This Row],[In/Out]],PartList[[#This Row],[O2-Grid]])</f>
        <v>6HB05#Box1#InB</v>
      </c>
      <c r="O341">
        <f>IF(PartList[[#This Row],[Unique]]="Yes",_xlfn.XLOOKUP(PartList[[#This Row],[ASSLY MARK]],FilteredPL!A:A,FilteredPL!B:B,0,0),0)</f>
        <v>0</v>
      </c>
      <c r="P341">
        <f>_xlfn.XLOOKUP(PartList[[#This Row],[ASSLY MARK]],MasterPL[SplitMarkNo],MasterPL[BILL WT.(KG)],0,0)</f>
        <v>0</v>
      </c>
      <c r="Q341" cm="1">
        <f t="array" ref="Q34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41" s="2" t="str">
        <v>VB20</v>
      </c>
      <c r="AB341" s="2">
        <f>SUMIF(PartList[ASSLY MARK],AA341,PartList[Avail. Qty])</f>
        <v>0</v>
      </c>
    </row>
    <row r="342" spans="1:28" x14ac:dyDescent="0.25">
      <c r="A342">
        <v>829</v>
      </c>
      <c r="B342" t="s">
        <v>397</v>
      </c>
      <c r="C342" t="s">
        <v>515</v>
      </c>
      <c r="D342" t="s">
        <v>995</v>
      </c>
      <c r="E342" t="s">
        <v>6</v>
      </c>
      <c r="F342" t="str" cm="1">
        <f t="array" ref="F342">IF(SUM(IF(PartList[ASSLY MARK]=PartList[[#This Row],[ASSLY MARK]],1,0))&gt;1,"No","Yes")</f>
        <v>No</v>
      </c>
      <c r="G342" t="str" cm="1">
        <f t="array" ref="G342">_xlfn.TEXTJOIN("_",TRUE,TRIM(_xlfn.TEXTSPLIT(PartList[[#This Row],[GRID LOCATION]],{"PR01","/","-"})))</f>
        <v>10_11_A_B</v>
      </c>
      <c r="H342" t="str" cm="1">
        <f t="array" ref="H34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42" cm="1">
        <f t="array" ref="I34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42" t="str">
        <f>IF(IFERROR(SEARCH("&gt;",PartList[[#This Row],[ID]]),0),"O",IF(IFERROR(SEARCH("&lt;",PartList[[#This Row],[ID]]),0),"I",""))</f>
        <v/>
      </c>
      <c r="K342" t="str" cm="1">
        <f t="array" ref="K3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342" t="str" cm="1">
        <f t="array" ref="L3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342" t="str">
        <f>_xlfn.TEXTJOIN("#",TRUE,PartList[[#This Row],[ASSLY MARK]],PartList[[#This Row],[BOX NO]],PartList[[#This Row],[In/Out]],PartList[[#This Row],[O1-Grid]])</f>
        <v>6HB05#Box1#InB</v>
      </c>
      <c r="N342" t="str">
        <f>_xlfn.TEXTJOIN("#",TRUE,PartList[[#This Row],[ASSLY MARK]],PartList[[#This Row],[BOX NO]],PartList[[#This Row],[In/Out]],PartList[[#This Row],[O2-Grid]])</f>
        <v>6HB05#Box1#InB</v>
      </c>
      <c r="O342">
        <f>IF(PartList[[#This Row],[Unique]]="Yes",_xlfn.XLOOKUP(PartList[[#This Row],[ASSLY MARK]],FilteredPL!A:A,FilteredPL!B:B,0,0),0)</f>
        <v>0</v>
      </c>
      <c r="P342">
        <f>_xlfn.XLOOKUP(PartList[[#This Row],[ASSLY MARK]],MasterPL[SplitMarkNo],MasterPL[BILL WT.(KG)],0,0)</f>
        <v>0</v>
      </c>
      <c r="Q342" cm="1">
        <f t="array" ref="Q34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42" s="2" t="str">
        <v>VB21</v>
      </c>
      <c r="AB342" s="2">
        <f>SUMIF(PartList[ASSLY MARK],AA342,PartList[Avail. Qty])</f>
        <v>0</v>
      </c>
    </row>
    <row r="343" spans="1:28" x14ac:dyDescent="0.25">
      <c r="A343">
        <v>830</v>
      </c>
      <c r="B343" t="s">
        <v>398</v>
      </c>
      <c r="C343" t="s">
        <v>512</v>
      </c>
      <c r="D343" t="s">
        <v>995</v>
      </c>
      <c r="E343" t="s">
        <v>6</v>
      </c>
      <c r="F343" t="str" cm="1">
        <f t="array" ref="F343">IF(SUM(IF(PartList[ASSLY MARK]=PartList[[#This Row],[ASSLY MARK]],1,0))&gt;1,"No","Yes")</f>
        <v>Yes</v>
      </c>
      <c r="G343" t="str" cm="1">
        <f t="array" ref="G343">_xlfn.TEXTJOIN("_",TRUE,TRIM(_xlfn.TEXTSPLIT(PartList[[#This Row],[GRID LOCATION]],{"PR01","/","-"})))</f>
        <v>10_11_A'_A</v>
      </c>
      <c r="H343" t="str" cm="1">
        <f t="array" ref="H34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343" cm="1">
        <f t="array" ref="I34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43" t="str">
        <f>IF(IFERROR(SEARCH("&gt;",PartList[[#This Row],[ID]]),0),"O",IF(IFERROR(SEARCH("&lt;",PartList[[#This Row],[ID]]),0),"I",""))</f>
        <v/>
      </c>
      <c r="K343" t="str" cm="1">
        <f t="array" ref="K3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43" t="str" cm="1">
        <f t="array" ref="L3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43" t="str">
        <f>_xlfn.TEXTJOIN("#",TRUE,PartList[[#This Row],[ASSLY MARK]],PartList[[#This Row],[BOX NO]],PartList[[#This Row],[In/Out]],PartList[[#This Row],[O1-Grid]])</f>
        <v>6HB06#Box1_Box4#InBB</v>
      </c>
      <c r="N343" t="str">
        <f>_xlfn.TEXTJOIN("#",TRUE,PartList[[#This Row],[ASSLY MARK]],PartList[[#This Row],[BOX NO]],PartList[[#This Row],[In/Out]],PartList[[#This Row],[O2-Grid]])</f>
        <v>6HB06#Box1_Box4#InBB</v>
      </c>
      <c r="O343">
        <f>IF(PartList[[#This Row],[Unique]]="Yes",_xlfn.XLOOKUP(PartList[[#This Row],[ASSLY MARK]],FilteredPL!A:A,FilteredPL!B:B,0,0),0)</f>
        <v>0</v>
      </c>
      <c r="P343">
        <f>_xlfn.XLOOKUP(PartList[[#This Row],[ASSLY MARK]],MasterPL[SplitMarkNo],MasterPL[BILL WT.(KG)],0,0)</f>
        <v>0</v>
      </c>
      <c r="Q343" cm="1">
        <f t="array" ref="Q34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43" s="2" t="str">
        <v>VB23</v>
      </c>
      <c r="AB343" s="2">
        <f>SUMIF(PartList[ASSLY MARK],AA343,PartList[Avail. Qty])</f>
        <v>0</v>
      </c>
    </row>
    <row r="344" spans="1:28" x14ac:dyDescent="0.25">
      <c r="A344">
        <v>831</v>
      </c>
      <c r="B344" t="s">
        <v>399</v>
      </c>
      <c r="C344" t="s">
        <v>513</v>
      </c>
      <c r="D344" t="s">
        <v>995</v>
      </c>
      <c r="E344" t="s">
        <v>6</v>
      </c>
      <c r="F344" t="str" cm="1">
        <f t="array" ref="F344">IF(SUM(IF(PartList[ASSLY MARK]=PartList[[#This Row],[ASSLY MARK]],1,0))&gt;1,"No","Yes")</f>
        <v>Yes</v>
      </c>
      <c r="G344" t="str" cm="1">
        <f t="array" ref="G344">_xlfn.TEXTJOIN("_",TRUE,TRIM(_xlfn.TEXTSPLIT(PartList[[#This Row],[GRID LOCATION]],{"PR01","/","-"})))</f>
        <v>10_11_B&gt;</v>
      </c>
      <c r="H344" t="str" cm="1">
        <f t="array" ref="H34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44" cm="1">
        <f t="array" ref="I34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44" t="str">
        <f>IF(IFERROR(SEARCH("&gt;",PartList[[#This Row],[ID]]),0),"O",IF(IFERROR(SEARCH("&lt;",PartList[[#This Row],[ID]]),0),"I",""))</f>
        <v>O</v>
      </c>
      <c r="K344" t="str" cm="1">
        <f t="array" ref="K3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344" t="str" cm="1">
        <f t="array" ref="L3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344" t="str">
        <f>_xlfn.TEXTJOIN("#",TRUE,PartList[[#This Row],[ASSLY MARK]],PartList[[#This Row],[BOX NO]],PartList[[#This Row],[In/Out]],PartList[[#This Row],[O1-Grid]])</f>
        <v>6HB07#Box1#O</v>
      </c>
      <c r="N344" t="str">
        <f>_xlfn.TEXTJOIN("#",TRUE,PartList[[#This Row],[ASSLY MARK]],PartList[[#This Row],[BOX NO]],PartList[[#This Row],[In/Out]],PartList[[#This Row],[O2-Grid]])</f>
        <v>6HB07#Box1#O</v>
      </c>
      <c r="O344">
        <f>IF(PartList[[#This Row],[Unique]]="Yes",_xlfn.XLOOKUP(PartList[[#This Row],[ASSLY MARK]],FilteredPL!A:A,FilteredPL!B:B,0,0),0)</f>
        <v>0</v>
      </c>
      <c r="P344">
        <f>_xlfn.XLOOKUP(PartList[[#This Row],[ASSLY MARK]],MasterPL[SplitMarkNo],MasterPL[BILL WT.(KG)],0,0)</f>
        <v>0</v>
      </c>
      <c r="Q344" cm="1">
        <f t="array" ref="Q34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44" s="2" t="str">
        <v>VB24</v>
      </c>
      <c r="AB344" s="2">
        <f>SUMIF(PartList[ASSLY MARK],AA344,PartList[Avail. Qty])</f>
        <v>0</v>
      </c>
    </row>
    <row r="345" spans="1:28" x14ac:dyDescent="0.25">
      <c r="A345">
        <v>832</v>
      </c>
      <c r="B345" t="s">
        <v>400</v>
      </c>
      <c r="C345" t="s">
        <v>511</v>
      </c>
      <c r="D345" t="s">
        <v>995</v>
      </c>
      <c r="E345" t="s">
        <v>6</v>
      </c>
      <c r="F345" t="str" cm="1">
        <f t="array" ref="F345">IF(SUM(IF(PartList[ASSLY MARK]=PartList[[#This Row],[ASSLY MARK]],1,0))&gt;1,"No","Yes")</f>
        <v>Yes</v>
      </c>
      <c r="G345" t="str" cm="1">
        <f t="array" ref="G345">_xlfn.TEXTJOIN("_",TRUE,TRIM(_xlfn.TEXTSPLIT(PartList[[#This Row],[GRID LOCATION]],{"PR01","/","-"})))</f>
        <v>11_12_A'_A</v>
      </c>
      <c r="H345" t="str" cm="1">
        <f t="array" ref="H34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345" cm="1">
        <f t="array" ref="I34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45" t="str">
        <f>IF(IFERROR(SEARCH("&gt;",PartList[[#This Row],[ID]]),0),"O",IF(IFERROR(SEARCH("&lt;",PartList[[#This Row],[ID]]),0),"I",""))</f>
        <v/>
      </c>
      <c r="K345" t="str" cm="1">
        <f t="array" ref="K3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45" t="str" cm="1">
        <f t="array" ref="L3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45" t="str">
        <f>_xlfn.TEXTJOIN("#",TRUE,PartList[[#This Row],[ASSLY MARK]],PartList[[#This Row],[BOX NO]],PartList[[#This Row],[In/Out]],PartList[[#This Row],[O1-Grid]])</f>
        <v>6HB08#Box1_Box2_Box4_Box5#InBB</v>
      </c>
      <c r="N345" t="str">
        <f>_xlfn.TEXTJOIN("#",TRUE,PartList[[#This Row],[ASSLY MARK]],PartList[[#This Row],[BOX NO]],PartList[[#This Row],[In/Out]],PartList[[#This Row],[O2-Grid]])</f>
        <v>6HB08#Box1_Box2_Box4_Box5#InBB</v>
      </c>
      <c r="O345">
        <f>IF(PartList[[#This Row],[Unique]]="Yes",_xlfn.XLOOKUP(PartList[[#This Row],[ASSLY MARK]],FilteredPL!A:A,FilteredPL!B:B,0,0),0)</f>
        <v>0</v>
      </c>
      <c r="P345">
        <f>_xlfn.XLOOKUP(PartList[[#This Row],[ASSLY MARK]],MasterPL[SplitMarkNo],MasterPL[BILL WT.(KG)],0,0)</f>
        <v>0</v>
      </c>
      <c r="Q345" cm="1">
        <f t="array" ref="Q34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45" s="2" t="str">
        <v>VB25</v>
      </c>
      <c r="AB345" s="2">
        <f>SUMIF(PartList[ASSLY MARK],AA345,PartList[Avail. Qty])</f>
        <v>0</v>
      </c>
    </row>
    <row r="346" spans="1:28" x14ac:dyDescent="0.25">
      <c r="A346">
        <v>833</v>
      </c>
      <c r="B346" t="s">
        <v>401</v>
      </c>
      <c r="C346" t="s">
        <v>532</v>
      </c>
      <c r="D346" t="s">
        <v>912</v>
      </c>
      <c r="E346" t="s">
        <v>6</v>
      </c>
      <c r="F346" t="str" cm="1">
        <f t="array" ref="F346">IF(SUM(IF(PartList[ASSLY MARK]=PartList[[#This Row],[ASSLY MARK]],1,0))&gt;1,"No","Yes")</f>
        <v>No</v>
      </c>
      <c r="G346" t="str" cm="1">
        <f t="array" ref="G346">_xlfn.TEXTJOIN("_",TRUE,TRIM(_xlfn.TEXTSPLIT(PartList[[#This Row],[GRID LOCATION]],{"PR01","/","-"})))</f>
        <v>11_12_A_B</v>
      </c>
      <c r="H346" t="str" cm="1">
        <f t="array" ref="H34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46" cm="1">
        <f t="array" ref="I34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46" t="str">
        <f>IF(IFERROR(SEARCH("&gt;",PartList[[#This Row],[ID]]),0),"O",IF(IFERROR(SEARCH("&lt;",PartList[[#This Row],[ID]]),0),"I",""))</f>
        <v/>
      </c>
      <c r="K346" t="str" cm="1">
        <f t="array" ref="K3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46" t="str" cm="1">
        <f t="array" ref="L3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46" t="str">
        <f>_xlfn.TEXTJOIN("#",TRUE,PartList[[#This Row],[ASSLY MARK]],PartList[[#This Row],[BOX NO]],PartList[[#This Row],[In/Out]],PartList[[#This Row],[O1-Grid]])</f>
        <v>6HB09#Box1_Box2#InBB</v>
      </c>
      <c r="N346" t="str">
        <f>_xlfn.TEXTJOIN("#",TRUE,PartList[[#This Row],[ASSLY MARK]],PartList[[#This Row],[BOX NO]],PartList[[#This Row],[In/Out]],PartList[[#This Row],[O2-Grid]])</f>
        <v>6HB09#Box1_Box2#InBB</v>
      </c>
      <c r="O346">
        <f>IF(PartList[[#This Row],[Unique]]="Yes",_xlfn.XLOOKUP(PartList[[#This Row],[ASSLY MARK]],FilteredPL!A:A,FilteredPL!B:B,0,0),0)</f>
        <v>0</v>
      </c>
      <c r="P346">
        <f>_xlfn.XLOOKUP(PartList[[#This Row],[ASSLY MARK]],MasterPL[SplitMarkNo],MasterPL[BILL WT.(KG)],0,0)</f>
        <v>0</v>
      </c>
      <c r="Q346" cm="1">
        <f t="array" ref="Q34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46" s="2" t="str">
        <v>VB26</v>
      </c>
      <c r="AB346" s="2">
        <f>SUMIF(PartList[ASSLY MARK],AA346,PartList[Avail. Qty])</f>
        <v>0</v>
      </c>
    </row>
    <row r="347" spans="1:28" x14ac:dyDescent="0.25">
      <c r="A347">
        <v>834</v>
      </c>
      <c r="B347" t="s">
        <v>401</v>
      </c>
      <c r="C347" t="s">
        <v>532</v>
      </c>
      <c r="D347" t="s">
        <v>912</v>
      </c>
      <c r="E347" t="s">
        <v>6</v>
      </c>
      <c r="F347" t="str" cm="1">
        <f t="array" ref="F347">IF(SUM(IF(PartList[ASSLY MARK]=PartList[[#This Row],[ASSLY MARK]],1,0))&gt;1,"No","Yes")</f>
        <v>No</v>
      </c>
      <c r="G347" t="str" cm="1">
        <f t="array" ref="G347">_xlfn.TEXTJOIN("_",TRUE,TRIM(_xlfn.TEXTSPLIT(PartList[[#This Row],[GRID LOCATION]],{"PR01","/","-"})))</f>
        <v>11_12_A_B</v>
      </c>
      <c r="H347" t="str" cm="1">
        <f t="array" ref="H34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47" cm="1">
        <f t="array" ref="I34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47" t="str">
        <f>IF(IFERROR(SEARCH("&gt;",PartList[[#This Row],[ID]]),0),"O",IF(IFERROR(SEARCH("&lt;",PartList[[#This Row],[ID]]),0),"I",""))</f>
        <v/>
      </c>
      <c r="K347" t="str" cm="1">
        <f t="array" ref="K3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47" t="str" cm="1">
        <f t="array" ref="L3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47" t="str">
        <f>_xlfn.TEXTJOIN("#",TRUE,PartList[[#This Row],[ASSLY MARK]],PartList[[#This Row],[BOX NO]],PartList[[#This Row],[In/Out]],PartList[[#This Row],[O1-Grid]])</f>
        <v>6HB09#Box1_Box2#InBB</v>
      </c>
      <c r="N347" t="str">
        <f>_xlfn.TEXTJOIN("#",TRUE,PartList[[#This Row],[ASSLY MARK]],PartList[[#This Row],[BOX NO]],PartList[[#This Row],[In/Out]],PartList[[#This Row],[O2-Grid]])</f>
        <v>6HB09#Box1_Box2#InBB</v>
      </c>
      <c r="O347">
        <f>IF(PartList[[#This Row],[Unique]]="Yes",_xlfn.XLOOKUP(PartList[[#This Row],[ASSLY MARK]],FilteredPL!A:A,FilteredPL!B:B,0,0),0)</f>
        <v>0</v>
      </c>
      <c r="P347">
        <f>_xlfn.XLOOKUP(PartList[[#This Row],[ASSLY MARK]],MasterPL[SplitMarkNo],MasterPL[BILL WT.(KG)],0,0)</f>
        <v>0</v>
      </c>
      <c r="Q347" cm="1">
        <f t="array" ref="Q34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47" s="2" t="str">
        <v>VB27</v>
      </c>
      <c r="AB347" s="2">
        <f>SUMIF(PartList[ASSLY MARK],AA347,PartList[Avail. Qty])</f>
        <v>0</v>
      </c>
    </row>
    <row r="348" spans="1:28" x14ac:dyDescent="0.25">
      <c r="A348">
        <v>835</v>
      </c>
      <c r="B348" t="s">
        <v>401</v>
      </c>
      <c r="C348" t="s">
        <v>532</v>
      </c>
      <c r="D348" t="s">
        <v>912</v>
      </c>
      <c r="E348" t="s">
        <v>6</v>
      </c>
      <c r="F348" t="str" cm="1">
        <f t="array" ref="F348">IF(SUM(IF(PartList[ASSLY MARK]=PartList[[#This Row],[ASSLY MARK]],1,0))&gt;1,"No","Yes")</f>
        <v>No</v>
      </c>
      <c r="G348" t="str" cm="1">
        <f t="array" ref="G348">_xlfn.TEXTJOIN("_",TRUE,TRIM(_xlfn.TEXTSPLIT(PartList[[#This Row],[GRID LOCATION]],{"PR01","/","-"})))</f>
        <v>11_12_A_B</v>
      </c>
      <c r="H348" t="str" cm="1">
        <f t="array" ref="H34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48" cm="1">
        <f t="array" ref="I34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48" t="str">
        <f>IF(IFERROR(SEARCH("&gt;",PartList[[#This Row],[ID]]),0),"O",IF(IFERROR(SEARCH("&lt;",PartList[[#This Row],[ID]]),0),"I",""))</f>
        <v/>
      </c>
      <c r="K348" t="str" cm="1">
        <f t="array" ref="K3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48" t="str" cm="1">
        <f t="array" ref="L3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48" t="str">
        <f>_xlfn.TEXTJOIN("#",TRUE,PartList[[#This Row],[ASSLY MARK]],PartList[[#This Row],[BOX NO]],PartList[[#This Row],[In/Out]],PartList[[#This Row],[O1-Grid]])</f>
        <v>6HB09#Box1_Box2#InBB</v>
      </c>
      <c r="N348" t="str">
        <f>_xlfn.TEXTJOIN("#",TRUE,PartList[[#This Row],[ASSLY MARK]],PartList[[#This Row],[BOX NO]],PartList[[#This Row],[In/Out]],PartList[[#This Row],[O2-Grid]])</f>
        <v>6HB09#Box1_Box2#InBB</v>
      </c>
      <c r="O348">
        <f>IF(PartList[[#This Row],[Unique]]="Yes",_xlfn.XLOOKUP(PartList[[#This Row],[ASSLY MARK]],FilteredPL!A:A,FilteredPL!B:B,0,0),0)</f>
        <v>0</v>
      </c>
      <c r="P348">
        <f>_xlfn.XLOOKUP(PartList[[#This Row],[ASSLY MARK]],MasterPL[SplitMarkNo],MasterPL[BILL WT.(KG)],0,0)</f>
        <v>0</v>
      </c>
      <c r="Q348" cm="1">
        <f t="array" ref="Q34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48" s="2" t="str">
        <v>VB28</v>
      </c>
      <c r="AB348" s="2">
        <f>SUMIF(PartList[ASSLY MARK],AA348,PartList[Avail. Qty])</f>
        <v>0</v>
      </c>
    </row>
    <row r="349" spans="1:28" x14ac:dyDescent="0.25">
      <c r="A349">
        <v>836</v>
      </c>
      <c r="B349" t="s">
        <v>402</v>
      </c>
      <c r="C349" t="s">
        <v>511</v>
      </c>
      <c r="D349" t="s">
        <v>995</v>
      </c>
      <c r="E349" t="s">
        <v>6</v>
      </c>
      <c r="F349" t="str" cm="1">
        <f t="array" ref="F349">IF(SUM(IF(PartList[ASSLY MARK]=PartList[[#This Row],[ASSLY MARK]],1,0))&gt;1,"No","Yes")</f>
        <v>Yes</v>
      </c>
      <c r="G349" t="str" cm="1">
        <f t="array" ref="G349">_xlfn.TEXTJOIN("_",TRUE,TRIM(_xlfn.TEXTSPLIT(PartList[[#This Row],[GRID LOCATION]],{"PR01","/","-"})))</f>
        <v>11_12_A'_A</v>
      </c>
      <c r="H349" t="str" cm="1">
        <f t="array" ref="H34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349" cm="1">
        <f t="array" ref="I34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49" t="str">
        <f>IF(IFERROR(SEARCH("&gt;",PartList[[#This Row],[ID]]),0),"O",IF(IFERROR(SEARCH("&lt;",PartList[[#This Row],[ID]]),0),"I",""))</f>
        <v/>
      </c>
      <c r="K349" t="str" cm="1">
        <f t="array" ref="K3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49" t="str" cm="1">
        <f t="array" ref="L3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49" t="str">
        <f>_xlfn.TEXTJOIN("#",TRUE,PartList[[#This Row],[ASSLY MARK]],PartList[[#This Row],[BOX NO]],PartList[[#This Row],[In/Out]],PartList[[#This Row],[O1-Grid]])</f>
        <v>6HB10#Box1_Box2_Box4_Box5#InBB</v>
      </c>
      <c r="N349" t="str">
        <f>_xlfn.TEXTJOIN("#",TRUE,PartList[[#This Row],[ASSLY MARK]],PartList[[#This Row],[BOX NO]],PartList[[#This Row],[In/Out]],PartList[[#This Row],[O2-Grid]])</f>
        <v>6HB10#Box1_Box2_Box4_Box5#InBB</v>
      </c>
      <c r="O349">
        <f>IF(PartList[[#This Row],[Unique]]="Yes",_xlfn.XLOOKUP(PartList[[#This Row],[ASSLY MARK]],FilteredPL!A:A,FilteredPL!B:B,0,0),0)</f>
        <v>0</v>
      </c>
      <c r="P349">
        <f>_xlfn.XLOOKUP(PartList[[#This Row],[ASSLY MARK]],MasterPL[SplitMarkNo],MasterPL[BILL WT.(KG)],0,0)</f>
        <v>0</v>
      </c>
      <c r="Q349" cm="1">
        <f t="array" ref="Q34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49" s="2" t="str">
        <v>VB29</v>
      </c>
      <c r="AB349" s="2">
        <f>SUMIF(PartList[ASSLY MARK],AA349,PartList[Avail. Qty])</f>
        <v>0</v>
      </c>
    </row>
    <row r="350" spans="1:28" x14ac:dyDescent="0.25">
      <c r="A350">
        <v>837</v>
      </c>
      <c r="B350" t="s">
        <v>403</v>
      </c>
      <c r="C350" t="s">
        <v>532</v>
      </c>
      <c r="D350" t="s">
        <v>355</v>
      </c>
      <c r="E350" t="s">
        <v>6</v>
      </c>
      <c r="F350" t="str" cm="1">
        <f t="array" ref="F350">IF(SUM(IF(PartList[ASSLY MARK]=PartList[[#This Row],[ASSLY MARK]],1,0))&gt;1,"No","Yes")</f>
        <v>No</v>
      </c>
      <c r="G350" t="str" cm="1">
        <f t="array" ref="G350">_xlfn.TEXTJOIN("_",TRUE,TRIM(_xlfn.TEXTSPLIT(PartList[[#This Row],[GRID LOCATION]],{"PR01","/","-"})))</f>
        <v>11_12_A_B</v>
      </c>
      <c r="H350" t="str" cm="1">
        <f t="array" ref="H35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50" cm="1">
        <f t="array" ref="I35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50" t="str">
        <f>IF(IFERROR(SEARCH("&gt;",PartList[[#This Row],[ID]]),0),"O",IF(IFERROR(SEARCH("&lt;",PartList[[#This Row],[ID]]),0),"I",""))</f>
        <v/>
      </c>
      <c r="K350" t="str" cm="1">
        <f t="array" ref="K3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50" t="str" cm="1">
        <f t="array" ref="L3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50" t="str">
        <f>_xlfn.TEXTJOIN("#",TRUE,PartList[[#This Row],[ASSLY MARK]],PartList[[#This Row],[BOX NO]],PartList[[#This Row],[In/Out]],PartList[[#This Row],[O1-Grid]])</f>
        <v>6HB11#Box1_Box2#InBB</v>
      </c>
      <c r="N350" t="str">
        <f>_xlfn.TEXTJOIN("#",TRUE,PartList[[#This Row],[ASSLY MARK]],PartList[[#This Row],[BOX NO]],PartList[[#This Row],[In/Out]],PartList[[#This Row],[O2-Grid]])</f>
        <v>6HB11#Box1_Box2#InBB</v>
      </c>
      <c r="O350">
        <f>IF(PartList[[#This Row],[Unique]]="Yes",_xlfn.XLOOKUP(PartList[[#This Row],[ASSLY MARK]],FilteredPL!A:A,FilteredPL!B:B,0,0),0)</f>
        <v>0</v>
      </c>
      <c r="P350">
        <f>_xlfn.XLOOKUP(PartList[[#This Row],[ASSLY MARK]],MasterPL[SplitMarkNo],MasterPL[BILL WT.(KG)],0,0)</f>
        <v>0</v>
      </c>
      <c r="Q350" cm="1">
        <f t="array" ref="Q35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50" s="2" t="str">
        <v>VB30</v>
      </c>
      <c r="AB350" s="2">
        <f>SUMIF(PartList[ASSLY MARK],AA350,PartList[Avail. Qty])</f>
        <v>0</v>
      </c>
    </row>
    <row r="351" spans="1:28" x14ac:dyDescent="0.25">
      <c r="A351">
        <v>838</v>
      </c>
      <c r="B351" t="s">
        <v>403</v>
      </c>
      <c r="C351" t="s">
        <v>532</v>
      </c>
      <c r="D351" t="s">
        <v>355</v>
      </c>
      <c r="E351" t="s">
        <v>6</v>
      </c>
      <c r="F351" t="str" cm="1">
        <f t="array" ref="F351">IF(SUM(IF(PartList[ASSLY MARK]=PartList[[#This Row],[ASSLY MARK]],1,0))&gt;1,"No","Yes")</f>
        <v>No</v>
      </c>
      <c r="G351" t="str" cm="1">
        <f t="array" ref="G351">_xlfn.TEXTJOIN("_",TRUE,TRIM(_xlfn.TEXTSPLIT(PartList[[#This Row],[GRID LOCATION]],{"PR01","/","-"})))</f>
        <v>11_12_A_B</v>
      </c>
      <c r="H351" t="str" cm="1">
        <f t="array" ref="H35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51" cm="1">
        <f t="array" ref="I35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51" t="str">
        <f>IF(IFERROR(SEARCH("&gt;",PartList[[#This Row],[ID]]),0),"O",IF(IFERROR(SEARCH("&lt;",PartList[[#This Row],[ID]]),0),"I",""))</f>
        <v/>
      </c>
      <c r="K351" t="str" cm="1">
        <f t="array" ref="K3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51" t="str" cm="1">
        <f t="array" ref="L3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51" t="str">
        <f>_xlfn.TEXTJOIN("#",TRUE,PartList[[#This Row],[ASSLY MARK]],PartList[[#This Row],[BOX NO]],PartList[[#This Row],[In/Out]],PartList[[#This Row],[O1-Grid]])</f>
        <v>6HB11#Box1_Box2#InBB</v>
      </c>
      <c r="N351" t="str">
        <f>_xlfn.TEXTJOIN("#",TRUE,PartList[[#This Row],[ASSLY MARK]],PartList[[#This Row],[BOX NO]],PartList[[#This Row],[In/Out]],PartList[[#This Row],[O2-Grid]])</f>
        <v>6HB11#Box1_Box2#InBB</v>
      </c>
      <c r="O351">
        <f>IF(PartList[[#This Row],[Unique]]="Yes",_xlfn.XLOOKUP(PartList[[#This Row],[ASSLY MARK]],FilteredPL!A:A,FilteredPL!B:B,0,0),0)</f>
        <v>0</v>
      </c>
      <c r="P351">
        <f>_xlfn.XLOOKUP(PartList[[#This Row],[ASSLY MARK]],MasterPL[SplitMarkNo],MasterPL[BILL WT.(KG)],0,0)</f>
        <v>0</v>
      </c>
      <c r="Q351" cm="1">
        <f t="array" ref="Q35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51" s="2" t="str">
        <v>VB31</v>
      </c>
      <c r="AB351" s="2">
        <f>SUMIF(PartList[ASSLY MARK],AA351,PartList[Avail. Qty])</f>
        <v>0</v>
      </c>
    </row>
    <row r="352" spans="1:28" x14ac:dyDescent="0.25">
      <c r="A352">
        <v>839</v>
      </c>
      <c r="B352" t="s">
        <v>404</v>
      </c>
      <c r="C352" t="s">
        <v>511</v>
      </c>
      <c r="D352" t="s">
        <v>995</v>
      </c>
      <c r="E352" t="s">
        <v>6</v>
      </c>
      <c r="F352" t="str" cm="1">
        <f t="array" ref="F352">IF(SUM(IF(PartList[ASSLY MARK]=PartList[[#This Row],[ASSLY MARK]],1,0))&gt;1,"No","Yes")</f>
        <v>No</v>
      </c>
      <c r="G352" t="str" cm="1">
        <f t="array" ref="G352">_xlfn.TEXTJOIN("_",TRUE,TRIM(_xlfn.TEXTSPLIT(PartList[[#This Row],[GRID LOCATION]],{"PR01","/","-"})))</f>
        <v>11_12_A'_A</v>
      </c>
      <c r="H352" t="str" cm="1">
        <f t="array" ref="H35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352" cm="1">
        <f t="array" ref="I35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52" t="str">
        <f>IF(IFERROR(SEARCH("&gt;",PartList[[#This Row],[ID]]),0),"O",IF(IFERROR(SEARCH("&lt;",PartList[[#This Row],[ID]]),0),"I",""))</f>
        <v/>
      </c>
      <c r="K352" t="str" cm="1">
        <f t="array" ref="K3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52" t="str" cm="1">
        <f t="array" ref="L3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52" t="str">
        <f>_xlfn.TEXTJOIN("#",TRUE,PartList[[#This Row],[ASSLY MARK]],PartList[[#This Row],[BOX NO]],PartList[[#This Row],[In/Out]],PartList[[#This Row],[O1-Grid]])</f>
        <v>6HB12#Box1_Box2_Box4_Box5#InBB</v>
      </c>
      <c r="N352" t="str">
        <f>_xlfn.TEXTJOIN("#",TRUE,PartList[[#This Row],[ASSLY MARK]],PartList[[#This Row],[BOX NO]],PartList[[#This Row],[In/Out]],PartList[[#This Row],[O2-Grid]])</f>
        <v>6HB12#Box1_Box2_Box4_Box5#InBB</v>
      </c>
      <c r="O352">
        <f>IF(PartList[[#This Row],[Unique]]="Yes",_xlfn.XLOOKUP(PartList[[#This Row],[ASSLY MARK]],FilteredPL!A:A,FilteredPL!B:B,0,0),0)</f>
        <v>0</v>
      </c>
      <c r="P352">
        <f>_xlfn.XLOOKUP(PartList[[#This Row],[ASSLY MARK]],MasterPL[SplitMarkNo],MasterPL[BILL WT.(KG)],0,0)</f>
        <v>0</v>
      </c>
      <c r="Q352" cm="1">
        <f t="array" ref="Q35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52" s="2" t="str">
        <v>VB32</v>
      </c>
      <c r="AB352" s="2">
        <f>SUMIF(PartList[ASSLY MARK],AA352,PartList[Avail. Qty])</f>
        <v>0</v>
      </c>
    </row>
    <row r="353" spans="1:28" x14ac:dyDescent="0.25">
      <c r="A353">
        <v>840</v>
      </c>
      <c r="B353" t="s">
        <v>404</v>
      </c>
      <c r="C353" t="s">
        <v>511</v>
      </c>
      <c r="D353" t="s">
        <v>995</v>
      </c>
      <c r="E353" t="s">
        <v>6</v>
      </c>
      <c r="F353" t="str" cm="1">
        <f t="array" ref="F353">IF(SUM(IF(PartList[ASSLY MARK]=PartList[[#This Row],[ASSLY MARK]],1,0))&gt;1,"No","Yes")</f>
        <v>No</v>
      </c>
      <c r="G353" t="str" cm="1">
        <f t="array" ref="G353">_xlfn.TEXTJOIN("_",TRUE,TRIM(_xlfn.TEXTSPLIT(PartList[[#This Row],[GRID LOCATION]],{"PR01","/","-"})))</f>
        <v>11_12_A'_A</v>
      </c>
      <c r="H353" t="str" cm="1">
        <f t="array" ref="H35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353" cm="1">
        <f t="array" ref="I35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53" t="str">
        <f>IF(IFERROR(SEARCH("&gt;",PartList[[#This Row],[ID]]),0),"O",IF(IFERROR(SEARCH("&lt;",PartList[[#This Row],[ID]]),0),"I",""))</f>
        <v/>
      </c>
      <c r="K353" t="str" cm="1">
        <f t="array" ref="K3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53" t="str" cm="1">
        <f t="array" ref="L3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53" t="str">
        <f>_xlfn.TEXTJOIN("#",TRUE,PartList[[#This Row],[ASSLY MARK]],PartList[[#This Row],[BOX NO]],PartList[[#This Row],[In/Out]],PartList[[#This Row],[O1-Grid]])</f>
        <v>6HB12#Box1_Box2_Box4_Box5#InBB</v>
      </c>
      <c r="N353" t="str">
        <f>_xlfn.TEXTJOIN("#",TRUE,PartList[[#This Row],[ASSLY MARK]],PartList[[#This Row],[BOX NO]],PartList[[#This Row],[In/Out]],PartList[[#This Row],[O2-Grid]])</f>
        <v>6HB12#Box1_Box2_Box4_Box5#InBB</v>
      </c>
      <c r="O353">
        <f>IF(PartList[[#This Row],[Unique]]="Yes",_xlfn.XLOOKUP(PartList[[#This Row],[ASSLY MARK]],FilteredPL!A:A,FilteredPL!B:B,0,0),0)</f>
        <v>0</v>
      </c>
      <c r="P353">
        <f>_xlfn.XLOOKUP(PartList[[#This Row],[ASSLY MARK]],MasterPL[SplitMarkNo],MasterPL[BILL WT.(KG)],0,0)</f>
        <v>0</v>
      </c>
      <c r="Q353" cm="1">
        <f t="array" ref="Q35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53" s="2" t="str">
        <v>VB33</v>
      </c>
      <c r="AB353" s="2">
        <f>SUMIF(PartList[ASSLY MARK],AA353,PartList[Avail. Qty])</f>
        <v>0</v>
      </c>
    </row>
    <row r="354" spans="1:28" x14ac:dyDescent="0.25">
      <c r="A354">
        <v>841</v>
      </c>
      <c r="B354" t="s">
        <v>404</v>
      </c>
      <c r="C354" t="s">
        <v>511</v>
      </c>
      <c r="D354" t="s">
        <v>995</v>
      </c>
      <c r="E354" t="s">
        <v>6</v>
      </c>
      <c r="F354" t="str" cm="1">
        <f t="array" ref="F354">IF(SUM(IF(PartList[ASSLY MARK]=PartList[[#This Row],[ASSLY MARK]],1,0))&gt;1,"No","Yes")</f>
        <v>No</v>
      </c>
      <c r="G354" t="str" cm="1">
        <f t="array" ref="G354">_xlfn.TEXTJOIN("_",TRUE,TRIM(_xlfn.TEXTSPLIT(PartList[[#This Row],[GRID LOCATION]],{"PR01","/","-"})))</f>
        <v>11_12_A'_A</v>
      </c>
      <c r="H354" t="str" cm="1">
        <f t="array" ref="H35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354" cm="1">
        <f t="array" ref="I35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54" t="str">
        <f>IF(IFERROR(SEARCH("&gt;",PartList[[#This Row],[ID]]),0),"O",IF(IFERROR(SEARCH("&lt;",PartList[[#This Row],[ID]]),0),"I",""))</f>
        <v/>
      </c>
      <c r="K354" t="str" cm="1">
        <f t="array" ref="K3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54" t="str" cm="1">
        <f t="array" ref="L3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54" t="str">
        <f>_xlfn.TEXTJOIN("#",TRUE,PartList[[#This Row],[ASSLY MARK]],PartList[[#This Row],[BOX NO]],PartList[[#This Row],[In/Out]],PartList[[#This Row],[O1-Grid]])</f>
        <v>6HB12#Box1_Box2_Box4_Box5#InBB</v>
      </c>
      <c r="N354" t="str">
        <f>_xlfn.TEXTJOIN("#",TRUE,PartList[[#This Row],[ASSLY MARK]],PartList[[#This Row],[BOX NO]],PartList[[#This Row],[In/Out]],PartList[[#This Row],[O2-Grid]])</f>
        <v>6HB12#Box1_Box2_Box4_Box5#InBB</v>
      </c>
      <c r="O354">
        <f>IF(PartList[[#This Row],[Unique]]="Yes",_xlfn.XLOOKUP(PartList[[#This Row],[ASSLY MARK]],FilteredPL!A:A,FilteredPL!B:B,0,0),0)</f>
        <v>0</v>
      </c>
      <c r="P354">
        <f>_xlfn.XLOOKUP(PartList[[#This Row],[ASSLY MARK]],MasterPL[SplitMarkNo],MasterPL[BILL WT.(KG)],0,0)</f>
        <v>0</v>
      </c>
      <c r="Q354" cm="1">
        <f t="array" ref="Q35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54" s="2" t="str">
        <v>VB34</v>
      </c>
      <c r="AB354" s="2">
        <f>SUMIF(PartList[ASSLY MARK],AA354,PartList[Avail. Qty])</f>
        <v>0</v>
      </c>
    </row>
    <row r="355" spans="1:28" x14ac:dyDescent="0.25">
      <c r="A355">
        <v>842</v>
      </c>
      <c r="B355" t="s">
        <v>996</v>
      </c>
      <c r="C355" t="s">
        <v>532</v>
      </c>
      <c r="D355" t="s">
        <v>355</v>
      </c>
      <c r="E355" t="s">
        <v>6</v>
      </c>
      <c r="F355" t="str" cm="1">
        <f t="array" ref="F355">IF(SUM(IF(PartList[ASSLY MARK]=PartList[[#This Row],[ASSLY MARK]],1,0))&gt;1,"No","Yes")</f>
        <v>Yes</v>
      </c>
      <c r="G355" t="str" cm="1">
        <f t="array" ref="G355">_xlfn.TEXTJOIN("_",TRUE,TRIM(_xlfn.TEXTSPLIT(PartList[[#This Row],[GRID LOCATION]],{"PR01","/","-"})))</f>
        <v>11_12_A_B</v>
      </c>
      <c r="H355" t="str" cm="1">
        <f t="array" ref="H35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55" cm="1">
        <f t="array" ref="I35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55" t="str">
        <f>IF(IFERROR(SEARCH("&gt;",PartList[[#This Row],[ID]]),0),"O",IF(IFERROR(SEARCH("&lt;",PartList[[#This Row],[ID]]),0),"I",""))</f>
        <v/>
      </c>
      <c r="K355" t="str" cm="1">
        <f t="array" ref="K3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55" t="str" cm="1">
        <f t="array" ref="L3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55" t="str">
        <f>_xlfn.TEXTJOIN("#",TRUE,PartList[[#This Row],[ASSLY MARK]],PartList[[#This Row],[BOX NO]],PartList[[#This Row],[In/Out]],PartList[[#This Row],[O1-Grid]])</f>
        <v>6HB13#Box1_Box2#InBB</v>
      </c>
      <c r="N355" t="str">
        <f>_xlfn.TEXTJOIN("#",TRUE,PartList[[#This Row],[ASSLY MARK]],PartList[[#This Row],[BOX NO]],PartList[[#This Row],[In/Out]],PartList[[#This Row],[O2-Grid]])</f>
        <v>6HB13#Box1_Box2#InBB</v>
      </c>
      <c r="O355">
        <f>IF(PartList[[#This Row],[Unique]]="Yes",_xlfn.XLOOKUP(PartList[[#This Row],[ASSLY MARK]],FilteredPL!A:A,FilteredPL!B:B,0,0),0)</f>
        <v>0</v>
      </c>
      <c r="P355">
        <f>_xlfn.XLOOKUP(PartList[[#This Row],[ASSLY MARK]],MasterPL[SplitMarkNo],MasterPL[BILL WT.(KG)],0,0)</f>
        <v>0</v>
      </c>
      <c r="Q355" cm="1">
        <f t="array" ref="Q35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55" s="2" t="str">
        <v>VB35</v>
      </c>
      <c r="AB355" s="2">
        <f>SUMIF(PartList[ASSLY MARK],AA355,PartList[Avail. Qty])</f>
        <v>0</v>
      </c>
    </row>
    <row r="356" spans="1:28" x14ac:dyDescent="0.25">
      <c r="A356">
        <v>843</v>
      </c>
      <c r="B356" t="s">
        <v>997</v>
      </c>
      <c r="C356" t="s">
        <v>532</v>
      </c>
      <c r="D356" t="s">
        <v>355</v>
      </c>
      <c r="E356" t="s">
        <v>6</v>
      </c>
      <c r="F356" t="str" cm="1">
        <f t="array" ref="F356">IF(SUM(IF(PartList[ASSLY MARK]=PartList[[#This Row],[ASSLY MARK]],1,0))&gt;1,"No","Yes")</f>
        <v>Yes</v>
      </c>
      <c r="G356" t="str" cm="1">
        <f t="array" ref="G356">_xlfn.TEXTJOIN("_",TRUE,TRIM(_xlfn.TEXTSPLIT(PartList[[#This Row],[GRID LOCATION]],{"PR01","/","-"})))</f>
        <v>11_12_A_B</v>
      </c>
      <c r="H356" t="str" cm="1">
        <f t="array" ref="H35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56" cm="1">
        <f t="array" ref="I35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56" t="str">
        <f>IF(IFERROR(SEARCH("&gt;",PartList[[#This Row],[ID]]),0),"O",IF(IFERROR(SEARCH("&lt;",PartList[[#This Row],[ID]]),0),"I",""))</f>
        <v/>
      </c>
      <c r="K356" t="str" cm="1">
        <f t="array" ref="K3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56" t="str" cm="1">
        <f t="array" ref="L3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56" t="str">
        <f>_xlfn.TEXTJOIN("#",TRUE,PartList[[#This Row],[ASSLY MARK]],PartList[[#This Row],[BOX NO]],PartList[[#This Row],[In/Out]],PartList[[#This Row],[O1-Grid]])</f>
        <v>6HB14#Box1_Box2#InBB</v>
      </c>
      <c r="N356" t="str">
        <f>_xlfn.TEXTJOIN("#",TRUE,PartList[[#This Row],[ASSLY MARK]],PartList[[#This Row],[BOX NO]],PartList[[#This Row],[In/Out]],PartList[[#This Row],[O2-Grid]])</f>
        <v>6HB14#Box1_Box2#InBB</v>
      </c>
      <c r="O356">
        <f>IF(PartList[[#This Row],[Unique]]="Yes",_xlfn.XLOOKUP(PartList[[#This Row],[ASSLY MARK]],FilteredPL!A:A,FilteredPL!B:B,0,0),0)</f>
        <v>0</v>
      </c>
      <c r="P356">
        <f>_xlfn.XLOOKUP(PartList[[#This Row],[ASSLY MARK]],MasterPL[SplitMarkNo],MasterPL[BILL WT.(KG)],0,0)</f>
        <v>0</v>
      </c>
      <c r="Q356" cm="1">
        <f t="array" ref="Q35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56" s="2" t="str">
        <v>VB36</v>
      </c>
      <c r="AB356" s="2">
        <f>SUMIF(PartList[ASSLY MARK],AA356,PartList[Avail. Qty])</f>
        <v>0</v>
      </c>
    </row>
    <row r="357" spans="1:28" x14ac:dyDescent="0.25">
      <c r="A357">
        <v>844</v>
      </c>
      <c r="B357" t="s">
        <v>998</v>
      </c>
      <c r="C357" t="s">
        <v>532</v>
      </c>
      <c r="D357" t="s">
        <v>912</v>
      </c>
      <c r="E357" t="s">
        <v>6</v>
      </c>
      <c r="F357" t="str" cm="1">
        <f t="array" ref="F357">IF(SUM(IF(PartList[ASSLY MARK]=PartList[[#This Row],[ASSLY MARK]],1,0))&gt;1,"No","Yes")</f>
        <v>Yes</v>
      </c>
      <c r="G357" t="str" cm="1">
        <f t="array" ref="G357">_xlfn.TEXTJOIN("_",TRUE,TRIM(_xlfn.TEXTSPLIT(PartList[[#This Row],[GRID LOCATION]],{"PR01","/","-"})))</f>
        <v>11_12_A_B</v>
      </c>
      <c r="H357" t="str" cm="1">
        <f t="array" ref="H35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57" cm="1">
        <f t="array" ref="I35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57" t="str">
        <f>IF(IFERROR(SEARCH("&gt;",PartList[[#This Row],[ID]]),0),"O",IF(IFERROR(SEARCH("&lt;",PartList[[#This Row],[ID]]),0),"I",""))</f>
        <v/>
      </c>
      <c r="K357" t="str" cm="1">
        <f t="array" ref="K3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57" t="str" cm="1">
        <f t="array" ref="L3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57" t="str">
        <f>_xlfn.TEXTJOIN("#",TRUE,PartList[[#This Row],[ASSLY MARK]],PartList[[#This Row],[BOX NO]],PartList[[#This Row],[In/Out]],PartList[[#This Row],[O1-Grid]])</f>
        <v>6HB15#Box1_Box2#InBB</v>
      </c>
      <c r="N357" t="str">
        <f>_xlfn.TEXTJOIN("#",TRUE,PartList[[#This Row],[ASSLY MARK]],PartList[[#This Row],[BOX NO]],PartList[[#This Row],[In/Out]],PartList[[#This Row],[O2-Grid]])</f>
        <v>6HB15#Box1_Box2#InBB</v>
      </c>
      <c r="O357">
        <f>IF(PartList[[#This Row],[Unique]]="Yes",_xlfn.XLOOKUP(PartList[[#This Row],[ASSLY MARK]],FilteredPL!A:A,FilteredPL!B:B,0,0),0)</f>
        <v>0</v>
      </c>
      <c r="P357">
        <f>_xlfn.XLOOKUP(PartList[[#This Row],[ASSLY MARK]],MasterPL[SplitMarkNo],MasterPL[BILL WT.(KG)],0,0)</f>
        <v>0</v>
      </c>
      <c r="Q357" cm="1">
        <f t="array" ref="Q35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57" s="2" t="str">
        <v>VB37</v>
      </c>
      <c r="AB357" s="2">
        <f>SUMIF(PartList[ASSLY MARK],AA357,PartList[Avail. Qty])</f>
        <v>0</v>
      </c>
    </row>
    <row r="358" spans="1:28" x14ac:dyDescent="0.25">
      <c r="A358">
        <v>845</v>
      </c>
      <c r="B358" t="s">
        <v>999</v>
      </c>
      <c r="C358" t="s">
        <v>532</v>
      </c>
      <c r="D358" t="s">
        <v>355</v>
      </c>
      <c r="E358" t="s">
        <v>6</v>
      </c>
      <c r="F358" t="str" cm="1">
        <f t="array" ref="F358">IF(SUM(IF(PartList[ASSLY MARK]=PartList[[#This Row],[ASSLY MARK]],1,0))&gt;1,"No","Yes")</f>
        <v>Yes</v>
      </c>
      <c r="G358" t="str" cm="1">
        <f t="array" ref="G358">_xlfn.TEXTJOIN("_",TRUE,TRIM(_xlfn.TEXTSPLIT(PartList[[#This Row],[GRID LOCATION]],{"PR01","/","-"})))</f>
        <v>11_12_A_B</v>
      </c>
      <c r="H358" t="str" cm="1">
        <f t="array" ref="H35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358" cm="1">
        <f t="array" ref="I35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58" t="str">
        <f>IF(IFERROR(SEARCH("&gt;",PartList[[#This Row],[ID]]),0),"O",IF(IFERROR(SEARCH("&lt;",PartList[[#This Row],[ID]]),0),"I",""))</f>
        <v/>
      </c>
      <c r="K358" t="str" cm="1">
        <f t="array" ref="K3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58" t="str" cm="1">
        <f t="array" ref="L3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58" t="str">
        <f>_xlfn.TEXTJOIN("#",TRUE,PartList[[#This Row],[ASSLY MARK]],PartList[[#This Row],[BOX NO]],PartList[[#This Row],[In/Out]],PartList[[#This Row],[O1-Grid]])</f>
        <v>6HB16#Box1_Box2#InBB</v>
      </c>
      <c r="N358" t="str">
        <f>_xlfn.TEXTJOIN("#",TRUE,PartList[[#This Row],[ASSLY MARK]],PartList[[#This Row],[BOX NO]],PartList[[#This Row],[In/Out]],PartList[[#This Row],[O2-Grid]])</f>
        <v>6HB16#Box1_Box2#InBB</v>
      </c>
      <c r="O358">
        <f>IF(PartList[[#This Row],[Unique]]="Yes",_xlfn.XLOOKUP(PartList[[#This Row],[ASSLY MARK]],FilteredPL!A:A,FilteredPL!B:B,0,0),0)</f>
        <v>0</v>
      </c>
      <c r="P358">
        <f>_xlfn.XLOOKUP(PartList[[#This Row],[ASSLY MARK]],MasterPL[SplitMarkNo],MasterPL[BILL WT.(KG)],0,0)</f>
        <v>0</v>
      </c>
      <c r="Q358" cm="1">
        <f t="array" ref="Q35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58" s="2" t="str">
        <v>VB38</v>
      </c>
      <c r="AB358" s="2">
        <f>SUMIF(PartList[ASSLY MARK],AA358,PartList[Avail. Qty])</f>
        <v>0</v>
      </c>
    </row>
    <row r="359" spans="1:28" x14ac:dyDescent="0.25">
      <c r="A359">
        <v>846</v>
      </c>
      <c r="B359" t="s">
        <v>1000</v>
      </c>
      <c r="C359" t="s">
        <v>511</v>
      </c>
      <c r="D359" t="s">
        <v>995</v>
      </c>
      <c r="E359" t="s">
        <v>6</v>
      </c>
      <c r="F359" t="str" cm="1">
        <f t="array" ref="F359">IF(SUM(IF(PartList[ASSLY MARK]=PartList[[#This Row],[ASSLY MARK]],1,0))&gt;1,"No","Yes")</f>
        <v>Yes</v>
      </c>
      <c r="G359" t="str" cm="1">
        <f t="array" ref="G359">_xlfn.TEXTJOIN("_",TRUE,TRIM(_xlfn.TEXTSPLIT(PartList[[#This Row],[GRID LOCATION]],{"PR01","/","-"})))</f>
        <v>11_12_A'_A</v>
      </c>
      <c r="H359" t="str" cm="1">
        <f t="array" ref="H35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359" cm="1">
        <f t="array" ref="I35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59" t="str">
        <f>IF(IFERROR(SEARCH("&gt;",PartList[[#This Row],[ID]]),0),"O",IF(IFERROR(SEARCH("&lt;",PartList[[#This Row],[ID]]),0),"I",""))</f>
        <v/>
      </c>
      <c r="K359" t="str" cm="1">
        <f t="array" ref="K3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59" t="str" cm="1">
        <f t="array" ref="L3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59" t="str">
        <f>_xlfn.TEXTJOIN("#",TRUE,PartList[[#This Row],[ASSLY MARK]],PartList[[#This Row],[BOX NO]],PartList[[#This Row],[In/Out]],PartList[[#This Row],[O1-Grid]])</f>
        <v>6HB17#Box1_Box2_Box4_Box5#InBB</v>
      </c>
      <c r="N359" t="str">
        <f>_xlfn.TEXTJOIN("#",TRUE,PartList[[#This Row],[ASSLY MARK]],PartList[[#This Row],[BOX NO]],PartList[[#This Row],[In/Out]],PartList[[#This Row],[O2-Grid]])</f>
        <v>6HB17#Box1_Box2_Box4_Box5#InBB</v>
      </c>
      <c r="O359">
        <f>IF(PartList[[#This Row],[Unique]]="Yes",_xlfn.XLOOKUP(PartList[[#This Row],[ASSLY MARK]],FilteredPL!A:A,FilteredPL!B:B,0,0),0)</f>
        <v>0</v>
      </c>
      <c r="P359">
        <f>_xlfn.XLOOKUP(PartList[[#This Row],[ASSLY MARK]],MasterPL[SplitMarkNo],MasterPL[BILL WT.(KG)],0,0)</f>
        <v>0</v>
      </c>
      <c r="Q359" cm="1">
        <f t="array" ref="Q35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59" s="2" t="str">
        <v>VB39</v>
      </c>
      <c r="AB359" s="2">
        <f>SUMIF(PartList[ASSLY MARK],AA359,PartList[Avail. Qty])</f>
        <v>0</v>
      </c>
    </row>
    <row r="360" spans="1:28" x14ac:dyDescent="0.25">
      <c r="A360">
        <v>890</v>
      </c>
      <c r="B360" t="s">
        <v>405</v>
      </c>
      <c r="C360" t="s">
        <v>1038</v>
      </c>
      <c r="D360" t="s">
        <v>1039</v>
      </c>
      <c r="E360" t="s">
        <v>7</v>
      </c>
      <c r="F360" t="str" cm="1">
        <f t="array" ref="F360">IF(SUM(IF(PartList[ASSLY MARK]=PartList[[#This Row],[ASSLY MARK]],1,0))&gt;1,"No","Yes")</f>
        <v>Yes</v>
      </c>
      <c r="G360" t="str" cm="1">
        <f t="array" ref="G360">_xlfn.TEXTJOIN("_",TRUE,TRIM(_xlfn.TEXTSPLIT(PartList[[#This Row],[GRID LOCATION]],{"PR01","/","-"})))</f>
        <v>10_A</v>
      </c>
      <c r="H360" t="str" cm="1">
        <f t="array" ref="H36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60" cm="1">
        <f t="array" ref="I36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60" t="str">
        <f>IF(IFERROR(SEARCH("&gt;",PartList[[#This Row],[ID]]),0),"O",IF(IFERROR(SEARCH("&lt;",PartList[[#This Row],[ID]]),0),"I",""))</f>
        <v/>
      </c>
      <c r="K360" t="str" cm="1">
        <f t="array" ref="K3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360" t="str" cm="1">
        <f t="array" ref="L3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360" t="str">
        <f>_xlfn.TEXTJOIN("#",TRUE,PartList[[#This Row],[ASSLY MARK]],PartList[[#This Row],[BOX NO]],PartList[[#This Row],[In/Out]],PartList[[#This Row],[O1-Grid]])</f>
        <v>C01#Box1#10_B_A</v>
      </c>
      <c r="N360" t="str">
        <f>_xlfn.TEXTJOIN("#",TRUE,PartList[[#This Row],[ASSLY MARK]],PartList[[#This Row],[BOX NO]],PartList[[#This Row],[In/Out]],PartList[[#This Row],[O2-Grid]])</f>
        <v>C01#Box1#10_11_A</v>
      </c>
      <c r="O360">
        <f>IF(PartList[[#This Row],[Unique]]="Yes",_xlfn.XLOOKUP(PartList[[#This Row],[ASSLY MARK]],FilteredPL!A:A,FilteredPL!B:B,0,0),0)</f>
        <v>1</v>
      </c>
      <c r="P360">
        <f>_xlfn.XLOOKUP(PartList[[#This Row],[ASSLY MARK]],MasterPL[SplitMarkNo],MasterPL[BILL WT.(KG)],0,0)</f>
        <v>3187.51</v>
      </c>
      <c r="Q360" cm="1">
        <f t="array" ref="Q36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60" s="2" t="str">
        <v>VB40</v>
      </c>
      <c r="AB360" s="2">
        <f>SUMIF(PartList[ASSLY MARK],AA360,PartList[Avail. Qty])</f>
        <v>0</v>
      </c>
    </row>
    <row r="361" spans="1:28" x14ac:dyDescent="0.25">
      <c r="A361">
        <v>891</v>
      </c>
      <c r="B361" t="s">
        <v>406</v>
      </c>
      <c r="C361" t="s">
        <v>1038</v>
      </c>
      <c r="D361" t="s">
        <v>1040</v>
      </c>
      <c r="E361" t="s">
        <v>7</v>
      </c>
      <c r="F361" t="str" cm="1">
        <f t="array" ref="F361">IF(SUM(IF(PartList[ASSLY MARK]=PartList[[#This Row],[ASSLY MARK]],1,0))&gt;1,"No","Yes")</f>
        <v>Yes</v>
      </c>
      <c r="G361" t="str" cm="1">
        <f t="array" ref="G361">_xlfn.TEXTJOIN("_",TRUE,TRIM(_xlfn.TEXTSPLIT(PartList[[#This Row],[GRID LOCATION]],{"PR01","/","-"})))</f>
        <v>10_A</v>
      </c>
      <c r="H361" t="str" cm="1">
        <f t="array" ref="H36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61" cm="1">
        <f t="array" ref="I36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61" t="str">
        <f>IF(IFERROR(SEARCH("&gt;",PartList[[#This Row],[ID]]),0),"O",IF(IFERROR(SEARCH("&lt;",PartList[[#This Row],[ID]]),0),"I",""))</f>
        <v/>
      </c>
      <c r="K361" t="str" cm="1">
        <f t="array" ref="K3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361" t="str" cm="1">
        <f t="array" ref="L3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361" t="str">
        <f>_xlfn.TEXTJOIN("#",TRUE,PartList[[#This Row],[ASSLY MARK]],PartList[[#This Row],[BOX NO]],PartList[[#This Row],[In/Out]],PartList[[#This Row],[O1-Grid]])</f>
        <v>C02#Box1#10_B_A</v>
      </c>
      <c r="N361" t="str">
        <f>_xlfn.TEXTJOIN("#",TRUE,PartList[[#This Row],[ASSLY MARK]],PartList[[#This Row],[BOX NO]],PartList[[#This Row],[In/Out]],PartList[[#This Row],[O2-Grid]])</f>
        <v>C02#Box1#10_11_A</v>
      </c>
      <c r="O361">
        <f>IF(PartList[[#This Row],[Unique]]="Yes",_xlfn.XLOOKUP(PartList[[#This Row],[ASSLY MARK]],FilteredPL!A:A,FilteredPL!B:B,0,0),0)</f>
        <v>0</v>
      </c>
      <c r="P361">
        <f>_xlfn.XLOOKUP(PartList[[#This Row],[ASSLY MARK]],MasterPL[SplitMarkNo],MasterPL[BILL WT.(KG)],0,0)</f>
        <v>0</v>
      </c>
      <c r="Q361" cm="1">
        <f t="array" ref="Q36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61" s="2" t="str">
        <v>VB41</v>
      </c>
      <c r="AB361" s="2">
        <f>SUMIF(PartList[ASSLY MARK],AA361,PartList[Avail. Qty])</f>
        <v>0</v>
      </c>
    </row>
    <row r="362" spans="1:28" x14ac:dyDescent="0.25">
      <c r="A362">
        <v>892</v>
      </c>
      <c r="B362" t="s">
        <v>408</v>
      </c>
      <c r="C362" t="s">
        <v>1038</v>
      </c>
      <c r="D362" t="s">
        <v>1041</v>
      </c>
      <c r="E362" t="s">
        <v>7</v>
      </c>
      <c r="F362" t="str" cm="1">
        <f t="array" ref="F362">IF(SUM(IF(PartList[ASSLY MARK]=PartList[[#This Row],[ASSLY MARK]],1,0))&gt;1,"No","Yes")</f>
        <v>Yes</v>
      </c>
      <c r="G362" t="str" cm="1">
        <f t="array" ref="G362">_xlfn.TEXTJOIN("_",TRUE,TRIM(_xlfn.TEXTSPLIT(PartList[[#This Row],[GRID LOCATION]],{"PR01","/","-"})))</f>
        <v>10_A</v>
      </c>
      <c r="H362" t="str" cm="1">
        <f t="array" ref="H36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62" cm="1">
        <f t="array" ref="I36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62" t="str">
        <f>IF(IFERROR(SEARCH("&gt;",PartList[[#This Row],[ID]]),0),"O",IF(IFERROR(SEARCH("&lt;",PartList[[#This Row],[ID]]),0),"I",""))</f>
        <v/>
      </c>
      <c r="K362" t="str" cm="1">
        <f t="array" ref="K3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362" t="str" cm="1">
        <f t="array" ref="L3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362" t="str">
        <f>_xlfn.TEXTJOIN("#",TRUE,PartList[[#This Row],[ASSLY MARK]],PartList[[#This Row],[BOX NO]],PartList[[#This Row],[In/Out]],PartList[[#This Row],[O1-Grid]])</f>
        <v>C03#Box1#10_B_A</v>
      </c>
      <c r="N362" t="str">
        <f>_xlfn.TEXTJOIN("#",TRUE,PartList[[#This Row],[ASSLY MARK]],PartList[[#This Row],[BOX NO]],PartList[[#This Row],[In/Out]],PartList[[#This Row],[O2-Grid]])</f>
        <v>C03#Box1#10_11_A</v>
      </c>
      <c r="O362">
        <f>IF(PartList[[#This Row],[Unique]]="Yes",_xlfn.XLOOKUP(PartList[[#This Row],[ASSLY MARK]],FilteredPL!A:A,FilteredPL!B:B,0,0),0)</f>
        <v>1</v>
      </c>
      <c r="P362">
        <f>_xlfn.XLOOKUP(PartList[[#This Row],[ASSLY MARK]],MasterPL[SplitMarkNo],MasterPL[BILL WT.(KG)],0,0)</f>
        <v>2052.5700000000002</v>
      </c>
      <c r="Q362" cm="1">
        <f t="array" ref="Q36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62" s="2" t="str">
        <v>VB42</v>
      </c>
      <c r="AB362" s="2">
        <f>SUMIF(PartList[ASSLY MARK],AA362,PartList[Avail. Qty])</f>
        <v>0</v>
      </c>
    </row>
    <row r="363" spans="1:28" x14ac:dyDescent="0.25">
      <c r="A363">
        <v>895</v>
      </c>
      <c r="B363" t="s">
        <v>411</v>
      </c>
      <c r="C363" t="s">
        <v>1045</v>
      </c>
      <c r="D363" t="s">
        <v>1039</v>
      </c>
      <c r="E363" t="s">
        <v>7</v>
      </c>
      <c r="F363" t="str" cm="1">
        <f t="array" ref="F363">IF(SUM(IF(PartList[ASSLY MARK]=PartList[[#This Row],[ASSLY MARK]],1,0))&gt;1,"No","Yes")</f>
        <v>Yes</v>
      </c>
      <c r="G363" t="str" cm="1">
        <f t="array" ref="G363">_xlfn.TEXTJOIN("_",TRUE,TRIM(_xlfn.TEXTSPLIT(PartList[[#This Row],[GRID LOCATION]],{"PR01","/","-"})))</f>
        <v>10_B</v>
      </c>
      <c r="H363" t="str" cm="1">
        <f t="array" ref="H36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63" cm="1">
        <f t="array" ref="I36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63" t="str">
        <f>IF(IFERROR(SEARCH("&gt;",PartList[[#This Row],[ID]]),0),"O",IF(IFERROR(SEARCH("&lt;",PartList[[#This Row],[ID]]),0),"I",""))</f>
        <v/>
      </c>
      <c r="K363" t="str" cm="1">
        <f t="array" ref="K3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363" t="str" cm="1">
        <f t="array" ref="L3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363" t="str">
        <f>_xlfn.TEXTJOIN("#",TRUE,PartList[[#This Row],[ASSLY MARK]],PartList[[#This Row],[BOX NO]],PartList[[#This Row],[In/Out]],PartList[[#This Row],[O1-Grid]])</f>
        <v>C06#Box1#10_B_A</v>
      </c>
      <c r="N363" t="str">
        <f>_xlfn.TEXTJOIN("#",TRUE,PartList[[#This Row],[ASSLY MARK]],PartList[[#This Row],[BOX NO]],PartList[[#This Row],[In/Out]],PartList[[#This Row],[O2-Grid]])</f>
        <v>C06#Box1#10_11_B</v>
      </c>
      <c r="O363">
        <f>IF(PartList[[#This Row],[Unique]]="Yes",_xlfn.XLOOKUP(PartList[[#This Row],[ASSLY MARK]],FilteredPL!A:A,FilteredPL!B:B,0,0),0)</f>
        <v>1</v>
      </c>
      <c r="P363">
        <f>_xlfn.XLOOKUP(PartList[[#This Row],[ASSLY MARK]],MasterPL[SplitMarkNo],MasterPL[BILL WT.(KG)],0,0)</f>
        <v>3187.51</v>
      </c>
      <c r="Q363" cm="1">
        <f t="array" ref="Q36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63" s="2" t="str">
        <v>VB47</v>
      </c>
      <c r="AB363" s="2">
        <f>SUMIF(PartList[ASSLY MARK],AA363,PartList[Avail. Qty])</f>
        <v>0</v>
      </c>
    </row>
    <row r="364" spans="1:28" x14ac:dyDescent="0.25">
      <c r="A364">
        <v>896</v>
      </c>
      <c r="B364" t="s">
        <v>412</v>
      </c>
      <c r="C364" t="s">
        <v>1045</v>
      </c>
      <c r="D364" t="s">
        <v>1040</v>
      </c>
      <c r="E364" t="s">
        <v>7</v>
      </c>
      <c r="F364" t="str" cm="1">
        <f t="array" ref="F364">IF(SUM(IF(PartList[ASSLY MARK]=PartList[[#This Row],[ASSLY MARK]],1,0))&gt;1,"No","Yes")</f>
        <v>Yes</v>
      </c>
      <c r="G364" t="str" cm="1">
        <f t="array" ref="G364">_xlfn.TEXTJOIN("_",TRUE,TRIM(_xlfn.TEXTSPLIT(PartList[[#This Row],[GRID LOCATION]],{"PR01","/","-"})))</f>
        <v>10_B</v>
      </c>
      <c r="H364" t="str" cm="1">
        <f t="array" ref="H36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64" cm="1">
        <f t="array" ref="I36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64" t="str">
        <f>IF(IFERROR(SEARCH("&gt;",PartList[[#This Row],[ID]]),0),"O",IF(IFERROR(SEARCH("&lt;",PartList[[#This Row],[ID]]),0),"I",""))</f>
        <v/>
      </c>
      <c r="K364" t="str" cm="1">
        <f t="array" ref="K3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364" t="str" cm="1">
        <f t="array" ref="L3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364" t="str">
        <f>_xlfn.TEXTJOIN("#",TRUE,PartList[[#This Row],[ASSLY MARK]],PartList[[#This Row],[BOX NO]],PartList[[#This Row],[In/Out]],PartList[[#This Row],[O1-Grid]])</f>
        <v>C07#Box1#10_B_A</v>
      </c>
      <c r="N364" t="str">
        <f>_xlfn.TEXTJOIN("#",TRUE,PartList[[#This Row],[ASSLY MARK]],PartList[[#This Row],[BOX NO]],PartList[[#This Row],[In/Out]],PartList[[#This Row],[O2-Grid]])</f>
        <v>C07#Box1#10_11_B</v>
      </c>
      <c r="O364">
        <f>IF(PartList[[#This Row],[Unique]]="Yes",_xlfn.XLOOKUP(PartList[[#This Row],[ASSLY MARK]],FilteredPL!A:A,FilteredPL!B:B,0,0),0)</f>
        <v>0</v>
      </c>
      <c r="P364">
        <f>_xlfn.XLOOKUP(PartList[[#This Row],[ASSLY MARK]],MasterPL[SplitMarkNo],MasterPL[BILL WT.(KG)],0,0)</f>
        <v>0</v>
      </c>
      <c r="Q364" cm="1">
        <f t="array" ref="Q36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64" s="2" t="str">
        <v>VB48</v>
      </c>
      <c r="AB364" s="2">
        <f>SUMIF(PartList[ASSLY MARK],AA364,PartList[Avail. Qty])</f>
        <v>0</v>
      </c>
    </row>
    <row r="365" spans="1:28" x14ac:dyDescent="0.25">
      <c r="A365">
        <v>897</v>
      </c>
      <c r="B365" t="s">
        <v>413</v>
      </c>
      <c r="C365" t="s">
        <v>1045</v>
      </c>
      <c r="D365" t="s">
        <v>1041</v>
      </c>
      <c r="E365" t="s">
        <v>7</v>
      </c>
      <c r="F365" t="str" cm="1">
        <f t="array" ref="F365">IF(SUM(IF(PartList[ASSLY MARK]=PartList[[#This Row],[ASSLY MARK]],1,0))&gt;1,"No","Yes")</f>
        <v>Yes</v>
      </c>
      <c r="G365" t="str" cm="1">
        <f t="array" ref="G365">_xlfn.TEXTJOIN("_",TRUE,TRIM(_xlfn.TEXTSPLIT(PartList[[#This Row],[GRID LOCATION]],{"PR01","/","-"})))</f>
        <v>10_B</v>
      </c>
      <c r="H365" t="str" cm="1">
        <f t="array" ref="H36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65" cm="1">
        <f t="array" ref="I36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65" t="str">
        <f>IF(IFERROR(SEARCH("&gt;",PartList[[#This Row],[ID]]),0),"O",IF(IFERROR(SEARCH("&lt;",PartList[[#This Row],[ID]]),0),"I",""))</f>
        <v/>
      </c>
      <c r="K365" t="str" cm="1">
        <f t="array" ref="K3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365" t="str" cm="1">
        <f t="array" ref="L3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365" t="str">
        <f>_xlfn.TEXTJOIN("#",TRUE,PartList[[#This Row],[ASSLY MARK]],PartList[[#This Row],[BOX NO]],PartList[[#This Row],[In/Out]],PartList[[#This Row],[O1-Grid]])</f>
        <v>C08#Box1#10_B_A</v>
      </c>
      <c r="N365" t="str">
        <f>_xlfn.TEXTJOIN("#",TRUE,PartList[[#This Row],[ASSLY MARK]],PartList[[#This Row],[BOX NO]],PartList[[#This Row],[In/Out]],PartList[[#This Row],[O2-Grid]])</f>
        <v>C08#Box1#10_11_B</v>
      </c>
      <c r="O365">
        <f>IF(PartList[[#This Row],[Unique]]="Yes",_xlfn.XLOOKUP(PartList[[#This Row],[ASSLY MARK]],FilteredPL!A:A,FilteredPL!B:B,0,0),0)</f>
        <v>0</v>
      </c>
      <c r="P365">
        <f>_xlfn.XLOOKUP(PartList[[#This Row],[ASSLY MARK]],MasterPL[SplitMarkNo],MasterPL[BILL WT.(KG)],0,0)</f>
        <v>0</v>
      </c>
      <c r="Q365" cm="1">
        <f t="array" ref="Q36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65" s="2" t="str">
        <v>VB77</v>
      </c>
      <c r="AB365" s="2">
        <f>SUMIF(PartList[ASSLY MARK],AA365,PartList[Avail. Qty])</f>
        <v>0</v>
      </c>
    </row>
    <row r="366" spans="1:28" x14ac:dyDescent="0.25">
      <c r="A366">
        <v>898</v>
      </c>
      <c r="B366" t="s">
        <v>414</v>
      </c>
      <c r="C366" t="s">
        <v>1046</v>
      </c>
      <c r="D366" t="s">
        <v>1047</v>
      </c>
      <c r="E366" t="s">
        <v>7</v>
      </c>
      <c r="F366" t="str" cm="1">
        <f t="array" ref="F366">IF(SUM(IF(PartList[ASSLY MARK]=PartList[[#This Row],[ASSLY MARK]],1,0))&gt;1,"No","Yes")</f>
        <v>Yes</v>
      </c>
      <c r="G366" t="str" cm="1">
        <f t="array" ref="G366">_xlfn.TEXTJOIN("_",TRUE,TRIM(_xlfn.TEXTSPLIT(PartList[[#This Row],[GRID LOCATION]],{"PR01","/","-"})))</f>
        <v>14_A</v>
      </c>
      <c r="H366" t="str" cm="1">
        <f t="array" ref="H36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366" cm="1">
        <f t="array" ref="I36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66" t="str">
        <f>IF(IFERROR(SEARCH("&gt;",PartList[[#This Row],[ID]]),0),"O",IF(IFERROR(SEARCH("&lt;",PartList[[#This Row],[ID]]),0),"I",""))</f>
        <v/>
      </c>
      <c r="K366" t="str" cm="1">
        <f t="array" ref="K3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66" t="str" cm="1">
        <f t="array" ref="L3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66" t="str">
        <f>_xlfn.TEXTJOIN("#",TRUE,PartList[[#This Row],[ASSLY MARK]],PartList[[#This Row],[BOX NO]],PartList[[#This Row],[In/Out]],PartList[[#This Row],[O1-Grid]])</f>
        <v>C09#Box1_Box2_Box3_Box6#InBB</v>
      </c>
      <c r="N366" t="str">
        <f>_xlfn.TEXTJOIN("#",TRUE,PartList[[#This Row],[ASSLY MARK]],PartList[[#This Row],[BOX NO]],PartList[[#This Row],[In/Out]],PartList[[#This Row],[O2-Grid]])</f>
        <v>C09#Box1_Box2_Box3_Box6#InBB</v>
      </c>
      <c r="O366">
        <f>IF(PartList[[#This Row],[Unique]]="Yes",_xlfn.XLOOKUP(PartList[[#This Row],[ASSLY MARK]],FilteredPL!A:A,FilteredPL!B:B,0,0),0)</f>
        <v>1</v>
      </c>
      <c r="P366">
        <f>_xlfn.XLOOKUP(PartList[[#This Row],[ASSLY MARK]],MasterPL[SplitMarkNo],MasterPL[BILL WT.(KG)],0,0)</f>
        <v>3183.49</v>
      </c>
      <c r="Q366" cm="1">
        <f t="array" ref="Q36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66" s="2" t="str">
        <v>VB78</v>
      </c>
      <c r="AB366" s="2">
        <f>SUMIF(PartList[ASSLY MARK],AA366,PartList[Avail. Qty])</f>
        <v>0</v>
      </c>
    </row>
    <row r="367" spans="1:28" x14ac:dyDescent="0.25">
      <c r="A367">
        <v>899</v>
      </c>
      <c r="B367" t="s">
        <v>415</v>
      </c>
      <c r="C367" t="s">
        <v>1048</v>
      </c>
      <c r="D367" t="s">
        <v>1039</v>
      </c>
      <c r="E367" t="s">
        <v>7</v>
      </c>
      <c r="F367" t="str" cm="1">
        <f t="array" ref="F367">IF(SUM(IF(PartList[ASSLY MARK]=PartList[[#This Row],[ASSLY MARK]],1,0))&gt;1,"No","Yes")</f>
        <v>Yes</v>
      </c>
      <c r="G367" t="str" cm="1">
        <f t="array" ref="G367">_xlfn.TEXTJOIN("_",TRUE,TRIM(_xlfn.TEXTSPLIT(PartList[[#This Row],[GRID LOCATION]],{"PR01","/","-"})))</f>
        <v>11_A</v>
      </c>
      <c r="H367" t="str" cm="1">
        <f t="array" ref="H36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67" cm="1">
        <f t="array" ref="I36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67" t="str">
        <f>IF(IFERROR(SEARCH("&gt;",PartList[[#This Row],[ID]]),0),"O",IF(IFERROR(SEARCH("&lt;",PartList[[#This Row],[ID]]),0),"I",""))</f>
        <v/>
      </c>
      <c r="K367" t="str" cm="1">
        <f t="array" ref="K3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367" t="str" cm="1">
        <f t="array" ref="L3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367" t="str">
        <f>_xlfn.TEXTJOIN("#",TRUE,PartList[[#This Row],[ASSLY MARK]],PartList[[#This Row],[BOX NO]],PartList[[#This Row],[In/Out]],PartList[[#This Row],[O1-Grid]])</f>
        <v>C10#Box1#11_B_A</v>
      </c>
      <c r="N367" t="str">
        <f>_xlfn.TEXTJOIN("#",TRUE,PartList[[#This Row],[ASSLY MARK]],PartList[[#This Row],[BOX NO]],PartList[[#This Row],[In/Out]],PartList[[#This Row],[O2-Grid]])</f>
        <v>C10#Box1#10_11_A</v>
      </c>
      <c r="O367">
        <f>IF(PartList[[#This Row],[Unique]]="Yes",_xlfn.XLOOKUP(PartList[[#This Row],[ASSLY MARK]],FilteredPL!A:A,FilteredPL!B:B,0,0),0)</f>
        <v>1</v>
      </c>
      <c r="P367">
        <f>_xlfn.XLOOKUP(PartList[[#This Row],[ASSLY MARK]],MasterPL[SplitMarkNo],MasterPL[BILL WT.(KG)],0,0)</f>
        <v>4158.7</v>
      </c>
      <c r="Q367" cm="1">
        <f t="array" ref="Q36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67" s="2" t="str">
        <v>VB92</v>
      </c>
      <c r="AB367" s="2">
        <f>SUMIF(PartList[ASSLY MARK],AA367,PartList[Avail. Qty])</f>
        <v>0</v>
      </c>
    </row>
    <row r="368" spans="1:28" x14ac:dyDescent="0.25">
      <c r="A368">
        <v>900</v>
      </c>
      <c r="B368" t="s">
        <v>416</v>
      </c>
      <c r="C368" t="s">
        <v>1048</v>
      </c>
      <c r="D368" t="s">
        <v>1040</v>
      </c>
      <c r="E368" t="s">
        <v>7</v>
      </c>
      <c r="F368" t="str" cm="1">
        <f t="array" ref="F368">IF(SUM(IF(PartList[ASSLY MARK]=PartList[[#This Row],[ASSLY MARK]],1,0))&gt;1,"No","Yes")</f>
        <v>Yes</v>
      </c>
      <c r="G368" t="str" cm="1">
        <f t="array" ref="G368">_xlfn.TEXTJOIN("_",TRUE,TRIM(_xlfn.TEXTSPLIT(PartList[[#This Row],[GRID LOCATION]],{"PR01","/","-"})))</f>
        <v>11_A</v>
      </c>
      <c r="H368" t="str" cm="1">
        <f t="array" ref="H36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68" cm="1">
        <f t="array" ref="I36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68" t="str">
        <f>IF(IFERROR(SEARCH("&gt;",PartList[[#This Row],[ID]]),0),"O",IF(IFERROR(SEARCH("&lt;",PartList[[#This Row],[ID]]),0),"I",""))</f>
        <v/>
      </c>
      <c r="K368" t="str" cm="1">
        <f t="array" ref="K3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368" t="str" cm="1">
        <f t="array" ref="L3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368" t="str">
        <f>_xlfn.TEXTJOIN("#",TRUE,PartList[[#This Row],[ASSLY MARK]],PartList[[#This Row],[BOX NO]],PartList[[#This Row],[In/Out]],PartList[[#This Row],[O1-Grid]])</f>
        <v>C11#Box1#11_B_A</v>
      </c>
      <c r="N368" t="str">
        <f>_xlfn.TEXTJOIN("#",TRUE,PartList[[#This Row],[ASSLY MARK]],PartList[[#This Row],[BOX NO]],PartList[[#This Row],[In/Out]],PartList[[#This Row],[O2-Grid]])</f>
        <v>C11#Box1#10_11_A</v>
      </c>
      <c r="O368">
        <f>IF(PartList[[#This Row],[Unique]]="Yes",_xlfn.XLOOKUP(PartList[[#This Row],[ASSLY MARK]],FilteredPL!A:A,FilteredPL!B:B,0,0),0)</f>
        <v>1</v>
      </c>
      <c r="P368">
        <f>_xlfn.XLOOKUP(PartList[[#This Row],[ASSLY MARK]],MasterPL[SplitMarkNo],MasterPL[BILL WT.(KG)],0,0)</f>
        <v>2343.83</v>
      </c>
      <c r="Q368" cm="1">
        <f t="array" ref="Q36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68" s="2" t="str">
        <v>VB93</v>
      </c>
      <c r="AB368" s="2">
        <f>SUMIF(PartList[ASSLY MARK],AA368,PartList[Avail. Qty])</f>
        <v>0</v>
      </c>
    </row>
    <row r="369" spans="1:28" x14ac:dyDescent="0.25">
      <c r="A369">
        <v>901</v>
      </c>
      <c r="B369" t="s">
        <v>417</v>
      </c>
      <c r="C369" t="s">
        <v>1048</v>
      </c>
      <c r="D369" t="s">
        <v>1041</v>
      </c>
      <c r="E369" t="s">
        <v>7</v>
      </c>
      <c r="F369" t="str" cm="1">
        <f t="array" ref="F369">IF(SUM(IF(PartList[ASSLY MARK]=PartList[[#This Row],[ASSLY MARK]],1,0))&gt;1,"No","Yes")</f>
        <v>Yes</v>
      </c>
      <c r="G369" t="str" cm="1">
        <f t="array" ref="G369">_xlfn.TEXTJOIN("_",TRUE,TRIM(_xlfn.TEXTSPLIT(PartList[[#This Row],[GRID LOCATION]],{"PR01","/","-"})))</f>
        <v>11_A</v>
      </c>
      <c r="H369" t="str" cm="1">
        <f t="array" ref="H36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69" cm="1">
        <f t="array" ref="I36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69" t="str">
        <f>IF(IFERROR(SEARCH("&gt;",PartList[[#This Row],[ID]]),0),"O",IF(IFERROR(SEARCH("&lt;",PartList[[#This Row],[ID]]),0),"I",""))</f>
        <v/>
      </c>
      <c r="K369" t="str" cm="1">
        <f t="array" ref="K3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369" t="str" cm="1">
        <f t="array" ref="L3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369" t="str">
        <f>_xlfn.TEXTJOIN("#",TRUE,PartList[[#This Row],[ASSLY MARK]],PartList[[#This Row],[BOX NO]],PartList[[#This Row],[In/Out]],PartList[[#This Row],[O1-Grid]])</f>
        <v>C12#Box1#11_B_A</v>
      </c>
      <c r="N369" t="str">
        <f>_xlfn.TEXTJOIN("#",TRUE,PartList[[#This Row],[ASSLY MARK]],PartList[[#This Row],[BOX NO]],PartList[[#This Row],[In/Out]],PartList[[#This Row],[O2-Grid]])</f>
        <v>C12#Box1#10_11_A</v>
      </c>
      <c r="O369">
        <f>IF(PartList[[#This Row],[Unique]]="Yes",_xlfn.XLOOKUP(PartList[[#This Row],[ASSLY MARK]],FilteredPL!A:A,FilteredPL!B:B,0,0),0)</f>
        <v>1</v>
      </c>
      <c r="P369">
        <f>_xlfn.XLOOKUP(PartList[[#This Row],[ASSLY MARK]],MasterPL[SplitMarkNo],MasterPL[BILL WT.(KG)],0,0)</f>
        <v>1951.65</v>
      </c>
      <c r="Q369" cm="1">
        <f t="array" ref="Q36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69" s="2" t="str">
        <v>VB95</v>
      </c>
      <c r="AB369" s="2">
        <f>SUMIF(PartList[ASSLY MARK],AA369,PartList[Avail. Qty])</f>
        <v>0</v>
      </c>
    </row>
    <row r="370" spans="1:28" x14ac:dyDescent="0.25">
      <c r="A370">
        <v>902</v>
      </c>
      <c r="B370" t="s">
        <v>418</v>
      </c>
      <c r="C370" t="s">
        <v>1046</v>
      </c>
      <c r="D370" t="s">
        <v>1049</v>
      </c>
      <c r="E370" t="s">
        <v>7</v>
      </c>
      <c r="F370" t="str" cm="1">
        <f t="array" ref="F370">IF(SUM(IF(PartList[ASSLY MARK]=PartList[[#This Row],[ASSLY MARK]],1,0))&gt;1,"No","Yes")</f>
        <v>Yes</v>
      </c>
      <c r="G370" t="str" cm="1">
        <f t="array" ref="G370">_xlfn.TEXTJOIN("_",TRUE,TRIM(_xlfn.TEXTSPLIT(PartList[[#This Row],[GRID LOCATION]],{"PR01","/","-"})))</f>
        <v>14_A</v>
      </c>
      <c r="H370" t="str" cm="1">
        <f t="array" ref="H37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370" cm="1">
        <f t="array" ref="I37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70" t="str">
        <f>IF(IFERROR(SEARCH("&gt;",PartList[[#This Row],[ID]]),0),"O",IF(IFERROR(SEARCH("&lt;",PartList[[#This Row],[ID]]),0),"I",""))</f>
        <v/>
      </c>
      <c r="K370" t="str" cm="1">
        <f t="array" ref="K3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70" t="str" cm="1">
        <f t="array" ref="L3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70" t="str">
        <f>_xlfn.TEXTJOIN("#",TRUE,PartList[[#This Row],[ASSLY MARK]],PartList[[#This Row],[BOX NO]],PartList[[#This Row],[In/Out]],PartList[[#This Row],[O1-Grid]])</f>
        <v>C13#Box1_Box2_Box3_Box6#InBB</v>
      </c>
      <c r="N370" t="str">
        <f>_xlfn.TEXTJOIN("#",TRUE,PartList[[#This Row],[ASSLY MARK]],PartList[[#This Row],[BOX NO]],PartList[[#This Row],[In/Out]],PartList[[#This Row],[O2-Grid]])</f>
        <v>C13#Box1_Box2_Box3_Box6#InBB</v>
      </c>
      <c r="O370">
        <f>IF(PartList[[#This Row],[Unique]]="Yes",_xlfn.XLOOKUP(PartList[[#This Row],[ASSLY MARK]],FilteredPL!A:A,FilteredPL!B:B,0,0),0)</f>
        <v>0</v>
      </c>
      <c r="P370">
        <f>_xlfn.XLOOKUP(PartList[[#This Row],[ASSLY MARK]],MasterPL[SplitMarkNo],MasterPL[BILL WT.(KG)],0,0)</f>
        <v>0</v>
      </c>
      <c r="Q370" cm="1">
        <f t="array" ref="Q37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70" s="2" t="str">
        <v>VB96</v>
      </c>
      <c r="AB370" s="2">
        <f>SUMIF(PartList[ASSLY MARK],AA370,PartList[Avail. Qty])</f>
        <v>0</v>
      </c>
    </row>
    <row r="371" spans="1:28" x14ac:dyDescent="0.25">
      <c r="A371">
        <v>903</v>
      </c>
      <c r="B371" t="s">
        <v>419</v>
      </c>
      <c r="C371" t="s">
        <v>1050</v>
      </c>
      <c r="D371" t="s">
        <v>1039</v>
      </c>
      <c r="E371" t="s">
        <v>7</v>
      </c>
      <c r="F371" t="str" cm="1">
        <f t="array" ref="F371">IF(SUM(IF(PartList[ASSLY MARK]=PartList[[#This Row],[ASSLY MARK]],1,0))&gt;1,"No","Yes")</f>
        <v>Yes</v>
      </c>
      <c r="G371" t="str" cm="1">
        <f t="array" ref="G371">_xlfn.TEXTJOIN("_",TRUE,TRIM(_xlfn.TEXTSPLIT(PartList[[#This Row],[GRID LOCATION]],{"PR01","/","-"})))</f>
        <v>11_B</v>
      </c>
      <c r="H371" t="str" cm="1">
        <f t="array" ref="H37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71" cm="1">
        <f t="array" ref="I37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71" t="str">
        <f>IF(IFERROR(SEARCH("&gt;",PartList[[#This Row],[ID]]),0),"O",IF(IFERROR(SEARCH("&lt;",PartList[[#This Row],[ID]]),0),"I",""))</f>
        <v/>
      </c>
      <c r="K371" t="str" cm="1">
        <f t="array" ref="K3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371" t="str" cm="1">
        <f t="array" ref="L3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371" t="str">
        <f>_xlfn.TEXTJOIN("#",TRUE,PartList[[#This Row],[ASSLY MARK]],PartList[[#This Row],[BOX NO]],PartList[[#This Row],[In/Out]],PartList[[#This Row],[O1-Grid]])</f>
        <v>C14#Box1#11_B_A</v>
      </c>
      <c r="N371" t="str">
        <f>_xlfn.TEXTJOIN("#",TRUE,PartList[[#This Row],[ASSLY MARK]],PartList[[#This Row],[BOX NO]],PartList[[#This Row],[In/Out]],PartList[[#This Row],[O2-Grid]])</f>
        <v>C14#Box1#10_11_B</v>
      </c>
      <c r="O371">
        <f>IF(PartList[[#This Row],[Unique]]="Yes",_xlfn.XLOOKUP(PartList[[#This Row],[ASSLY MARK]],FilteredPL!A:A,FilteredPL!B:B,0,0),0)</f>
        <v>1</v>
      </c>
      <c r="P371">
        <f>_xlfn.XLOOKUP(PartList[[#This Row],[ASSLY MARK]],MasterPL[SplitMarkNo],MasterPL[BILL WT.(KG)],0,0)</f>
        <v>4202.7700000000004</v>
      </c>
      <c r="Q371" cm="1">
        <f t="array" ref="Q37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71" s="2" t="str">
        <v>VB97</v>
      </c>
      <c r="AB371" s="2">
        <f>SUMIF(PartList[ASSLY MARK],AA371,PartList[Avail. Qty])</f>
        <v>0</v>
      </c>
    </row>
    <row r="372" spans="1:28" x14ac:dyDescent="0.25">
      <c r="A372">
        <v>904</v>
      </c>
      <c r="B372" t="s">
        <v>420</v>
      </c>
      <c r="C372" t="s">
        <v>1050</v>
      </c>
      <c r="D372" t="s">
        <v>1051</v>
      </c>
      <c r="E372" t="s">
        <v>7</v>
      </c>
      <c r="F372" t="str" cm="1">
        <f t="array" ref="F372">IF(SUM(IF(PartList[ASSLY MARK]=PartList[[#This Row],[ASSLY MARK]],1,0))&gt;1,"No","Yes")</f>
        <v>Yes</v>
      </c>
      <c r="G372" t="str" cm="1">
        <f t="array" ref="G372">_xlfn.TEXTJOIN("_",TRUE,TRIM(_xlfn.TEXTSPLIT(PartList[[#This Row],[GRID LOCATION]],{"PR01","/","-"})))</f>
        <v>11_B</v>
      </c>
      <c r="H372" t="str" cm="1">
        <f t="array" ref="H37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72" cm="1">
        <f t="array" ref="I37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72" t="str">
        <f>IF(IFERROR(SEARCH("&gt;",PartList[[#This Row],[ID]]),0),"O",IF(IFERROR(SEARCH("&lt;",PartList[[#This Row],[ID]]),0),"I",""))</f>
        <v/>
      </c>
      <c r="K372" t="str" cm="1">
        <f t="array" ref="K3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372" t="str" cm="1">
        <f t="array" ref="L3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372" t="str">
        <f>_xlfn.TEXTJOIN("#",TRUE,PartList[[#This Row],[ASSLY MARK]],PartList[[#This Row],[BOX NO]],PartList[[#This Row],[In/Out]],PartList[[#This Row],[O1-Grid]])</f>
        <v>C15#Box1#11_B_A</v>
      </c>
      <c r="N372" t="str">
        <f>_xlfn.TEXTJOIN("#",TRUE,PartList[[#This Row],[ASSLY MARK]],PartList[[#This Row],[BOX NO]],PartList[[#This Row],[In/Out]],PartList[[#This Row],[O2-Grid]])</f>
        <v>C15#Box1#10_11_B</v>
      </c>
      <c r="O372">
        <f>IF(PartList[[#This Row],[Unique]]="Yes",_xlfn.XLOOKUP(PartList[[#This Row],[ASSLY MARK]],FilteredPL!A:A,FilteredPL!B:B,0,0),0)</f>
        <v>0</v>
      </c>
      <c r="P372">
        <f>_xlfn.XLOOKUP(PartList[[#This Row],[ASSLY MARK]],MasterPL[SplitMarkNo],MasterPL[BILL WT.(KG)],0,0)</f>
        <v>0</v>
      </c>
      <c r="Q372" cm="1">
        <f t="array" ref="Q37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72" s="2" t="str">
        <v>VB98</v>
      </c>
      <c r="AB372" s="2">
        <f>SUMIF(PartList[ASSLY MARK],AA372,PartList[Avail. Qty])</f>
        <v>0</v>
      </c>
    </row>
    <row r="373" spans="1:28" x14ac:dyDescent="0.25">
      <c r="A373">
        <v>905</v>
      </c>
      <c r="B373" t="s">
        <v>422</v>
      </c>
      <c r="C373" t="s">
        <v>1050</v>
      </c>
      <c r="D373" t="s">
        <v>1041</v>
      </c>
      <c r="E373" t="s">
        <v>7</v>
      </c>
      <c r="F373" t="str" cm="1">
        <f t="array" ref="F373">IF(SUM(IF(PartList[ASSLY MARK]=PartList[[#This Row],[ASSLY MARK]],1,0))&gt;1,"No","Yes")</f>
        <v>Yes</v>
      </c>
      <c r="G373" t="str" cm="1">
        <f t="array" ref="G373">_xlfn.TEXTJOIN("_",TRUE,TRIM(_xlfn.TEXTSPLIT(PartList[[#This Row],[GRID LOCATION]],{"PR01","/","-"})))</f>
        <v>11_B</v>
      </c>
      <c r="H373" t="str" cm="1">
        <f t="array" ref="H37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73" cm="1">
        <f t="array" ref="I37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73" t="str">
        <f>IF(IFERROR(SEARCH("&gt;",PartList[[#This Row],[ID]]),0),"O",IF(IFERROR(SEARCH("&lt;",PartList[[#This Row],[ID]]),0),"I",""))</f>
        <v/>
      </c>
      <c r="K373" t="str" cm="1">
        <f t="array" ref="K3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373" t="str" cm="1">
        <f t="array" ref="L3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373" t="str">
        <f>_xlfn.TEXTJOIN("#",TRUE,PartList[[#This Row],[ASSLY MARK]],PartList[[#This Row],[BOX NO]],PartList[[#This Row],[In/Out]],PartList[[#This Row],[O1-Grid]])</f>
        <v>C16#Box1#11_B_A</v>
      </c>
      <c r="N373" t="str">
        <f>_xlfn.TEXTJOIN("#",TRUE,PartList[[#This Row],[ASSLY MARK]],PartList[[#This Row],[BOX NO]],PartList[[#This Row],[In/Out]],PartList[[#This Row],[O2-Grid]])</f>
        <v>C16#Box1#10_11_B</v>
      </c>
      <c r="O373">
        <f>IF(PartList[[#This Row],[Unique]]="Yes",_xlfn.XLOOKUP(PartList[[#This Row],[ASSLY MARK]],FilteredPL!A:A,FilteredPL!B:B,0,0),0)</f>
        <v>0</v>
      </c>
      <c r="P373">
        <f>_xlfn.XLOOKUP(PartList[[#This Row],[ASSLY MARK]],MasterPL[SplitMarkNo],MasterPL[BILL WT.(KG)],0,0)</f>
        <v>0</v>
      </c>
      <c r="Q373" cm="1">
        <f t="array" ref="Q37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73" s="2" t="str">
        <v>VB99</v>
      </c>
      <c r="AB373" s="2">
        <f>SUMIF(PartList[ASSLY MARK],AA373,PartList[Avail. Qty])</f>
        <v>0</v>
      </c>
    </row>
    <row r="374" spans="1:28" x14ac:dyDescent="0.25">
      <c r="A374">
        <v>906</v>
      </c>
      <c r="B374" t="s">
        <v>423</v>
      </c>
      <c r="C374" t="s">
        <v>1052</v>
      </c>
      <c r="D374" t="s">
        <v>1047</v>
      </c>
      <c r="E374" t="s">
        <v>7</v>
      </c>
      <c r="F374" t="str" cm="1">
        <f t="array" ref="F374">IF(SUM(IF(PartList[ASSLY MARK]=PartList[[#This Row],[ASSLY MARK]],1,0))&gt;1,"No","Yes")</f>
        <v>Yes</v>
      </c>
      <c r="G374" t="str" cm="1">
        <f t="array" ref="G374">_xlfn.TEXTJOIN("_",TRUE,TRIM(_xlfn.TEXTSPLIT(PartList[[#This Row],[GRID LOCATION]],{"PR01","/","-"})))</f>
        <v>14_B</v>
      </c>
      <c r="H374" t="str" cm="1">
        <f t="array" ref="H37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374" cm="1">
        <f t="array" ref="I37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74" t="str">
        <f>IF(IFERROR(SEARCH("&gt;",PartList[[#This Row],[ID]]),0),"O",IF(IFERROR(SEARCH("&lt;",PartList[[#This Row],[ID]]),0),"I",""))</f>
        <v/>
      </c>
      <c r="K374" t="str" cm="1">
        <f t="array" ref="K3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74" t="str" cm="1">
        <f t="array" ref="L3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74" t="str">
        <f>_xlfn.TEXTJOIN("#",TRUE,PartList[[#This Row],[ASSLY MARK]],PartList[[#This Row],[BOX NO]],PartList[[#This Row],[In/Out]],PartList[[#This Row],[O1-Grid]])</f>
        <v>C17#Box1_Box2_Box3_Box6#InBB</v>
      </c>
      <c r="N374" t="str">
        <f>_xlfn.TEXTJOIN("#",TRUE,PartList[[#This Row],[ASSLY MARK]],PartList[[#This Row],[BOX NO]],PartList[[#This Row],[In/Out]],PartList[[#This Row],[O2-Grid]])</f>
        <v>C17#Box1_Box2_Box3_Box6#InBB</v>
      </c>
      <c r="O374">
        <f>IF(PartList[[#This Row],[Unique]]="Yes",_xlfn.XLOOKUP(PartList[[#This Row],[ASSLY MARK]],FilteredPL!A:A,FilteredPL!B:B,0,0),0)</f>
        <v>0</v>
      </c>
      <c r="P374">
        <f>_xlfn.XLOOKUP(PartList[[#This Row],[ASSLY MARK]],MasterPL[SplitMarkNo],MasterPL[BILL WT.(KG)],0,0)</f>
        <v>0</v>
      </c>
      <c r="Q374" cm="1">
        <f t="array" ref="Q37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74" s="2" t="str">
        <v>VB103</v>
      </c>
      <c r="AB374" s="2">
        <f>SUMIF(PartList[ASSLY MARK],AA374,PartList[Avail. Qty])</f>
        <v>0</v>
      </c>
    </row>
    <row r="375" spans="1:28" x14ac:dyDescent="0.25">
      <c r="A375">
        <v>910</v>
      </c>
      <c r="B375" t="s">
        <v>1057</v>
      </c>
      <c r="C375" t="s">
        <v>1052</v>
      </c>
      <c r="D375" t="s">
        <v>1049</v>
      </c>
      <c r="E375" t="s">
        <v>7</v>
      </c>
      <c r="F375" t="str" cm="1">
        <f t="array" ref="F375">IF(SUM(IF(PartList[ASSLY MARK]=PartList[[#This Row],[ASSLY MARK]],1,0))&gt;1,"No","Yes")</f>
        <v>Yes</v>
      </c>
      <c r="G375" t="str" cm="1">
        <f t="array" ref="G375">_xlfn.TEXTJOIN("_",TRUE,TRIM(_xlfn.TEXTSPLIT(PartList[[#This Row],[GRID LOCATION]],{"PR01","/","-"})))</f>
        <v>14_B</v>
      </c>
      <c r="H375" t="str" cm="1">
        <f t="array" ref="H37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375" cm="1">
        <f t="array" ref="I37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75" t="str">
        <f>IF(IFERROR(SEARCH("&gt;",PartList[[#This Row],[ID]]),0),"O",IF(IFERROR(SEARCH("&lt;",PartList[[#This Row],[ID]]),0),"I",""))</f>
        <v/>
      </c>
      <c r="K375" t="str" cm="1">
        <f t="array" ref="K3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75" t="str" cm="1">
        <f t="array" ref="L3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75" t="str">
        <f>_xlfn.TEXTJOIN("#",TRUE,PartList[[#This Row],[ASSLY MARK]],PartList[[#This Row],[BOX NO]],PartList[[#This Row],[In/Out]],PartList[[#This Row],[O1-Grid]])</f>
        <v>C21#Box1_Box2_Box3_Box6#InBB</v>
      </c>
      <c r="N375" t="str">
        <f>_xlfn.TEXTJOIN("#",TRUE,PartList[[#This Row],[ASSLY MARK]],PartList[[#This Row],[BOX NO]],PartList[[#This Row],[In/Out]],PartList[[#This Row],[O2-Grid]])</f>
        <v>C21#Box1_Box2_Box3_Box6#InBB</v>
      </c>
      <c r="O375">
        <f>IF(PartList[[#This Row],[Unique]]="Yes",_xlfn.XLOOKUP(PartList[[#This Row],[ASSLY MARK]],FilteredPL!A:A,FilteredPL!B:B,0,0),0)</f>
        <v>0</v>
      </c>
      <c r="P375">
        <f>_xlfn.XLOOKUP(PartList[[#This Row],[ASSLY MARK]],MasterPL[SplitMarkNo],MasterPL[BILL WT.(KG)],0,0)</f>
        <v>0</v>
      </c>
      <c r="Q375" cm="1">
        <f t="array" ref="Q37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75" s="2" t="str">
        <v>VB104</v>
      </c>
      <c r="AB375" s="2">
        <f>SUMIF(PartList[ASSLY MARK],AA375,PartList[Avail. Qty])</f>
        <v>0</v>
      </c>
    </row>
    <row r="376" spans="1:28" x14ac:dyDescent="0.25">
      <c r="A376">
        <v>926</v>
      </c>
      <c r="B376" t="s">
        <v>1083</v>
      </c>
      <c r="C376" t="s">
        <v>1046</v>
      </c>
      <c r="D376" t="s">
        <v>1080</v>
      </c>
      <c r="E376" t="s">
        <v>7</v>
      </c>
      <c r="F376" t="str" cm="1">
        <f t="array" ref="F376">IF(SUM(IF(PartList[ASSLY MARK]=PartList[[#This Row],[ASSLY MARK]],1,0))&gt;1,"No","Yes")</f>
        <v>Yes</v>
      </c>
      <c r="G376" t="str" cm="1">
        <f t="array" ref="G376">_xlfn.TEXTJOIN("_",TRUE,TRIM(_xlfn.TEXTSPLIT(PartList[[#This Row],[GRID LOCATION]],{"PR01","/","-"})))</f>
        <v>14_A</v>
      </c>
      <c r="H376" t="str" cm="1">
        <f t="array" ref="H37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376" cm="1">
        <f t="array" ref="I37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76" t="str">
        <f>IF(IFERROR(SEARCH("&gt;",PartList[[#This Row],[ID]]),0),"O",IF(IFERROR(SEARCH("&lt;",PartList[[#This Row],[ID]]),0),"I",""))</f>
        <v/>
      </c>
      <c r="K376" t="str" cm="1">
        <f t="array" ref="K3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76" t="str" cm="1">
        <f t="array" ref="L3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76" t="str">
        <f>_xlfn.TEXTJOIN("#",TRUE,PartList[[#This Row],[ASSLY MARK]],PartList[[#This Row],[BOX NO]],PartList[[#This Row],[In/Out]],PartList[[#This Row],[O1-Grid]])</f>
        <v>C37#Box1_Box2_Box3_Box6#InBB</v>
      </c>
      <c r="N376" t="str">
        <f>_xlfn.TEXTJOIN("#",TRUE,PartList[[#This Row],[ASSLY MARK]],PartList[[#This Row],[BOX NO]],PartList[[#This Row],[In/Out]],PartList[[#This Row],[O2-Grid]])</f>
        <v>C37#Box1_Box2_Box3_Box6#InBB</v>
      </c>
      <c r="O376">
        <f>IF(PartList[[#This Row],[Unique]]="Yes",_xlfn.XLOOKUP(PartList[[#This Row],[ASSLY MARK]],FilteredPL!A:A,FilteredPL!B:B,0,0),0)</f>
        <v>1</v>
      </c>
      <c r="P376">
        <f>_xlfn.XLOOKUP(PartList[[#This Row],[ASSLY MARK]],MasterPL[SplitMarkNo],MasterPL[BILL WT.(KG)],0,0)</f>
        <v>2625.03</v>
      </c>
      <c r="Q376" cm="1">
        <f t="array" ref="Q37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76" s="2" t="str">
        <v>VB105</v>
      </c>
      <c r="AB376" s="2">
        <f>SUMIF(PartList[ASSLY MARK],AA376,PartList[Avail. Qty])</f>
        <v>0</v>
      </c>
    </row>
    <row r="377" spans="1:28" x14ac:dyDescent="0.25">
      <c r="A377">
        <v>927</v>
      </c>
      <c r="B377" t="s">
        <v>1084</v>
      </c>
      <c r="C377" t="s">
        <v>1052</v>
      </c>
      <c r="D377" t="s">
        <v>1080</v>
      </c>
      <c r="E377" t="s">
        <v>7</v>
      </c>
      <c r="F377" t="str" cm="1">
        <f t="array" ref="F377">IF(SUM(IF(PartList[ASSLY MARK]=PartList[[#This Row],[ASSLY MARK]],1,0))&gt;1,"No","Yes")</f>
        <v>Yes</v>
      </c>
      <c r="G377" t="str" cm="1">
        <f t="array" ref="G377">_xlfn.TEXTJOIN("_",TRUE,TRIM(_xlfn.TEXTSPLIT(PartList[[#This Row],[GRID LOCATION]],{"PR01","/","-"})))</f>
        <v>14_B</v>
      </c>
      <c r="H377" t="str" cm="1">
        <f t="array" ref="H37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377" cm="1">
        <f t="array" ref="I37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77" t="str">
        <f>IF(IFERROR(SEARCH("&gt;",PartList[[#This Row],[ID]]),0),"O",IF(IFERROR(SEARCH("&lt;",PartList[[#This Row],[ID]]),0),"I",""))</f>
        <v/>
      </c>
      <c r="K377" t="str" cm="1">
        <f t="array" ref="K3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77" t="str" cm="1">
        <f t="array" ref="L3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77" t="str">
        <f>_xlfn.TEXTJOIN("#",TRUE,PartList[[#This Row],[ASSLY MARK]],PartList[[#This Row],[BOX NO]],PartList[[#This Row],[In/Out]],PartList[[#This Row],[O1-Grid]])</f>
        <v>C38#Box1_Box2_Box3_Box6#InBB</v>
      </c>
      <c r="N377" t="str">
        <f>_xlfn.TEXTJOIN("#",TRUE,PartList[[#This Row],[ASSLY MARK]],PartList[[#This Row],[BOX NO]],PartList[[#This Row],[In/Out]],PartList[[#This Row],[O2-Grid]])</f>
        <v>C38#Box1_Box2_Box3_Box6#InBB</v>
      </c>
      <c r="O377">
        <f>IF(PartList[[#This Row],[Unique]]="Yes",_xlfn.XLOOKUP(PartList[[#This Row],[ASSLY MARK]],FilteredPL!A:A,FilteredPL!B:B,0,0),0)</f>
        <v>1</v>
      </c>
      <c r="P377">
        <f>_xlfn.XLOOKUP(PartList[[#This Row],[ASSLY MARK]],MasterPL[SplitMarkNo],MasterPL[BILL WT.(KG)],0,0)</f>
        <v>2613.58</v>
      </c>
      <c r="Q377" cm="1">
        <f t="array" ref="Q37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77" s="2" t="str">
        <v>VB106</v>
      </c>
      <c r="AB377" s="2">
        <f>SUMIF(PartList[ASSLY MARK],AA377,PartList[Avail. Qty])</f>
        <v>0</v>
      </c>
    </row>
    <row r="378" spans="1:28" x14ac:dyDescent="0.25">
      <c r="A378">
        <v>928</v>
      </c>
      <c r="B378" t="s">
        <v>425</v>
      </c>
      <c r="C378" t="s">
        <v>1045</v>
      </c>
      <c r="D378" t="s">
        <v>1085</v>
      </c>
      <c r="E378" t="s">
        <v>1086</v>
      </c>
      <c r="F378" t="str" cm="1">
        <f t="array" ref="F378">IF(SUM(IF(PartList[ASSLY MARK]=PartList[[#This Row],[ASSLY MARK]],1,0))&gt;1,"No","Yes")</f>
        <v>No</v>
      </c>
      <c r="G378" t="str" cm="1">
        <f t="array" ref="G378">_xlfn.TEXTJOIN("_",TRUE,TRIM(_xlfn.TEXTSPLIT(PartList[[#This Row],[GRID LOCATION]],{"PR01","/","-"})))</f>
        <v>10_B</v>
      </c>
      <c r="H378" t="str" cm="1">
        <f t="array" ref="H37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78" cm="1">
        <f t="array" ref="I37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78" t="str">
        <f>IF(IFERROR(SEARCH("&gt;",PartList[[#This Row],[ID]]),0),"O",IF(IFERROR(SEARCH("&lt;",PartList[[#This Row],[ID]]),0),"I",""))</f>
        <v/>
      </c>
      <c r="K378" t="str" cm="1">
        <f t="array" ref="K3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378" t="str" cm="1">
        <f t="array" ref="L3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378" t="str">
        <f>_xlfn.TEXTJOIN("#",TRUE,PartList[[#This Row],[ASSLY MARK]],PartList[[#This Row],[BOX NO]],PartList[[#This Row],[In/Out]],PartList[[#This Row],[O1-Grid]])</f>
        <v>SF01#Box1#10_B_A</v>
      </c>
      <c r="N378" t="str">
        <f>_xlfn.TEXTJOIN("#",TRUE,PartList[[#This Row],[ASSLY MARK]],PartList[[#This Row],[BOX NO]],PartList[[#This Row],[In/Out]],PartList[[#This Row],[O2-Grid]])</f>
        <v>SF01#Box1#10_11_B</v>
      </c>
      <c r="O378">
        <v>1</v>
      </c>
      <c r="P378">
        <f>_xlfn.XLOOKUP(PartList[[#This Row],[ASSLY MARK]],MasterPL[SplitMarkNo],MasterPL[BILL WT.(KG)],0,0)</f>
        <v>877.94</v>
      </c>
      <c r="Q378" cm="1">
        <f t="array" ref="Q37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78" s="2" t="str">
        <v>1BE17</v>
      </c>
      <c r="AB378" s="2">
        <f>SUMIF(PartList[ASSLY MARK],AA378,PartList[Avail. Qty])</f>
        <v>0</v>
      </c>
    </row>
    <row r="379" spans="1:28" x14ac:dyDescent="0.25">
      <c r="A379">
        <v>929</v>
      </c>
      <c r="B379" t="s">
        <v>425</v>
      </c>
      <c r="C379" t="s">
        <v>1052</v>
      </c>
      <c r="D379" t="s">
        <v>1087</v>
      </c>
      <c r="E379" t="s">
        <v>1086</v>
      </c>
      <c r="F379" t="str" cm="1">
        <f t="array" ref="F379">IF(SUM(IF(PartList[ASSLY MARK]=PartList[[#This Row],[ASSLY MARK]],1,0))&gt;1,"No","Yes")</f>
        <v>No</v>
      </c>
      <c r="G379" t="str" cm="1">
        <f t="array" ref="G379">_xlfn.TEXTJOIN("_",TRUE,TRIM(_xlfn.TEXTSPLIT(PartList[[#This Row],[GRID LOCATION]],{"PR01","/","-"})))</f>
        <v>14_B</v>
      </c>
      <c r="H379" t="str" cm="1">
        <f t="array" ref="H37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379" cm="1">
        <f t="array" ref="I37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79" t="str">
        <f>IF(IFERROR(SEARCH("&gt;",PartList[[#This Row],[ID]]),0),"O",IF(IFERROR(SEARCH("&lt;",PartList[[#This Row],[ID]]),0),"I",""))</f>
        <v/>
      </c>
      <c r="K379" t="str" cm="1">
        <f t="array" ref="K3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79" t="str" cm="1">
        <f t="array" ref="L3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79" t="str">
        <f>_xlfn.TEXTJOIN("#",TRUE,PartList[[#This Row],[ASSLY MARK]],PartList[[#This Row],[BOX NO]],PartList[[#This Row],[In/Out]],PartList[[#This Row],[O1-Grid]])</f>
        <v>SF01#Box1_Box2_Box3_Box6#InBB</v>
      </c>
      <c r="N379" t="str">
        <f>_xlfn.TEXTJOIN("#",TRUE,PartList[[#This Row],[ASSLY MARK]],PartList[[#This Row],[BOX NO]],PartList[[#This Row],[In/Out]],PartList[[#This Row],[O2-Grid]])</f>
        <v>SF01#Box1_Box2_Box3_Box6#InBB</v>
      </c>
      <c r="O379">
        <v>1</v>
      </c>
      <c r="P379">
        <f>_xlfn.XLOOKUP(PartList[[#This Row],[ASSLY MARK]],MasterPL[SplitMarkNo],MasterPL[BILL WT.(KG)],0,0)</f>
        <v>877.94</v>
      </c>
      <c r="Q379" cm="1">
        <f t="array" ref="Q37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79" s="2" t="str">
        <v>1BE18</v>
      </c>
      <c r="AB379" s="2">
        <f>SUMIF(PartList[ASSLY MARK],AA379,PartList[Avail. Qty])</f>
        <v>0</v>
      </c>
    </row>
    <row r="380" spans="1:28" x14ac:dyDescent="0.25">
      <c r="A380">
        <v>931</v>
      </c>
      <c r="B380" t="s">
        <v>425</v>
      </c>
      <c r="C380" t="s">
        <v>1045</v>
      </c>
      <c r="D380" t="s">
        <v>1085</v>
      </c>
      <c r="E380" t="s">
        <v>1086</v>
      </c>
      <c r="F380" t="str" cm="1">
        <f t="array" ref="F380">IF(SUM(IF(PartList[ASSLY MARK]=PartList[[#This Row],[ASSLY MARK]],1,0))&gt;1,"No","Yes")</f>
        <v>No</v>
      </c>
      <c r="G380" t="str" cm="1">
        <f t="array" ref="G380">_xlfn.TEXTJOIN("_",TRUE,TRIM(_xlfn.TEXTSPLIT(PartList[[#This Row],[GRID LOCATION]],{"PR01","/","-"})))</f>
        <v>10_B</v>
      </c>
      <c r="H380" t="str" cm="1">
        <f t="array" ref="H38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80" cm="1">
        <f t="array" ref="I38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80" t="str">
        <f>IF(IFERROR(SEARCH("&gt;",PartList[[#This Row],[ID]]),0),"O",IF(IFERROR(SEARCH("&lt;",PartList[[#This Row],[ID]]),0),"I",""))</f>
        <v/>
      </c>
      <c r="K380" t="str" cm="1">
        <f t="array" ref="K3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380" t="str" cm="1">
        <f t="array" ref="L3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380" t="str">
        <f>_xlfn.TEXTJOIN("#",TRUE,PartList[[#This Row],[ASSLY MARK]],PartList[[#This Row],[BOX NO]],PartList[[#This Row],[In/Out]],PartList[[#This Row],[O1-Grid]])</f>
        <v>SF01#Box1#10_B_A</v>
      </c>
      <c r="N380" t="str">
        <f>_xlfn.TEXTJOIN("#",TRUE,PartList[[#This Row],[ASSLY MARK]],PartList[[#This Row],[BOX NO]],PartList[[#This Row],[In/Out]],PartList[[#This Row],[O2-Grid]])</f>
        <v>SF01#Box1#10_11_B</v>
      </c>
      <c r="O380">
        <v>1</v>
      </c>
      <c r="P380">
        <f>_xlfn.XLOOKUP(PartList[[#This Row],[ASSLY MARK]],MasterPL[SplitMarkNo],MasterPL[BILL WT.(KG)],0,0)</f>
        <v>877.94</v>
      </c>
      <c r="Q380" cm="1">
        <f t="array" ref="Q38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80" s="2" t="str">
        <v>1BE41</v>
      </c>
      <c r="AB380" s="2">
        <f>SUMIF(PartList[ASSLY MARK],AA380,PartList[Avail. Qty])</f>
        <v>0</v>
      </c>
    </row>
    <row r="381" spans="1:28" x14ac:dyDescent="0.25">
      <c r="A381">
        <v>932</v>
      </c>
      <c r="B381" t="s">
        <v>425</v>
      </c>
      <c r="C381" t="s">
        <v>1046</v>
      </c>
      <c r="D381" t="s">
        <v>1087</v>
      </c>
      <c r="E381" t="s">
        <v>1086</v>
      </c>
      <c r="F381" t="str" cm="1">
        <f t="array" ref="F381">IF(SUM(IF(PartList[ASSLY MARK]=PartList[[#This Row],[ASSLY MARK]],1,0))&gt;1,"No","Yes")</f>
        <v>No</v>
      </c>
      <c r="G381" t="str" cm="1">
        <f t="array" ref="G381">_xlfn.TEXTJOIN("_",TRUE,TRIM(_xlfn.TEXTSPLIT(PartList[[#This Row],[GRID LOCATION]],{"PR01","/","-"})))</f>
        <v>14_A</v>
      </c>
      <c r="H381" t="str" cm="1">
        <f t="array" ref="H38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381" cm="1">
        <f t="array" ref="I38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81" t="str">
        <f>IF(IFERROR(SEARCH("&gt;",PartList[[#This Row],[ID]]),0),"O",IF(IFERROR(SEARCH("&lt;",PartList[[#This Row],[ID]]),0),"I",""))</f>
        <v/>
      </c>
      <c r="K381" t="str" cm="1">
        <f t="array" ref="K3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81" t="str" cm="1">
        <f t="array" ref="L3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81" t="str">
        <f>_xlfn.TEXTJOIN("#",TRUE,PartList[[#This Row],[ASSLY MARK]],PartList[[#This Row],[BOX NO]],PartList[[#This Row],[In/Out]],PartList[[#This Row],[O1-Grid]])</f>
        <v>SF01#Box1_Box2_Box3_Box6#InBB</v>
      </c>
      <c r="N381" t="str">
        <f>_xlfn.TEXTJOIN("#",TRUE,PartList[[#This Row],[ASSLY MARK]],PartList[[#This Row],[BOX NO]],PartList[[#This Row],[In/Out]],PartList[[#This Row],[O2-Grid]])</f>
        <v>SF01#Box1_Box2_Box3_Box6#InBB</v>
      </c>
      <c r="O381">
        <v>1</v>
      </c>
      <c r="P381">
        <f>_xlfn.XLOOKUP(PartList[[#This Row],[ASSLY MARK]],MasterPL[SplitMarkNo],MasterPL[BILL WT.(KG)],0,0)</f>
        <v>877.94</v>
      </c>
      <c r="Q381" cm="1">
        <f t="array" ref="Q38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81" s="2" t="str">
        <v>1BE42</v>
      </c>
      <c r="AB381" s="2">
        <f>SUMIF(PartList[ASSLY MARK],AA381,PartList[Avail. Qty])</f>
        <v>0</v>
      </c>
    </row>
    <row r="382" spans="1:28" x14ac:dyDescent="0.25">
      <c r="A382">
        <v>934</v>
      </c>
      <c r="B382" t="s">
        <v>425</v>
      </c>
      <c r="C382" t="s">
        <v>1046</v>
      </c>
      <c r="D382" t="s">
        <v>1087</v>
      </c>
      <c r="E382" t="s">
        <v>1086</v>
      </c>
      <c r="F382" t="str" cm="1">
        <f t="array" ref="F382">IF(SUM(IF(PartList[ASSLY MARK]=PartList[[#This Row],[ASSLY MARK]],1,0))&gt;1,"No","Yes")</f>
        <v>No</v>
      </c>
      <c r="G382" t="str" cm="1">
        <f t="array" ref="G382">_xlfn.TEXTJOIN("_",TRUE,TRIM(_xlfn.TEXTSPLIT(PartList[[#This Row],[GRID LOCATION]],{"PR01","/","-"})))</f>
        <v>14_A</v>
      </c>
      <c r="H382" t="str" cm="1">
        <f t="array" ref="H38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382" cm="1">
        <f t="array" ref="I38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82" t="str">
        <f>IF(IFERROR(SEARCH("&gt;",PartList[[#This Row],[ID]]),0),"O",IF(IFERROR(SEARCH("&lt;",PartList[[#This Row],[ID]]),0),"I",""))</f>
        <v/>
      </c>
      <c r="K382" t="str" cm="1">
        <f t="array" ref="K3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82" t="str" cm="1">
        <f t="array" ref="L3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82" t="str">
        <f>_xlfn.TEXTJOIN("#",TRUE,PartList[[#This Row],[ASSLY MARK]],PartList[[#This Row],[BOX NO]],PartList[[#This Row],[In/Out]],PartList[[#This Row],[O1-Grid]])</f>
        <v>SF01#Box1_Box2_Box3_Box6#InBB</v>
      </c>
      <c r="N382" t="str">
        <f>_xlfn.TEXTJOIN("#",TRUE,PartList[[#This Row],[ASSLY MARK]],PartList[[#This Row],[BOX NO]],PartList[[#This Row],[In/Out]],PartList[[#This Row],[O2-Grid]])</f>
        <v>SF01#Box1_Box2_Box3_Box6#InBB</v>
      </c>
      <c r="O382">
        <v>1</v>
      </c>
      <c r="P382">
        <f>_xlfn.XLOOKUP(PartList[[#This Row],[ASSLY MARK]],MasterPL[SplitMarkNo],MasterPL[BILL WT.(KG)],0,0)</f>
        <v>877.94</v>
      </c>
      <c r="Q382" cm="1">
        <f t="array" ref="Q38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82" s="2" t="str">
        <v>1BE43</v>
      </c>
      <c r="AB382" s="2">
        <f>SUMIF(PartList[ASSLY MARK],AA382,PartList[Avail. Qty])</f>
        <v>0</v>
      </c>
    </row>
    <row r="383" spans="1:28" x14ac:dyDescent="0.25">
      <c r="A383">
        <v>936</v>
      </c>
      <c r="B383" t="s">
        <v>425</v>
      </c>
      <c r="C383" t="s">
        <v>1045</v>
      </c>
      <c r="D383" t="s">
        <v>1085</v>
      </c>
      <c r="E383" t="s">
        <v>1086</v>
      </c>
      <c r="F383" t="str" cm="1">
        <f t="array" ref="F383">IF(SUM(IF(PartList[ASSLY MARK]=PartList[[#This Row],[ASSLY MARK]],1,0))&gt;1,"No","Yes")</f>
        <v>No</v>
      </c>
      <c r="G383" t="str" cm="1">
        <f t="array" ref="G383">_xlfn.TEXTJOIN("_",TRUE,TRIM(_xlfn.TEXTSPLIT(PartList[[#This Row],[GRID LOCATION]],{"PR01","/","-"})))</f>
        <v>10_B</v>
      </c>
      <c r="H383" t="str" cm="1">
        <f t="array" ref="H38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83" cm="1">
        <f t="array" ref="I38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83" t="str">
        <f>IF(IFERROR(SEARCH("&gt;",PartList[[#This Row],[ID]]),0),"O",IF(IFERROR(SEARCH("&lt;",PartList[[#This Row],[ID]]),0),"I",""))</f>
        <v/>
      </c>
      <c r="K383" t="str" cm="1">
        <f t="array" ref="K3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383" t="str" cm="1">
        <f t="array" ref="L3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383" t="str">
        <f>_xlfn.TEXTJOIN("#",TRUE,PartList[[#This Row],[ASSLY MARK]],PartList[[#This Row],[BOX NO]],PartList[[#This Row],[In/Out]],PartList[[#This Row],[O1-Grid]])</f>
        <v>SF01#Box1#10_B_A</v>
      </c>
      <c r="N383" t="str">
        <f>_xlfn.TEXTJOIN("#",TRUE,PartList[[#This Row],[ASSLY MARK]],PartList[[#This Row],[BOX NO]],PartList[[#This Row],[In/Out]],PartList[[#This Row],[O2-Grid]])</f>
        <v>SF01#Box1#10_11_B</v>
      </c>
      <c r="O383">
        <v>1</v>
      </c>
      <c r="P383">
        <f>_xlfn.XLOOKUP(PartList[[#This Row],[ASSLY MARK]],MasterPL[SplitMarkNo],MasterPL[BILL WT.(KG)],0,0)</f>
        <v>877.94</v>
      </c>
      <c r="Q383" cm="1">
        <f t="array" ref="Q38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83" s="2" t="str">
        <v>1BE44</v>
      </c>
      <c r="AB383" s="2">
        <f>SUMIF(PartList[ASSLY MARK],AA383,PartList[Avail. Qty])</f>
        <v>0</v>
      </c>
    </row>
    <row r="384" spans="1:28" x14ac:dyDescent="0.25">
      <c r="A384">
        <v>939</v>
      </c>
      <c r="B384" t="s">
        <v>425</v>
      </c>
      <c r="C384" t="s">
        <v>1045</v>
      </c>
      <c r="D384" t="s">
        <v>1085</v>
      </c>
      <c r="E384" t="s">
        <v>1086</v>
      </c>
      <c r="F384" t="str" cm="1">
        <f t="array" ref="F384">IF(SUM(IF(PartList[ASSLY MARK]=PartList[[#This Row],[ASSLY MARK]],1,0))&gt;1,"No","Yes")</f>
        <v>No</v>
      </c>
      <c r="G384" t="str" cm="1">
        <f t="array" ref="G384">_xlfn.TEXTJOIN("_",TRUE,TRIM(_xlfn.TEXTSPLIT(PartList[[#This Row],[GRID LOCATION]],{"PR01","/","-"})))</f>
        <v>10_B</v>
      </c>
      <c r="H384" t="str" cm="1">
        <f t="array" ref="H38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84" cm="1">
        <f t="array" ref="I38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84" t="str">
        <f>IF(IFERROR(SEARCH("&gt;",PartList[[#This Row],[ID]]),0),"O",IF(IFERROR(SEARCH("&lt;",PartList[[#This Row],[ID]]),0),"I",""))</f>
        <v/>
      </c>
      <c r="K384" t="str" cm="1">
        <f t="array" ref="K3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384" t="str" cm="1">
        <f t="array" ref="L3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384" t="str">
        <f>_xlfn.TEXTJOIN("#",TRUE,PartList[[#This Row],[ASSLY MARK]],PartList[[#This Row],[BOX NO]],PartList[[#This Row],[In/Out]],PartList[[#This Row],[O1-Grid]])</f>
        <v>SF01#Box1#10_B_A</v>
      </c>
      <c r="N384" t="str">
        <f>_xlfn.TEXTJOIN("#",TRUE,PartList[[#This Row],[ASSLY MARK]],PartList[[#This Row],[BOX NO]],PartList[[#This Row],[In/Out]],PartList[[#This Row],[O2-Grid]])</f>
        <v>SF01#Box1#10_11_B</v>
      </c>
      <c r="O384">
        <v>1</v>
      </c>
      <c r="P384">
        <f>_xlfn.XLOOKUP(PartList[[#This Row],[ASSLY MARK]],MasterPL[SplitMarkNo],MasterPL[BILL WT.(KG)],0,0)</f>
        <v>877.94</v>
      </c>
      <c r="Q384" cm="1">
        <f t="array" ref="Q38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84" s="2" t="str">
        <v>1BE45</v>
      </c>
      <c r="AB384" s="2">
        <f>SUMIF(PartList[ASSLY MARK],AA384,PartList[Avail. Qty])</f>
        <v>0</v>
      </c>
    </row>
    <row r="385" spans="1:28" x14ac:dyDescent="0.25">
      <c r="A385">
        <v>940</v>
      </c>
      <c r="B385" t="s">
        <v>425</v>
      </c>
      <c r="C385" t="s">
        <v>1046</v>
      </c>
      <c r="D385" t="s">
        <v>1087</v>
      </c>
      <c r="E385" t="s">
        <v>1086</v>
      </c>
      <c r="F385" t="str" cm="1">
        <f t="array" ref="F385">IF(SUM(IF(PartList[ASSLY MARK]=PartList[[#This Row],[ASSLY MARK]],1,0))&gt;1,"No","Yes")</f>
        <v>No</v>
      </c>
      <c r="G385" t="str" cm="1">
        <f t="array" ref="G385">_xlfn.TEXTJOIN("_",TRUE,TRIM(_xlfn.TEXTSPLIT(PartList[[#This Row],[GRID LOCATION]],{"PR01","/","-"})))</f>
        <v>14_A</v>
      </c>
      <c r="H385" t="str" cm="1">
        <f t="array" ref="H38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385" cm="1">
        <f t="array" ref="I38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85" t="str">
        <f>IF(IFERROR(SEARCH("&gt;",PartList[[#This Row],[ID]]),0),"O",IF(IFERROR(SEARCH("&lt;",PartList[[#This Row],[ID]]),0),"I",""))</f>
        <v/>
      </c>
      <c r="K385" t="str" cm="1">
        <f t="array" ref="K3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85" t="str" cm="1">
        <f t="array" ref="L3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85" t="str">
        <f>_xlfn.TEXTJOIN("#",TRUE,PartList[[#This Row],[ASSLY MARK]],PartList[[#This Row],[BOX NO]],PartList[[#This Row],[In/Out]],PartList[[#This Row],[O1-Grid]])</f>
        <v>SF01#Box1_Box2_Box3_Box6#InBB</v>
      </c>
      <c r="N385" t="str">
        <f>_xlfn.TEXTJOIN("#",TRUE,PartList[[#This Row],[ASSLY MARK]],PartList[[#This Row],[BOX NO]],PartList[[#This Row],[In/Out]],PartList[[#This Row],[O2-Grid]])</f>
        <v>SF01#Box1_Box2_Box3_Box6#InBB</v>
      </c>
      <c r="O385">
        <v>1</v>
      </c>
      <c r="P385">
        <f>_xlfn.XLOOKUP(PartList[[#This Row],[ASSLY MARK]],MasterPL[SplitMarkNo],MasterPL[BILL WT.(KG)],0,0)</f>
        <v>877.94</v>
      </c>
      <c r="Q385" cm="1">
        <f t="array" ref="Q38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85" s="2" t="str">
        <v>1BE46</v>
      </c>
      <c r="AB385" s="2">
        <f>SUMIF(PartList[ASSLY MARK],AA385,PartList[Avail. Qty])</f>
        <v>0</v>
      </c>
    </row>
    <row r="386" spans="1:28" x14ac:dyDescent="0.25">
      <c r="A386">
        <v>941</v>
      </c>
      <c r="B386" t="s">
        <v>425</v>
      </c>
      <c r="C386" t="s">
        <v>1052</v>
      </c>
      <c r="D386" t="s">
        <v>1087</v>
      </c>
      <c r="E386" t="s">
        <v>1086</v>
      </c>
      <c r="F386" t="str" cm="1">
        <f t="array" ref="F386">IF(SUM(IF(PartList[ASSLY MARK]=PartList[[#This Row],[ASSLY MARK]],1,0))&gt;1,"No","Yes")</f>
        <v>No</v>
      </c>
      <c r="G386" t="str" cm="1">
        <f t="array" ref="G386">_xlfn.TEXTJOIN("_",TRUE,TRIM(_xlfn.TEXTSPLIT(PartList[[#This Row],[GRID LOCATION]],{"PR01","/","-"})))</f>
        <v>14_B</v>
      </c>
      <c r="H386" t="str" cm="1">
        <f t="array" ref="H38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386" cm="1">
        <f t="array" ref="I38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86" t="str">
        <f>IF(IFERROR(SEARCH("&gt;",PartList[[#This Row],[ID]]),0),"O",IF(IFERROR(SEARCH("&lt;",PartList[[#This Row],[ID]]),0),"I",""))</f>
        <v/>
      </c>
      <c r="K386" t="str" cm="1">
        <f t="array" ref="K3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86" t="str" cm="1">
        <f t="array" ref="L3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86" t="str">
        <f>_xlfn.TEXTJOIN("#",TRUE,PartList[[#This Row],[ASSLY MARK]],PartList[[#This Row],[BOX NO]],PartList[[#This Row],[In/Out]],PartList[[#This Row],[O1-Grid]])</f>
        <v>SF01#Box1_Box2_Box3_Box6#InBB</v>
      </c>
      <c r="N386" t="str">
        <f>_xlfn.TEXTJOIN("#",TRUE,PartList[[#This Row],[ASSLY MARK]],PartList[[#This Row],[BOX NO]],PartList[[#This Row],[In/Out]],PartList[[#This Row],[O2-Grid]])</f>
        <v>SF01#Box1_Box2_Box3_Box6#InBB</v>
      </c>
      <c r="O386">
        <v>1</v>
      </c>
      <c r="P386">
        <f>_xlfn.XLOOKUP(PartList[[#This Row],[ASSLY MARK]],MasterPL[SplitMarkNo],MasterPL[BILL WT.(KG)],0,0)</f>
        <v>877.94</v>
      </c>
      <c r="Q386" cm="1">
        <f t="array" ref="Q38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86" s="2" t="str">
        <v>1BE47</v>
      </c>
      <c r="AB386" s="2">
        <f>SUMIF(PartList[ASSLY MARK],AA386,PartList[Avail. Qty])</f>
        <v>0</v>
      </c>
    </row>
    <row r="387" spans="1:28" x14ac:dyDescent="0.25">
      <c r="A387">
        <v>942</v>
      </c>
      <c r="B387" t="s">
        <v>425</v>
      </c>
      <c r="C387" t="s">
        <v>1038</v>
      </c>
      <c r="D387" t="s">
        <v>1085</v>
      </c>
      <c r="E387" t="s">
        <v>1086</v>
      </c>
      <c r="F387" t="str" cm="1">
        <f t="array" ref="F387">IF(SUM(IF(PartList[ASSLY MARK]=PartList[[#This Row],[ASSLY MARK]],1,0))&gt;1,"No","Yes")</f>
        <v>No</v>
      </c>
      <c r="G387" t="str" cm="1">
        <f t="array" ref="G387">_xlfn.TEXTJOIN("_",TRUE,TRIM(_xlfn.TEXTSPLIT(PartList[[#This Row],[GRID LOCATION]],{"PR01","/","-"})))</f>
        <v>10_A</v>
      </c>
      <c r="H387" t="str" cm="1">
        <f t="array" ref="H38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87" cm="1">
        <f t="array" ref="I38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87" t="str">
        <f>IF(IFERROR(SEARCH("&gt;",PartList[[#This Row],[ID]]),0),"O",IF(IFERROR(SEARCH("&lt;",PartList[[#This Row],[ID]]),0),"I",""))</f>
        <v/>
      </c>
      <c r="K387" t="str" cm="1">
        <f t="array" ref="K3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387" t="str" cm="1">
        <f t="array" ref="L3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387" t="str">
        <f>_xlfn.TEXTJOIN("#",TRUE,PartList[[#This Row],[ASSLY MARK]],PartList[[#This Row],[BOX NO]],PartList[[#This Row],[In/Out]],PartList[[#This Row],[O1-Grid]])</f>
        <v>SF01#Box1#10_B_A</v>
      </c>
      <c r="N387" t="str">
        <f>_xlfn.TEXTJOIN("#",TRUE,PartList[[#This Row],[ASSLY MARK]],PartList[[#This Row],[BOX NO]],PartList[[#This Row],[In/Out]],PartList[[#This Row],[O2-Grid]])</f>
        <v>SF01#Box1#10_11_A</v>
      </c>
      <c r="O387">
        <v>1</v>
      </c>
      <c r="P387">
        <f>_xlfn.XLOOKUP(PartList[[#This Row],[ASSLY MARK]],MasterPL[SplitMarkNo],MasterPL[BILL WT.(KG)],0,0)</f>
        <v>877.94</v>
      </c>
      <c r="Q387" cm="1">
        <f t="array" ref="Q38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87" s="2" t="str">
        <v>1BE48</v>
      </c>
      <c r="AB387" s="2">
        <f>SUMIF(PartList[ASSLY MARK],AA387,PartList[Avail. Qty])</f>
        <v>0</v>
      </c>
    </row>
    <row r="388" spans="1:28" x14ac:dyDescent="0.25">
      <c r="A388">
        <v>944</v>
      </c>
      <c r="B388" t="s">
        <v>425</v>
      </c>
      <c r="C388" t="s">
        <v>1052</v>
      </c>
      <c r="D388" t="s">
        <v>1087</v>
      </c>
      <c r="E388" t="s">
        <v>1086</v>
      </c>
      <c r="F388" t="str" cm="1">
        <f t="array" ref="F388">IF(SUM(IF(PartList[ASSLY MARK]=PartList[[#This Row],[ASSLY MARK]],1,0))&gt;1,"No","Yes")</f>
        <v>No</v>
      </c>
      <c r="G388" t="str" cm="1">
        <f t="array" ref="G388">_xlfn.TEXTJOIN("_",TRUE,TRIM(_xlfn.TEXTSPLIT(PartList[[#This Row],[GRID LOCATION]],{"PR01","/","-"})))</f>
        <v>14_B</v>
      </c>
      <c r="H388" t="str" cm="1">
        <f t="array" ref="H38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388" cm="1">
        <f t="array" ref="I38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88" t="str">
        <f>IF(IFERROR(SEARCH("&gt;",PartList[[#This Row],[ID]]),0),"O",IF(IFERROR(SEARCH("&lt;",PartList[[#This Row],[ID]]),0),"I",""))</f>
        <v/>
      </c>
      <c r="K388" t="str" cm="1">
        <f t="array" ref="K3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88" t="str" cm="1">
        <f t="array" ref="L3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88" t="str">
        <f>_xlfn.TEXTJOIN("#",TRUE,PartList[[#This Row],[ASSLY MARK]],PartList[[#This Row],[BOX NO]],PartList[[#This Row],[In/Out]],PartList[[#This Row],[O1-Grid]])</f>
        <v>SF01#Box1_Box2_Box3_Box6#InBB</v>
      </c>
      <c r="N388" t="str">
        <f>_xlfn.TEXTJOIN("#",TRUE,PartList[[#This Row],[ASSLY MARK]],PartList[[#This Row],[BOX NO]],PartList[[#This Row],[In/Out]],PartList[[#This Row],[O2-Grid]])</f>
        <v>SF01#Box1_Box2_Box3_Box6#InBB</v>
      </c>
      <c r="O388">
        <v>1</v>
      </c>
      <c r="P388">
        <f>_xlfn.XLOOKUP(PartList[[#This Row],[ASSLY MARK]],MasterPL[SplitMarkNo],MasterPL[BILL WT.(KG)],0,0)</f>
        <v>877.94</v>
      </c>
      <c r="Q388" cm="1">
        <f t="array" ref="Q38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88" s="2" t="str">
        <v>1BE49</v>
      </c>
      <c r="AB388" s="2">
        <f>SUMIF(PartList[ASSLY MARK],AA388,PartList[Avail. Qty])</f>
        <v>0</v>
      </c>
    </row>
    <row r="389" spans="1:28" x14ac:dyDescent="0.25">
      <c r="A389">
        <v>945</v>
      </c>
      <c r="B389" t="s">
        <v>425</v>
      </c>
      <c r="C389" t="s">
        <v>1038</v>
      </c>
      <c r="D389" t="s">
        <v>1085</v>
      </c>
      <c r="E389" t="s">
        <v>1086</v>
      </c>
      <c r="F389" t="str" cm="1">
        <f t="array" ref="F389">IF(SUM(IF(PartList[ASSLY MARK]=PartList[[#This Row],[ASSLY MARK]],1,0))&gt;1,"No","Yes")</f>
        <v>No</v>
      </c>
      <c r="G389" t="str" cm="1">
        <f t="array" ref="G389">_xlfn.TEXTJOIN("_",TRUE,TRIM(_xlfn.TEXTSPLIT(PartList[[#This Row],[GRID LOCATION]],{"PR01","/","-"})))</f>
        <v>10_A</v>
      </c>
      <c r="H389" t="str" cm="1">
        <f t="array" ref="H38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89" cm="1">
        <f t="array" ref="I38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89" t="str">
        <f>IF(IFERROR(SEARCH("&gt;",PartList[[#This Row],[ID]]),0),"O",IF(IFERROR(SEARCH("&lt;",PartList[[#This Row],[ID]]),0),"I",""))</f>
        <v/>
      </c>
      <c r="K389" t="str" cm="1">
        <f t="array" ref="K3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389" t="str" cm="1">
        <f t="array" ref="L3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389" t="str">
        <f>_xlfn.TEXTJOIN("#",TRUE,PartList[[#This Row],[ASSLY MARK]],PartList[[#This Row],[BOX NO]],PartList[[#This Row],[In/Out]],PartList[[#This Row],[O1-Grid]])</f>
        <v>SF01#Box1#10_B_A</v>
      </c>
      <c r="N389" t="str">
        <f>_xlfn.TEXTJOIN("#",TRUE,PartList[[#This Row],[ASSLY MARK]],PartList[[#This Row],[BOX NO]],PartList[[#This Row],[In/Out]],PartList[[#This Row],[O2-Grid]])</f>
        <v>SF01#Box1#10_11_A</v>
      </c>
      <c r="O389">
        <v>1</v>
      </c>
      <c r="P389">
        <f>_xlfn.XLOOKUP(PartList[[#This Row],[ASSLY MARK]],MasterPL[SplitMarkNo],MasterPL[BILL WT.(KG)],0,0)</f>
        <v>877.94</v>
      </c>
      <c r="Q389" cm="1">
        <f t="array" ref="Q38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89" s="2" t="str">
        <v>1BE50</v>
      </c>
      <c r="AB389" s="2">
        <f>SUMIF(PartList[ASSLY MARK],AA389,PartList[Avail. Qty])</f>
        <v>0</v>
      </c>
    </row>
    <row r="390" spans="1:28" x14ac:dyDescent="0.25">
      <c r="A390">
        <v>946</v>
      </c>
      <c r="B390" t="s">
        <v>425</v>
      </c>
      <c r="C390" t="s">
        <v>1052</v>
      </c>
      <c r="D390" t="s">
        <v>1087</v>
      </c>
      <c r="E390" t="s">
        <v>1086</v>
      </c>
      <c r="F390" t="str" cm="1">
        <f t="array" ref="F390">IF(SUM(IF(PartList[ASSLY MARK]=PartList[[#This Row],[ASSLY MARK]],1,0))&gt;1,"No","Yes")</f>
        <v>No</v>
      </c>
      <c r="G390" t="str" cm="1">
        <f t="array" ref="G390">_xlfn.TEXTJOIN("_",TRUE,TRIM(_xlfn.TEXTSPLIT(PartList[[#This Row],[GRID LOCATION]],{"PR01","/","-"})))</f>
        <v>14_B</v>
      </c>
      <c r="H390" t="str" cm="1">
        <f t="array" ref="H39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390" cm="1">
        <f t="array" ref="I39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90" t="str">
        <f>IF(IFERROR(SEARCH("&gt;",PartList[[#This Row],[ID]]),0),"O",IF(IFERROR(SEARCH("&lt;",PartList[[#This Row],[ID]]),0),"I",""))</f>
        <v/>
      </c>
      <c r="K390" t="str" cm="1">
        <f t="array" ref="K3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90" t="str" cm="1">
        <f t="array" ref="L3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90" t="str">
        <f>_xlfn.TEXTJOIN("#",TRUE,PartList[[#This Row],[ASSLY MARK]],PartList[[#This Row],[BOX NO]],PartList[[#This Row],[In/Out]],PartList[[#This Row],[O1-Grid]])</f>
        <v>SF01#Box1_Box2_Box3_Box6#InBB</v>
      </c>
      <c r="N390" t="str">
        <f>_xlfn.TEXTJOIN("#",TRUE,PartList[[#This Row],[ASSLY MARK]],PartList[[#This Row],[BOX NO]],PartList[[#This Row],[In/Out]],PartList[[#This Row],[O2-Grid]])</f>
        <v>SF01#Box1_Box2_Box3_Box6#InBB</v>
      </c>
      <c r="O390">
        <v>1</v>
      </c>
      <c r="P390">
        <f>_xlfn.XLOOKUP(PartList[[#This Row],[ASSLY MARK]],MasterPL[SplitMarkNo],MasterPL[BILL WT.(KG)],0,0)</f>
        <v>877.94</v>
      </c>
      <c r="Q390" cm="1">
        <f t="array" ref="Q39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90" s="2" t="str">
        <v>1BE51</v>
      </c>
      <c r="AB390" s="2">
        <f>SUMIF(PartList[ASSLY MARK],AA390,PartList[Avail. Qty])</f>
        <v>0</v>
      </c>
    </row>
    <row r="391" spans="1:28" x14ac:dyDescent="0.25">
      <c r="A391">
        <v>948</v>
      </c>
      <c r="B391" t="s">
        <v>425</v>
      </c>
      <c r="C391" t="s">
        <v>1038</v>
      </c>
      <c r="D391" t="s">
        <v>1085</v>
      </c>
      <c r="E391" t="s">
        <v>1086</v>
      </c>
      <c r="F391" t="str" cm="1">
        <f t="array" ref="F391">IF(SUM(IF(PartList[ASSLY MARK]=PartList[[#This Row],[ASSLY MARK]],1,0))&gt;1,"No","Yes")</f>
        <v>No</v>
      </c>
      <c r="G391" t="str" cm="1">
        <f t="array" ref="G391">_xlfn.TEXTJOIN("_",TRUE,TRIM(_xlfn.TEXTSPLIT(PartList[[#This Row],[GRID LOCATION]],{"PR01","/","-"})))</f>
        <v>10_A</v>
      </c>
      <c r="H391" t="str" cm="1">
        <f t="array" ref="H39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91" cm="1">
        <f t="array" ref="I39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91" t="str">
        <f>IF(IFERROR(SEARCH("&gt;",PartList[[#This Row],[ID]]),0),"O",IF(IFERROR(SEARCH("&lt;",PartList[[#This Row],[ID]]),0),"I",""))</f>
        <v/>
      </c>
      <c r="K391" t="str" cm="1">
        <f t="array" ref="K3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391" t="str" cm="1">
        <f t="array" ref="L3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391" t="str">
        <f>_xlfn.TEXTJOIN("#",TRUE,PartList[[#This Row],[ASSLY MARK]],PartList[[#This Row],[BOX NO]],PartList[[#This Row],[In/Out]],PartList[[#This Row],[O1-Grid]])</f>
        <v>SF01#Box1#10_B_A</v>
      </c>
      <c r="N391" t="str">
        <f>_xlfn.TEXTJOIN("#",TRUE,PartList[[#This Row],[ASSLY MARK]],PartList[[#This Row],[BOX NO]],PartList[[#This Row],[In/Out]],PartList[[#This Row],[O2-Grid]])</f>
        <v>SF01#Box1#10_11_A</v>
      </c>
      <c r="O391">
        <v>1</v>
      </c>
      <c r="P391">
        <f>_xlfn.XLOOKUP(PartList[[#This Row],[ASSLY MARK]],MasterPL[SplitMarkNo],MasterPL[BILL WT.(KG)],0,0)</f>
        <v>877.94</v>
      </c>
      <c r="Q391" cm="1">
        <f t="array" ref="Q39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91" s="2" t="str">
        <v>1BE52</v>
      </c>
      <c r="AB391" s="2">
        <f>SUMIF(PartList[ASSLY MARK],AA391,PartList[Avail. Qty])</f>
        <v>0</v>
      </c>
    </row>
    <row r="392" spans="1:28" x14ac:dyDescent="0.25">
      <c r="A392">
        <v>949</v>
      </c>
      <c r="B392" t="s">
        <v>425</v>
      </c>
      <c r="C392" t="s">
        <v>1046</v>
      </c>
      <c r="D392" t="s">
        <v>1087</v>
      </c>
      <c r="E392" t="s">
        <v>1086</v>
      </c>
      <c r="F392" t="str" cm="1">
        <f t="array" ref="F392">IF(SUM(IF(PartList[ASSLY MARK]=PartList[[#This Row],[ASSLY MARK]],1,0))&gt;1,"No","Yes")</f>
        <v>No</v>
      </c>
      <c r="G392" t="str" cm="1">
        <f t="array" ref="G392">_xlfn.TEXTJOIN("_",TRUE,TRIM(_xlfn.TEXTSPLIT(PartList[[#This Row],[GRID LOCATION]],{"PR01","/","-"})))</f>
        <v>14_A</v>
      </c>
      <c r="H392" t="str" cm="1">
        <f t="array" ref="H39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392" cm="1">
        <f t="array" ref="I39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92" t="str">
        <f>IF(IFERROR(SEARCH("&gt;",PartList[[#This Row],[ID]]),0),"O",IF(IFERROR(SEARCH("&lt;",PartList[[#This Row],[ID]]),0),"I",""))</f>
        <v/>
      </c>
      <c r="K392" t="str" cm="1">
        <f t="array" ref="K3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392" t="str" cm="1">
        <f t="array" ref="L3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392" t="str">
        <f>_xlfn.TEXTJOIN("#",TRUE,PartList[[#This Row],[ASSLY MARK]],PartList[[#This Row],[BOX NO]],PartList[[#This Row],[In/Out]],PartList[[#This Row],[O1-Grid]])</f>
        <v>SF01#Box1_Box2_Box3_Box6#InBB</v>
      </c>
      <c r="N392" t="str">
        <f>_xlfn.TEXTJOIN("#",TRUE,PartList[[#This Row],[ASSLY MARK]],PartList[[#This Row],[BOX NO]],PartList[[#This Row],[In/Out]],PartList[[#This Row],[O2-Grid]])</f>
        <v>SF01#Box1_Box2_Box3_Box6#InBB</v>
      </c>
      <c r="O392">
        <v>1</v>
      </c>
      <c r="P392">
        <f>_xlfn.XLOOKUP(PartList[[#This Row],[ASSLY MARK]],MasterPL[SplitMarkNo],MasterPL[BILL WT.(KG)],0,0)</f>
        <v>877.94</v>
      </c>
      <c r="Q392" cm="1">
        <f t="array" ref="Q39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92" s="2" t="str">
        <v>1BE53</v>
      </c>
      <c r="AB392" s="2">
        <f>SUMIF(PartList[ASSLY MARK],AA392,PartList[Avail. Qty])</f>
        <v>0</v>
      </c>
    </row>
    <row r="393" spans="1:28" x14ac:dyDescent="0.25">
      <c r="A393">
        <v>951</v>
      </c>
      <c r="B393" t="s">
        <v>425</v>
      </c>
      <c r="C393" t="s">
        <v>1038</v>
      </c>
      <c r="D393" t="s">
        <v>1085</v>
      </c>
      <c r="E393" t="s">
        <v>1086</v>
      </c>
      <c r="F393" t="str" cm="1">
        <f t="array" ref="F393">IF(SUM(IF(PartList[ASSLY MARK]=PartList[[#This Row],[ASSLY MARK]],1,0))&gt;1,"No","Yes")</f>
        <v>No</v>
      </c>
      <c r="G393" t="str" cm="1">
        <f t="array" ref="G393">_xlfn.TEXTJOIN("_",TRUE,TRIM(_xlfn.TEXTSPLIT(PartList[[#This Row],[GRID LOCATION]],{"PR01","/","-"})))</f>
        <v>10_A</v>
      </c>
      <c r="H393" t="str" cm="1">
        <f t="array" ref="H39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93" cm="1">
        <f t="array" ref="I39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93" t="str">
        <f>IF(IFERROR(SEARCH("&gt;",PartList[[#This Row],[ID]]),0),"O",IF(IFERROR(SEARCH("&lt;",PartList[[#This Row],[ID]]),0),"I",""))</f>
        <v/>
      </c>
      <c r="K393" t="str" cm="1">
        <f t="array" ref="K3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393" t="str" cm="1">
        <f t="array" ref="L3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393" t="str">
        <f>_xlfn.TEXTJOIN("#",TRUE,PartList[[#This Row],[ASSLY MARK]],PartList[[#This Row],[BOX NO]],PartList[[#This Row],[In/Out]],PartList[[#This Row],[O1-Grid]])</f>
        <v>SF01#Box1#10_B_A</v>
      </c>
      <c r="N393" t="str">
        <f>_xlfn.TEXTJOIN("#",TRUE,PartList[[#This Row],[ASSLY MARK]],PartList[[#This Row],[BOX NO]],PartList[[#This Row],[In/Out]],PartList[[#This Row],[O2-Grid]])</f>
        <v>SF01#Box1#10_11_A</v>
      </c>
      <c r="O393">
        <v>1</v>
      </c>
      <c r="P393">
        <f>_xlfn.XLOOKUP(PartList[[#This Row],[ASSLY MARK]],MasterPL[SplitMarkNo],MasterPL[BILL WT.(KG)],0,0)</f>
        <v>877.94</v>
      </c>
      <c r="Q393" cm="1">
        <f t="array" ref="Q39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93" s="2" t="str">
        <v>1BE54</v>
      </c>
      <c r="AB393" s="2">
        <f>SUMIF(PartList[ASSLY MARK],AA393,PartList[Avail. Qty])</f>
        <v>0</v>
      </c>
    </row>
    <row r="394" spans="1:28" x14ac:dyDescent="0.25">
      <c r="A394">
        <v>952</v>
      </c>
      <c r="B394" t="s">
        <v>427</v>
      </c>
      <c r="C394" t="s">
        <v>1048</v>
      </c>
      <c r="D394" t="s">
        <v>1089</v>
      </c>
      <c r="E394" t="s">
        <v>1086</v>
      </c>
      <c r="F394" t="str" cm="1">
        <f t="array" ref="F394">IF(SUM(IF(PartList[ASSLY MARK]=PartList[[#This Row],[ASSLY MARK]],1,0))&gt;1,"No","Yes")</f>
        <v>No</v>
      </c>
      <c r="G394" t="str" cm="1">
        <f t="array" ref="G394">_xlfn.TEXTJOIN("_",TRUE,TRIM(_xlfn.TEXTSPLIT(PartList[[#This Row],[GRID LOCATION]],{"PR01","/","-"})))</f>
        <v>11_A</v>
      </c>
      <c r="H394" t="str" cm="1">
        <f t="array" ref="H39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94" cm="1">
        <f t="array" ref="I39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94" t="str">
        <f>IF(IFERROR(SEARCH("&gt;",PartList[[#This Row],[ID]]),0),"O",IF(IFERROR(SEARCH("&lt;",PartList[[#This Row],[ID]]),0),"I",""))</f>
        <v/>
      </c>
      <c r="K394" t="str" cm="1">
        <f t="array" ref="K3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394" t="str" cm="1">
        <f t="array" ref="L3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394" t="str">
        <f>_xlfn.TEXTJOIN("#",TRUE,PartList[[#This Row],[ASSLY MARK]],PartList[[#This Row],[BOX NO]],PartList[[#This Row],[In/Out]],PartList[[#This Row],[O1-Grid]])</f>
        <v>SF02#Box1#11_B_A</v>
      </c>
      <c r="N394" t="str">
        <f>_xlfn.TEXTJOIN("#",TRUE,PartList[[#This Row],[ASSLY MARK]],PartList[[#This Row],[BOX NO]],PartList[[#This Row],[In/Out]],PartList[[#This Row],[O2-Grid]])</f>
        <v>SF02#Box1#10_11_A</v>
      </c>
      <c r="O394">
        <v>1</v>
      </c>
      <c r="P394">
        <f>_xlfn.XLOOKUP(PartList[[#This Row],[ASSLY MARK]],MasterPL[SplitMarkNo],MasterPL[BILL WT.(KG)],0,0)</f>
        <v>1440.79</v>
      </c>
      <c r="Q394" cm="1">
        <f t="array" ref="Q39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94" s="2" t="str">
        <v>1BE55</v>
      </c>
      <c r="AB394" s="2">
        <f>SUMIF(PartList[ASSLY MARK],AA394,PartList[Avail. Qty])</f>
        <v>0</v>
      </c>
    </row>
    <row r="395" spans="1:28" x14ac:dyDescent="0.25">
      <c r="A395">
        <v>953</v>
      </c>
      <c r="B395" t="s">
        <v>427</v>
      </c>
      <c r="C395" t="s">
        <v>1048</v>
      </c>
      <c r="D395" t="s">
        <v>1089</v>
      </c>
      <c r="E395" t="s">
        <v>1086</v>
      </c>
      <c r="F395" t="str" cm="1">
        <f t="array" ref="F395">IF(SUM(IF(PartList[ASSLY MARK]=PartList[[#This Row],[ASSLY MARK]],1,0))&gt;1,"No","Yes")</f>
        <v>No</v>
      </c>
      <c r="G395" t="str" cm="1">
        <f t="array" ref="G395">_xlfn.TEXTJOIN("_",TRUE,TRIM(_xlfn.TEXTSPLIT(PartList[[#This Row],[GRID LOCATION]],{"PR01","/","-"})))</f>
        <v>11_A</v>
      </c>
      <c r="H395" t="str" cm="1">
        <f t="array" ref="H39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95" cm="1">
        <f t="array" ref="I39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95" t="str">
        <f>IF(IFERROR(SEARCH("&gt;",PartList[[#This Row],[ID]]),0),"O",IF(IFERROR(SEARCH("&lt;",PartList[[#This Row],[ID]]),0),"I",""))</f>
        <v/>
      </c>
      <c r="K395" t="str" cm="1">
        <f t="array" ref="K3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395" t="str" cm="1">
        <f t="array" ref="L3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395" t="str">
        <f>_xlfn.TEXTJOIN("#",TRUE,PartList[[#This Row],[ASSLY MARK]],PartList[[#This Row],[BOX NO]],PartList[[#This Row],[In/Out]],PartList[[#This Row],[O1-Grid]])</f>
        <v>SF02#Box1#11_B_A</v>
      </c>
      <c r="N395" t="str">
        <f>_xlfn.TEXTJOIN("#",TRUE,PartList[[#This Row],[ASSLY MARK]],PartList[[#This Row],[BOX NO]],PartList[[#This Row],[In/Out]],PartList[[#This Row],[O2-Grid]])</f>
        <v>SF02#Box1#10_11_A</v>
      </c>
      <c r="O395">
        <v>1</v>
      </c>
      <c r="P395">
        <f>_xlfn.XLOOKUP(PartList[[#This Row],[ASSLY MARK]],MasterPL[SplitMarkNo],MasterPL[BILL WT.(KG)],0,0)</f>
        <v>1440.79</v>
      </c>
      <c r="Q395" cm="1">
        <f t="array" ref="Q39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95" s="2" t="str">
        <v>1BE56</v>
      </c>
      <c r="AB395" s="2">
        <f>SUMIF(PartList[ASSLY MARK],AA395,PartList[Avail. Qty])</f>
        <v>0</v>
      </c>
    </row>
    <row r="396" spans="1:28" x14ac:dyDescent="0.25">
      <c r="A396">
        <v>956</v>
      </c>
      <c r="B396" t="s">
        <v>427</v>
      </c>
      <c r="C396" t="s">
        <v>1050</v>
      </c>
      <c r="D396" t="s">
        <v>1089</v>
      </c>
      <c r="E396" t="s">
        <v>1086</v>
      </c>
      <c r="F396" t="str" cm="1">
        <f t="array" ref="F396">IF(SUM(IF(PartList[ASSLY MARK]=PartList[[#This Row],[ASSLY MARK]],1,0))&gt;1,"No","Yes")</f>
        <v>No</v>
      </c>
      <c r="G396" t="str" cm="1">
        <f t="array" ref="G396">_xlfn.TEXTJOIN("_",TRUE,TRIM(_xlfn.TEXTSPLIT(PartList[[#This Row],[GRID LOCATION]],{"PR01","/","-"})))</f>
        <v>11_B</v>
      </c>
      <c r="H396" t="str" cm="1">
        <f t="array" ref="H39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96" cm="1">
        <f t="array" ref="I39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96" t="str">
        <f>IF(IFERROR(SEARCH("&gt;",PartList[[#This Row],[ID]]),0),"O",IF(IFERROR(SEARCH("&lt;",PartList[[#This Row],[ID]]),0),"I",""))</f>
        <v/>
      </c>
      <c r="K396" t="str" cm="1">
        <f t="array" ref="K3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396" t="str" cm="1">
        <f t="array" ref="L3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396" t="str">
        <f>_xlfn.TEXTJOIN("#",TRUE,PartList[[#This Row],[ASSLY MARK]],PartList[[#This Row],[BOX NO]],PartList[[#This Row],[In/Out]],PartList[[#This Row],[O1-Grid]])</f>
        <v>SF02#Box1#11_B_A</v>
      </c>
      <c r="N396" t="str">
        <f>_xlfn.TEXTJOIN("#",TRUE,PartList[[#This Row],[ASSLY MARK]],PartList[[#This Row],[BOX NO]],PartList[[#This Row],[In/Out]],PartList[[#This Row],[O2-Grid]])</f>
        <v>SF02#Box1#10_11_B</v>
      </c>
      <c r="O396">
        <v>1</v>
      </c>
      <c r="P396">
        <f>_xlfn.XLOOKUP(PartList[[#This Row],[ASSLY MARK]],MasterPL[SplitMarkNo],MasterPL[BILL WT.(KG)],0,0)</f>
        <v>1440.79</v>
      </c>
      <c r="Q396" cm="1">
        <f t="array" ref="Q39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96" s="2" t="str">
        <v>1BE57</v>
      </c>
      <c r="AB396" s="2">
        <f>SUMIF(PartList[ASSLY MARK],AA396,PartList[Avail. Qty])</f>
        <v>0</v>
      </c>
    </row>
    <row r="397" spans="1:28" x14ac:dyDescent="0.25">
      <c r="A397">
        <v>958</v>
      </c>
      <c r="B397" t="s">
        <v>427</v>
      </c>
      <c r="C397" t="s">
        <v>1048</v>
      </c>
      <c r="D397" t="s">
        <v>1089</v>
      </c>
      <c r="E397" t="s">
        <v>1086</v>
      </c>
      <c r="F397" t="str" cm="1">
        <f t="array" ref="F397">IF(SUM(IF(PartList[ASSLY MARK]=PartList[[#This Row],[ASSLY MARK]],1,0))&gt;1,"No","Yes")</f>
        <v>No</v>
      </c>
      <c r="G397" t="str" cm="1">
        <f t="array" ref="G397">_xlfn.TEXTJOIN("_",TRUE,TRIM(_xlfn.TEXTSPLIT(PartList[[#This Row],[GRID LOCATION]],{"PR01","/","-"})))</f>
        <v>11_A</v>
      </c>
      <c r="H397" t="str" cm="1">
        <f t="array" ref="H39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97" cm="1">
        <f t="array" ref="I39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97" t="str">
        <f>IF(IFERROR(SEARCH("&gt;",PartList[[#This Row],[ID]]),0),"O",IF(IFERROR(SEARCH("&lt;",PartList[[#This Row],[ID]]),0),"I",""))</f>
        <v/>
      </c>
      <c r="K397" t="str" cm="1">
        <f t="array" ref="K3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397" t="str" cm="1">
        <f t="array" ref="L3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397" t="str">
        <f>_xlfn.TEXTJOIN("#",TRUE,PartList[[#This Row],[ASSLY MARK]],PartList[[#This Row],[BOX NO]],PartList[[#This Row],[In/Out]],PartList[[#This Row],[O1-Grid]])</f>
        <v>SF02#Box1#11_B_A</v>
      </c>
      <c r="N397" t="str">
        <f>_xlfn.TEXTJOIN("#",TRUE,PartList[[#This Row],[ASSLY MARK]],PartList[[#This Row],[BOX NO]],PartList[[#This Row],[In/Out]],PartList[[#This Row],[O2-Grid]])</f>
        <v>SF02#Box1#10_11_A</v>
      </c>
      <c r="O397">
        <v>1</v>
      </c>
      <c r="P397">
        <f>_xlfn.XLOOKUP(PartList[[#This Row],[ASSLY MARK]],MasterPL[SplitMarkNo],MasterPL[BILL WT.(KG)],0,0)</f>
        <v>1440.79</v>
      </c>
      <c r="Q397" cm="1">
        <f t="array" ref="Q39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97" s="2" t="str">
        <v>1BE58</v>
      </c>
      <c r="AB397" s="2">
        <f>SUMIF(PartList[ASSLY MARK],AA397,PartList[Avail. Qty])</f>
        <v>0</v>
      </c>
    </row>
    <row r="398" spans="1:28" x14ac:dyDescent="0.25">
      <c r="A398">
        <v>959</v>
      </c>
      <c r="B398" t="s">
        <v>427</v>
      </c>
      <c r="C398" t="s">
        <v>1048</v>
      </c>
      <c r="D398" t="s">
        <v>1089</v>
      </c>
      <c r="E398" t="s">
        <v>1086</v>
      </c>
      <c r="F398" t="str" cm="1">
        <f t="array" ref="F398">IF(SUM(IF(PartList[ASSLY MARK]=PartList[[#This Row],[ASSLY MARK]],1,0))&gt;1,"No","Yes")</f>
        <v>No</v>
      </c>
      <c r="G398" t="str" cm="1">
        <f t="array" ref="G398">_xlfn.TEXTJOIN("_",TRUE,TRIM(_xlfn.TEXTSPLIT(PartList[[#This Row],[GRID LOCATION]],{"PR01","/","-"})))</f>
        <v>11_A</v>
      </c>
      <c r="H398" t="str" cm="1">
        <f t="array" ref="H39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98" cm="1">
        <f t="array" ref="I39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98" t="str">
        <f>IF(IFERROR(SEARCH("&gt;",PartList[[#This Row],[ID]]),0),"O",IF(IFERROR(SEARCH("&lt;",PartList[[#This Row],[ID]]),0),"I",""))</f>
        <v/>
      </c>
      <c r="K398" t="str" cm="1">
        <f t="array" ref="K3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398" t="str" cm="1">
        <f t="array" ref="L3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398" t="str">
        <f>_xlfn.TEXTJOIN("#",TRUE,PartList[[#This Row],[ASSLY MARK]],PartList[[#This Row],[BOX NO]],PartList[[#This Row],[In/Out]],PartList[[#This Row],[O1-Grid]])</f>
        <v>SF02#Box1#11_B_A</v>
      </c>
      <c r="N398" t="str">
        <f>_xlfn.TEXTJOIN("#",TRUE,PartList[[#This Row],[ASSLY MARK]],PartList[[#This Row],[BOX NO]],PartList[[#This Row],[In/Out]],PartList[[#This Row],[O2-Grid]])</f>
        <v>SF02#Box1#10_11_A</v>
      </c>
      <c r="O398">
        <v>1</v>
      </c>
      <c r="P398">
        <f>_xlfn.XLOOKUP(PartList[[#This Row],[ASSLY MARK]],MasterPL[SplitMarkNo],MasterPL[BILL WT.(KG)],0,0)</f>
        <v>1440.79</v>
      </c>
      <c r="Q398" cm="1">
        <f t="array" ref="Q39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98" s="2" t="str">
        <v>1BE59</v>
      </c>
      <c r="AB398" s="2">
        <f>SUMIF(PartList[ASSLY MARK],AA398,PartList[Avail. Qty])</f>
        <v>0</v>
      </c>
    </row>
    <row r="399" spans="1:28" x14ac:dyDescent="0.25">
      <c r="A399">
        <v>961</v>
      </c>
      <c r="B399" t="s">
        <v>427</v>
      </c>
      <c r="C399" t="s">
        <v>1050</v>
      </c>
      <c r="D399" t="s">
        <v>1089</v>
      </c>
      <c r="E399" t="s">
        <v>1086</v>
      </c>
      <c r="F399" t="str" cm="1">
        <f t="array" ref="F399">IF(SUM(IF(PartList[ASSLY MARK]=PartList[[#This Row],[ASSLY MARK]],1,0))&gt;1,"No","Yes")</f>
        <v>No</v>
      </c>
      <c r="G399" t="str" cm="1">
        <f t="array" ref="G399">_xlfn.TEXTJOIN("_",TRUE,TRIM(_xlfn.TEXTSPLIT(PartList[[#This Row],[GRID LOCATION]],{"PR01","/","-"})))</f>
        <v>11_B</v>
      </c>
      <c r="H399" t="str" cm="1">
        <f t="array" ref="H39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399" cm="1">
        <f t="array" ref="I39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399" t="str">
        <f>IF(IFERROR(SEARCH("&gt;",PartList[[#This Row],[ID]]),0),"O",IF(IFERROR(SEARCH("&lt;",PartList[[#This Row],[ID]]),0),"I",""))</f>
        <v/>
      </c>
      <c r="K399" t="str" cm="1">
        <f t="array" ref="K3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399" t="str" cm="1">
        <f t="array" ref="L3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399" t="str">
        <f>_xlfn.TEXTJOIN("#",TRUE,PartList[[#This Row],[ASSLY MARK]],PartList[[#This Row],[BOX NO]],PartList[[#This Row],[In/Out]],PartList[[#This Row],[O1-Grid]])</f>
        <v>SF02#Box1#11_B_A</v>
      </c>
      <c r="N399" t="str">
        <f>_xlfn.TEXTJOIN("#",TRUE,PartList[[#This Row],[ASSLY MARK]],PartList[[#This Row],[BOX NO]],PartList[[#This Row],[In/Out]],PartList[[#This Row],[O2-Grid]])</f>
        <v>SF02#Box1#10_11_B</v>
      </c>
      <c r="O399">
        <v>1</v>
      </c>
      <c r="P399">
        <f>_xlfn.XLOOKUP(PartList[[#This Row],[ASSLY MARK]],MasterPL[SplitMarkNo],MasterPL[BILL WT.(KG)],0,0)</f>
        <v>1440.79</v>
      </c>
      <c r="Q399" cm="1">
        <f t="array" ref="Q39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399" s="2" t="str">
        <v>1BE61</v>
      </c>
      <c r="AB399" s="2">
        <f>SUMIF(PartList[ASSLY MARK],AA399,PartList[Avail. Qty])</f>
        <v>0</v>
      </c>
    </row>
    <row r="400" spans="1:28" x14ac:dyDescent="0.25">
      <c r="A400">
        <v>964</v>
      </c>
      <c r="B400" t="s">
        <v>427</v>
      </c>
      <c r="C400" t="s">
        <v>1050</v>
      </c>
      <c r="D400" t="s">
        <v>1089</v>
      </c>
      <c r="E400" t="s">
        <v>1086</v>
      </c>
      <c r="F400" t="str" cm="1">
        <f t="array" ref="F400">IF(SUM(IF(PartList[ASSLY MARK]=PartList[[#This Row],[ASSLY MARK]],1,0))&gt;1,"No","Yes")</f>
        <v>No</v>
      </c>
      <c r="G400" t="str" cm="1">
        <f t="array" ref="G400">_xlfn.TEXTJOIN("_",TRUE,TRIM(_xlfn.TEXTSPLIT(PartList[[#This Row],[GRID LOCATION]],{"PR01","/","-"})))</f>
        <v>11_B</v>
      </c>
      <c r="H400" t="str" cm="1">
        <f t="array" ref="H40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00" cm="1">
        <f t="array" ref="I40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00" t="str">
        <f>IF(IFERROR(SEARCH("&gt;",PartList[[#This Row],[ID]]),0),"O",IF(IFERROR(SEARCH("&lt;",PartList[[#This Row],[ID]]),0),"I",""))</f>
        <v/>
      </c>
      <c r="K400" t="str" cm="1">
        <f t="array" ref="K4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00" t="str" cm="1">
        <f t="array" ref="L4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00" t="str">
        <f>_xlfn.TEXTJOIN("#",TRUE,PartList[[#This Row],[ASSLY MARK]],PartList[[#This Row],[BOX NO]],PartList[[#This Row],[In/Out]],PartList[[#This Row],[O1-Grid]])</f>
        <v>SF02#Box1#11_B_A</v>
      </c>
      <c r="N400" t="str">
        <f>_xlfn.TEXTJOIN("#",TRUE,PartList[[#This Row],[ASSLY MARK]],PartList[[#This Row],[BOX NO]],PartList[[#This Row],[In/Out]],PartList[[#This Row],[O2-Grid]])</f>
        <v>SF02#Box1#10_11_B</v>
      </c>
      <c r="O400">
        <v>1</v>
      </c>
      <c r="P400">
        <f>_xlfn.XLOOKUP(PartList[[#This Row],[ASSLY MARK]],MasterPL[SplitMarkNo],MasterPL[BILL WT.(KG)],0,0)</f>
        <v>1440.79</v>
      </c>
      <c r="Q400" cm="1">
        <f t="array" ref="Q40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00" s="2" t="str">
        <v>1BE62</v>
      </c>
      <c r="AB400" s="2">
        <f>SUMIF(PartList[ASSLY MARK],AA400,PartList[Avail. Qty])</f>
        <v>0</v>
      </c>
    </row>
    <row r="401" spans="1:28" x14ac:dyDescent="0.25">
      <c r="A401">
        <v>967</v>
      </c>
      <c r="B401" t="s">
        <v>427</v>
      </c>
      <c r="C401" t="s">
        <v>1050</v>
      </c>
      <c r="D401" t="s">
        <v>1089</v>
      </c>
      <c r="E401" t="s">
        <v>1086</v>
      </c>
      <c r="F401" t="str" cm="1">
        <f t="array" ref="F401">IF(SUM(IF(PartList[ASSLY MARK]=PartList[[#This Row],[ASSLY MARK]],1,0))&gt;1,"No","Yes")</f>
        <v>No</v>
      </c>
      <c r="G401" t="str" cm="1">
        <f t="array" ref="G401">_xlfn.TEXTJOIN("_",TRUE,TRIM(_xlfn.TEXTSPLIT(PartList[[#This Row],[GRID LOCATION]],{"PR01","/","-"})))</f>
        <v>11_B</v>
      </c>
      <c r="H401" t="str" cm="1">
        <f t="array" ref="H40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01" cm="1">
        <f t="array" ref="I40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01" t="str">
        <f>IF(IFERROR(SEARCH("&gt;",PartList[[#This Row],[ID]]),0),"O",IF(IFERROR(SEARCH("&lt;",PartList[[#This Row],[ID]]),0),"I",""))</f>
        <v/>
      </c>
      <c r="K401" t="str" cm="1">
        <f t="array" ref="K4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01" t="str" cm="1">
        <f t="array" ref="L4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01" t="str">
        <f>_xlfn.TEXTJOIN("#",TRUE,PartList[[#This Row],[ASSLY MARK]],PartList[[#This Row],[BOX NO]],PartList[[#This Row],[In/Out]],PartList[[#This Row],[O1-Grid]])</f>
        <v>SF02#Box1#11_B_A</v>
      </c>
      <c r="N401" t="str">
        <f>_xlfn.TEXTJOIN("#",TRUE,PartList[[#This Row],[ASSLY MARK]],PartList[[#This Row],[BOX NO]],PartList[[#This Row],[In/Out]],PartList[[#This Row],[O2-Grid]])</f>
        <v>SF02#Box1#10_11_B</v>
      </c>
      <c r="O401">
        <v>1</v>
      </c>
      <c r="P401">
        <f>_xlfn.XLOOKUP(PartList[[#This Row],[ASSLY MARK]],MasterPL[SplitMarkNo],MasterPL[BILL WT.(KG)],0,0)</f>
        <v>1440.79</v>
      </c>
      <c r="Q401" cm="1">
        <f t="array" ref="Q40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01" s="2" t="str">
        <v>1BE63</v>
      </c>
      <c r="AB401" s="2">
        <f>SUMIF(PartList[ASSLY MARK],AA401,PartList[Avail. Qty])</f>
        <v>0</v>
      </c>
    </row>
    <row r="402" spans="1:28" x14ac:dyDescent="0.25">
      <c r="A402">
        <v>970</v>
      </c>
      <c r="B402" t="s">
        <v>427</v>
      </c>
      <c r="C402" t="s">
        <v>1048</v>
      </c>
      <c r="D402" t="s">
        <v>1090</v>
      </c>
      <c r="E402" t="s">
        <v>1086</v>
      </c>
      <c r="F402" t="str" cm="1">
        <f t="array" ref="F402">IF(SUM(IF(PartList[ASSLY MARK]=PartList[[#This Row],[ASSLY MARK]],1,0))&gt;1,"No","Yes")</f>
        <v>No</v>
      </c>
      <c r="G402" t="str" cm="1">
        <f t="array" ref="G402">_xlfn.TEXTJOIN("_",TRUE,TRIM(_xlfn.TEXTSPLIT(PartList[[#This Row],[GRID LOCATION]],{"PR01","/","-"})))</f>
        <v>11_A</v>
      </c>
      <c r="H402" t="str" cm="1">
        <f t="array" ref="H40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02" cm="1">
        <f t="array" ref="I40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02" t="str">
        <f>IF(IFERROR(SEARCH("&gt;",PartList[[#This Row],[ID]]),0),"O",IF(IFERROR(SEARCH("&lt;",PartList[[#This Row],[ID]]),0),"I",""))</f>
        <v/>
      </c>
      <c r="K402" t="str" cm="1">
        <f t="array" ref="K4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02" t="str" cm="1">
        <f t="array" ref="L4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02" t="str">
        <f>_xlfn.TEXTJOIN("#",TRUE,PartList[[#This Row],[ASSLY MARK]],PartList[[#This Row],[BOX NO]],PartList[[#This Row],[In/Out]],PartList[[#This Row],[O1-Grid]])</f>
        <v>SF02#Box1#11_B_A</v>
      </c>
      <c r="N402" t="str">
        <f>_xlfn.TEXTJOIN("#",TRUE,PartList[[#This Row],[ASSLY MARK]],PartList[[#This Row],[BOX NO]],PartList[[#This Row],[In/Out]],PartList[[#This Row],[O2-Grid]])</f>
        <v>SF02#Box1#10_11_A</v>
      </c>
      <c r="O402">
        <v>1</v>
      </c>
      <c r="P402">
        <f>_xlfn.XLOOKUP(PartList[[#This Row],[ASSLY MARK]],MasterPL[SplitMarkNo],MasterPL[BILL WT.(KG)],0,0)</f>
        <v>1440.79</v>
      </c>
      <c r="Q402" cm="1">
        <f t="array" ref="Q40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02" s="2" t="str">
        <v>1BE64</v>
      </c>
      <c r="AB402" s="2">
        <f>SUMIF(PartList[ASSLY MARK],AA402,PartList[Avail. Qty])</f>
        <v>0</v>
      </c>
    </row>
    <row r="403" spans="1:28" x14ac:dyDescent="0.25">
      <c r="A403">
        <v>973</v>
      </c>
      <c r="B403" t="s">
        <v>427</v>
      </c>
      <c r="C403" t="s">
        <v>1048</v>
      </c>
      <c r="D403" t="s">
        <v>1090</v>
      </c>
      <c r="E403" t="s">
        <v>1086</v>
      </c>
      <c r="F403" t="str" cm="1">
        <f t="array" ref="F403">IF(SUM(IF(PartList[ASSLY MARK]=PartList[[#This Row],[ASSLY MARK]],1,0))&gt;1,"No","Yes")</f>
        <v>No</v>
      </c>
      <c r="G403" t="str" cm="1">
        <f t="array" ref="G403">_xlfn.TEXTJOIN("_",TRUE,TRIM(_xlfn.TEXTSPLIT(PartList[[#This Row],[GRID LOCATION]],{"PR01","/","-"})))</f>
        <v>11_A</v>
      </c>
      <c r="H403" t="str" cm="1">
        <f t="array" ref="H40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03" cm="1">
        <f t="array" ref="I40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03" t="str">
        <f>IF(IFERROR(SEARCH("&gt;",PartList[[#This Row],[ID]]),0),"O",IF(IFERROR(SEARCH("&lt;",PartList[[#This Row],[ID]]),0),"I",""))</f>
        <v/>
      </c>
      <c r="K403" t="str" cm="1">
        <f t="array" ref="K4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03" t="str" cm="1">
        <f t="array" ref="L4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03" t="str">
        <f>_xlfn.TEXTJOIN("#",TRUE,PartList[[#This Row],[ASSLY MARK]],PartList[[#This Row],[BOX NO]],PartList[[#This Row],[In/Out]],PartList[[#This Row],[O1-Grid]])</f>
        <v>SF02#Box1#11_B_A</v>
      </c>
      <c r="N403" t="str">
        <f>_xlfn.TEXTJOIN("#",TRUE,PartList[[#This Row],[ASSLY MARK]],PartList[[#This Row],[BOX NO]],PartList[[#This Row],[In/Out]],PartList[[#This Row],[O2-Grid]])</f>
        <v>SF02#Box1#10_11_A</v>
      </c>
      <c r="O403">
        <v>1</v>
      </c>
      <c r="P403">
        <f>_xlfn.XLOOKUP(PartList[[#This Row],[ASSLY MARK]],MasterPL[SplitMarkNo],MasterPL[BILL WT.(KG)],0,0)</f>
        <v>1440.79</v>
      </c>
      <c r="Q403" cm="1">
        <f t="array" ref="Q40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03" s="2" t="str">
        <v>1BE65</v>
      </c>
      <c r="AB403" s="2">
        <f>SUMIF(PartList[ASSLY MARK],AA403,PartList[Avail. Qty])</f>
        <v>0</v>
      </c>
    </row>
    <row r="404" spans="1:28" x14ac:dyDescent="0.25">
      <c r="A404">
        <v>976</v>
      </c>
      <c r="B404" t="s">
        <v>427</v>
      </c>
      <c r="C404" t="s">
        <v>1048</v>
      </c>
      <c r="D404" t="s">
        <v>1090</v>
      </c>
      <c r="E404" t="s">
        <v>1086</v>
      </c>
      <c r="F404" t="str" cm="1">
        <f t="array" ref="F404">IF(SUM(IF(PartList[ASSLY MARK]=PartList[[#This Row],[ASSLY MARK]],1,0))&gt;1,"No","Yes")</f>
        <v>No</v>
      </c>
      <c r="G404" t="str" cm="1">
        <f t="array" ref="G404">_xlfn.TEXTJOIN("_",TRUE,TRIM(_xlfn.TEXTSPLIT(PartList[[#This Row],[GRID LOCATION]],{"PR01","/","-"})))</f>
        <v>11_A</v>
      </c>
      <c r="H404" t="str" cm="1">
        <f t="array" ref="H40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04" cm="1">
        <f t="array" ref="I40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04" t="str">
        <f>IF(IFERROR(SEARCH("&gt;",PartList[[#This Row],[ID]]),0),"O",IF(IFERROR(SEARCH("&lt;",PartList[[#This Row],[ID]]),0),"I",""))</f>
        <v/>
      </c>
      <c r="K404" t="str" cm="1">
        <f t="array" ref="K4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04" t="str" cm="1">
        <f t="array" ref="L4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04" t="str">
        <f>_xlfn.TEXTJOIN("#",TRUE,PartList[[#This Row],[ASSLY MARK]],PartList[[#This Row],[BOX NO]],PartList[[#This Row],[In/Out]],PartList[[#This Row],[O1-Grid]])</f>
        <v>SF02#Box1#11_B_A</v>
      </c>
      <c r="N404" t="str">
        <f>_xlfn.TEXTJOIN("#",TRUE,PartList[[#This Row],[ASSLY MARK]],PartList[[#This Row],[BOX NO]],PartList[[#This Row],[In/Out]],PartList[[#This Row],[O2-Grid]])</f>
        <v>SF02#Box1#10_11_A</v>
      </c>
      <c r="O404">
        <v>1</v>
      </c>
      <c r="P404">
        <f>_xlfn.XLOOKUP(PartList[[#This Row],[ASSLY MARK]],MasterPL[SplitMarkNo],MasterPL[BILL WT.(KG)],0,0)</f>
        <v>1440.79</v>
      </c>
      <c r="Q404" cm="1">
        <f t="array" ref="Q40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04" s="2" t="str">
        <v>1BE66</v>
      </c>
      <c r="AB404" s="2">
        <f>SUMIF(PartList[ASSLY MARK],AA404,PartList[Avail. Qty])</f>
        <v>0</v>
      </c>
    </row>
    <row r="405" spans="1:28" x14ac:dyDescent="0.25">
      <c r="A405">
        <v>979</v>
      </c>
      <c r="B405" t="s">
        <v>427</v>
      </c>
      <c r="C405" t="s">
        <v>1048</v>
      </c>
      <c r="D405" t="s">
        <v>1090</v>
      </c>
      <c r="E405" t="s">
        <v>1086</v>
      </c>
      <c r="F405" t="str" cm="1">
        <f t="array" ref="F405">IF(SUM(IF(PartList[ASSLY MARK]=PartList[[#This Row],[ASSLY MARK]],1,0))&gt;1,"No","Yes")</f>
        <v>No</v>
      </c>
      <c r="G405" t="str" cm="1">
        <f t="array" ref="G405">_xlfn.TEXTJOIN("_",TRUE,TRIM(_xlfn.TEXTSPLIT(PartList[[#This Row],[GRID LOCATION]],{"PR01","/","-"})))</f>
        <v>11_A</v>
      </c>
      <c r="H405" t="str" cm="1">
        <f t="array" ref="H40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05" cm="1">
        <f t="array" ref="I40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05" t="str">
        <f>IF(IFERROR(SEARCH("&gt;",PartList[[#This Row],[ID]]),0),"O",IF(IFERROR(SEARCH("&lt;",PartList[[#This Row],[ID]]),0),"I",""))</f>
        <v/>
      </c>
      <c r="K405" t="str" cm="1">
        <f t="array" ref="K4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05" t="str" cm="1">
        <f t="array" ref="L4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05" t="str">
        <f>_xlfn.TEXTJOIN("#",TRUE,PartList[[#This Row],[ASSLY MARK]],PartList[[#This Row],[BOX NO]],PartList[[#This Row],[In/Out]],PartList[[#This Row],[O1-Grid]])</f>
        <v>SF02#Box1#11_B_A</v>
      </c>
      <c r="N405" t="str">
        <f>_xlfn.TEXTJOIN("#",TRUE,PartList[[#This Row],[ASSLY MARK]],PartList[[#This Row],[BOX NO]],PartList[[#This Row],[In/Out]],PartList[[#This Row],[O2-Grid]])</f>
        <v>SF02#Box1#10_11_A</v>
      </c>
      <c r="O405">
        <v>1</v>
      </c>
      <c r="P405">
        <f>_xlfn.XLOOKUP(PartList[[#This Row],[ASSLY MARK]],MasterPL[SplitMarkNo],MasterPL[BILL WT.(KG)],0,0)</f>
        <v>1440.79</v>
      </c>
      <c r="Q405" cm="1">
        <f t="array" ref="Q40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05" s="42" t="str">
        <v>1BE67</v>
      </c>
      <c r="AB405" s="42">
        <f>SUMIF(PartList[ASSLY MARK],AA405,PartList[Avail. Qty])</f>
        <v>0</v>
      </c>
    </row>
    <row r="406" spans="1:28" x14ac:dyDescent="0.25">
      <c r="A406">
        <v>982</v>
      </c>
      <c r="B406" t="s">
        <v>427</v>
      </c>
      <c r="C406" t="s">
        <v>1045</v>
      </c>
      <c r="D406" t="s">
        <v>1089</v>
      </c>
      <c r="E406" t="s">
        <v>1086</v>
      </c>
      <c r="F406" t="str" cm="1">
        <f t="array" ref="F406">IF(SUM(IF(PartList[ASSLY MARK]=PartList[[#This Row],[ASSLY MARK]],1,0))&gt;1,"No","Yes")</f>
        <v>No</v>
      </c>
      <c r="G406" t="str" cm="1">
        <f t="array" ref="G406">_xlfn.TEXTJOIN("_",TRUE,TRIM(_xlfn.TEXTSPLIT(PartList[[#This Row],[GRID LOCATION]],{"PR01","/","-"})))</f>
        <v>10_B</v>
      </c>
      <c r="H406" t="str" cm="1">
        <f t="array" ref="H40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06" cm="1">
        <f t="array" ref="I40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06" t="str">
        <f>IF(IFERROR(SEARCH("&gt;",PartList[[#This Row],[ID]]),0),"O",IF(IFERROR(SEARCH("&lt;",PartList[[#This Row],[ID]]),0),"I",""))</f>
        <v/>
      </c>
      <c r="K406" t="str" cm="1">
        <f t="array" ref="K4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06" t="str" cm="1">
        <f t="array" ref="L4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06" t="str">
        <f>_xlfn.TEXTJOIN("#",TRUE,PartList[[#This Row],[ASSLY MARK]],PartList[[#This Row],[BOX NO]],PartList[[#This Row],[In/Out]],PartList[[#This Row],[O1-Grid]])</f>
        <v>SF02#Box1#10_B_A</v>
      </c>
      <c r="N406" t="str">
        <f>_xlfn.TEXTJOIN("#",TRUE,PartList[[#This Row],[ASSLY MARK]],PartList[[#This Row],[BOX NO]],PartList[[#This Row],[In/Out]],PartList[[#This Row],[O2-Grid]])</f>
        <v>SF02#Box1#10_11_B</v>
      </c>
      <c r="O406">
        <v>1</v>
      </c>
      <c r="P406">
        <f>_xlfn.XLOOKUP(PartList[[#This Row],[ASSLY MARK]],MasterPL[SplitMarkNo],MasterPL[BILL WT.(KG)],0,0)</f>
        <v>1440.79</v>
      </c>
      <c r="Q406" cm="1">
        <f t="array" ref="Q40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06" t="str">
        <v>1BE68</v>
      </c>
      <c r="AB406" s="42">
        <f>SUMIF(PartList[ASSLY MARK],AA406,PartList[Avail. Qty])</f>
        <v>0</v>
      </c>
    </row>
    <row r="407" spans="1:28" x14ac:dyDescent="0.25">
      <c r="A407">
        <v>984</v>
      </c>
      <c r="B407" t="s">
        <v>427</v>
      </c>
      <c r="C407" t="s">
        <v>1046</v>
      </c>
      <c r="D407" t="s">
        <v>1093</v>
      </c>
      <c r="E407" t="s">
        <v>1086</v>
      </c>
      <c r="F407" t="str" cm="1">
        <f t="array" ref="F407">IF(SUM(IF(PartList[ASSLY MARK]=PartList[[#This Row],[ASSLY MARK]],1,0))&gt;1,"No","Yes")</f>
        <v>No</v>
      </c>
      <c r="G407" t="str" cm="1">
        <f t="array" ref="G407">_xlfn.TEXTJOIN("_",TRUE,TRIM(_xlfn.TEXTSPLIT(PartList[[#This Row],[GRID LOCATION]],{"PR01","/","-"})))</f>
        <v>14_A</v>
      </c>
      <c r="H407" t="str" cm="1">
        <f t="array" ref="H40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07" cm="1">
        <f t="array" ref="I40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07" t="str">
        <f>IF(IFERROR(SEARCH("&gt;",PartList[[#This Row],[ID]]),0),"O",IF(IFERROR(SEARCH("&lt;",PartList[[#This Row],[ID]]),0),"I",""))</f>
        <v/>
      </c>
      <c r="K407" t="str" cm="1">
        <f t="array" ref="K4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07" t="str" cm="1">
        <f t="array" ref="L4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07" t="str">
        <f>_xlfn.TEXTJOIN("#",TRUE,PartList[[#This Row],[ASSLY MARK]],PartList[[#This Row],[BOX NO]],PartList[[#This Row],[In/Out]],PartList[[#This Row],[O1-Grid]])</f>
        <v>SF02#Box1_Box2_Box3_Box6#InBB</v>
      </c>
      <c r="N407" t="str">
        <f>_xlfn.TEXTJOIN("#",TRUE,PartList[[#This Row],[ASSLY MARK]],PartList[[#This Row],[BOX NO]],PartList[[#This Row],[In/Out]],PartList[[#This Row],[O2-Grid]])</f>
        <v>SF02#Box1_Box2_Box3_Box6#InBB</v>
      </c>
      <c r="O407">
        <v>1</v>
      </c>
      <c r="P407">
        <f>_xlfn.XLOOKUP(PartList[[#This Row],[ASSLY MARK]],MasterPL[SplitMarkNo],MasterPL[BILL WT.(KG)],0,0)</f>
        <v>1440.79</v>
      </c>
      <c r="Q407" cm="1">
        <f t="array" ref="Q40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07" t="str">
        <v>1BE69</v>
      </c>
      <c r="AB407" s="42">
        <f>SUMIF(PartList[ASSLY MARK],AA407,PartList[Avail. Qty])</f>
        <v>0</v>
      </c>
    </row>
    <row r="408" spans="1:28" x14ac:dyDescent="0.25">
      <c r="A408">
        <v>985</v>
      </c>
      <c r="B408" t="s">
        <v>427</v>
      </c>
      <c r="C408" t="s">
        <v>1045</v>
      </c>
      <c r="D408" t="s">
        <v>1089</v>
      </c>
      <c r="E408" t="s">
        <v>1086</v>
      </c>
      <c r="F408" t="str" cm="1">
        <f t="array" ref="F408">IF(SUM(IF(PartList[ASSLY MARK]=PartList[[#This Row],[ASSLY MARK]],1,0))&gt;1,"No","Yes")</f>
        <v>No</v>
      </c>
      <c r="G408" t="str" cm="1">
        <f t="array" ref="G408">_xlfn.TEXTJOIN("_",TRUE,TRIM(_xlfn.TEXTSPLIT(PartList[[#This Row],[GRID LOCATION]],{"PR01","/","-"})))</f>
        <v>10_B</v>
      </c>
      <c r="H408" t="str" cm="1">
        <f t="array" ref="H40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08" cm="1">
        <f t="array" ref="I40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08" t="str">
        <f>IF(IFERROR(SEARCH("&gt;",PartList[[#This Row],[ID]]),0),"O",IF(IFERROR(SEARCH("&lt;",PartList[[#This Row],[ID]]),0),"I",""))</f>
        <v/>
      </c>
      <c r="K408" t="str" cm="1">
        <f t="array" ref="K4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08" t="str" cm="1">
        <f t="array" ref="L4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08" t="str">
        <f>_xlfn.TEXTJOIN("#",TRUE,PartList[[#This Row],[ASSLY MARK]],PartList[[#This Row],[BOX NO]],PartList[[#This Row],[In/Out]],PartList[[#This Row],[O1-Grid]])</f>
        <v>SF02#Box1#10_B_A</v>
      </c>
      <c r="N408" t="str">
        <f>_xlfn.TEXTJOIN("#",TRUE,PartList[[#This Row],[ASSLY MARK]],PartList[[#This Row],[BOX NO]],PartList[[#This Row],[In/Out]],PartList[[#This Row],[O2-Grid]])</f>
        <v>SF02#Box1#10_11_B</v>
      </c>
      <c r="O408">
        <v>1</v>
      </c>
      <c r="P408">
        <f>_xlfn.XLOOKUP(PartList[[#This Row],[ASSLY MARK]],MasterPL[SplitMarkNo],MasterPL[BILL WT.(KG)],0,0)</f>
        <v>1440.79</v>
      </c>
      <c r="Q408" cm="1">
        <f t="array" ref="Q40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08" t="str">
        <v>1BE70</v>
      </c>
      <c r="AB408" s="42">
        <f>SUMIF(PartList[ASSLY MARK],AA408,PartList[Avail. Qty])</f>
        <v>0</v>
      </c>
    </row>
    <row r="409" spans="1:28" x14ac:dyDescent="0.25">
      <c r="A409">
        <v>987</v>
      </c>
      <c r="B409" t="s">
        <v>427</v>
      </c>
      <c r="C409" t="s">
        <v>1046</v>
      </c>
      <c r="D409" t="s">
        <v>1093</v>
      </c>
      <c r="E409" t="s">
        <v>1086</v>
      </c>
      <c r="F409" t="str" cm="1">
        <f t="array" ref="F409">IF(SUM(IF(PartList[ASSLY MARK]=PartList[[#This Row],[ASSLY MARK]],1,0))&gt;1,"No","Yes")</f>
        <v>No</v>
      </c>
      <c r="G409" t="str" cm="1">
        <f t="array" ref="G409">_xlfn.TEXTJOIN("_",TRUE,TRIM(_xlfn.TEXTSPLIT(PartList[[#This Row],[GRID LOCATION]],{"PR01","/","-"})))</f>
        <v>14_A</v>
      </c>
      <c r="H409" t="str" cm="1">
        <f t="array" ref="H40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09" cm="1">
        <f t="array" ref="I40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09" t="str">
        <f>IF(IFERROR(SEARCH("&gt;",PartList[[#This Row],[ID]]),0),"O",IF(IFERROR(SEARCH("&lt;",PartList[[#This Row],[ID]]),0),"I",""))</f>
        <v/>
      </c>
      <c r="K409" t="str" cm="1">
        <f t="array" ref="K4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09" t="str" cm="1">
        <f t="array" ref="L4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09" t="str">
        <f>_xlfn.TEXTJOIN("#",TRUE,PartList[[#This Row],[ASSLY MARK]],PartList[[#This Row],[BOX NO]],PartList[[#This Row],[In/Out]],PartList[[#This Row],[O1-Grid]])</f>
        <v>SF02#Box1_Box2_Box3_Box6#InBB</v>
      </c>
      <c r="N409" t="str">
        <f>_xlfn.TEXTJOIN("#",TRUE,PartList[[#This Row],[ASSLY MARK]],PartList[[#This Row],[BOX NO]],PartList[[#This Row],[In/Out]],PartList[[#This Row],[O2-Grid]])</f>
        <v>SF02#Box1_Box2_Box3_Box6#InBB</v>
      </c>
      <c r="O409">
        <v>1</v>
      </c>
      <c r="P409">
        <f>_xlfn.XLOOKUP(PartList[[#This Row],[ASSLY MARK]],MasterPL[SplitMarkNo],MasterPL[BILL WT.(KG)],0,0)</f>
        <v>1440.79</v>
      </c>
      <c r="Q409" cm="1">
        <f t="array" ref="Q40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09" t="str">
        <v>1BE71</v>
      </c>
      <c r="AB409" s="42">
        <f>SUMIF(PartList[ASSLY MARK],AA409,PartList[Avail. Qty])</f>
        <v>0</v>
      </c>
    </row>
    <row r="410" spans="1:28" x14ac:dyDescent="0.25">
      <c r="A410">
        <v>988</v>
      </c>
      <c r="B410" t="s">
        <v>427</v>
      </c>
      <c r="C410" t="s">
        <v>1045</v>
      </c>
      <c r="D410" t="s">
        <v>1089</v>
      </c>
      <c r="E410" t="s">
        <v>1086</v>
      </c>
      <c r="F410" t="str" cm="1">
        <f t="array" ref="F410">IF(SUM(IF(PartList[ASSLY MARK]=PartList[[#This Row],[ASSLY MARK]],1,0))&gt;1,"No","Yes")</f>
        <v>No</v>
      </c>
      <c r="G410" t="str" cm="1">
        <f t="array" ref="G410">_xlfn.TEXTJOIN("_",TRUE,TRIM(_xlfn.TEXTSPLIT(PartList[[#This Row],[GRID LOCATION]],{"PR01","/","-"})))</f>
        <v>10_B</v>
      </c>
      <c r="H410" t="str" cm="1">
        <f t="array" ref="H41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10" cm="1">
        <f t="array" ref="I41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10" t="str">
        <f>IF(IFERROR(SEARCH("&gt;",PartList[[#This Row],[ID]]),0),"O",IF(IFERROR(SEARCH("&lt;",PartList[[#This Row],[ID]]),0),"I",""))</f>
        <v/>
      </c>
      <c r="K410" t="str" cm="1">
        <f t="array" ref="K4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10" t="str" cm="1">
        <f t="array" ref="L4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10" t="str">
        <f>_xlfn.TEXTJOIN("#",TRUE,PartList[[#This Row],[ASSLY MARK]],PartList[[#This Row],[BOX NO]],PartList[[#This Row],[In/Out]],PartList[[#This Row],[O1-Grid]])</f>
        <v>SF02#Box1#10_B_A</v>
      </c>
      <c r="N410" t="str">
        <f>_xlfn.TEXTJOIN("#",TRUE,PartList[[#This Row],[ASSLY MARK]],PartList[[#This Row],[BOX NO]],PartList[[#This Row],[In/Out]],PartList[[#This Row],[O2-Grid]])</f>
        <v>SF02#Box1#10_11_B</v>
      </c>
      <c r="O410">
        <v>1</v>
      </c>
      <c r="P410">
        <f>_xlfn.XLOOKUP(PartList[[#This Row],[ASSLY MARK]],MasterPL[SplitMarkNo],MasterPL[BILL WT.(KG)],0,0)</f>
        <v>1440.79</v>
      </c>
      <c r="Q410" cm="1">
        <f t="array" ref="Q41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10" t="str">
        <v>1BE72</v>
      </c>
      <c r="AB410" s="42">
        <f>SUMIF(PartList[ASSLY MARK],AA410,PartList[Avail. Qty])</f>
        <v>0</v>
      </c>
    </row>
    <row r="411" spans="1:28" x14ac:dyDescent="0.25">
      <c r="A411">
        <v>989</v>
      </c>
      <c r="B411" t="s">
        <v>427</v>
      </c>
      <c r="C411" t="s">
        <v>1046</v>
      </c>
      <c r="D411" t="s">
        <v>1093</v>
      </c>
      <c r="E411" t="s">
        <v>1086</v>
      </c>
      <c r="F411" t="str" cm="1">
        <f t="array" ref="F411">IF(SUM(IF(PartList[ASSLY MARK]=PartList[[#This Row],[ASSLY MARK]],1,0))&gt;1,"No","Yes")</f>
        <v>No</v>
      </c>
      <c r="G411" t="str" cm="1">
        <f t="array" ref="G411">_xlfn.TEXTJOIN("_",TRUE,TRIM(_xlfn.TEXTSPLIT(PartList[[#This Row],[GRID LOCATION]],{"PR01","/","-"})))</f>
        <v>14_A</v>
      </c>
      <c r="H411" t="str" cm="1">
        <f t="array" ref="H41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11" cm="1">
        <f t="array" ref="I41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11" t="str">
        <f>IF(IFERROR(SEARCH("&gt;",PartList[[#This Row],[ID]]),0),"O",IF(IFERROR(SEARCH("&lt;",PartList[[#This Row],[ID]]),0),"I",""))</f>
        <v/>
      </c>
      <c r="K411" t="str" cm="1">
        <f t="array" ref="K4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11" t="str" cm="1">
        <f t="array" ref="L4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11" t="str">
        <f>_xlfn.TEXTJOIN("#",TRUE,PartList[[#This Row],[ASSLY MARK]],PartList[[#This Row],[BOX NO]],PartList[[#This Row],[In/Out]],PartList[[#This Row],[O1-Grid]])</f>
        <v>SF02#Box1_Box2_Box3_Box6#InBB</v>
      </c>
      <c r="N411" t="str">
        <f>_xlfn.TEXTJOIN("#",TRUE,PartList[[#This Row],[ASSLY MARK]],PartList[[#This Row],[BOX NO]],PartList[[#This Row],[In/Out]],PartList[[#This Row],[O2-Grid]])</f>
        <v>SF02#Box1_Box2_Box3_Box6#InBB</v>
      </c>
      <c r="O411">
        <v>1</v>
      </c>
      <c r="P411">
        <f>_xlfn.XLOOKUP(PartList[[#This Row],[ASSLY MARK]],MasterPL[SplitMarkNo],MasterPL[BILL WT.(KG)],0,0)</f>
        <v>1440.79</v>
      </c>
      <c r="Q411" cm="1">
        <f t="array" ref="Q41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11" t="str">
        <v>1BE73</v>
      </c>
      <c r="AB411" s="42">
        <f>SUMIF(PartList[ASSLY MARK],AA411,PartList[Avail. Qty])</f>
        <v>0</v>
      </c>
    </row>
    <row r="412" spans="1:28" x14ac:dyDescent="0.25">
      <c r="A412">
        <v>990</v>
      </c>
      <c r="B412" t="s">
        <v>427</v>
      </c>
      <c r="C412" t="s">
        <v>1050</v>
      </c>
      <c r="D412" t="s">
        <v>1094</v>
      </c>
      <c r="E412" t="s">
        <v>1086</v>
      </c>
      <c r="F412" t="str" cm="1">
        <f t="array" ref="F412">IF(SUM(IF(PartList[ASSLY MARK]=PartList[[#This Row],[ASSLY MARK]],1,0))&gt;1,"No","Yes")</f>
        <v>No</v>
      </c>
      <c r="G412" t="str" cm="1">
        <f t="array" ref="G412">_xlfn.TEXTJOIN("_",TRUE,TRIM(_xlfn.TEXTSPLIT(PartList[[#This Row],[GRID LOCATION]],{"PR01","/","-"})))</f>
        <v>11_B</v>
      </c>
      <c r="H412" t="str" cm="1">
        <f t="array" ref="H41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12" cm="1">
        <f t="array" ref="I41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12" t="str">
        <f>IF(IFERROR(SEARCH("&gt;",PartList[[#This Row],[ID]]),0),"O",IF(IFERROR(SEARCH("&lt;",PartList[[#This Row],[ID]]),0),"I",""))</f>
        <v/>
      </c>
      <c r="K412" t="str" cm="1">
        <f t="array" ref="K4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12" t="str" cm="1">
        <f t="array" ref="L4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12" t="str">
        <f>_xlfn.TEXTJOIN("#",TRUE,PartList[[#This Row],[ASSLY MARK]],PartList[[#This Row],[BOX NO]],PartList[[#This Row],[In/Out]],PartList[[#This Row],[O1-Grid]])</f>
        <v>SF02#Box1#11_B_A</v>
      </c>
      <c r="N412" t="str">
        <f>_xlfn.TEXTJOIN("#",TRUE,PartList[[#This Row],[ASSLY MARK]],PartList[[#This Row],[BOX NO]],PartList[[#This Row],[In/Out]],PartList[[#This Row],[O2-Grid]])</f>
        <v>SF02#Box1#10_11_B</v>
      </c>
      <c r="O412">
        <v>1</v>
      </c>
      <c r="P412">
        <f>_xlfn.XLOOKUP(PartList[[#This Row],[ASSLY MARK]],MasterPL[SplitMarkNo],MasterPL[BILL WT.(KG)],0,0)</f>
        <v>1440.79</v>
      </c>
      <c r="Q412" cm="1">
        <f t="array" ref="Q41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12" t="str">
        <v>1BE74</v>
      </c>
      <c r="AB412" s="42">
        <f>SUMIF(PartList[ASSLY MARK],AA412,PartList[Avail. Qty])</f>
        <v>0</v>
      </c>
    </row>
    <row r="413" spans="1:28" x14ac:dyDescent="0.25">
      <c r="A413">
        <v>991</v>
      </c>
      <c r="B413" t="s">
        <v>427</v>
      </c>
      <c r="C413" t="s">
        <v>1045</v>
      </c>
      <c r="D413" t="s">
        <v>1089</v>
      </c>
      <c r="E413" t="s">
        <v>1086</v>
      </c>
      <c r="F413" t="str" cm="1">
        <f t="array" ref="F413">IF(SUM(IF(PartList[ASSLY MARK]=PartList[[#This Row],[ASSLY MARK]],1,0))&gt;1,"No","Yes")</f>
        <v>No</v>
      </c>
      <c r="G413" t="str" cm="1">
        <f t="array" ref="G413">_xlfn.TEXTJOIN("_",TRUE,TRIM(_xlfn.TEXTSPLIT(PartList[[#This Row],[GRID LOCATION]],{"PR01","/","-"})))</f>
        <v>10_B</v>
      </c>
      <c r="H413" t="str" cm="1">
        <f t="array" ref="H41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13" cm="1">
        <f t="array" ref="I41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13" t="str">
        <f>IF(IFERROR(SEARCH("&gt;",PartList[[#This Row],[ID]]),0),"O",IF(IFERROR(SEARCH("&lt;",PartList[[#This Row],[ID]]),0),"I",""))</f>
        <v/>
      </c>
      <c r="K413" t="str" cm="1">
        <f t="array" ref="K4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13" t="str" cm="1">
        <f t="array" ref="L4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13" t="str">
        <f>_xlfn.TEXTJOIN("#",TRUE,PartList[[#This Row],[ASSLY MARK]],PartList[[#This Row],[BOX NO]],PartList[[#This Row],[In/Out]],PartList[[#This Row],[O1-Grid]])</f>
        <v>SF02#Box1#10_B_A</v>
      </c>
      <c r="N413" t="str">
        <f>_xlfn.TEXTJOIN("#",TRUE,PartList[[#This Row],[ASSLY MARK]],PartList[[#This Row],[BOX NO]],PartList[[#This Row],[In/Out]],PartList[[#This Row],[O2-Grid]])</f>
        <v>SF02#Box1#10_11_B</v>
      </c>
      <c r="O413">
        <v>1</v>
      </c>
      <c r="P413">
        <f>_xlfn.XLOOKUP(PartList[[#This Row],[ASSLY MARK]],MasterPL[SplitMarkNo],MasterPL[BILL WT.(KG)],0,0)</f>
        <v>1440.79</v>
      </c>
      <c r="Q413" cm="1">
        <f t="array" ref="Q41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13" t="str">
        <v>1BE75</v>
      </c>
      <c r="AB413" s="42">
        <f>SUMIF(PartList[ASSLY MARK],AA413,PartList[Avail. Qty])</f>
        <v>0</v>
      </c>
    </row>
    <row r="414" spans="1:28" x14ac:dyDescent="0.25">
      <c r="A414">
        <v>992</v>
      </c>
      <c r="B414" t="s">
        <v>427</v>
      </c>
      <c r="C414" t="s">
        <v>1046</v>
      </c>
      <c r="D414" t="s">
        <v>1093</v>
      </c>
      <c r="E414" t="s">
        <v>1086</v>
      </c>
      <c r="F414" t="str" cm="1">
        <f t="array" ref="F414">IF(SUM(IF(PartList[ASSLY MARK]=PartList[[#This Row],[ASSLY MARK]],1,0))&gt;1,"No","Yes")</f>
        <v>No</v>
      </c>
      <c r="G414" t="str" cm="1">
        <f t="array" ref="G414">_xlfn.TEXTJOIN("_",TRUE,TRIM(_xlfn.TEXTSPLIT(PartList[[#This Row],[GRID LOCATION]],{"PR01","/","-"})))</f>
        <v>14_A</v>
      </c>
      <c r="H414" t="str" cm="1">
        <f t="array" ref="H41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14" cm="1">
        <f t="array" ref="I41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14" t="str">
        <f>IF(IFERROR(SEARCH("&gt;",PartList[[#This Row],[ID]]),0),"O",IF(IFERROR(SEARCH("&lt;",PartList[[#This Row],[ID]]),0),"I",""))</f>
        <v/>
      </c>
      <c r="K414" t="str" cm="1">
        <f t="array" ref="K4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14" t="str" cm="1">
        <f t="array" ref="L4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14" t="str">
        <f>_xlfn.TEXTJOIN("#",TRUE,PartList[[#This Row],[ASSLY MARK]],PartList[[#This Row],[BOX NO]],PartList[[#This Row],[In/Out]],PartList[[#This Row],[O1-Grid]])</f>
        <v>SF02#Box1_Box2_Box3_Box6#InBB</v>
      </c>
      <c r="N414" t="str">
        <f>_xlfn.TEXTJOIN("#",TRUE,PartList[[#This Row],[ASSLY MARK]],PartList[[#This Row],[BOX NO]],PartList[[#This Row],[In/Out]],PartList[[#This Row],[O2-Grid]])</f>
        <v>SF02#Box1_Box2_Box3_Box6#InBB</v>
      </c>
      <c r="O414">
        <v>1</v>
      </c>
      <c r="P414">
        <f>_xlfn.XLOOKUP(PartList[[#This Row],[ASSLY MARK]],MasterPL[SplitMarkNo],MasterPL[BILL WT.(KG)],0,0)</f>
        <v>1440.79</v>
      </c>
      <c r="Q414" cm="1">
        <f t="array" ref="Q41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14" t="str">
        <v>1BE76</v>
      </c>
      <c r="AB414" s="42">
        <f>SUMIF(PartList[ASSLY MARK],AA414,PartList[Avail. Qty])</f>
        <v>0</v>
      </c>
    </row>
    <row r="415" spans="1:28" x14ac:dyDescent="0.25">
      <c r="A415">
        <v>993</v>
      </c>
      <c r="B415" t="s">
        <v>427</v>
      </c>
      <c r="C415" t="s">
        <v>1052</v>
      </c>
      <c r="D415" t="s">
        <v>1093</v>
      </c>
      <c r="E415" t="s">
        <v>1086</v>
      </c>
      <c r="F415" t="str" cm="1">
        <f t="array" ref="F415">IF(SUM(IF(PartList[ASSLY MARK]=PartList[[#This Row],[ASSLY MARK]],1,0))&gt;1,"No","Yes")</f>
        <v>No</v>
      </c>
      <c r="G415" t="str" cm="1">
        <f t="array" ref="G415">_xlfn.TEXTJOIN("_",TRUE,TRIM(_xlfn.TEXTSPLIT(PartList[[#This Row],[GRID LOCATION]],{"PR01","/","-"})))</f>
        <v>14_B</v>
      </c>
      <c r="H415" t="str" cm="1">
        <f t="array" ref="H41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15" cm="1">
        <f t="array" ref="I41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15" t="str">
        <f>IF(IFERROR(SEARCH("&gt;",PartList[[#This Row],[ID]]),0),"O",IF(IFERROR(SEARCH("&lt;",PartList[[#This Row],[ID]]),0),"I",""))</f>
        <v/>
      </c>
      <c r="K415" t="str" cm="1">
        <f t="array" ref="K4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15" t="str" cm="1">
        <f t="array" ref="L4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15" t="str">
        <f>_xlfn.TEXTJOIN("#",TRUE,PartList[[#This Row],[ASSLY MARK]],PartList[[#This Row],[BOX NO]],PartList[[#This Row],[In/Out]],PartList[[#This Row],[O1-Grid]])</f>
        <v>SF02#Box1_Box2_Box3_Box6#InBB</v>
      </c>
      <c r="N415" t="str">
        <f>_xlfn.TEXTJOIN("#",TRUE,PartList[[#This Row],[ASSLY MARK]],PartList[[#This Row],[BOX NO]],PartList[[#This Row],[In/Out]],PartList[[#This Row],[O2-Grid]])</f>
        <v>SF02#Box1_Box2_Box3_Box6#InBB</v>
      </c>
      <c r="O415">
        <v>1</v>
      </c>
      <c r="P415">
        <f>_xlfn.XLOOKUP(PartList[[#This Row],[ASSLY MARK]],MasterPL[SplitMarkNo],MasterPL[BILL WT.(KG)],0,0)</f>
        <v>1440.79</v>
      </c>
      <c r="Q415" cm="1">
        <f t="array" ref="Q41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15" t="str">
        <v>1BE77</v>
      </c>
      <c r="AB415" s="42">
        <f>SUMIF(PartList[ASSLY MARK],AA415,PartList[Avail. Qty])</f>
        <v>0</v>
      </c>
    </row>
    <row r="416" spans="1:28" x14ac:dyDescent="0.25">
      <c r="A416">
        <v>994</v>
      </c>
      <c r="B416" t="s">
        <v>427</v>
      </c>
      <c r="C416" t="s">
        <v>1038</v>
      </c>
      <c r="D416" t="s">
        <v>1089</v>
      </c>
      <c r="E416" t="s">
        <v>1086</v>
      </c>
      <c r="F416" t="str" cm="1">
        <f t="array" ref="F416">IF(SUM(IF(PartList[ASSLY MARK]=PartList[[#This Row],[ASSLY MARK]],1,0))&gt;1,"No","Yes")</f>
        <v>No</v>
      </c>
      <c r="G416" t="str" cm="1">
        <f t="array" ref="G416">_xlfn.TEXTJOIN("_",TRUE,TRIM(_xlfn.TEXTSPLIT(PartList[[#This Row],[GRID LOCATION]],{"PR01","/","-"})))</f>
        <v>10_A</v>
      </c>
      <c r="H416" t="str" cm="1">
        <f t="array" ref="H41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16" cm="1">
        <f t="array" ref="I41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16" t="str">
        <f>IF(IFERROR(SEARCH("&gt;",PartList[[#This Row],[ID]]),0),"O",IF(IFERROR(SEARCH("&lt;",PartList[[#This Row],[ID]]),0),"I",""))</f>
        <v/>
      </c>
      <c r="K416" t="str" cm="1">
        <f t="array" ref="K4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16" t="str" cm="1">
        <f t="array" ref="L4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16" t="str">
        <f>_xlfn.TEXTJOIN("#",TRUE,PartList[[#This Row],[ASSLY MARK]],PartList[[#This Row],[BOX NO]],PartList[[#This Row],[In/Out]],PartList[[#This Row],[O1-Grid]])</f>
        <v>SF02#Box1#10_B_A</v>
      </c>
      <c r="N416" t="str">
        <f>_xlfn.TEXTJOIN("#",TRUE,PartList[[#This Row],[ASSLY MARK]],PartList[[#This Row],[BOX NO]],PartList[[#This Row],[In/Out]],PartList[[#This Row],[O2-Grid]])</f>
        <v>SF02#Box1#10_11_A</v>
      </c>
      <c r="O416">
        <v>1</v>
      </c>
      <c r="P416">
        <f>_xlfn.XLOOKUP(PartList[[#This Row],[ASSLY MARK]],MasterPL[SplitMarkNo],MasterPL[BILL WT.(KG)],0,0)</f>
        <v>1440.79</v>
      </c>
      <c r="Q416" cm="1">
        <f t="array" ref="Q41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16" t="str">
        <v>1BE78</v>
      </c>
      <c r="AB416" s="42">
        <f>SUMIF(PartList[ASSLY MARK],AA416,PartList[Avail. Qty])</f>
        <v>0</v>
      </c>
    </row>
    <row r="417" spans="1:28" x14ac:dyDescent="0.25">
      <c r="A417">
        <v>995</v>
      </c>
      <c r="B417" t="s">
        <v>427</v>
      </c>
      <c r="C417" t="s">
        <v>1050</v>
      </c>
      <c r="D417" t="s">
        <v>1094</v>
      </c>
      <c r="E417" t="s">
        <v>1086</v>
      </c>
      <c r="F417" t="str" cm="1">
        <f t="array" ref="F417">IF(SUM(IF(PartList[ASSLY MARK]=PartList[[#This Row],[ASSLY MARK]],1,0))&gt;1,"No","Yes")</f>
        <v>No</v>
      </c>
      <c r="G417" t="str" cm="1">
        <f t="array" ref="G417">_xlfn.TEXTJOIN("_",TRUE,TRIM(_xlfn.TEXTSPLIT(PartList[[#This Row],[GRID LOCATION]],{"PR01","/","-"})))</f>
        <v>11_B</v>
      </c>
      <c r="H417" t="str" cm="1">
        <f t="array" ref="H41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17" cm="1">
        <f t="array" ref="I41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17" t="str">
        <f>IF(IFERROR(SEARCH("&gt;",PartList[[#This Row],[ID]]),0),"O",IF(IFERROR(SEARCH("&lt;",PartList[[#This Row],[ID]]),0),"I",""))</f>
        <v/>
      </c>
      <c r="K417" t="str" cm="1">
        <f t="array" ref="K4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17" t="str" cm="1">
        <f t="array" ref="L4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17" t="str">
        <f>_xlfn.TEXTJOIN("#",TRUE,PartList[[#This Row],[ASSLY MARK]],PartList[[#This Row],[BOX NO]],PartList[[#This Row],[In/Out]],PartList[[#This Row],[O1-Grid]])</f>
        <v>SF02#Box1#11_B_A</v>
      </c>
      <c r="N417" t="str">
        <f>_xlfn.TEXTJOIN("#",TRUE,PartList[[#This Row],[ASSLY MARK]],PartList[[#This Row],[BOX NO]],PartList[[#This Row],[In/Out]],PartList[[#This Row],[O2-Grid]])</f>
        <v>SF02#Box1#10_11_B</v>
      </c>
      <c r="O417">
        <v>1</v>
      </c>
      <c r="P417">
        <f>_xlfn.XLOOKUP(PartList[[#This Row],[ASSLY MARK]],MasterPL[SplitMarkNo],MasterPL[BILL WT.(KG)],0,0)</f>
        <v>1440.79</v>
      </c>
      <c r="Q417" cm="1">
        <f t="array" ref="Q41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17" t="str">
        <v>1BE79</v>
      </c>
      <c r="AB417" s="42">
        <f>SUMIF(PartList[ASSLY MARK],AA417,PartList[Avail. Qty])</f>
        <v>0</v>
      </c>
    </row>
    <row r="418" spans="1:28" x14ac:dyDescent="0.25">
      <c r="A418">
        <v>996</v>
      </c>
      <c r="B418" t="s">
        <v>427</v>
      </c>
      <c r="C418" t="s">
        <v>1052</v>
      </c>
      <c r="D418" t="s">
        <v>1093</v>
      </c>
      <c r="E418" t="s">
        <v>1086</v>
      </c>
      <c r="F418" t="str" cm="1">
        <f t="array" ref="F418">IF(SUM(IF(PartList[ASSLY MARK]=PartList[[#This Row],[ASSLY MARK]],1,0))&gt;1,"No","Yes")</f>
        <v>No</v>
      </c>
      <c r="G418" t="str" cm="1">
        <f t="array" ref="G418">_xlfn.TEXTJOIN("_",TRUE,TRIM(_xlfn.TEXTSPLIT(PartList[[#This Row],[GRID LOCATION]],{"PR01","/","-"})))</f>
        <v>14_B</v>
      </c>
      <c r="H418" t="str" cm="1">
        <f t="array" ref="H41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18" cm="1">
        <f t="array" ref="I41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18" t="str">
        <f>IF(IFERROR(SEARCH("&gt;",PartList[[#This Row],[ID]]),0),"O",IF(IFERROR(SEARCH("&lt;",PartList[[#This Row],[ID]]),0),"I",""))</f>
        <v/>
      </c>
      <c r="K418" t="str" cm="1">
        <f t="array" ref="K4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18" t="str" cm="1">
        <f t="array" ref="L4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18" t="str">
        <f>_xlfn.TEXTJOIN("#",TRUE,PartList[[#This Row],[ASSLY MARK]],PartList[[#This Row],[BOX NO]],PartList[[#This Row],[In/Out]],PartList[[#This Row],[O1-Grid]])</f>
        <v>SF02#Box1_Box2_Box3_Box6#InBB</v>
      </c>
      <c r="N418" t="str">
        <f>_xlfn.TEXTJOIN("#",TRUE,PartList[[#This Row],[ASSLY MARK]],PartList[[#This Row],[BOX NO]],PartList[[#This Row],[In/Out]],PartList[[#This Row],[O2-Grid]])</f>
        <v>SF02#Box1_Box2_Box3_Box6#InBB</v>
      </c>
      <c r="O418">
        <v>1</v>
      </c>
      <c r="P418">
        <f>_xlfn.XLOOKUP(PartList[[#This Row],[ASSLY MARK]],MasterPL[SplitMarkNo],MasterPL[BILL WT.(KG)],0,0)</f>
        <v>1440.79</v>
      </c>
      <c r="Q418" cm="1">
        <f t="array" ref="Q41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18" t="str">
        <v>1BE80</v>
      </c>
      <c r="AB418" s="42">
        <f>SUMIF(PartList[ASSLY MARK],AA418,PartList[Avail. Qty])</f>
        <v>0</v>
      </c>
    </row>
    <row r="419" spans="1:28" x14ac:dyDescent="0.25">
      <c r="A419">
        <v>997</v>
      </c>
      <c r="B419" t="s">
        <v>427</v>
      </c>
      <c r="C419" t="s">
        <v>1038</v>
      </c>
      <c r="D419" t="s">
        <v>1089</v>
      </c>
      <c r="E419" t="s">
        <v>1086</v>
      </c>
      <c r="F419" t="str" cm="1">
        <f t="array" ref="F419">IF(SUM(IF(PartList[ASSLY MARK]=PartList[[#This Row],[ASSLY MARK]],1,0))&gt;1,"No","Yes")</f>
        <v>No</v>
      </c>
      <c r="G419" t="str" cm="1">
        <f t="array" ref="G419">_xlfn.TEXTJOIN("_",TRUE,TRIM(_xlfn.TEXTSPLIT(PartList[[#This Row],[GRID LOCATION]],{"PR01","/","-"})))</f>
        <v>10_A</v>
      </c>
      <c r="H419" t="str" cm="1">
        <f t="array" ref="H41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19" cm="1">
        <f t="array" ref="I41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19" t="str">
        <f>IF(IFERROR(SEARCH("&gt;",PartList[[#This Row],[ID]]),0),"O",IF(IFERROR(SEARCH("&lt;",PartList[[#This Row],[ID]]),0),"I",""))</f>
        <v/>
      </c>
      <c r="K419" t="str" cm="1">
        <f t="array" ref="K4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19" t="str" cm="1">
        <f t="array" ref="L4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19" t="str">
        <f>_xlfn.TEXTJOIN("#",TRUE,PartList[[#This Row],[ASSLY MARK]],PartList[[#This Row],[BOX NO]],PartList[[#This Row],[In/Out]],PartList[[#This Row],[O1-Grid]])</f>
        <v>SF02#Box1#10_B_A</v>
      </c>
      <c r="N419" t="str">
        <f>_xlfn.TEXTJOIN("#",TRUE,PartList[[#This Row],[ASSLY MARK]],PartList[[#This Row],[BOX NO]],PartList[[#This Row],[In/Out]],PartList[[#This Row],[O2-Grid]])</f>
        <v>SF02#Box1#10_11_A</v>
      </c>
      <c r="O419">
        <v>1</v>
      </c>
      <c r="P419">
        <f>_xlfn.XLOOKUP(PartList[[#This Row],[ASSLY MARK]],MasterPL[SplitMarkNo],MasterPL[BILL WT.(KG)],0,0)</f>
        <v>1440.79</v>
      </c>
      <c r="Q419" cm="1">
        <f t="array" ref="Q41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19" t="str">
        <v>1BE81</v>
      </c>
      <c r="AB419" s="42">
        <f>SUMIF(PartList[ASSLY MARK],AA419,PartList[Avail. Qty])</f>
        <v>0</v>
      </c>
    </row>
    <row r="420" spans="1:28" x14ac:dyDescent="0.25">
      <c r="A420">
        <v>998</v>
      </c>
      <c r="B420" t="s">
        <v>427</v>
      </c>
      <c r="C420" t="s">
        <v>1052</v>
      </c>
      <c r="D420" t="s">
        <v>1093</v>
      </c>
      <c r="E420" t="s">
        <v>1086</v>
      </c>
      <c r="F420" t="str" cm="1">
        <f t="array" ref="F420">IF(SUM(IF(PartList[ASSLY MARK]=PartList[[#This Row],[ASSLY MARK]],1,0))&gt;1,"No","Yes")</f>
        <v>No</v>
      </c>
      <c r="G420" t="str" cm="1">
        <f t="array" ref="G420">_xlfn.TEXTJOIN("_",TRUE,TRIM(_xlfn.TEXTSPLIT(PartList[[#This Row],[GRID LOCATION]],{"PR01","/","-"})))</f>
        <v>14_B</v>
      </c>
      <c r="H420" t="str" cm="1">
        <f t="array" ref="H42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20" cm="1">
        <f t="array" ref="I42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20" t="str">
        <f>IF(IFERROR(SEARCH("&gt;",PartList[[#This Row],[ID]]),0),"O",IF(IFERROR(SEARCH("&lt;",PartList[[#This Row],[ID]]),0),"I",""))</f>
        <v/>
      </c>
      <c r="K420" t="str" cm="1">
        <f t="array" ref="K4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20" t="str" cm="1">
        <f t="array" ref="L4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20" t="str">
        <f>_xlfn.TEXTJOIN("#",TRUE,PartList[[#This Row],[ASSLY MARK]],PartList[[#This Row],[BOX NO]],PartList[[#This Row],[In/Out]],PartList[[#This Row],[O1-Grid]])</f>
        <v>SF02#Box1_Box2_Box3_Box6#InBB</v>
      </c>
      <c r="N420" t="str">
        <f>_xlfn.TEXTJOIN("#",TRUE,PartList[[#This Row],[ASSLY MARK]],PartList[[#This Row],[BOX NO]],PartList[[#This Row],[In/Out]],PartList[[#This Row],[O2-Grid]])</f>
        <v>SF02#Box1_Box2_Box3_Box6#InBB</v>
      </c>
      <c r="O420">
        <v>1</v>
      </c>
      <c r="P420">
        <f>_xlfn.XLOOKUP(PartList[[#This Row],[ASSLY MARK]],MasterPL[SplitMarkNo],MasterPL[BILL WT.(KG)],0,0)</f>
        <v>1440.79</v>
      </c>
      <c r="Q420" cm="1">
        <f t="array" ref="Q42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20" t="str">
        <v>1BE82</v>
      </c>
      <c r="AB420" s="42">
        <f>SUMIF(PartList[ASSLY MARK],AA420,PartList[Avail. Qty])</f>
        <v>0</v>
      </c>
    </row>
    <row r="421" spans="1:28" x14ac:dyDescent="0.25">
      <c r="A421">
        <v>999</v>
      </c>
      <c r="B421" t="s">
        <v>427</v>
      </c>
      <c r="C421" t="s">
        <v>1050</v>
      </c>
      <c r="D421" t="s">
        <v>1094</v>
      </c>
      <c r="E421" t="s">
        <v>1086</v>
      </c>
      <c r="F421" t="str" cm="1">
        <f t="array" ref="F421">IF(SUM(IF(PartList[ASSLY MARK]=PartList[[#This Row],[ASSLY MARK]],1,0))&gt;1,"No","Yes")</f>
        <v>No</v>
      </c>
      <c r="G421" t="str" cm="1">
        <f t="array" ref="G421">_xlfn.TEXTJOIN("_",TRUE,TRIM(_xlfn.TEXTSPLIT(PartList[[#This Row],[GRID LOCATION]],{"PR01","/","-"})))</f>
        <v>11_B</v>
      </c>
      <c r="H421" t="str" cm="1">
        <f t="array" ref="H42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21" cm="1">
        <f t="array" ref="I42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21" t="str">
        <f>IF(IFERROR(SEARCH("&gt;",PartList[[#This Row],[ID]]),0),"O",IF(IFERROR(SEARCH("&lt;",PartList[[#This Row],[ID]]),0),"I",""))</f>
        <v/>
      </c>
      <c r="K421" t="str" cm="1">
        <f t="array" ref="K4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21" t="str" cm="1">
        <f t="array" ref="L4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21" t="str">
        <f>_xlfn.TEXTJOIN("#",TRUE,PartList[[#This Row],[ASSLY MARK]],PartList[[#This Row],[BOX NO]],PartList[[#This Row],[In/Out]],PartList[[#This Row],[O1-Grid]])</f>
        <v>SF02#Box1#11_B_A</v>
      </c>
      <c r="N421" t="str">
        <f>_xlfn.TEXTJOIN("#",TRUE,PartList[[#This Row],[ASSLY MARK]],PartList[[#This Row],[BOX NO]],PartList[[#This Row],[In/Out]],PartList[[#This Row],[O2-Grid]])</f>
        <v>SF02#Box1#10_11_B</v>
      </c>
      <c r="O421">
        <v>1</v>
      </c>
      <c r="P421">
        <f>_xlfn.XLOOKUP(PartList[[#This Row],[ASSLY MARK]],MasterPL[SplitMarkNo],MasterPL[BILL WT.(KG)],0,0)</f>
        <v>1440.79</v>
      </c>
      <c r="Q421" cm="1">
        <f t="array" ref="Q42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21" t="str">
        <v>1BE83</v>
      </c>
      <c r="AB421" s="42">
        <f>SUMIF(PartList[ASSLY MARK],AA421,PartList[Avail. Qty])</f>
        <v>0</v>
      </c>
    </row>
    <row r="422" spans="1:28" x14ac:dyDescent="0.25">
      <c r="A422">
        <v>1000</v>
      </c>
      <c r="B422" t="s">
        <v>427</v>
      </c>
      <c r="C422" t="s">
        <v>1038</v>
      </c>
      <c r="D422" t="s">
        <v>1089</v>
      </c>
      <c r="E422" t="s">
        <v>1086</v>
      </c>
      <c r="F422" t="str" cm="1">
        <f t="array" ref="F422">IF(SUM(IF(PartList[ASSLY MARK]=PartList[[#This Row],[ASSLY MARK]],1,0))&gt;1,"No","Yes")</f>
        <v>No</v>
      </c>
      <c r="G422" t="str" cm="1">
        <f t="array" ref="G422">_xlfn.TEXTJOIN("_",TRUE,TRIM(_xlfn.TEXTSPLIT(PartList[[#This Row],[GRID LOCATION]],{"PR01","/","-"})))</f>
        <v>10_A</v>
      </c>
      <c r="H422" t="str" cm="1">
        <f t="array" ref="H42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22" cm="1">
        <f t="array" ref="I42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22" t="str">
        <f>IF(IFERROR(SEARCH("&gt;",PartList[[#This Row],[ID]]),0),"O",IF(IFERROR(SEARCH("&lt;",PartList[[#This Row],[ID]]),0),"I",""))</f>
        <v/>
      </c>
      <c r="K422" t="str" cm="1">
        <f t="array" ref="K4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22" t="str" cm="1">
        <f t="array" ref="L4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22" t="str">
        <f>_xlfn.TEXTJOIN("#",TRUE,PartList[[#This Row],[ASSLY MARK]],PartList[[#This Row],[BOX NO]],PartList[[#This Row],[In/Out]],PartList[[#This Row],[O1-Grid]])</f>
        <v>SF02#Box1#10_B_A</v>
      </c>
      <c r="N422" t="str">
        <f>_xlfn.TEXTJOIN("#",TRUE,PartList[[#This Row],[ASSLY MARK]],PartList[[#This Row],[BOX NO]],PartList[[#This Row],[In/Out]],PartList[[#This Row],[O2-Grid]])</f>
        <v>SF02#Box1#10_11_A</v>
      </c>
      <c r="O422">
        <v>1</v>
      </c>
      <c r="P422">
        <f>_xlfn.XLOOKUP(PartList[[#This Row],[ASSLY MARK]],MasterPL[SplitMarkNo],MasterPL[BILL WT.(KG)],0,0)</f>
        <v>1440.79</v>
      </c>
      <c r="Q422" cm="1">
        <f t="array" ref="Q42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22" t="str">
        <v>1BE85</v>
      </c>
      <c r="AB422" s="42">
        <f>SUMIF(PartList[ASSLY MARK],AA422,PartList[Avail. Qty])</f>
        <v>0</v>
      </c>
    </row>
    <row r="423" spans="1:28" x14ac:dyDescent="0.25">
      <c r="A423">
        <v>1001</v>
      </c>
      <c r="B423" t="s">
        <v>427</v>
      </c>
      <c r="C423" t="s">
        <v>1052</v>
      </c>
      <c r="D423" t="s">
        <v>1093</v>
      </c>
      <c r="E423" t="s">
        <v>1086</v>
      </c>
      <c r="F423" t="str" cm="1">
        <f t="array" ref="F423">IF(SUM(IF(PartList[ASSLY MARK]=PartList[[#This Row],[ASSLY MARK]],1,0))&gt;1,"No","Yes")</f>
        <v>No</v>
      </c>
      <c r="G423" t="str" cm="1">
        <f t="array" ref="G423">_xlfn.TEXTJOIN("_",TRUE,TRIM(_xlfn.TEXTSPLIT(PartList[[#This Row],[GRID LOCATION]],{"PR01","/","-"})))</f>
        <v>14_B</v>
      </c>
      <c r="H423" t="str" cm="1">
        <f t="array" ref="H42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23" cm="1">
        <f t="array" ref="I42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23" t="str">
        <f>IF(IFERROR(SEARCH("&gt;",PartList[[#This Row],[ID]]),0),"O",IF(IFERROR(SEARCH("&lt;",PartList[[#This Row],[ID]]),0),"I",""))</f>
        <v/>
      </c>
      <c r="K423" t="str" cm="1">
        <f t="array" ref="K4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23" t="str" cm="1">
        <f t="array" ref="L4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23" t="str">
        <f>_xlfn.TEXTJOIN("#",TRUE,PartList[[#This Row],[ASSLY MARK]],PartList[[#This Row],[BOX NO]],PartList[[#This Row],[In/Out]],PartList[[#This Row],[O1-Grid]])</f>
        <v>SF02#Box1_Box2_Box3_Box6#InBB</v>
      </c>
      <c r="N423" t="str">
        <f>_xlfn.TEXTJOIN("#",TRUE,PartList[[#This Row],[ASSLY MARK]],PartList[[#This Row],[BOX NO]],PartList[[#This Row],[In/Out]],PartList[[#This Row],[O2-Grid]])</f>
        <v>SF02#Box1_Box2_Box3_Box6#InBB</v>
      </c>
      <c r="O423">
        <v>1</v>
      </c>
      <c r="P423">
        <f>_xlfn.XLOOKUP(PartList[[#This Row],[ASSLY MARK]],MasterPL[SplitMarkNo],MasterPL[BILL WT.(KG)],0,0)</f>
        <v>1440.79</v>
      </c>
      <c r="Q423" cm="1">
        <f t="array" ref="Q42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23" t="str">
        <v>1BE86</v>
      </c>
      <c r="AB423" s="42">
        <f>SUMIF(PartList[ASSLY MARK],AA423,PartList[Avail. Qty])</f>
        <v>0</v>
      </c>
    </row>
    <row r="424" spans="1:28" x14ac:dyDescent="0.25">
      <c r="A424">
        <v>1003</v>
      </c>
      <c r="B424" t="s">
        <v>427</v>
      </c>
      <c r="C424" t="s">
        <v>1038</v>
      </c>
      <c r="D424" t="s">
        <v>1089</v>
      </c>
      <c r="E424" t="s">
        <v>1086</v>
      </c>
      <c r="F424" t="str" cm="1">
        <f t="array" ref="F424">IF(SUM(IF(PartList[ASSLY MARK]=PartList[[#This Row],[ASSLY MARK]],1,0))&gt;1,"No","Yes")</f>
        <v>No</v>
      </c>
      <c r="G424" t="str" cm="1">
        <f t="array" ref="G424">_xlfn.TEXTJOIN("_",TRUE,TRIM(_xlfn.TEXTSPLIT(PartList[[#This Row],[GRID LOCATION]],{"PR01","/","-"})))</f>
        <v>10_A</v>
      </c>
      <c r="H424" t="str" cm="1">
        <f t="array" ref="H42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24" cm="1">
        <f t="array" ref="I42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24" t="str">
        <f>IF(IFERROR(SEARCH("&gt;",PartList[[#This Row],[ID]]),0),"O",IF(IFERROR(SEARCH("&lt;",PartList[[#This Row],[ID]]),0),"I",""))</f>
        <v/>
      </c>
      <c r="K424" t="str" cm="1">
        <f t="array" ref="K4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24" t="str" cm="1">
        <f t="array" ref="L4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24" t="str">
        <f>_xlfn.TEXTJOIN("#",TRUE,PartList[[#This Row],[ASSLY MARK]],PartList[[#This Row],[BOX NO]],PartList[[#This Row],[In/Out]],PartList[[#This Row],[O1-Grid]])</f>
        <v>SF02#Box1#10_B_A</v>
      </c>
      <c r="N424" t="str">
        <f>_xlfn.TEXTJOIN("#",TRUE,PartList[[#This Row],[ASSLY MARK]],PartList[[#This Row],[BOX NO]],PartList[[#This Row],[In/Out]],PartList[[#This Row],[O2-Grid]])</f>
        <v>SF02#Box1#10_11_A</v>
      </c>
      <c r="O424">
        <v>1</v>
      </c>
      <c r="P424">
        <f>_xlfn.XLOOKUP(PartList[[#This Row],[ASSLY MARK]],MasterPL[SplitMarkNo],MasterPL[BILL WT.(KG)],0,0)</f>
        <v>1440.79</v>
      </c>
      <c r="Q424" cm="1">
        <f t="array" ref="Q42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24" t="str">
        <v>1BE87</v>
      </c>
      <c r="AB424" s="42">
        <f>SUMIF(PartList[ASSLY MARK],AA424,PartList[Avail. Qty])</f>
        <v>0</v>
      </c>
    </row>
    <row r="425" spans="1:28" x14ac:dyDescent="0.25">
      <c r="A425">
        <v>1004</v>
      </c>
      <c r="B425" t="s">
        <v>427</v>
      </c>
      <c r="C425" t="s">
        <v>1050</v>
      </c>
      <c r="D425" t="s">
        <v>1094</v>
      </c>
      <c r="E425" t="s">
        <v>1086</v>
      </c>
      <c r="F425" t="str" cm="1">
        <f t="array" ref="F425">IF(SUM(IF(PartList[ASSLY MARK]=PartList[[#This Row],[ASSLY MARK]],1,0))&gt;1,"No","Yes")</f>
        <v>No</v>
      </c>
      <c r="G425" t="str" cm="1">
        <f t="array" ref="G425">_xlfn.TEXTJOIN("_",TRUE,TRIM(_xlfn.TEXTSPLIT(PartList[[#This Row],[GRID LOCATION]],{"PR01","/","-"})))</f>
        <v>11_B</v>
      </c>
      <c r="H425" t="str" cm="1">
        <f t="array" ref="H42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25" cm="1">
        <f t="array" ref="I42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25" t="str">
        <f>IF(IFERROR(SEARCH("&gt;",PartList[[#This Row],[ID]]),0),"O",IF(IFERROR(SEARCH("&lt;",PartList[[#This Row],[ID]]),0),"I",""))</f>
        <v/>
      </c>
      <c r="K425" t="str" cm="1">
        <f t="array" ref="K4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25" t="str" cm="1">
        <f t="array" ref="L4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25" t="str">
        <f>_xlfn.TEXTJOIN("#",TRUE,PartList[[#This Row],[ASSLY MARK]],PartList[[#This Row],[BOX NO]],PartList[[#This Row],[In/Out]],PartList[[#This Row],[O1-Grid]])</f>
        <v>SF02#Box1#11_B_A</v>
      </c>
      <c r="N425" t="str">
        <f>_xlfn.TEXTJOIN("#",TRUE,PartList[[#This Row],[ASSLY MARK]],PartList[[#This Row],[BOX NO]],PartList[[#This Row],[In/Out]],PartList[[#This Row],[O2-Grid]])</f>
        <v>SF02#Box1#10_11_B</v>
      </c>
      <c r="O425">
        <v>1</v>
      </c>
      <c r="P425">
        <f>_xlfn.XLOOKUP(PartList[[#This Row],[ASSLY MARK]],MasterPL[SplitMarkNo],MasterPL[BILL WT.(KG)],0,0)</f>
        <v>1440.79</v>
      </c>
      <c r="Q425" cm="1">
        <f t="array" ref="Q42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25" t="str">
        <v>1BE88</v>
      </c>
      <c r="AB425" s="42">
        <f>SUMIF(PartList[ASSLY MARK],AA425,PartList[Avail. Qty])</f>
        <v>0</v>
      </c>
    </row>
    <row r="426" spans="1:28" x14ac:dyDescent="0.25">
      <c r="A426">
        <v>1006</v>
      </c>
      <c r="B426" t="s">
        <v>427</v>
      </c>
      <c r="C426" t="s">
        <v>1038</v>
      </c>
      <c r="D426" t="s">
        <v>1090</v>
      </c>
      <c r="E426" t="s">
        <v>1086</v>
      </c>
      <c r="F426" t="str" cm="1">
        <f t="array" ref="F426">IF(SUM(IF(PartList[ASSLY MARK]=PartList[[#This Row],[ASSLY MARK]],1,0))&gt;1,"No","Yes")</f>
        <v>No</v>
      </c>
      <c r="G426" t="str" cm="1">
        <f t="array" ref="G426">_xlfn.TEXTJOIN("_",TRUE,TRIM(_xlfn.TEXTSPLIT(PartList[[#This Row],[GRID LOCATION]],{"PR01","/","-"})))</f>
        <v>10_A</v>
      </c>
      <c r="H426" t="str" cm="1">
        <f t="array" ref="H42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26" cm="1">
        <f t="array" ref="I42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26" t="str">
        <f>IF(IFERROR(SEARCH("&gt;",PartList[[#This Row],[ID]]),0),"O",IF(IFERROR(SEARCH("&lt;",PartList[[#This Row],[ID]]),0),"I",""))</f>
        <v/>
      </c>
      <c r="K426" t="str" cm="1">
        <f t="array" ref="K4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26" t="str" cm="1">
        <f t="array" ref="L4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26" t="str">
        <f>_xlfn.TEXTJOIN("#",TRUE,PartList[[#This Row],[ASSLY MARK]],PartList[[#This Row],[BOX NO]],PartList[[#This Row],[In/Out]],PartList[[#This Row],[O1-Grid]])</f>
        <v>SF02#Box1#10_B_A</v>
      </c>
      <c r="N426" t="str">
        <f>_xlfn.TEXTJOIN("#",TRUE,PartList[[#This Row],[ASSLY MARK]],PartList[[#This Row],[BOX NO]],PartList[[#This Row],[In/Out]],PartList[[#This Row],[O2-Grid]])</f>
        <v>SF02#Box1#10_11_A</v>
      </c>
      <c r="O426">
        <v>1</v>
      </c>
      <c r="P426">
        <f>_xlfn.XLOOKUP(PartList[[#This Row],[ASSLY MARK]],MasterPL[SplitMarkNo],MasterPL[BILL WT.(KG)],0,0)</f>
        <v>1440.79</v>
      </c>
      <c r="Q426" cm="1">
        <f t="array" ref="Q42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26" t="str">
        <v>1BE89</v>
      </c>
      <c r="AB426" s="42">
        <f>SUMIF(PartList[ASSLY MARK],AA426,PartList[Avail. Qty])</f>
        <v>0</v>
      </c>
    </row>
    <row r="427" spans="1:28" x14ac:dyDescent="0.25">
      <c r="A427">
        <v>1009</v>
      </c>
      <c r="B427" t="s">
        <v>427</v>
      </c>
      <c r="C427" t="s">
        <v>1038</v>
      </c>
      <c r="D427" t="s">
        <v>1090</v>
      </c>
      <c r="E427" t="s">
        <v>1086</v>
      </c>
      <c r="F427" t="str" cm="1">
        <f t="array" ref="F427">IF(SUM(IF(PartList[ASSLY MARK]=PartList[[#This Row],[ASSLY MARK]],1,0))&gt;1,"No","Yes")</f>
        <v>No</v>
      </c>
      <c r="G427" t="str" cm="1">
        <f t="array" ref="G427">_xlfn.TEXTJOIN("_",TRUE,TRIM(_xlfn.TEXTSPLIT(PartList[[#This Row],[GRID LOCATION]],{"PR01","/","-"})))</f>
        <v>10_A</v>
      </c>
      <c r="H427" t="str" cm="1">
        <f t="array" ref="H42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27" cm="1">
        <f t="array" ref="I42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27" t="str">
        <f>IF(IFERROR(SEARCH("&gt;",PartList[[#This Row],[ID]]),0),"O",IF(IFERROR(SEARCH("&lt;",PartList[[#This Row],[ID]]),0),"I",""))</f>
        <v/>
      </c>
      <c r="K427" t="str" cm="1">
        <f t="array" ref="K4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27" t="str" cm="1">
        <f t="array" ref="L4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27" t="str">
        <f>_xlfn.TEXTJOIN("#",TRUE,PartList[[#This Row],[ASSLY MARK]],PartList[[#This Row],[BOX NO]],PartList[[#This Row],[In/Out]],PartList[[#This Row],[O1-Grid]])</f>
        <v>SF02#Box1#10_B_A</v>
      </c>
      <c r="N427" t="str">
        <f>_xlfn.TEXTJOIN("#",TRUE,PartList[[#This Row],[ASSLY MARK]],PartList[[#This Row],[BOX NO]],PartList[[#This Row],[In/Out]],PartList[[#This Row],[O2-Grid]])</f>
        <v>SF02#Box1#10_11_A</v>
      </c>
      <c r="O427">
        <v>1</v>
      </c>
      <c r="P427">
        <f>_xlfn.XLOOKUP(PartList[[#This Row],[ASSLY MARK]],MasterPL[SplitMarkNo],MasterPL[BILL WT.(KG)],0,0)</f>
        <v>1440.79</v>
      </c>
      <c r="Q427" cm="1">
        <f t="array" ref="Q42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27" t="str">
        <v>1BE90</v>
      </c>
      <c r="AB427" s="42">
        <f>SUMIF(PartList[ASSLY MARK],AA427,PartList[Avail. Qty])</f>
        <v>0</v>
      </c>
    </row>
    <row r="428" spans="1:28" x14ac:dyDescent="0.25">
      <c r="A428">
        <v>1012</v>
      </c>
      <c r="B428" t="s">
        <v>427</v>
      </c>
      <c r="C428" t="s">
        <v>1038</v>
      </c>
      <c r="D428" t="s">
        <v>1090</v>
      </c>
      <c r="E428" t="s">
        <v>1086</v>
      </c>
      <c r="F428" t="str" cm="1">
        <f t="array" ref="F428">IF(SUM(IF(PartList[ASSLY MARK]=PartList[[#This Row],[ASSLY MARK]],1,0))&gt;1,"No","Yes")</f>
        <v>No</v>
      </c>
      <c r="G428" t="str" cm="1">
        <f t="array" ref="G428">_xlfn.TEXTJOIN("_",TRUE,TRIM(_xlfn.TEXTSPLIT(PartList[[#This Row],[GRID LOCATION]],{"PR01","/","-"})))</f>
        <v>10_A</v>
      </c>
      <c r="H428" t="str" cm="1">
        <f t="array" ref="H42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28" cm="1">
        <f t="array" ref="I42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28" t="str">
        <f>IF(IFERROR(SEARCH("&gt;",PartList[[#This Row],[ID]]),0),"O",IF(IFERROR(SEARCH("&lt;",PartList[[#This Row],[ID]]),0),"I",""))</f>
        <v/>
      </c>
      <c r="K428" t="str" cm="1">
        <f t="array" ref="K4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28" t="str" cm="1">
        <f t="array" ref="L4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28" t="str">
        <f>_xlfn.TEXTJOIN("#",TRUE,PartList[[#This Row],[ASSLY MARK]],PartList[[#This Row],[BOX NO]],PartList[[#This Row],[In/Out]],PartList[[#This Row],[O1-Grid]])</f>
        <v>SF02#Box1#10_B_A</v>
      </c>
      <c r="N428" t="str">
        <f>_xlfn.TEXTJOIN("#",TRUE,PartList[[#This Row],[ASSLY MARK]],PartList[[#This Row],[BOX NO]],PartList[[#This Row],[In/Out]],PartList[[#This Row],[O2-Grid]])</f>
        <v>SF02#Box1#10_11_A</v>
      </c>
      <c r="O428">
        <v>1</v>
      </c>
      <c r="P428">
        <f>_xlfn.XLOOKUP(PartList[[#This Row],[ASSLY MARK]],MasterPL[SplitMarkNo],MasterPL[BILL WT.(KG)],0,0)</f>
        <v>1440.79</v>
      </c>
      <c r="Q428" cm="1">
        <f t="array" ref="Q42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28" t="str">
        <v>1BE94</v>
      </c>
      <c r="AB428" s="42">
        <f>SUMIF(PartList[ASSLY MARK],AA428,PartList[Avail. Qty])</f>
        <v>0</v>
      </c>
    </row>
    <row r="429" spans="1:28" x14ac:dyDescent="0.25">
      <c r="A429">
        <v>1015</v>
      </c>
      <c r="B429" t="s">
        <v>427</v>
      </c>
      <c r="C429" t="s">
        <v>1038</v>
      </c>
      <c r="D429" t="s">
        <v>1090</v>
      </c>
      <c r="E429" t="s">
        <v>1086</v>
      </c>
      <c r="F429" t="str" cm="1">
        <f t="array" ref="F429">IF(SUM(IF(PartList[ASSLY MARK]=PartList[[#This Row],[ASSLY MARK]],1,0))&gt;1,"No","Yes")</f>
        <v>No</v>
      </c>
      <c r="G429" t="str" cm="1">
        <f t="array" ref="G429">_xlfn.TEXTJOIN("_",TRUE,TRIM(_xlfn.TEXTSPLIT(PartList[[#This Row],[GRID LOCATION]],{"PR01","/","-"})))</f>
        <v>10_A</v>
      </c>
      <c r="H429" t="str" cm="1">
        <f t="array" ref="H42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29" cm="1">
        <f t="array" ref="I42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29" t="str">
        <f>IF(IFERROR(SEARCH("&gt;",PartList[[#This Row],[ID]]),0),"O",IF(IFERROR(SEARCH("&lt;",PartList[[#This Row],[ID]]),0),"I",""))</f>
        <v/>
      </c>
      <c r="K429" t="str" cm="1">
        <f t="array" ref="K4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29" t="str" cm="1">
        <f t="array" ref="L4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29" t="str">
        <f>_xlfn.TEXTJOIN("#",TRUE,PartList[[#This Row],[ASSLY MARK]],PartList[[#This Row],[BOX NO]],PartList[[#This Row],[In/Out]],PartList[[#This Row],[O1-Grid]])</f>
        <v>SF02#Box1#10_B_A</v>
      </c>
      <c r="N429" t="str">
        <f>_xlfn.TEXTJOIN("#",TRUE,PartList[[#This Row],[ASSLY MARK]],PartList[[#This Row],[BOX NO]],PartList[[#This Row],[In/Out]],PartList[[#This Row],[O2-Grid]])</f>
        <v>SF02#Box1#10_11_A</v>
      </c>
      <c r="O429">
        <v>1</v>
      </c>
      <c r="P429">
        <f>_xlfn.XLOOKUP(PartList[[#This Row],[ASSLY MARK]],MasterPL[SplitMarkNo],MasterPL[BILL WT.(KG)],0,0)</f>
        <v>1440.79</v>
      </c>
      <c r="Q429" cm="1">
        <f t="array" ref="Q42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29" t="str">
        <v>1BE95</v>
      </c>
      <c r="AB429" s="42">
        <f>SUMIF(PartList[ASSLY MARK],AA429,PartList[Avail. Qty])</f>
        <v>0</v>
      </c>
    </row>
    <row r="430" spans="1:28" x14ac:dyDescent="0.25">
      <c r="A430">
        <v>1018</v>
      </c>
      <c r="B430" t="s">
        <v>427</v>
      </c>
      <c r="C430" t="s">
        <v>1045</v>
      </c>
      <c r="D430" t="s">
        <v>1090</v>
      </c>
      <c r="E430" t="s">
        <v>1086</v>
      </c>
      <c r="F430" t="str" cm="1">
        <f t="array" ref="F430">IF(SUM(IF(PartList[ASSLY MARK]=PartList[[#This Row],[ASSLY MARK]],1,0))&gt;1,"No","Yes")</f>
        <v>No</v>
      </c>
      <c r="G430" t="str" cm="1">
        <f t="array" ref="G430">_xlfn.TEXTJOIN("_",TRUE,TRIM(_xlfn.TEXTSPLIT(PartList[[#This Row],[GRID LOCATION]],{"PR01","/","-"})))</f>
        <v>10_B</v>
      </c>
      <c r="H430" t="str" cm="1">
        <f t="array" ref="H43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30" cm="1">
        <f t="array" ref="I43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30" t="str">
        <f>IF(IFERROR(SEARCH("&gt;",PartList[[#This Row],[ID]]),0),"O",IF(IFERROR(SEARCH("&lt;",PartList[[#This Row],[ID]]),0),"I",""))</f>
        <v/>
      </c>
      <c r="K430" t="str" cm="1">
        <f t="array" ref="K4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30" t="str" cm="1">
        <f t="array" ref="L4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30" t="str">
        <f>_xlfn.TEXTJOIN("#",TRUE,PartList[[#This Row],[ASSLY MARK]],PartList[[#This Row],[BOX NO]],PartList[[#This Row],[In/Out]],PartList[[#This Row],[O1-Grid]])</f>
        <v>SF02#Box1#10_B_A</v>
      </c>
      <c r="N430" t="str">
        <f>_xlfn.TEXTJOIN("#",TRUE,PartList[[#This Row],[ASSLY MARK]],PartList[[#This Row],[BOX NO]],PartList[[#This Row],[In/Out]],PartList[[#This Row],[O2-Grid]])</f>
        <v>SF02#Box1#10_11_B</v>
      </c>
      <c r="O430">
        <v>1</v>
      </c>
      <c r="P430">
        <f>_xlfn.XLOOKUP(PartList[[#This Row],[ASSLY MARK]],MasterPL[SplitMarkNo],MasterPL[BILL WT.(KG)],0,0)</f>
        <v>1440.79</v>
      </c>
      <c r="Q430" cm="1">
        <f t="array" ref="Q43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30" t="str">
        <v>1BE96</v>
      </c>
      <c r="AB430" s="42">
        <f>SUMIF(PartList[ASSLY MARK],AA430,PartList[Avail. Qty])</f>
        <v>0</v>
      </c>
    </row>
    <row r="431" spans="1:28" x14ac:dyDescent="0.25">
      <c r="A431">
        <v>1021</v>
      </c>
      <c r="B431" t="s">
        <v>427</v>
      </c>
      <c r="C431" t="s">
        <v>1045</v>
      </c>
      <c r="D431" t="s">
        <v>1090</v>
      </c>
      <c r="E431" t="s">
        <v>1086</v>
      </c>
      <c r="F431" t="str" cm="1">
        <f t="array" ref="F431">IF(SUM(IF(PartList[ASSLY MARK]=PartList[[#This Row],[ASSLY MARK]],1,0))&gt;1,"No","Yes")</f>
        <v>No</v>
      </c>
      <c r="G431" t="str" cm="1">
        <f t="array" ref="G431">_xlfn.TEXTJOIN("_",TRUE,TRIM(_xlfn.TEXTSPLIT(PartList[[#This Row],[GRID LOCATION]],{"PR01","/","-"})))</f>
        <v>10_B</v>
      </c>
      <c r="H431" t="str" cm="1">
        <f t="array" ref="H43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31" cm="1">
        <f t="array" ref="I43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31" t="str">
        <f>IF(IFERROR(SEARCH("&gt;",PartList[[#This Row],[ID]]),0),"O",IF(IFERROR(SEARCH("&lt;",PartList[[#This Row],[ID]]),0),"I",""))</f>
        <v/>
      </c>
      <c r="K431" t="str" cm="1">
        <f t="array" ref="K4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31" t="str" cm="1">
        <f t="array" ref="L4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31" t="str">
        <f>_xlfn.TEXTJOIN("#",TRUE,PartList[[#This Row],[ASSLY MARK]],PartList[[#This Row],[BOX NO]],PartList[[#This Row],[In/Out]],PartList[[#This Row],[O1-Grid]])</f>
        <v>SF02#Box1#10_B_A</v>
      </c>
      <c r="N431" t="str">
        <f>_xlfn.TEXTJOIN("#",TRUE,PartList[[#This Row],[ASSLY MARK]],PartList[[#This Row],[BOX NO]],PartList[[#This Row],[In/Out]],PartList[[#This Row],[O2-Grid]])</f>
        <v>SF02#Box1#10_11_B</v>
      </c>
      <c r="O431">
        <v>1</v>
      </c>
      <c r="P431">
        <f>_xlfn.XLOOKUP(PartList[[#This Row],[ASSLY MARK]],MasterPL[SplitMarkNo],MasterPL[BILL WT.(KG)],0,0)</f>
        <v>1440.79</v>
      </c>
      <c r="Q431" cm="1">
        <f t="array" ref="Q43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31" t="str">
        <v>1BE97</v>
      </c>
      <c r="AB431" s="42">
        <f>SUMIF(PartList[ASSLY MARK],AA431,PartList[Avail. Qty])</f>
        <v>0</v>
      </c>
    </row>
    <row r="432" spans="1:28" x14ac:dyDescent="0.25">
      <c r="A432">
        <v>1024</v>
      </c>
      <c r="B432" t="s">
        <v>427</v>
      </c>
      <c r="C432" t="s">
        <v>1045</v>
      </c>
      <c r="D432" t="s">
        <v>1090</v>
      </c>
      <c r="E432" t="s">
        <v>1086</v>
      </c>
      <c r="F432" t="str" cm="1">
        <f t="array" ref="F432">IF(SUM(IF(PartList[ASSLY MARK]=PartList[[#This Row],[ASSLY MARK]],1,0))&gt;1,"No","Yes")</f>
        <v>No</v>
      </c>
      <c r="G432" t="str" cm="1">
        <f t="array" ref="G432">_xlfn.TEXTJOIN("_",TRUE,TRIM(_xlfn.TEXTSPLIT(PartList[[#This Row],[GRID LOCATION]],{"PR01","/","-"})))</f>
        <v>10_B</v>
      </c>
      <c r="H432" t="str" cm="1">
        <f t="array" ref="H43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32" cm="1">
        <f t="array" ref="I43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32" t="str">
        <f>IF(IFERROR(SEARCH("&gt;",PartList[[#This Row],[ID]]),0),"O",IF(IFERROR(SEARCH("&lt;",PartList[[#This Row],[ID]]),0),"I",""))</f>
        <v/>
      </c>
      <c r="K432" t="str" cm="1">
        <f t="array" ref="K4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32" t="str" cm="1">
        <f t="array" ref="L4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32" t="str">
        <f>_xlfn.TEXTJOIN("#",TRUE,PartList[[#This Row],[ASSLY MARK]],PartList[[#This Row],[BOX NO]],PartList[[#This Row],[In/Out]],PartList[[#This Row],[O1-Grid]])</f>
        <v>SF02#Box1#10_B_A</v>
      </c>
      <c r="N432" t="str">
        <f>_xlfn.TEXTJOIN("#",TRUE,PartList[[#This Row],[ASSLY MARK]],PartList[[#This Row],[BOX NO]],PartList[[#This Row],[In/Out]],PartList[[#This Row],[O2-Grid]])</f>
        <v>SF02#Box1#10_11_B</v>
      </c>
      <c r="O432">
        <v>1</v>
      </c>
      <c r="P432">
        <f>_xlfn.XLOOKUP(PartList[[#This Row],[ASSLY MARK]],MasterPL[SplitMarkNo],MasterPL[BILL WT.(KG)],0,0)</f>
        <v>1440.79</v>
      </c>
      <c r="Q432" cm="1">
        <f t="array" ref="Q43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32" t="str">
        <v>1FR03</v>
      </c>
      <c r="AB432" s="42">
        <f>SUMIF(PartList[ASSLY MARK],AA432,PartList[Avail. Qty])</f>
        <v>0</v>
      </c>
    </row>
    <row r="433" spans="1:28" x14ac:dyDescent="0.25">
      <c r="A433">
        <v>1027</v>
      </c>
      <c r="B433" t="s">
        <v>427</v>
      </c>
      <c r="C433" t="s">
        <v>1045</v>
      </c>
      <c r="D433" t="s">
        <v>1090</v>
      </c>
      <c r="E433" t="s">
        <v>1086</v>
      </c>
      <c r="F433" t="str" cm="1">
        <f t="array" ref="F433">IF(SUM(IF(PartList[ASSLY MARK]=PartList[[#This Row],[ASSLY MARK]],1,0))&gt;1,"No","Yes")</f>
        <v>No</v>
      </c>
      <c r="G433" t="str" cm="1">
        <f t="array" ref="G433">_xlfn.TEXTJOIN("_",TRUE,TRIM(_xlfn.TEXTSPLIT(PartList[[#This Row],[GRID LOCATION]],{"PR01","/","-"})))</f>
        <v>10_B</v>
      </c>
      <c r="H433" t="str" cm="1">
        <f t="array" ref="H43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33" cm="1">
        <f t="array" ref="I43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33" t="str">
        <f>IF(IFERROR(SEARCH("&gt;",PartList[[#This Row],[ID]]),0),"O",IF(IFERROR(SEARCH("&lt;",PartList[[#This Row],[ID]]),0),"I",""))</f>
        <v/>
      </c>
      <c r="K433" t="str" cm="1">
        <f t="array" ref="K4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33" t="str" cm="1">
        <f t="array" ref="L4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33" t="str">
        <f>_xlfn.TEXTJOIN("#",TRUE,PartList[[#This Row],[ASSLY MARK]],PartList[[#This Row],[BOX NO]],PartList[[#This Row],[In/Out]],PartList[[#This Row],[O1-Grid]])</f>
        <v>SF02#Box1#10_B_A</v>
      </c>
      <c r="N433" t="str">
        <f>_xlfn.TEXTJOIN("#",TRUE,PartList[[#This Row],[ASSLY MARK]],PartList[[#This Row],[BOX NO]],PartList[[#This Row],[In/Out]],PartList[[#This Row],[O2-Grid]])</f>
        <v>SF02#Box1#10_11_B</v>
      </c>
      <c r="O433">
        <v>1</v>
      </c>
      <c r="P433">
        <f>_xlfn.XLOOKUP(PartList[[#This Row],[ASSLY MARK]],MasterPL[SplitMarkNo],MasterPL[BILL WT.(KG)],0,0)</f>
        <v>1440.79</v>
      </c>
      <c r="Q433" cm="1">
        <f t="array" ref="Q43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33" t="str">
        <v>1FR04</v>
      </c>
      <c r="AB433" s="42">
        <f>SUMIF(PartList[ASSLY MARK],AA433,PartList[Avail. Qty])</f>
        <v>0</v>
      </c>
    </row>
    <row r="434" spans="1:28" x14ac:dyDescent="0.25">
      <c r="A434">
        <v>1028</v>
      </c>
      <c r="B434" t="s">
        <v>428</v>
      </c>
      <c r="C434" t="s">
        <v>1045</v>
      </c>
      <c r="D434" t="s">
        <v>1085</v>
      </c>
      <c r="E434" t="s">
        <v>1086</v>
      </c>
      <c r="F434" t="str" cm="1">
        <f t="array" ref="F434">IF(SUM(IF(PartList[ASSLY MARK]=PartList[[#This Row],[ASSLY MARK]],1,0))&gt;1,"No","Yes")</f>
        <v>No</v>
      </c>
      <c r="G434" t="str" cm="1">
        <f t="array" ref="G434">_xlfn.TEXTJOIN("_",TRUE,TRIM(_xlfn.TEXTSPLIT(PartList[[#This Row],[GRID LOCATION]],{"PR01","/","-"})))</f>
        <v>10_B</v>
      </c>
      <c r="H434" t="str" cm="1">
        <f t="array" ref="H43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34" cm="1">
        <f t="array" ref="I43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34" t="str">
        <f>IF(IFERROR(SEARCH("&gt;",PartList[[#This Row],[ID]]),0),"O",IF(IFERROR(SEARCH("&lt;",PartList[[#This Row],[ID]]),0),"I",""))</f>
        <v/>
      </c>
      <c r="K434" t="str" cm="1">
        <f t="array" ref="K4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34" t="str" cm="1">
        <f t="array" ref="L4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34" t="str">
        <f>_xlfn.TEXTJOIN("#",TRUE,PartList[[#This Row],[ASSLY MARK]],PartList[[#This Row],[BOX NO]],PartList[[#This Row],[In/Out]],PartList[[#This Row],[O1-Grid]])</f>
        <v>SF03#Box1#10_B_A</v>
      </c>
      <c r="N434" t="str">
        <f>_xlfn.TEXTJOIN("#",TRUE,PartList[[#This Row],[ASSLY MARK]],PartList[[#This Row],[BOX NO]],PartList[[#This Row],[In/Out]],PartList[[#This Row],[O2-Grid]])</f>
        <v>SF03#Box1#10_11_B</v>
      </c>
      <c r="O434">
        <v>1</v>
      </c>
      <c r="P434">
        <f>_xlfn.XLOOKUP(PartList[[#This Row],[ASSLY MARK]],MasterPL[SplitMarkNo],MasterPL[BILL WT.(KG)],0,0)</f>
        <v>1316.92</v>
      </c>
      <c r="Q434" cm="1">
        <f t="array" ref="Q43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34" t="str">
        <v>1HA01</v>
      </c>
      <c r="AB434" s="42">
        <f>SUMIF(PartList[ASSLY MARK],AA434,PartList[Avail. Qty])</f>
        <v>0</v>
      </c>
    </row>
    <row r="435" spans="1:28" x14ac:dyDescent="0.25">
      <c r="A435">
        <v>1031</v>
      </c>
      <c r="B435" t="s">
        <v>428</v>
      </c>
      <c r="C435" t="s">
        <v>1045</v>
      </c>
      <c r="D435" t="s">
        <v>1085</v>
      </c>
      <c r="E435" t="s">
        <v>1086</v>
      </c>
      <c r="F435" t="str" cm="1">
        <f t="array" ref="F435">IF(SUM(IF(PartList[ASSLY MARK]=PartList[[#This Row],[ASSLY MARK]],1,0))&gt;1,"No","Yes")</f>
        <v>No</v>
      </c>
      <c r="G435" t="str" cm="1">
        <f t="array" ref="G435">_xlfn.TEXTJOIN("_",TRUE,TRIM(_xlfn.TEXTSPLIT(PartList[[#This Row],[GRID LOCATION]],{"PR01","/","-"})))</f>
        <v>10_B</v>
      </c>
      <c r="H435" t="str" cm="1">
        <f t="array" ref="H43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35" cm="1">
        <f t="array" ref="I43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35" t="str">
        <f>IF(IFERROR(SEARCH("&gt;",PartList[[#This Row],[ID]]),0),"O",IF(IFERROR(SEARCH("&lt;",PartList[[#This Row],[ID]]),0),"I",""))</f>
        <v/>
      </c>
      <c r="K435" t="str" cm="1">
        <f t="array" ref="K4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35" t="str" cm="1">
        <f t="array" ref="L4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35" t="str">
        <f>_xlfn.TEXTJOIN("#",TRUE,PartList[[#This Row],[ASSLY MARK]],PartList[[#This Row],[BOX NO]],PartList[[#This Row],[In/Out]],PartList[[#This Row],[O1-Grid]])</f>
        <v>SF03#Box1#10_B_A</v>
      </c>
      <c r="N435" t="str">
        <f>_xlfn.TEXTJOIN("#",TRUE,PartList[[#This Row],[ASSLY MARK]],PartList[[#This Row],[BOX NO]],PartList[[#This Row],[In/Out]],PartList[[#This Row],[O2-Grid]])</f>
        <v>SF03#Box1#10_11_B</v>
      </c>
      <c r="O435">
        <v>1</v>
      </c>
      <c r="P435">
        <f>_xlfn.XLOOKUP(PartList[[#This Row],[ASSLY MARK]],MasterPL[SplitMarkNo],MasterPL[BILL WT.(KG)],0,0)</f>
        <v>1316.92</v>
      </c>
      <c r="Q435" cm="1">
        <f t="array" ref="Q43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35" t="str">
        <v>1HB12</v>
      </c>
      <c r="AB435" s="42">
        <f>SUMIF(PartList[ASSLY MARK],AA435,PartList[Avail. Qty])</f>
        <v>0</v>
      </c>
    </row>
    <row r="436" spans="1:28" x14ac:dyDescent="0.25">
      <c r="A436">
        <v>1032</v>
      </c>
      <c r="B436" t="s">
        <v>428</v>
      </c>
      <c r="C436" t="s">
        <v>1052</v>
      </c>
      <c r="D436" t="s">
        <v>1087</v>
      </c>
      <c r="E436" t="s">
        <v>1086</v>
      </c>
      <c r="F436" t="str" cm="1">
        <f t="array" ref="F436">IF(SUM(IF(PartList[ASSLY MARK]=PartList[[#This Row],[ASSLY MARK]],1,0))&gt;1,"No","Yes")</f>
        <v>No</v>
      </c>
      <c r="G436" t="str" cm="1">
        <f t="array" ref="G436">_xlfn.TEXTJOIN("_",TRUE,TRIM(_xlfn.TEXTSPLIT(PartList[[#This Row],[GRID LOCATION]],{"PR01","/","-"})))</f>
        <v>14_B</v>
      </c>
      <c r="H436" t="str" cm="1">
        <f t="array" ref="H43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36" cm="1">
        <f t="array" ref="I43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36" t="str">
        <f>IF(IFERROR(SEARCH("&gt;",PartList[[#This Row],[ID]]),0),"O",IF(IFERROR(SEARCH("&lt;",PartList[[#This Row],[ID]]),0),"I",""))</f>
        <v/>
      </c>
      <c r="K436" t="str" cm="1">
        <f t="array" ref="K4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36" t="str" cm="1">
        <f t="array" ref="L4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36" t="str">
        <f>_xlfn.TEXTJOIN("#",TRUE,PartList[[#This Row],[ASSLY MARK]],PartList[[#This Row],[BOX NO]],PartList[[#This Row],[In/Out]],PartList[[#This Row],[O1-Grid]])</f>
        <v>SF03#Box1_Box2_Box3_Box6#InBB</v>
      </c>
      <c r="N436" t="str">
        <f>_xlfn.TEXTJOIN("#",TRUE,PartList[[#This Row],[ASSLY MARK]],PartList[[#This Row],[BOX NO]],PartList[[#This Row],[In/Out]],PartList[[#This Row],[O2-Grid]])</f>
        <v>SF03#Box1_Box2_Box3_Box6#InBB</v>
      </c>
      <c r="O436">
        <v>1</v>
      </c>
      <c r="P436">
        <f>_xlfn.XLOOKUP(PartList[[#This Row],[ASSLY MARK]],MasterPL[SplitMarkNo],MasterPL[BILL WT.(KG)],0,0)</f>
        <v>1316.92</v>
      </c>
      <c r="Q436" cm="1">
        <f t="array" ref="Q43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36" t="str">
        <v>1HB13</v>
      </c>
      <c r="AB436" s="42">
        <f>SUMIF(PartList[ASSLY MARK],AA436,PartList[Avail. Qty])</f>
        <v>0</v>
      </c>
    </row>
    <row r="437" spans="1:28" x14ac:dyDescent="0.25">
      <c r="A437">
        <v>1035</v>
      </c>
      <c r="B437" t="s">
        <v>428</v>
      </c>
      <c r="C437" t="s">
        <v>1046</v>
      </c>
      <c r="D437" t="s">
        <v>1087</v>
      </c>
      <c r="E437" t="s">
        <v>1086</v>
      </c>
      <c r="F437" t="str" cm="1">
        <f t="array" ref="F437">IF(SUM(IF(PartList[ASSLY MARK]=PartList[[#This Row],[ASSLY MARK]],1,0))&gt;1,"No","Yes")</f>
        <v>No</v>
      </c>
      <c r="G437" t="str" cm="1">
        <f t="array" ref="G437">_xlfn.TEXTJOIN("_",TRUE,TRIM(_xlfn.TEXTSPLIT(PartList[[#This Row],[GRID LOCATION]],{"PR01","/","-"})))</f>
        <v>14_A</v>
      </c>
      <c r="H437" t="str" cm="1">
        <f t="array" ref="H43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37" cm="1">
        <f t="array" ref="I43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37" t="str">
        <f>IF(IFERROR(SEARCH("&gt;",PartList[[#This Row],[ID]]),0),"O",IF(IFERROR(SEARCH("&lt;",PartList[[#This Row],[ID]]),0),"I",""))</f>
        <v/>
      </c>
      <c r="K437" t="str" cm="1">
        <f t="array" ref="K4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37" t="str" cm="1">
        <f t="array" ref="L4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37" t="str">
        <f>_xlfn.TEXTJOIN("#",TRUE,PartList[[#This Row],[ASSLY MARK]],PartList[[#This Row],[BOX NO]],PartList[[#This Row],[In/Out]],PartList[[#This Row],[O1-Grid]])</f>
        <v>SF03#Box1_Box2_Box3_Box6#InBB</v>
      </c>
      <c r="N437" t="str">
        <f>_xlfn.TEXTJOIN("#",TRUE,PartList[[#This Row],[ASSLY MARK]],PartList[[#This Row],[BOX NO]],PartList[[#This Row],[In/Out]],PartList[[#This Row],[O2-Grid]])</f>
        <v>SF03#Box1_Box2_Box3_Box6#InBB</v>
      </c>
      <c r="O437">
        <v>1</v>
      </c>
      <c r="P437">
        <f>_xlfn.XLOOKUP(PartList[[#This Row],[ASSLY MARK]],MasterPL[SplitMarkNo],MasterPL[BILL WT.(KG)],0,0)</f>
        <v>1316.92</v>
      </c>
      <c r="Q437" cm="1">
        <f t="array" ref="Q43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37" t="str">
        <v>1HB14</v>
      </c>
      <c r="AB437" s="42">
        <f>SUMIF(PartList[ASSLY MARK],AA437,PartList[Avail. Qty])</f>
        <v>0</v>
      </c>
    </row>
    <row r="438" spans="1:28" x14ac:dyDescent="0.25">
      <c r="A438">
        <v>1036</v>
      </c>
      <c r="B438" t="s">
        <v>428</v>
      </c>
      <c r="C438" t="s">
        <v>1038</v>
      </c>
      <c r="D438" t="s">
        <v>1085</v>
      </c>
      <c r="E438" t="s">
        <v>1086</v>
      </c>
      <c r="F438" t="str" cm="1">
        <f t="array" ref="F438">IF(SUM(IF(PartList[ASSLY MARK]=PartList[[#This Row],[ASSLY MARK]],1,0))&gt;1,"No","Yes")</f>
        <v>No</v>
      </c>
      <c r="G438" t="str" cm="1">
        <f t="array" ref="G438">_xlfn.TEXTJOIN("_",TRUE,TRIM(_xlfn.TEXTSPLIT(PartList[[#This Row],[GRID LOCATION]],{"PR01","/","-"})))</f>
        <v>10_A</v>
      </c>
      <c r="H438" t="str" cm="1">
        <f t="array" ref="H43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38" cm="1">
        <f t="array" ref="I43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38" t="str">
        <f>IF(IFERROR(SEARCH("&gt;",PartList[[#This Row],[ID]]),0),"O",IF(IFERROR(SEARCH("&lt;",PartList[[#This Row],[ID]]),0),"I",""))</f>
        <v/>
      </c>
      <c r="K438" t="str" cm="1">
        <f t="array" ref="K4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38" t="str" cm="1">
        <f t="array" ref="L4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38" t="str">
        <f>_xlfn.TEXTJOIN("#",TRUE,PartList[[#This Row],[ASSLY MARK]],PartList[[#This Row],[BOX NO]],PartList[[#This Row],[In/Out]],PartList[[#This Row],[O1-Grid]])</f>
        <v>SF03#Box1#10_B_A</v>
      </c>
      <c r="N438" t="str">
        <f>_xlfn.TEXTJOIN("#",TRUE,PartList[[#This Row],[ASSLY MARK]],PartList[[#This Row],[BOX NO]],PartList[[#This Row],[In/Out]],PartList[[#This Row],[O2-Grid]])</f>
        <v>SF03#Box1#10_11_A</v>
      </c>
      <c r="O438">
        <v>1</v>
      </c>
      <c r="P438">
        <f>_xlfn.XLOOKUP(PartList[[#This Row],[ASSLY MARK]],MasterPL[SplitMarkNo],MasterPL[BILL WT.(KG)],0,0)</f>
        <v>1316.92</v>
      </c>
      <c r="Q438" cm="1">
        <f t="array" ref="Q43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38" t="str">
        <v>1HB15</v>
      </c>
      <c r="AB438" s="42">
        <f>SUMIF(PartList[ASSLY MARK],AA438,PartList[Avail. Qty])</f>
        <v>0</v>
      </c>
    </row>
    <row r="439" spans="1:28" x14ac:dyDescent="0.25">
      <c r="A439">
        <v>1037</v>
      </c>
      <c r="B439" t="s">
        <v>428</v>
      </c>
      <c r="C439" t="s">
        <v>1046</v>
      </c>
      <c r="D439" t="s">
        <v>1087</v>
      </c>
      <c r="E439" t="s">
        <v>1086</v>
      </c>
      <c r="F439" t="str" cm="1">
        <f t="array" ref="F439">IF(SUM(IF(PartList[ASSLY MARK]=PartList[[#This Row],[ASSLY MARK]],1,0))&gt;1,"No","Yes")</f>
        <v>No</v>
      </c>
      <c r="G439" t="str" cm="1">
        <f t="array" ref="G439">_xlfn.TEXTJOIN("_",TRUE,TRIM(_xlfn.TEXTSPLIT(PartList[[#This Row],[GRID LOCATION]],{"PR01","/","-"})))</f>
        <v>14_A</v>
      </c>
      <c r="H439" t="str" cm="1">
        <f t="array" ref="H43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39" cm="1">
        <f t="array" ref="I43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39" t="str">
        <f>IF(IFERROR(SEARCH("&gt;",PartList[[#This Row],[ID]]),0),"O",IF(IFERROR(SEARCH("&lt;",PartList[[#This Row],[ID]]),0),"I",""))</f>
        <v/>
      </c>
      <c r="K439" t="str" cm="1">
        <f t="array" ref="K4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39" t="str" cm="1">
        <f t="array" ref="L4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39" t="str">
        <f>_xlfn.TEXTJOIN("#",TRUE,PartList[[#This Row],[ASSLY MARK]],PartList[[#This Row],[BOX NO]],PartList[[#This Row],[In/Out]],PartList[[#This Row],[O1-Grid]])</f>
        <v>SF03#Box1_Box2_Box3_Box6#InBB</v>
      </c>
      <c r="N439" t="str">
        <f>_xlfn.TEXTJOIN("#",TRUE,PartList[[#This Row],[ASSLY MARK]],PartList[[#This Row],[BOX NO]],PartList[[#This Row],[In/Out]],PartList[[#This Row],[O2-Grid]])</f>
        <v>SF03#Box1_Box2_Box3_Box6#InBB</v>
      </c>
      <c r="O439">
        <v>1</v>
      </c>
      <c r="P439">
        <f>_xlfn.XLOOKUP(PartList[[#This Row],[ASSLY MARK]],MasterPL[SplitMarkNo],MasterPL[BILL WT.(KG)],0,0)</f>
        <v>1316.92</v>
      </c>
      <c r="Q439" cm="1">
        <f t="array" ref="Q43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39" t="str">
        <v>1HB16</v>
      </c>
      <c r="AB439" s="42">
        <f>SUMIF(PartList[ASSLY MARK],AA439,PartList[Avail. Qty])</f>
        <v>0</v>
      </c>
    </row>
    <row r="440" spans="1:28" x14ac:dyDescent="0.25">
      <c r="A440">
        <v>1038</v>
      </c>
      <c r="B440" t="s">
        <v>428</v>
      </c>
      <c r="C440" t="s">
        <v>1052</v>
      </c>
      <c r="D440" t="s">
        <v>1087</v>
      </c>
      <c r="E440" t="s">
        <v>1086</v>
      </c>
      <c r="F440" t="str" cm="1">
        <f t="array" ref="F440">IF(SUM(IF(PartList[ASSLY MARK]=PartList[[#This Row],[ASSLY MARK]],1,0))&gt;1,"No","Yes")</f>
        <v>No</v>
      </c>
      <c r="G440" t="str" cm="1">
        <f t="array" ref="G440">_xlfn.TEXTJOIN("_",TRUE,TRIM(_xlfn.TEXTSPLIT(PartList[[#This Row],[GRID LOCATION]],{"PR01","/","-"})))</f>
        <v>14_B</v>
      </c>
      <c r="H440" t="str" cm="1">
        <f t="array" ref="H44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40" cm="1">
        <f t="array" ref="I44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40" t="str">
        <f>IF(IFERROR(SEARCH("&gt;",PartList[[#This Row],[ID]]),0),"O",IF(IFERROR(SEARCH("&lt;",PartList[[#This Row],[ID]]),0),"I",""))</f>
        <v/>
      </c>
      <c r="K440" t="str" cm="1">
        <f t="array" ref="K4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40" t="str" cm="1">
        <f t="array" ref="L4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40" t="str">
        <f>_xlfn.TEXTJOIN("#",TRUE,PartList[[#This Row],[ASSLY MARK]],PartList[[#This Row],[BOX NO]],PartList[[#This Row],[In/Out]],PartList[[#This Row],[O1-Grid]])</f>
        <v>SF03#Box1_Box2_Box3_Box6#InBB</v>
      </c>
      <c r="N440" t="str">
        <f>_xlfn.TEXTJOIN("#",TRUE,PartList[[#This Row],[ASSLY MARK]],PartList[[#This Row],[BOX NO]],PartList[[#This Row],[In/Out]],PartList[[#This Row],[O2-Grid]])</f>
        <v>SF03#Box1_Box2_Box3_Box6#InBB</v>
      </c>
      <c r="O440">
        <v>1</v>
      </c>
      <c r="P440">
        <f>_xlfn.XLOOKUP(PartList[[#This Row],[ASSLY MARK]],MasterPL[SplitMarkNo],MasterPL[BILL WT.(KG)],0,0)</f>
        <v>1316.92</v>
      </c>
      <c r="Q440" cm="1">
        <f t="array" ref="Q44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40" t="str">
        <v>1HB17</v>
      </c>
      <c r="AB440" s="42">
        <f>SUMIF(PartList[ASSLY MARK],AA440,PartList[Avail. Qty])</f>
        <v>0</v>
      </c>
    </row>
    <row r="441" spans="1:28" x14ac:dyDescent="0.25">
      <c r="A441">
        <v>1039</v>
      </c>
      <c r="B441" t="s">
        <v>428</v>
      </c>
      <c r="C441" t="s">
        <v>1038</v>
      </c>
      <c r="D441" t="s">
        <v>1085</v>
      </c>
      <c r="E441" t="s">
        <v>1086</v>
      </c>
      <c r="F441" t="str" cm="1">
        <f t="array" ref="F441">IF(SUM(IF(PartList[ASSLY MARK]=PartList[[#This Row],[ASSLY MARK]],1,0))&gt;1,"No","Yes")</f>
        <v>No</v>
      </c>
      <c r="G441" t="str" cm="1">
        <f t="array" ref="G441">_xlfn.TEXTJOIN("_",TRUE,TRIM(_xlfn.TEXTSPLIT(PartList[[#This Row],[GRID LOCATION]],{"PR01","/","-"})))</f>
        <v>10_A</v>
      </c>
      <c r="H441" t="str" cm="1">
        <f t="array" ref="H44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41" cm="1">
        <f t="array" ref="I44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41" t="str">
        <f>IF(IFERROR(SEARCH("&gt;",PartList[[#This Row],[ID]]),0),"O",IF(IFERROR(SEARCH("&lt;",PartList[[#This Row],[ID]]),0),"I",""))</f>
        <v/>
      </c>
      <c r="K441" t="str" cm="1">
        <f t="array" ref="K4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41" t="str" cm="1">
        <f t="array" ref="L4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41" t="str">
        <f>_xlfn.TEXTJOIN("#",TRUE,PartList[[#This Row],[ASSLY MARK]],PartList[[#This Row],[BOX NO]],PartList[[#This Row],[In/Out]],PartList[[#This Row],[O1-Grid]])</f>
        <v>SF03#Box1#10_B_A</v>
      </c>
      <c r="N441" t="str">
        <f>_xlfn.TEXTJOIN("#",TRUE,PartList[[#This Row],[ASSLY MARK]],PartList[[#This Row],[BOX NO]],PartList[[#This Row],[In/Out]],PartList[[#This Row],[O2-Grid]])</f>
        <v>SF03#Box1#10_11_A</v>
      </c>
      <c r="O441">
        <v>1</v>
      </c>
      <c r="P441">
        <f>_xlfn.XLOOKUP(PartList[[#This Row],[ASSLY MARK]],MasterPL[SplitMarkNo],MasterPL[BILL WT.(KG)],0,0)</f>
        <v>1316.92</v>
      </c>
      <c r="Q441" cm="1">
        <f t="array" ref="Q44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41" t="str">
        <v>1HB18</v>
      </c>
      <c r="AB441" s="42">
        <f>SUMIF(PartList[ASSLY MARK],AA441,PartList[Avail. Qty])</f>
        <v>0</v>
      </c>
    </row>
    <row r="442" spans="1:28" x14ac:dyDescent="0.25">
      <c r="A442">
        <v>1040</v>
      </c>
      <c r="B442" t="s">
        <v>429</v>
      </c>
      <c r="C442" t="s">
        <v>1052</v>
      </c>
      <c r="D442" t="s">
        <v>1093</v>
      </c>
      <c r="E442" t="s">
        <v>1086</v>
      </c>
      <c r="F442" t="str" cm="1">
        <f t="array" ref="F442">IF(SUM(IF(PartList[ASSLY MARK]=PartList[[#This Row],[ASSLY MARK]],1,0))&gt;1,"No","Yes")</f>
        <v>No</v>
      </c>
      <c r="G442" t="str" cm="1">
        <f t="array" ref="G442">_xlfn.TEXTJOIN("_",TRUE,TRIM(_xlfn.TEXTSPLIT(PartList[[#This Row],[GRID LOCATION]],{"PR01","/","-"})))</f>
        <v>14_B</v>
      </c>
      <c r="H442" t="str" cm="1">
        <f t="array" ref="H44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42" cm="1">
        <f t="array" ref="I44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42" t="str">
        <f>IF(IFERROR(SEARCH("&gt;",PartList[[#This Row],[ID]]),0),"O",IF(IFERROR(SEARCH("&lt;",PartList[[#This Row],[ID]]),0),"I",""))</f>
        <v/>
      </c>
      <c r="K442" t="str" cm="1">
        <f t="array" ref="K4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42" t="str" cm="1">
        <f t="array" ref="L4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42" t="str">
        <f>_xlfn.TEXTJOIN("#",TRUE,PartList[[#This Row],[ASSLY MARK]],PartList[[#This Row],[BOX NO]],PartList[[#This Row],[In/Out]],PartList[[#This Row],[O1-Grid]])</f>
        <v>SF04#Box1_Box2_Box3_Box6#InBB</v>
      </c>
      <c r="N442" t="str">
        <f>_xlfn.TEXTJOIN("#",TRUE,PartList[[#This Row],[ASSLY MARK]],PartList[[#This Row],[BOX NO]],PartList[[#This Row],[In/Out]],PartList[[#This Row],[O2-Grid]])</f>
        <v>SF04#Box1_Box2_Box3_Box6#InBB</v>
      </c>
      <c r="O442">
        <v>1</v>
      </c>
      <c r="P442">
        <f>_xlfn.XLOOKUP(PartList[[#This Row],[ASSLY MARK]],MasterPL[SplitMarkNo],MasterPL[BILL WT.(KG)],0,0)</f>
        <v>2104.31</v>
      </c>
      <c r="Q442" cm="1">
        <f t="array" ref="Q44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42" t="str">
        <v>1HB19</v>
      </c>
      <c r="AB442" s="42">
        <f>SUMIF(PartList[ASSLY MARK],AA442,PartList[Avail. Qty])</f>
        <v>0</v>
      </c>
    </row>
    <row r="443" spans="1:28" x14ac:dyDescent="0.25">
      <c r="A443">
        <v>1041</v>
      </c>
      <c r="B443" t="s">
        <v>429</v>
      </c>
      <c r="C443" t="s">
        <v>1050</v>
      </c>
      <c r="D443" t="s">
        <v>1089</v>
      </c>
      <c r="E443" t="s">
        <v>1086</v>
      </c>
      <c r="F443" t="str" cm="1">
        <f t="array" ref="F443">IF(SUM(IF(PartList[ASSLY MARK]=PartList[[#This Row],[ASSLY MARK]],1,0))&gt;1,"No","Yes")</f>
        <v>No</v>
      </c>
      <c r="G443" t="str" cm="1">
        <f t="array" ref="G443">_xlfn.TEXTJOIN("_",TRUE,TRIM(_xlfn.TEXTSPLIT(PartList[[#This Row],[GRID LOCATION]],{"PR01","/","-"})))</f>
        <v>11_B</v>
      </c>
      <c r="H443" t="str" cm="1">
        <f t="array" ref="H44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43" cm="1">
        <f t="array" ref="I44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43" t="str">
        <f>IF(IFERROR(SEARCH("&gt;",PartList[[#This Row],[ID]]),0),"O",IF(IFERROR(SEARCH("&lt;",PartList[[#This Row],[ID]]),0),"I",""))</f>
        <v/>
      </c>
      <c r="K443" t="str" cm="1">
        <f t="array" ref="K4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43" t="str" cm="1">
        <f t="array" ref="L4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43" t="str">
        <f>_xlfn.TEXTJOIN("#",TRUE,PartList[[#This Row],[ASSLY MARK]],PartList[[#This Row],[BOX NO]],PartList[[#This Row],[In/Out]],PartList[[#This Row],[O1-Grid]])</f>
        <v>SF04#Box1#11_B_A</v>
      </c>
      <c r="N443" t="str">
        <f>_xlfn.TEXTJOIN("#",TRUE,PartList[[#This Row],[ASSLY MARK]],PartList[[#This Row],[BOX NO]],PartList[[#This Row],[In/Out]],PartList[[#This Row],[O2-Grid]])</f>
        <v>SF04#Box1#10_11_B</v>
      </c>
      <c r="O443">
        <v>1</v>
      </c>
      <c r="P443">
        <f>_xlfn.XLOOKUP(PartList[[#This Row],[ASSLY MARK]],MasterPL[SplitMarkNo],MasterPL[BILL WT.(KG)],0,0)</f>
        <v>2104.31</v>
      </c>
      <c r="Q443" cm="1">
        <f t="array" ref="Q44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43" t="str">
        <v>1HB20</v>
      </c>
      <c r="AB443" s="42">
        <f>SUMIF(PartList[ASSLY MARK],AA443,PartList[Avail. Qty])</f>
        <v>0</v>
      </c>
    </row>
    <row r="444" spans="1:28" x14ac:dyDescent="0.25">
      <c r="A444">
        <v>1043</v>
      </c>
      <c r="B444" t="s">
        <v>429</v>
      </c>
      <c r="C444" t="s">
        <v>1048</v>
      </c>
      <c r="D444" t="s">
        <v>1089</v>
      </c>
      <c r="E444" t="s">
        <v>1086</v>
      </c>
      <c r="F444" t="str" cm="1">
        <f t="array" ref="F444">IF(SUM(IF(PartList[ASSLY MARK]=PartList[[#This Row],[ASSLY MARK]],1,0))&gt;1,"No","Yes")</f>
        <v>No</v>
      </c>
      <c r="G444" t="str" cm="1">
        <f t="array" ref="G444">_xlfn.TEXTJOIN("_",TRUE,TRIM(_xlfn.TEXTSPLIT(PartList[[#This Row],[GRID LOCATION]],{"PR01","/","-"})))</f>
        <v>11_A</v>
      </c>
      <c r="H444" t="str" cm="1">
        <f t="array" ref="H44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44" cm="1">
        <f t="array" ref="I44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44" t="str">
        <f>IF(IFERROR(SEARCH("&gt;",PartList[[#This Row],[ID]]),0),"O",IF(IFERROR(SEARCH("&lt;",PartList[[#This Row],[ID]]),0),"I",""))</f>
        <v/>
      </c>
      <c r="K444" t="str" cm="1">
        <f t="array" ref="K4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44" t="str" cm="1">
        <f t="array" ref="L4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44" t="str">
        <f>_xlfn.TEXTJOIN("#",TRUE,PartList[[#This Row],[ASSLY MARK]],PartList[[#This Row],[BOX NO]],PartList[[#This Row],[In/Out]],PartList[[#This Row],[O1-Grid]])</f>
        <v>SF04#Box1#11_B_A</v>
      </c>
      <c r="N444" t="str">
        <f>_xlfn.TEXTJOIN("#",TRUE,PartList[[#This Row],[ASSLY MARK]],PartList[[#This Row],[BOX NO]],PartList[[#This Row],[In/Out]],PartList[[#This Row],[O2-Grid]])</f>
        <v>SF04#Box1#10_11_A</v>
      </c>
      <c r="O444">
        <v>1</v>
      </c>
      <c r="P444">
        <f>_xlfn.XLOOKUP(PartList[[#This Row],[ASSLY MARK]],MasterPL[SplitMarkNo],MasterPL[BILL WT.(KG)],0,0)</f>
        <v>2104.31</v>
      </c>
      <c r="Q444" cm="1">
        <f t="array" ref="Q44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44" t="str">
        <v>1HB21</v>
      </c>
      <c r="AB444" s="42">
        <f>SUMIF(PartList[ASSLY MARK],AA444,PartList[Avail. Qty])</f>
        <v>0</v>
      </c>
    </row>
    <row r="445" spans="1:28" x14ac:dyDescent="0.25">
      <c r="A445">
        <v>1044</v>
      </c>
      <c r="B445" t="s">
        <v>429</v>
      </c>
      <c r="C445" t="s">
        <v>1050</v>
      </c>
      <c r="D445" t="s">
        <v>1089</v>
      </c>
      <c r="E445" t="s">
        <v>1086</v>
      </c>
      <c r="F445" t="str" cm="1">
        <f t="array" ref="F445">IF(SUM(IF(PartList[ASSLY MARK]=PartList[[#This Row],[ASSLY MARK]],1,0))&gt;1,"No","Yes")</f>
        <v>No</v>
      </c>
      <c r="G445" t="str" cm="1">
        <f t="array" ref="G445">_xlfn.TEXTJOIN("_",TRUE,TRIM(_xlfn.TEXTSPLIT(PartList[[#This Row],[GRID LOCATION]],{"PR01","/","-"})))</f>
        <v>11_B</v>
      </c>
      <c r="H445" t="str" cm="1">
        <f t="array" ref="H44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45" cm="1">
        <f t="array" ref="I44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45" t="str">
        <f>IF(IFERROR(SEARCH("&gt;",PartList[[#This Row],[ID]]),0),"O",IF(IFERROR(SEARCH("&lt;",PartList[[#This Row],[ID]]),0),"I",""))</f>
        <v/>
      </c>
      <c r="K445" t="str" cm="1">
        <f t="array" ref="K4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45" t="str" cm="1">
        <f t="array" ref="L4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45" t="str">
        <f>_xlfn.TEXTJOIN("#",TRUE,PartList[[#This Row],[ASSLY MARK]],PartList[[#This Row],[BOX NO]],PartList[[#This Row],[In/Out]],PartList[[#This Row],[O1-Grid]])</f>
        <v>SF04#Box1#11_B_A</v>
      </c>
      <c r="N445" t="str">
        <f>_xlfn.TEXTJOIN("#",TRUE,PartList[[#This Row],[ASSLY MARK]],PartList[[#This Row],[BOX NO]],PartList[[#This Row],[In/Out]],PartList[[#This Row],[O2-Grid]])</f>
        <v>SF04#Box1#10_11_B</v>
      </c>
      <c r="O445">
        <v>1</v>
      </c>
      <c r="P445">
        <f>_xlfn.XLOOKUP(PartList[[#This Row],[ASSLY MARK]],MasterPL[SplitMarkNo],MasterPL[BILL WT.(KG)],0,0)</f>
        <v>2104.31</v>
      </c>
      <c r="Q445" cm="1">
        <f t="array" ref="Q44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45" t="str">
        <v>1HB22</v>
      </c>
      <c r="AB445" s="42">
        <f>SUMIF(PartList[ASSLY MARK],AA445,PartList[Avail. Qty])</f>
        <v>0</v>
      </c>
    </row>
    <row r="446" spans="1:28" x14ac:dyDescent="0.25">
      <c r="A446">
        <v>1046</v>
      </c>
      <c r="B446" t="s">
        <v>429</v>
      </c>
      <c r="C446" t="s">
        <v>1052</v>
      </c>
      <c r="D446" t="s">
        <v>1093</v>
      </c>
      <c r="E446" t="s">
        <v>1086</v>
      </c>
      <c r="F446" t="str" cm="1">
        <f t="array" ref="F446">IF(SUM(IF(PartList[ASSLY MARK]=PartList[[#This Row],[ASSLY MARK]],1,0))&gt;1,"No","Yes")</f>
        <v>No</v>
      </c>
      <c r="G446" t="str" cm="1">
        <f t="array" ref="G446">_xlfn.TEXTJOIN("_",TRUE,TRIM(_xlfn.TEXTSPLIT(PartList[[#This Row],[GRID LOCATION]],{"PR01","/","-"})))</f>
        <v>14_B</v>
      </c>
      <c r="H446" t="str" cm="1">
        <f t="array" ref="H44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46" cm="1">
        <f t="array" ref="I44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46" t="str">
        <f>IF(IFERROR(SEARCH("&gt;",PartList[[#This Row],[ID]]),0),"O",IF(IFERROR(SEARCH("&lt;",PartList[[#This Row],[ID]]),0),"I",""))</f>
        <v/>
      </c>
      <c r="K446" t="str" cm="1">
        <f t="array" ref="K4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46" t="str" cm="1">
        <f t="array" ref="L4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46" t="str">
        <f>_xlfn.TEXTJOIN("#",TRUE,PartList[[#This Row],[ASSLY MARK]],PartList[[#This Row],[BOX NO]],PartList[[#This Row],[In/Out]],PartList[[#This Row],[O1-Grid]])</f>
        <v>SF04#Box1_Box2_Box3_Box6#InBB</v>
      </c>
      <c r="N446" t="str">
        <f>_xlfn.TEXTJOIN("#",TRUE,PartList[[#This Row],[ASSLY MARK]],PartList[[#This Row],[BOX NO]],PartList[[#This Row],[In/Out]],PartList[[#This Row],[O2-Grid]])</f>
        <v>SF04#Box1_Box2_Box3_Box6#InBB</v>
      </c>
      <c r="O446">
        <v>1</v>
      </c>
      <c r="P446">
        <f>_xlfn.XLOOKUP(PartList[[#This Row],[ASSLY MARK]],MasterPL[SplitMarkNo],MasterPL[BILL WT.(KG)],0,0)</f>
        <v>2104.31</v>
      </c>
      <c r="Q446" cm="1">
        <f t="array" ref="Q44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46" t="str">
        <v>1SC07</v>
      </c>
      <c r="AB446" s="42">
        <f>SUMIF(PartList[ASSLY MARK],AA446,PartList[Avail. Qty])</f>
        <v>0</v>
      </c>
    </row>
    <row r="447" spans="1:28" x14ac:dyDescent="0.25">
      <c r="A447">
        <v>1047</v>
      </c>
      <c r="B447" t="s">
        <v>429</v>
      </c>
      <c r="C447" t="s">
        <v>1048</v>
      </c>
      <c r="D447" t="s">
        <v>1089</v>
      </c>
      <c r="E447" t="s">
        <v>1086</v>
      </c>
      <c r="F447" t="str" cm="1">
        <f t="array" ref="F447">IF(SUM(IF(PartList[ASSLY MARK]=PartList[[#This Row],[ASSLY MARK]],1,0))&gt;1,"No","Yes")</f>
        <v>No</v>
      </c>
      <c r="G447" t="str" cm="1">
        <f t="array" ref="G447">_xlfn.TEXTJOIN("_",TRUE,TRIM(_xlfn.TEXTSPLIT(PartList[[#This Row],[GRID LOCATION]],{"PR01","/","-"})))</f>
        <v>11_A</v>
      </c>
      <c r="H447" t="str" cm="1">
        <f t="array" ref="H44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47" cm="1">
        <f t="array" ref="I44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47" t="str">
        <f>IF(IFERROR(SEARCH("&gt;",PartList[[#This Row],[ID]]),0),"O",IF(IFERROR(SEARCH("&lt;",PartList[[#This Row],[ID]]),0),"I",""))</f>
        <v/>
      </c>
      <c r="K447" t="str" cm="1">
        <f t="array" ref="K4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47" t="str" cm="1">
        <f t="array" ref="L4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47" t="str">
        <f>_xlfn.TEXTJOIN("#",TRUE,PartList[[#This Row],[ASSLY MARK]],PartList[[#This Row],[BOX NO]],PartList[[#This Row],[In/Out]],PartList[[#This Row],[O1-Grid]])</f>
        <v>SF04#Box1#11_B_A</v>
      </c>
      <c r="N447" t="str">
        <f>_xlfn.TEXTJOIN("#",TRUE,PartList[[#This Row],[ASSLY MARK]],PartList[[#This Row],[BOX NO]],PartList[[#This Row],[In/Out]],PartList[[#This Row],[O2-Grid]])</f>
        <v>SF04#Box1#10_11_A</v>
      </c>
      <c r="O447">
        <v>1</v>
      </c>
      <c r="P447">
        <f>_xlfn.XLOOKUP(PartList[[#This Row],[ASSLY MARK]],MasterPL[SplitMarkNo],MasterPL[BILL WT.(KG)],0,0)</f>
        <v>2104.31</v>
      </c>
      <c r="Q447" cm="1">
        <f t="array" ref="Q44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47" t="str">
        <v>1SC08</v>
      </c>
      <c r="AB447" s="42">
        <f>SUMIF(PartList[ASSLY MARK],AA447,PartList[Avail. Qty])</f>
        <v>0</v>
      </c>
    </row>
    <row r="448" spans="1:28" x14ac:dyDescent="0.25">
      <c r="A448">
        <v>1048</v>
      </c>
      <c r="B448" t="s">
        <v>429</v>
      </c>
      <c r="C448" t="s">
        <v>1046</v>
      </c>
      <c r="D448" t="s">
        <v>1093</v>
      </c>
      <c r="E448" t="s">
        <v>1086</v>
      </c>
      <c r="F448" t="str" cm="1">
        <f t="array" ref="F448">IF(SUM(IF(PartList[ASSLY MARK]=PartList[[#This Row],[ASSLY MARK]],1,0))&gt;1,"No","Yes")</f>
        <v>No</v>
      </c>
      <c r="G448" t="str" cm="1">
        <f t="array" ref="G448">_xlfn.TEXTJOIN("_",TRUE,TRIM(_xlfn.TEXTSPLIT(PartList[[#This Row],[GRID LOCATION]],{"PR01","/","-"})))</f>
        <v>14_A</v>
      </c>
      <c r="H448" t="str" cm="1">
        <f t="array" ref="H44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48" cm="1">
        <f t="array" ref="I44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48" t="str">
        <f>IF(IFERROR(SEARCH("&gt;",PartList[[#This Row],[ID]]),0),"O",IF(IFERROR(SEARCH("&lt;",PartList[[#This Row],[ID]]),0),"I",""))</f>
        <v/>
      </c>
      <c r="K448" t="str" cm="1">
        <f t="array" ref="K4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48" t="str" cm="1">
        <f t="array" ref="L4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48" t="str">
        <f>_xlfn.TEXTJOIN("#",TRUE,PartList[[#This Row],[ASSLY MARK]],PartList[[#This Row],[BOX NO]],PartList[[#This Row],[In/Out]],PartList[[#This Row],[O1-Grid]])</f>
        <v>SF04#Box1_Box2_Box3_Box6#InBB</v>
      </c>
      <c r="N448" t="str">
        <f>_xlfn.TEXTJOIN("#",TRUE,PartList[[#This Row],[ASSLY MARK]],PartList[[#This Row],[BOX NO]],PartList[[#This Row],[In/Out]],PartList[[#This Row],[O2-Grid]])</f>
        <v>SF04#Box1_Box2_Box3_Box6#InBB</v>
      </c>
      <c r="O448">
        <v>1</v>
      </c>
      <c r="P448">
        <f>_xlfn.XLOOKUP(PartList[[#This Row],[ASSLY MARK]],MasterPL[SplitMarkNo],MasterPL[BILL WT.(KG)],0,0)</f>
        <v>2104.31</v>
      </c>
      <c r="Q448" cm="1">
        <f t="array" ref="Q44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48" t="str">
        <v>1SC09</v>
      </c>
      <c r="AB448" s="42">
        <f>SUMIF(PartList[ASSLY MARK],AA448,PartList[Avail. Qty])</f>
        <v>0</v>
      </c>
    </row>
    <row r="449" spans="1:28" x14ac:dyDescent="0.25">
      <c r="A449">
        <v>1049</v>
      </c>
      <c r="B449" t="s">
        <v>429</v>
      </c>
      <c r="C449" t="s">
        <v>1048</v>
      </c>
      <c r="D449" t="s">
        <v>1090</v>
      </c>
      <c r="E449" t="s">
        <v>1086</v>
      </c>
      <c r="F449" t="str" cm="1">
        <f t="array" ref="F449">IF(SUM(IF(PartList[ASSLY MARK]=PartList[[#This Row],[ASSLY MARK]],1,0))&gt;1,"No","Yes")</f>
        <v>No</v>
      </c>
      <c r="G449" t="str" cm="1">
        <f t="array" ref="G449">_xlfn.TEXTJOIN("_",TRUE,TRIM(_xlfn.TEXTSPLIT(PartList[[#This Row],[GRID LOCATION]],{"PR01","/","-"})))</f>
        <v>11_A</v>
      </c>
      <c r="H449" t="str" cm="1">
        <f t="array" ref="H44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49" cm="1">
        <f t="array" ref="I44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49" t="str">
        <f>IF(IFERROR(SEARCH("&gt;",PartList[[#This Row],[ID]]),0),"O",IF(IFERROR(SEARCH("&lt;",PartList[[#This Row],[ID]]),0),"I",""))</f>
        <v/>
      </c>
      <c r="K449" t="str" cm="1">
        <f t="array" ref="K4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49" t="str" cm="1">
        <f t="array" ref="L4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49" t="str">
        <f>_xlfn.TEXTJOIN("#",TRUE,PartList[[#This Row],[ASSLY MARK]],PartList[[#This Row],[BOX NO]],PartList[[#This Row],[In/Out]],PartList[[#This Row],[O1-Grid]])</f>
        <v>SF04#Box1#11_B_A</v>
      </c>
      <c r="N449" t="str">
        <f>_xlfn.TEXTJOIN("#",TRUE,PartList[[#This Row],[ASSLY MARK]],PartList[[#This Row],[BOX NO]],PartList[[#This Row],[In/Out]],PartList[[#This Row],[O2-Grid]])</f>
        <v>SF04#Box1#10_11_A</v>
      </c>
      <c r="O449">
        <v>1</v>
      </c>
      <c r="P449">
        <f>_xlfn.XLOOKUP(PartList[[#This Row],[ASSLY MARK]],MasterPL[SplitMarkNo],MasterPL[BILL WT.(KG)],0,0)</f>
        <v>2104.31</v>
      </c>
      <c r="Q449" cm="1">
        <f t="array" ref="Q44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49" t="str">
        <v>1SC10</v>
      </c>
      <c r="AB449" s="42">
        <f>SUMIF(PartList[ASSLY MARK],AA449,PartList[Avail. Qty])</f>
        <v>0</v>
      </c>
    </row>
    <row r="450" spans="1:28" x14ac:dyDescent="0.25">
      <c r="A450">
        <v>1052</v>
      </c>
      <c r="B450" t="s">
        <v>429</v>
      </c>
      <c r="C450" t="s">
        <v>1048</v>
      </c>
      <c r="D450" t="s">
        <v>1090</v>
      </c>
      <c r="E450" t="s">
        <v>1086</v>
      </c>
      <c r="F450" t="str" cm="1">
        <f t="array" ref="F450">IF(SUM(IF(PartList[ASSLY MARK]=PartList[[#This Row],[ASSLY MARK]],1,0))&gt;1,"No","Yes")</f>
        <v>No</v>
      </c>
      <c r="G450" t="str" cm="1">
        <f t="array" ref="G450">_xlfn.TEXTJOIN("_",TRUE,TRIM(_xlfn.TEXTSPLIT(PartList[[#This Row],[GRID LOCATION]],{"PR01","/","-"})))</f>
        <v>11_A</v>
      </c>
      <c r="H450" t="str" cm="1">
        <f t="array" ref="H45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50" cm="1">
        <f t="array" ref="I45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50" t="str">
        <f>IF(IFERROR(SEARCH("&gt;",PartList[[#This Row],[ID]]),0),"O",IF(IFERROR(SEARCH("&lt;",PartList[[#This Row],[ID]]),0),"I",""))</f>
        <v/>
      </c>
      <c r="K450" t="str" cm="1">
        <f t="array" ref="K4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50" t="str" cm="1">
        <f t="array" ref="L4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50" t="str">
        <f>_xlfn.TEXTJOIN("#",TRUE,PartList[[#This Row],[ASSLY MARK]],PartList[[#This Row],[BOX NO]],PartList[[#This Row],[In/Out]],PartList[[#This Row],[O1-Grid]])</f>
        <v>SF04#Box1#11_B_A</v>
      </c>
      <c r="N450" t="str">
        <f>_xlfn.TEXTJOIN("#",TRUE,PartList[[#This Row],[ASSLY MARK]],PartList[[#This Row],[BOX NO]],PartList[[#This Row],[In/Out]],PartList[[#This Row],[O2-Grid]])</f>
        <v>SF04#Box1#10_11_A</v>
      </c>
      <c r="O450">
        <v>1</v>
      </c>
      <c r="P450">
        <f>_xlfn.XLOOKUP(PartList[[#This Row],[ASSLY MARK]],MasterPL[SplitMarkNo],MasterPL[BILL WT.(KG)],0,0)</f>
        <v>2104.31</v>
      </c>
      <c r="Q450" cm="1">
        <f t="array" ref="Q45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50" t="str">
        <v>1SC11</v>
      </c>
      <c r="AB450" s="42">
        <f>SUMIF(PartList[ASSLY MARK],AA450,PartList[Avail. Qty])</f>
        <v>0</v>
      </c>
    </row>
    <row r="451" spans="1:28" x14ac:dyDescent="0.25">
      <c r="A451">
        <v>1054</v>
      </c>
      <c r="B451" t="s">
        <v>429</v>
      </c>
      <c r="C451" t="s">
        <v>1046</v>
      </c>
      <c r="D451" t="s">
        <v>1093</v>
      </c>
      <c r="E451" t="s">
        <v>1086</v>
      </c>
      <c r="F451" t="str" cm="1">
        <f t="array" ref="F451">IF(SUM(IF(PartList[ASSLY MARK]=PartList[[#This Row],[ASSLY MARK]],1,0))&gt;1,"No","Yes")</f>
        <v>No</v>
      </c>
      <c r="G451" t="str" cm="1">
        <f t="array" ref="G451">_xlfn.TEXTJOIN("_",TRUE,TRIM(_xlfn.TEXTSPLIT(PartList[[#This Row],[GRID LOCATION]],{"PR01","/","-"})))</f>
        <v>14_A</v>
      </c>
      <c r="H451" t="str" cm="1">
        <f t="array" ref="H45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51" cm="1">
        <f t="array" ref="I45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51" t="str">
        <f>IF(IFERROR(SEARCH("&gt;",PartList[[#This Row],[ID]]),0),"O",IF(IFERROR(SEARCH("&lt;",PartList[[#This Row],[ID]]),0),"I",""))</f>
        <v/>
      </c>
      <c r="K451" t="str" cm="1">
        <f t="array" ref="K4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51" t="str" cm="1">
        <f t="array" ref="L4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51" t="str">
        <f>_xlfn.TEXTJOIN("#",TRUE,PartList[[#This Row],[ASSLY MARK]],PartList[[#This Row],[BOX NO]],PartList[[#This Row],[In/Out]],PartList[[#This Row],[O1-Grid]])</f>
        <v>SF04#Box1_Box2_Box3_Box6#InBB</v>
      </c>
      <c r="N451" t="str">
        <f>_xlfn.TEXTJOIN("#",TRUE,PartList[[#This Row],[ASSLY MARK]],PartList[[#This Row],[BOX NO]],PartList[[#This Row],[In/Out]],PartList[[#This Row],[O2-Grid]])</f>
        <v>SF04#Box1_Box2_Box3_Box6#InBB</v>
      </c>
      <c r="O451">
        <v>1</v>
      </c>
      <c r="P451">
        <f>_xlfn.XLOOKUP(PartList[[#This Row],[ASSLY MARK]],MasterPL[SplitMarkNo],MasterPL[BILL WT.(KG)],0,0)</f>
        <v>2104.31</v>
      </c>
      <c r="Q451" cm="1">
        <f t="array" ref="Q45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51" t="str">
        <v>1SC12</v>
      </c>
      <c r="AB451" s="42">
        <f>SUMIF(PartList[ASSLY MARK],AA451,PartList[Avail. Qty])</f>
        <v>0</v>
      </c>
    </row>
    <row r="452" spans="1:28" x14ac:dyDescent="0.25">
      <c r="A452">
        <v>1055</v>
      </c>
      <c r="B452" t="s">
        <v>429</v>
      </c>
      <c r="C452" t="s">
        <v>1045</v>
      </c>
      <c r="D452" t="s">
        <v>1089</v>
      </c>
      <c r="E452" t="s">
        <v>1086</v>
      </c>
      <c r="F452" t="str" cm="1">
        <f t="array" ref="F452">IF(SUM(IF(PartList[ASSLY MARK]=PartList[[#This Row],[ASSLY MARK]],1,0))&gt;1,"No","Yes")</f>
        <v>No</v>
      </c>
      <c r="G452" t="str" cm="1">
        <f t="array" ref="G452">_xlfn.TEXTJOIN("_",TRUE,TRIM(_xlfn.TEXTSPLIT(PartList[[#This Row],[GRID LOCATION]],{"PR01","/","-"})))</f>
        <v>10_B</v>
      </c>
      <c r="H452" t="str" cm="1">
        <f t="array" ref="H45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52" cm="1">
        <f t="array" ref="I45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52" t="str">
        <f>IF(IFERROR(SEARCH("&gt;",PartList[[#This Row],[ID]]),0),"O",IF(IFERROR(SEARCH("&lt;",PartList[[#This Row],[ID]]),0),"I",""))</f>
        <v/>
      </c>
      <c r="K452" t="str" cm="1">
        <f t="array" ref="K4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52" t="str" cm="1">
        <f t="array" ref="L4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52" t="str">
        <f>_xlfn.TEXTJOIN("#",TRUE,PartList[[#This Row],[ASSLY MARK]],PartList[[#This Row],[BOX NO]],PartList[[#This Row],[In/Out]],PartList[[#This Row],[O1-Grid]])</f>
        <v>SF04#Box1#10_B_A</v>
      </c>
      <c r="N452" t="str">
        <f>_xlfn.TEXTJOIN("#",TRUE,PartList[[#This Row],[ASSLY MARK]],PartList[[#This Row],[BOX NO]],PartList[[#This Row],[In/Out]],PartList[[#This Row],[O2-Grid]])</f>
        <v>SF04#Box1#10_11_B</v>
      </c>
      <c r="O452">
        <v>1</v>
      </c>
      <c r="P452">
        <f>_xlfn.XLOOKUP(PartList[[#This Row],[ASSLY MARK]],MasterPL[SplitMarkNo],MasterPL[BILL WT.(KG)],0,0)</f>
        <v>2104.31</v>
      </c>
      <c r="Q452" cm="1">
        <f t="array" ref="Q45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52" t="str">
        <v>1SC13</v>
      </c>
      <c r="AB452" s="42">
        <f>SUMIF(PartList[ASSLY MARK],AA452,PartList[Avail. Qty])</f>
        <v>0</v>
      </c>
    </row>
    <row r="453" spans="1:28" x14ac:dyDescent="0.25">
      <c r="A453">
        <v>1058</v>
      </c>
      <c r="B453" t="s">
        <v>429</v>
      </c>
      <c r="C453" t="s">
        <v>1045</v>
      </c>
      <c r="D453" t="s">
        <v>1089</v>
      </c>
      <c r="E453" t="s">
        <v>1086</v>
      </c>
      <c r="F453" t="str" cm="1">
        <f t="array" ref="F453">IF(SUM(IF(PartList[ASSLY MARK]=PartList[[#This Row],[ASSLY MARK]],1,0))&gt;1,"No","Yes")</f>
        <v>No</v>
      </c>
      <c r="G453" t="str" cm="1">
        <f t="array" ref="G453">_xlfn.TEXTJOIN("_",TRUE,TRIM(_xlfn.TEXTSPLIT(PartList[[#This Row],[GRID LOCATION]],{"PR01","/","-"})))</f>
        <v>10_B</v>
      </c>
      <c r="H453" t="str" cm="1">
        <f t="array" ref="H45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53" cm="1">
        <f t="array" ref="I45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53" t="str">
        <f>IF(IFERROR(SEARCH("&gt;",PartList[[#This Row],[ID]]),0),"O",IF(IFERROR(SEARCH("&lt;",PartList[[#This Row],[ID]]),0),"I",""))</f>
        <v/>
      </c>
      <c r="K453" t="str" cm="1">
        <f t="array" ref="K4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53" t="str" cm="1">
        <f t="array" ref="L4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53" t="str">
        <f>_xlfn.TEXTJOIN("#",TRUE,PartList[[#This Row],[ASSLY MARK]],PartList[[#This Row],[BOX NO]],PartList[[#This Row],[In/Out]],PartList[[#This Row],[O1-Grid]])</f>
        <v>SF04#Box1#10_B_A</v>
      </c>
      <c r="N453" t="str">
        <f>_xlfn.TEXTJOIN("#",TRUE,PartList[[#This Row],[ASSLY MARK]],PartList[[#This Row],[BOX NO]],PartList[[#This Row],[In/Out]],PartList[[#This Row],[O2-Grid]])</f>
        <v>SF04#Box1#10_11_B</v>
      </c>
      <c r="O453">
        <v>1</v>
      </c>
      <c r="P453">
        <f>_xlfn.XLOOKUP(PartList[[#This Row],[ASSLY MARK]],MasterPL[SplitMarkNo],MasterPL[BILL WT.(KG)],0,0)</f>
        <v>2104.31</v>
      </c>
      <c r="Q453" cm="1">
        <f t="array" ref="Q45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53" t="str">
        <v>1SC14</v>
      </c>
      <c r="AB453" s="42">
        <f>SUMIF(PartList[ASSLY MARK],AA453,PartList[Avail. Qty])</f>
        <v>0</v>
      </c>
    </row>
    <row r="454" spans="1:28" x14ac:dyDescent="0.25">
      <c r="A454">
        <v>1061</v>
      </c>
      <c r="B454" t="s">
        <v>429</v>
      </c>
      <c r="C454" t="s">
        <v>1038</v>
      </c>
      <c r="D454" t="s">
        <v>1089</v>
      </c>
      <c r="E454" t="s">
        <v>1086</v>
      </c>
      <c r="F454" t="str" cm="1">
        <f t="array" ref="F454">IF(SUM(IF(PartList[ASSLY MARK]=PartList[[#This Row],[ASSLY MARK]],1,0))&gt;1,"No","Yes")</f>
        <v>No</v>
      </c>
      <c r="G454" t="str" cm="1">
        <f t="array" ref="G454">_xlfn.TEXTJOIN("_",TRUE,TRIM(_xlfn.TEXTSPLIT(PartList[[#This Row],[GRID LOCATION]],{"PR01","/","-"})))</f>
        <v>10_A</v>
      </c>
      <c r="H454" t="str" cm="1">
        <f t="array" ref="H45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54" cm="1">
        <f t="array" ref="I45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54" t="str">
        <f>IF(IFERROR(SEARCH("&gt;",PartList[[#This Row],[ID]]),0),"O",IF(IFERROR(SEARCH("&lt;",PartList[[#This Row],[ID]]),0),"I",""))</f>
        <v/>
      </c>
      <c r="K454" t="str" cm="1">
        <f t="array" ref="K4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54" t="str" cm="1">
        <f t="array" ref="L4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54" t="str">
        <f>_xlfn.TEXTJOIN("#",TRUE,PartList[[#This Row],[ASSLY MARK]],PartList[[#This Row],[BOX NO]],PartList[[#This Row],[In/Out]],PartList[[#This Row],[O1-Grid]])</f>
        <v>SF04#Box1#10_B_A</v>
      </c>
      <c r="N454" t="str">
        <f>_xlfn.TEXTJOIN("#",TRUE,PartList[[#This Row],[ASSLY MARK]],PartList[[#This Row],[BOX NO]],PartList[[#This Row],[In/Out]],PartList[[#This Row],[O2-Grid]])</f>
        <v>SF04#Box1#10_11_A</v>
      </c>
      <c r="O454">
        <v>1</v>
      </c>
      <c r="P454">
        <f>_xlfn.XLOOKUP(PartList[[#This Row],[ASSLY MARK]],MasterPL[SplitMarkNo],MasterPL[BILL WT.(KG)],0,0)</f>
        <v>2104.31</v>
      </c>
      <c r="Q454" cm="1">
        <f t="array" ref="Q45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54" t="str">
        <v>2BE13</v>
      </c>
      <c r="AB454" s="42">
        <f>SUMIF(PartList[ASSLY MARK],AA454,PartList[Avail. Qty])</f>
        <v>0</v>
      </c>
    </row>
    <row r="455" spans="1:28" x14ac:dyDescent="0.25">
      <c r="A455">
        <v>1064</v>
      </c>
      <c r="B455" t="s">
        <v>429</v>
      </c>
      <c r="C455" t="s">
        <v>1038</v>
      </c>
      <c r="D455" t="s">
        <v>1089</v>
      </c>
      <c r="E455" t="s">
        <v>1086</v>
      </c>
      <c r="F455" t="str" cm="1">
        <f t="array" ref="F455">IF(SUM(IF(PartList[ASSLY MARK]=PartList[[#This Row],[ASSLY MARK]],1,0))&gt;1,"No","Yes")</f>
        <v>No</v>
      </c>
      <c r="G455" t="str" cm="1">
        <f t="array" ref="G455">_xlfn.TEXTJOIN("_",TRUE,TRIM(_xlfn.TEXTSPLIT(PartList[[#This Row],[GRID LOCATION]],{"PR01","/","-"})))</f>
        <v>10_A</v>
      </c>
      <c r="H455" t="str" cm="1">
        <f t="array" ref="H45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55" cm="1">
        <f t="array" ref="I45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55" t="str">
        <f>IF(IFERROR(SEARCH("&gt;",PartList[[#This Row],[ID]]),0),"O",IF(IFERROR(SEARCH("&lt;",PartList[[#This Row],[ID]]),0),"I",""))</f>
        <v/>
      </c>
      <c r="K455" t="str" cm="1">
        <f t="array" ref="K4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55" t="str" cm="1">
        <f t="array" ref="L4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55" t="str">
        <f>_xlfn.TEXTJOIN("#",TRUE,PartList[[#This Row],[ASSLY MARK]],PartList[[#This Row],[BOX NO]],PartList[[#This Row],[In/Out]],PartList[[#This Row],[O1-Grid]])</f>
        <v>SF04#Box1#10_B_A</v>
      </c>
      <c r="N455" t="str">
        <f>_xlfn.TEXTJOIN("#",TRUE,PartList[[#This Row],[ASSLY MARK]],PartList[[#This Row],[BOX NO]],PartList[[#This Row],[In/Out]],PartList[[#This Row],[O2-Grid]])</f>
        <v>SF04#Box1#10_11_A</v>
      </c>
      <c r="O455">
        <v>1</v>
      </c>
      <c r="P455">
        <f>_xlfn.XLOOKUP(PartList[[#This Row],[ASSLY MARK]],MasterPL[SplitMarkNo],MasterPL[BILL WT.(KG)],0,0)</f>
        <v>2104.31</v>
      </c>
      <c r="Q455" cm="1">
        <f t="array" ref="Q45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55" t="str">
        <v>2BE22</v>
      </c>
      <c r="AB455" s="42">
        <f>SUMIF(PartList[ASSLY MARK],AA455,PartList[Avail. Qty])</f>
        <v>0</v>
      </c>
    </row>
    <row r="456" spans="1:28" x14ac:dyDescent="0.25">
      <c r="A456">
        <v>1067</v>
      </c>
      <c r="B456" t="s">
        <v>429</v>
      </c>
      <c r="C456" t="s">
        <v>1038</v>
      </c>
      <c r="D456" t="s">
        <v>1090</v>
      </c>
      <c r="E456" t="s">
        <v>1086</v>
      </c>
      <c r="F456" t="str" cm="1">
        <f t="array" ref="F456">IF(SUM(IF(PartList[ASSLY MARK]=PartList[[#This Row],[ASSLY MARK]],1,0))&gt;1,"No","Yes")</f>
        <v>No</v>
      </c>
      <c r="G456" t="str" cm="1">
        <f t="array" ref="G456">_xlfn.TEXTJOIN("_",TRUE,TRIM(_xlfn.TEXTSPLIT(PartList[[#This Row],[GRID LOCATION]],{"PR01","/","-"})))</f>
        <v>10_A</v>
      </c>
      <c r="H456" t="str" cm="1">
        <f t="array" ref="H45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56" cm="1">
        <f t="array" ref="I45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56" t="str">
        <f>IF(IFERROR(SEARCH("&gt;",PartList[[#This Row],[ID]]),0),"O",IF(IFERROR(SEARCH("&lt;",PartList[[#This Row],[ID]]),0),"I",""))</f>
        <v/>
      </c>
      <c r="K456" t="str" cm="1">
        <f t="array" ref="K4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56" t="str" cm="1">
        <f t="array" ref="L4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56" t="str">
        <f>_xlfn.TEXTJOIN("#",TRUE,PartList[[#This Row],[ASSLY MARK]],PartList[[#This Row],[BOX NO]],PartList[[#This Row],[In/Out]],PartList[[#This Row],[O1-Grid]])</f>
        <v>SF04#Box1#10_B_A</v>
      </c>
      <c r="N456" t="str">
        <f>_xlfn.TEXTJOIN("#",TRUE,PartList[[#This Row],[ASSLY MARK]],PartList[[#This Row],[BOX NO]],PartList[[#This Row],[In/Out]],PartList[[#This Row],[O2-Grid]])</f>
        <v>SF04#Box1#10_11_A</v>
      </c>
      <c r="O456">
        <v>1</v>
      </c>
      <c r="P456">
        <f>_xlfn.XLOOKUP(PartList[[#This Row],[ASSLY MARK]],MasterPL[SplitMarkNo],MasterPL[BILL WT.(KG)],0,0)</f>
        <v>2104.31</v>
      </c>
      <c r="Q456" cm="1">
        <f t="array" ref="Q45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56" t="str">
        <v>2BE24</v>
      </c>
      <c r="AB456" s="42">
        <f>SUMIF(PartList[ASSLY MARK],AA456,PartList[Avail. Qty])</f>
        <v>0</v>
      </c>
    </row>
    <row r="457" spans="1:28" x14ac:dyDescent="0.25">
      <c r="A457">
        <v>1068</v>
      </c>
      <c r="B457" t="s">
        <v>429</v>
      </c>
      <c r="C457" t="s">
        <v>1050</v>
      </c>
      <c r="D457" t="s">
        <v>1094</v>
      </c>
      <c r="E457" t="s">
        <v>1086</v>
      </c>
      <c r="F457" t="str" cm="1">
        <f t="array" ref="F457">IF(SUM(IF(PartList[ASSLY MARK]=PartList[[#This Row],[ASSLY MARK]],1,0))&gt;1,"No","Yes")</f>
        <v>No</v>
      </c>
      <c r="G457" t="str" cm="1">
        <f t="array" ref="G457">_xlfn.TEXTJOIN("_",TRUE,TRIM(_xlfn.TEXTSPLIT(PartList[[#This Row],[GRID LOCATION]],{"PR01","/","-"})))</f>
        <v>11_B</v>
      </c>
      <c r="H457" t="str" cm="1">
        <f t="array" ref="H45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57" cm="1">
        <f t="array" ref="I45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57" t="str">
        <f>IF(IFERROR(SEARCH("&gt;",PartList[[#This Row],[ID]]),0),"O",IF(IFERROR(SEARCH("&lt;",PartList[[#This Row],[ID]]),0),"I",""))</f>
        <v/>
      </c>
      <c r="K457" t="str" cm="1">
        <f t="array" ref="K4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57" t="str" cm="1">
        <f t="array" ref="L4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57" t="str">
        <f>_xlfn.TEXTJOIN("#",TRUE,PartList[[#This Row],[ASSLY MARK]],PartList[[#This Row],[BOX NO]],PartList[[#This Row],[In/Out]],PartList[[#This Row],[O1-Grid]])</f>
        <v>SF04#Box1#11_B_A</v>
      </c>
      <c r="N457" t="str">
        <f>_xlfn.TEXTJOIN("#",TRUE,PartList[[#This Row],[ASSLY MARK]],PartList[[#This Row],[BOX NO]],PartList[[#This Row],[In/Out]],PartList[[#This Row],[O2-Grid]])</f>
        <v>SF04#Box1#10_11_B</v>
      </c>
      <c r="O457">
        <v>1</v>
      </c>
      <c r="P457">
        <f>_xlfn.XLOOKUP(PartList[[#This Row],[ASSLY MARK]],MasterPL[SplitMarkNo],MasterPL[BILL WT.(KG)],0,0)</f>
        <v>2104.31</v>
      </c>
      <c r="Q457" cm="1">
        <f t="array" ref="Q45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57" t="str">
        <v>2BE25</v>
      </c>
      <c r="AB457" s="42">
        <f>SUMIF(PartList[ASSLY MARK],AA457,PartList[Avail. Qty])</f>
        <v>0</v>
      </c>
    </row>
    <row r="458" spans="1:28" x14ac:dyDescent="0.25">
      <c r="A458">
        <v>1070</v>
      </c>
      <c r="B458" t="s">
        <v>429</v>
      </c>
      <c r="C458" t="s">
        <v>1038</v>
      </c>
      <c r="D458" t="s">
        <v>1090</v>
      </c>
      <c r="E458" t="s">
        <v>1086</v>
      </c>
      <c r="F458" t="str" cm="1">
        <f t="array" ref="F458">IF(SUM(IF(PartList[ASSLY MARK]=PartList[[#This Row],[ASSLY MARK]],1,0))&gt;1,"No","Yes")</f>
        <v>No</v>
      </c>
      <c r="G458" t="str" cm="1">
        <f t="array" ref="G458">_xlfn.TEXTJOIN("_",TRUE,TRIM(_xlfn.TEXTSPLIT(PartList[[#This Row],[GRID LOCATION]],{"PR01","/","-"})))</f>
        <v>10_A</v>
      </c>
      <c r="H458" t="str" cm="1">
        <f t="array" ref="H45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58" cm="1">
        <f t="array" ref="I45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58" t="str">
        <f>IF(IFERROR(SEARCH("&gt;",PartList[[#This Row],[ID]]),0),"O",IF(IFERROR(SEARCH("&lt;",PartList[[#This Row],[ID]]),0),"I",""))</f>
        <v/>
      </c>
      <c r="K458" t="str" cm="1">
        <f t="array" ref="K4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58" t="str" cm="1">
        <f t="array" ref="L4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58" t="str">
        <f>_xlfn.TEXTJOIN("#",TRUE,PartList[[#This Row],[ASSLY MARK]],PartList[[#This Row],[BOX NO]],PartList[[#This Row],[In/Out]],PartList[[#This Row],[O1-Grid]])</f>
        <v>SF04#Box1#10_B_A</v>
      </c>
      <c r="N458" t="str">
        <f>_xlfn.TEXTJOIN("#",TRUE,PartList[[#This Row],[ASSLY MARK]],PartList[[#This Row],[BOX NO]],PartList[[#This Row],[In/Out]],PartList[[#This Row],[O2-Grid]])</f>
        <v>SF04#Box1#10_11_A</v>
      </c>
      <c r="O458">
        <v>1</v>
      </c>
      <c r="P458">
        <f>_xlfn.XLOOKUP(PartList[[#This Row],[ASSLY MARK]],MasterPL[SplitMarkNo],MasterPL[BILL WT.(KG)],0,0)</f>
        <v>2104.31</v>
      </c>
      <c r="Q458" cm="1">
        <f t="array" ref="Q45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58" t="str">
        <v>2BE26</v>
      </c>
      <c r="AB458" s="42">
        <f>SUMIF(PartList[ASSLY MARK],AA458,PartList[Avail. Qty])</f>
        <v>0</v>
      </c>
    </row>
    <row r="459" spans="1:28" x14ac:dyDescent="0.25">
      <c r="A459">
        <v>1073</v>
      </c>
      <c r="B459" t="s">
        <v>429</v>
      </c>
      <c r="C459" t="s">
        <v>1045</v>
      </c>
      <c r="D459" t="s">
        <v>1090</v>
      </c>
      <c r="E459" t="s">
        <v>1086</v>
      </c>
      <c r="F459" t="str" cm="1">
        <f t="array" ref="F459">IF(SUM(IF(PartList[ASSLY MARK]=PartList[[#This Row],[ASSLY MARK]],1,0))&gt;1,"No","Yes")</f>
        <v>No</v>
      </c>
      <c r="G459" t="str" cm="1">
        <f t="array" ref="G459">_xlfn.TEXTJOIN("_",TRUE,TRIM(_xlfn.TEXTSPLIT(PartList[[#This Row],[GRID LOCATION]],{"PR01","/","-"})))</f>
        <v>10_B</v>
      </c>
      <c r="H459" t="str" cm="1">
        <f t="array" ref="H45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59" cm="1">
        <f t="array" ref="I45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59" t="str">
        <f>IF(IFERROR(SEARCH("&gt;",PartList[[#This Row],[ID]]),0),"O",IF(IFERROR(SEARCH("&lt;",PartList[[#This Row],[ID]]),0),"I",""))</f>
        <v/>
      </c>
      <c r="K459" t="str" cm="1">
        <f t="array" ref="K4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59" t="str" cm="1">
        <f t="array" ref="L4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59" t="str">
        <f>_xlfn.TEXTJOIN("#",TRUE,PartList[[#This Row],[ASSLY MARK]],PartList[[#This Row],[BOX NO]],PartList[[#This Row],[In/Out]],PartList[[#This Row],[O1-Grid]])</f>
        <v>SF04#Box1#10_B_A</v>
      </c>
      <c r="N459" t="str">
        <f>_xlfn.TEXTJOIN("#",TRUE,PartList[[#This Row],[ASSLY MARK]],PartList[[#This Row],[BOX NO]],PartList[[#This Row],[In/Out]],PartList[[#This Row],[O2-Grid]])</f>
        <v>SF04#Box1#10_11_B</v>
      </c>
      <c r="O459">
        <v>1</v>
      </c>
      <c r="P459">
        <f>_xlfn.XLOOKUP(PartList[[#This Row],[ASSLY MARK]],MasterPL[SplitMarkNo],MasterPL[BILL WT.(KG)],0,0)</f>
        <v>2104.31</v>
      </c>
      <c r="Q459" cm="1">
        <f t="array" ref="Q45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59" t="str">
        <v>2BE27</v>
      </c>
      <c r="AB459" s="42">
        <f>SUMIF(PartList[ASSLY MARK],AA459,PartList[Avail. Qty])</f>
        <v>0</v>
      </c>
    </row>
    <row r="460" spans="1:28" x14ac:dyDescent="0.25">
      <c r="A460">
        <v>1076</v>
      </c>
      <c r="B460" t="s">
        <v>429</v>
      </c>
      <c r="C460" t="s">
        <v>1045</v>
      </c>
      <c r="D460" t="s">
        <v>1090</v>
      </c>
      <c r="E460" t="s">
        <v>1086</v>
      </c>
      <c r="F460" t="str" cm="1">
        <f t="array" ref="F460">IF(SUM(IF(PartList[ASSLY MARK]=PartList[[#This Row],[ASSLY MARK]],1,0))&gt;1,"No","Yes")</f>
        <v>No</v>
      </c>
      <c r="G460" t="str" cm="1">
        <f t="array" ref="G460">_xlfn.TEXTJOIN("_",TRUE,TRIM(_xlfn.TEXTSPLIT(PartList[[#This Row],[GRID LOCATION]],{"PR01","/","-"})))</f>
        <v>10_B</v>
      </c>
      <c r="H460" t="str" cm="1">
        <f t="array" ref="H46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60" cm="1">
        <f t="array" ref="I46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60" t="str">
        <f>IF(IFERROR(SEARCH("&gt;",PartList[[#This Row],[ID]]),0),"O",IF(IFERROR(SEARCH("&lt;",PartList[[#This Row],[ID]]),0),"I",""))</f>
        <v/>
      </c>
      <c r="K460" t="str" cm="1">
        <f t="array" ref="K4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60" t="str" cm="1">
        <f t="array" ref="L4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60" t="str">
        <f>_xlfn.TEXTJOIN("#",TRUE,PartList[[#This Row],[ASSLY MARK]],PartList[[#This Row],[BOX NO]],PartList[[#This Row],[In/Out]],PartList[[#This Row],[O1-Grid]])</f>
        <v>SF04#Box1#10_B_A</v>
      </c>
      <c r="N460" t="str">
        <f>_xlfn.TEXTJOIN("#",TRUE,PartList[[#This Row],[ASSLY MARK]],PartList[[#This Row],[BOX NO]],PartList[[#This Row],[In/Out]],PartList[[#This Row],[O2-Grid]])</f>
        <v>SF04#Box1#10_11_B</v>
      </c>
      <c r="O460">
        <v>1</v>
      </c>
      <c r="P460">
        <f>_xlfn.XLOOKUP(PartList[[#This Row],[ASSLY MARK]],MasterPL[SplitMarkNo],MasterPL[BILL WT.(KG)],0,0)</f>
        <v>2104.31</v>
      </c>
      <c r="Q460" cm="1">
        <f t="array" ref="Q46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60" t="str">
        <v>2BE28</v>
      </c>
      <c r="AB460" s="42">
        <f>SUMIF(PartList[ASSLY MARK],AA460,PartList[Avail. Qty])</f>
        <v>0</v>
      </c>
    </row>
    <row r="461" spans="1:28" x14ac:dyDescent="0.25">
      <c r="A461">
        <v>1077</v>
      </c>
      <c r="B461" t="s">
        <v>430</v>
      </c>
      <c r="C461" t="s">
        <v>1050</v>
      </c>
      <c r="D461" t="s">
        <v>426</v>
      </c>
      <c r="E461" t="s">
        <v>1086</v>
      </c>
      <c r="F461" t="str" cm="1">
        <f t="array" ref="F461">IF(SUM(IF(PartList[ASSLY MARK]=PartList[[#This Row],[ASSLY MARK]],1,0))&gt;1,"No","Yes")</f>
        <v>No</v>
      </c>
      <c r="G461" t="str" cm="1">
        <f t="array" ref="G461">_xlfn.TEXTJOIN("_",TRUE,TRIM(_xlfn.TEXTSPLIT(PartList[[#This Row],[GRID LOCATION]],{"PR01","/","-"})))</f>
        <v>11_B</v>
      </c>
      <c r="H461" t="str" cm="1">
        <f t="array" ref="H46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61" cm="1">
        <f t="array" ref="I46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61" t="str">
        <f>IF(IFERROR(SEARCH("&gt;",PartList[[#This Row],[ID]]),0),"O",IF(IFERROR(SEARCH("&lt;",PartList[[#This Row],[ID]]),0),"I",""))</f>
        <v/>
      </c>
      <c r="K461" t="str" cm="1">
        <f t="array" ref="K4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61" t="str" cm="1">
        <f t="array" ref="L4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61" t="str">
        <f>_xlfn.TEXTJOIN("#",TRUE,PartList[[#This Row],[ASSLY MARK]],PartList[[#This Row],[BOX NO]],PartList[[#This Row],[In/Out]],PartList[[#This Row],[O1-Grid]])</f>
        <v>SF05#Box1#11_B_A</v>
      </c>
      <c r="N461" t="str">
        <f>_xlfn.TEXTJOIN("#",TRUE,PartList[[#This Row],[ASSLY MARK]],PartList[[#This Row],[BOX NO]],PartList[[#This Row],[In/Out]],PartList[[#This Row],[O2-Grid]])</f>
        <v>SF05#Box1#10_11_B</v>
      </c>
      <c r="O461">
        <v>1</v>
      </c>
      <c r="P461">
        <f>_xlfn.XLOOKUP(PartList[[#This Row],[ASSLY MARK]],MasterPL[SplitMarkNo],MasterPL[BILL WT.(KG)],0,0)</f>
        <v>449.41</v>
      </c>
      <c r="Q461" cm="1">
        <f t="array" ref="Q46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61" t="str">
        <v>2BE29</v>
      </c>
      <c r="AB461" s="42">
        <f>SUMIF(PartList[ASSLY MARK],AA461,PartList[Avail. Qty])</f>
        <v>0</v>
      </c>
    </row>
    <row r="462" spans="1:28" x14ac:dyDescent="0.25">
      <c r="A462">
        <v>1078</v>
      </c>
      <c r="B462" t="s">
        <v>430</v>
      </c>
      <c r="C462" t="s">
        <v>1050</v>
      </c>
      <c r="D462" t="s">
        <v>426</v>
      </c>
      <c r="E462" t="s">
        <v>1086</v>
      </c>
      <c r="F462" t="str" cm="1">
        <f t="array" ref="F462">IF(SUM(IF(PartList[ASSLY MARK]=PartList[[#This Row],[ASSLY MARK]],1,0))&gt;1,"No","Yes")</f>
        <v>No</v>
      </c>
      <c r="G462" t="str" cm="1">
        <f t="array" ref="G462">_xlfn.TEXTJOIN("_",TRUE,TRIM(_xlfn.TEXTSPLIT(PartList[[#This Row],[GRID LOCATION]],{"PR01","/","-"})))</f>
        <v>11_B</v>
      </c>
      <c r="H462" t="str" cm="1">
        <f t="array" ref="H46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62" cm="1">
        <f t="array" ref="I46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62" t="str">
        <f>IF(IFERROR(SEARCH("&gt;",PartList[[#This Row],[ID]]),0),"O",IF(IFERROR(SEARCH("&lt;",PartList[[#This Row],[ID]]),0),"I",""))</f>
        <v/>
      </c>
      <c r="K462" t="str" cm="1">
        <f t="array" ref="K4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62" t="str" cm="1">
        <f t="array" ref="L4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62" t="str">
        <f>_xlfn.TEXTJOIN("#",TRUE,PartList[[#This Row],[ASSLY MARK]],PartList[[#This Row],[BOX NO]],PartList[[#This Row],[In/Out]],PartList[[#This Row],[O1-Grid]])</f>
        <v>SF05#Box1#11_B_A</v>
      </c>
      <c r="N462" t="str">
        <f>_xlfn.TEXTJOIN("#",TRUE,PartList[[#This Row],[ASSLY MARK]],PartList[[#This Row],[BOX NO]],PartList[[#This Row],[In/Out]],PartList[[#This Row],[O2-Grid]])</f>
        <v>SF05#Box1#10_11_B</v>
      </c>
      <c r="O462">
        <v>1</v>
      </c>
      <c r="P462">
        <f>_xlfn.XLOOKUP(PartList[[#This Row],[ASSLY MARK]],MasterPL[SplitMarkNo],MasterPL[BILL WT.(KG)],0,0)</f>
        <v>449.41</v>
      </c>
      <c r="Q462" cm="1">
        <f t="array" ref="Q46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62" t="str">
        <v>2BE30</v>
      </c>
      <c r="AB462" s="42">
        <f>SUMIF(PartList[ASSLY MARK],AA462,PartList[Avail. Qty])</f>
        <v>0</v>
      </c>
    </row>
    <row r="463" spans="1:28" x14ac:dyDescent="0.25">
      <c r="A463">
        <v>1079</v>
      </c>
      <c r="B463" t="s">
        <v>430</v>
      </c>
      <c r="C463" t="s">
        <v>1048</v>
      </c>
      <c r="D463" t="s">
        <v>426</v>
      </c>
      <c r="E463" t="s">
        <v>1086</v>
      </c>
      <c r="F463" t="str" cm="1">
        <f t="array" ref="F463">IF(SUM(IF(PartList[ASSLY MARK]=PartList[[#This Row],[ASSLY MARK]],1,0))&gt;1,"No","Yes")</f>
        <v>No</v>
      </c>
      <c r="G463" t="str" cm="1">
        <f t="array" ref="G463">_xlfn.TEXTJOIN("_",TRUE,TRIM(_xlfn.TEXTSPLIT(PartList[[#This Row],[GRID LOCATION]],{"PR01","/","-"})))</f>
        <v>11_A</v>
      </c>
      <c r="H463" t="str" cm="1">
        <f t="array" ref="H46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63" cm="1">
        <f t="array" ref="I46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63" t="str">
        <f>IF(IFERROR(SEARCH("&gt;",PartList[[#This Row],[ID]]),0),"O",IF(IFERROR(SEARCH("&lt;",PartList[[#This Row],[ID]]),0),"I",""))</f>
        <v/>
      </c>
      <c r="K463" t="str" cm="1">
        <f t="array" ref="K4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63" t="str" cm="1">
        <f t="array" ref="L4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63" t="str">
        <f>_xlfn.TEXTJOIN("#",TRUE,PartList[[#This Row],[ASSLY MARK]],PartList[[#This Row],[BOX NO]],PartList[[#This Row],[In/Out]],PartList[[#This Row],[O1-Grid]])</f>
        <v>SF05#Box1#11_B_A</v>
      </c>
      <c r="N463" t="str">
        <f>_xlfn.TEXTJOIN("#",TRUE,PartList[[#This Row],[ASSLY MARK]],PartList[[#This Row],[BOX NO]],PartList[[#This Row],[In/Out]],PartList[[#This Row],[O2-Grid]])</f>
        <v>SF05#Box1#10_11_A</v>
      </c>
      <c r="O463">
        <v>1</v>
      </c>
      <c r="P463">
        <f>_xlfn.XLOOKUP(PartList[[#This Row],[ASSLY MARK]],MasterPL[SplitMarkNo],MasterPL[BILL WT.(KG)],0,0)</f>
        <v>449.41</v>
      </c>
      <c r="Q463" cm="1">
        <f t="array" ref="Q46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63" t="str">
        <v>2BE31</v>
      </c>
      <c r="AB463" s="42">
        <f>SUMIF(PartList[ASSLY MARK],AA463,PartList[Avail. Qty])</f>
        <v>0</v>
      </c>
    </row>
    <row r="464" spans="1:28" x14ac:dyDescent="0.25">
      <c r="A464">
        <v>1080</v>
      </c>
      <c r="B464" t="s">
        <v>430</v>
      </c>
      <c r="C464" t="s">
        <v>1048</v>
      </c>
      <c r="D464" t="s">
        <v>426</v>
      </c>
      <c r="E464" t="s">
        <v>1086</v>
      </c>
      <c r="F464" t="str" cm="1">
        <f t="array" ref="F464">IF(SUM(IF(PartList[ASSLY MARK]=PartList[[#This Row],[ASSLY MARK]],1,0))&gt;1,"No","Yes")</f>
        <v>No</v>
      </c>
      <c r="G464" t="str" cm="1">
        <f t="array" ref="G464">_xlfn.TEXTJOIN("_",TRUE,TRIM(_xlfn.TEXTSPLIT(PartList[[#This Row],[GRID LOCATION]],{"PR01","/","-"})))</f>
        <v>11_A</v>
      </c>
      <c r="H464" t="str" cm="1">
        <f t="array" ref="H46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64" cm="1">
        <f t="array" ref="I46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64" t="str">
        <f>IF(IFERROR(SEARCH("&gt;",PartList[[#This Row],[ID]]),0),"O",IF(IFERROR(SEARCH("&lt;",PartList[[#This Row],[ID]]),0),"I",""))</f>
        <v/>
      </c>
      <c r="K464" t="str" cm="1">
        <f t="array" ref="K4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64" t="str" cm="1">
        <f t="array" ref="L4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64" t="str">
        <f>_xlfn.TEXTJOIN("#",TRUE,PartList[[#This Row],[ASSLY MARK]],PartList[[#This Row],[BOX NO]],PartList[[#This Row],[In/Out]],PartList[[#This Row],[O1-Grid]])</f>
        <v>SF05#Box1#11_B_A</v>
      </c>
      <c r="N464" t="str">
        <f>_xlfn.TEXTJOIN("#",TRUE,PartList[[#This Row],[ASSLY MARK]],PartList[[#This Row],[BOX NO]],PartList[[#This Row],[In/Out]],PartList[[#This Row],[O2-Grid]])</f>
        <v>SF05#Box1#10_11_A</v>
      </c>
      <c r="O464">
        <v>1</v>
      </c>
      <c r="P464">
        <f>_xlfn.XLOOKUP(PartList[[#This Row],[ASSLY MARK]],MasterPL[SplitMarkNo],MasterPL[BILL WT.(KG)],0,0)</f>
        <v>449.41</v>
      </c>
      <c r="Q464" cm="1">
        <f t="array" ref="Q46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64" t="str">
        <v>2BE32</v>
      </c>
      <c r="AB464" s="42">
        <f>SUMIF(PartList[ASSLY MARK],AA464,PartList[Avail. Qty])</f>
        <v>0</v>
      </c>
    </row>
    <row r="465" spans="1:28" x14ac:dyDescent="0.25">
      <c r="A465">
        <v>1081</v>
      </c>
      <c r="B465" t="s">
        <v>430</v>
      </c>
      <c r="C465" t="s">
        <v>1050</v>
      </c>
      <c r="D465" t="s">
        <v>426</v>
      </c>
      <c r="E465" t="s">
        <v>1086</v>
      </c>
      <c r="F465" t="str" cm="1">
        <f t="array" ref="F465">IF(SUM(IF(PartList[ASSLY MARK]=PartList[[#This Row],[ASSLY MARK]],1,0))&gt;1,"No","Yes")</f>
        <v>No</v>
      </c>
      <c r="G465" t="str" cm="1">
        <f t="array" ref="G465">_xlfn.TEXTJOIN("_",TRUE,TRIM(_xlfn.TEXTSPLIT(PartList[[#This Row],[GRID LOCATION]],{"PR01","/","-"})))</f>
        <v>11_B</v>
      </c>
      <c r="H465" t="str" cm="1">
        <f t="array" ref="H46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65" cm="1">
        <f t="array" ref="I46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65" t="str">
        <f>IF(IFERROR(SEARCH("&gt;",PartList[[#This Row],[ID]]),0),"O",IF(IFERROR(SEARCH("&lt;",PartList[[#This Row],[ID]]),0),"I",""))</f>
        <v/>
      </c>
      <c r="K465" t="str" cm="1">
        <f t="array" ref="K4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65" t="str" cm="1">
        <f t="array" ref="L4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65" t="str">
        <f>_xlfn.TEXTJOIN("#",TRUE,PartList[[#This Row],[ASSLY MARK]],PartList[[#This Row],[BOX NO]],PartList[[#This Row],[In/Out]],PartList[[#This Row],[O1-Grid]])</f>
        <v>SF05#Box1#11_B_A</v>
      </c>
      <c r="N465" t="str">
        <f>_xlfn.TEXTJOIN("#",TRUE,PartList[[#This Row],[ASSLY MARK]],PartList[[#This Row],[BOX NO]],PartList[[#This Row],[In/Out]],PartList[[#This Row],[O2-Grid]])</f>
        <v>SF05#Box1#10_11_B</v>
      </c>
      <c r="O465">
        <v>1</v>
      </c>
      <c r="P465">
        <f>_xlfn.XLOOKUP(PartList[[#This Row],[ASSLY MARK]],MasterPL[SplitMarkNo],MasterPL[BILL WT.(KG)],0,0)</f>
        <v>449.41</v>
      </c>
      <c r="Q465" cm="1">
        <f t="array" ref="Q46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65" t="str">
        <v>2BE33</v>
      </c>
      <c r="AB465" s="42">
        <f>SUMIF(PartList[ASSLY MARK],AA465,PartList[Avail. Qty])</f>
        <v>0</v>
      </c>
    </row>
    <row r="466" spans="1:28" x14ac:dyDescent="0.25">
      <c r="A466">
        <v>1082</v>
      </c>
      <c r="B466" t="s">
        <v>430</v>
      </c>
      <c r="C466" t="s">
        <v>1050</v>
      </c>
      <c r="D466" t="s">
        <v>426</v>
      </c>
      <c r="E466" t="s">
        <v>1086</v>
      </c>
      <c r="F466" t="str" cm="1">
        <f t="array" ref="F466">IF(SUM(IF(PartList[ASSLY MARK]=PartList[[#This Row],[ASSLY MARK]],1,0))&gt;1,"No","Yes")</f>
        <v>No</v>
      </c>
      <c r="G466" t="str" cm="1">
        <f t="array" ref="G466">_xlfn.TEXTJOIN("_",TRUE,TRIM(_xlfn.TEXTSPLIT(PartList[[#This Row],[GRID LOCATION]],{"PR01","/","-"})))</f>
        <v>11_B</v>
      </c>
      <c r="H466" t="str" cm="1">
        <f t="array" ref="H46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66" cm="1">
        <f t="array" ref="I46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66" t="str">
        <f>IF(IFERROR(SEARCH("&gt;",PartList[[#This Row],[ID]]),0),"O",IF(IFERROR(SEARCH("&lt;",PartList[[#This Row],[ID]]),0),"I",""))</f>
        <v/>
      </c>
      <c r="K466" t="str" cm="1">
        <f t="array" ref="K4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66" t="str" cm="1">
        <f t="array" ref="L4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66" t="str">
        <f>_xlfn.TEXTJOIN("#",TRUE,PartList[[#This Row],[ASSLY MARK]],PartList[[#This Row],[BOX NO]],PartList[[#This Row],[In/Out]],PartList[[#This Row],[O1-Grid]])</f>
        <v>SF05#Box1#11_B_A</v>
      </c>
      <c r="N466" t="str">
        <f>_xlfn.TEXTJOIN("#",TRUE,PartList[[#This Row],[ASSLY MARK]],PartList[[#This Row],[BOX NO]],PartList[[#This Row],[In/Out]],PartList[[#This Row],[O2-Grid]])</f>
        <v>SF05#Box1#10_11_B</v>
      </c>
      <c r="O466">
        <v>1</v>
      </c>
      <c r="P466">
        <f>_xlfn.XLOOKUP(PartList[[#This Row],[ASSLY MARK]],MasterPL[SplitMarkNo],MasterPL[BILL WT.(KG)],0,0)</f>
        <v>449.41</v>
      </c>
      <c r="Q466" cm="1">
        <f t="array" ref="Q46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66" t="str">
        <v>2BE34</v>
      </c>
      <c r="AB466" s="42">
        <f>SUMIF(PartList[ASSLY MARK],AA466,PartList[Avail. Qty])</f>
        <v>0</v>
      </c>
    </row>
    <row r="467" spans="1:28" x14ac:dyDescent="0.25">
      <c r="A467">
        <v>1083</v>
      </c>
      <c r="B467" t="s">
        <v>430</v>
      </c>
      <c r="C467" t="s">
        <v>1048</v>
      </c>
      <c r="D467" t="s">
        <v>426</v>
      </c>
      <c r="E467" t="s">
        <v>1086</v>
      </c>
      <c r="F467" t="str" cm="1">
        <f t="array" ref="F467">IF(SUM(IF(PartList[ASSLY MARK]=PartList[[#This Row],[ASSLY MARK]],1,0))&gt;1,"No","Yes")</f>
        <v>No</v>
      </c>
      <c r="G467" t="str" cm="1">
        <f t="array" ref="G467">_xlfn.TEXTJOIN("_",TRUE,TRIM(_xlfn.TEXTSPLIT(PartList[[#This Row],[GRID LOCATION]],{"PR01","/","-"})))</f>
        <v>11_A</v>
      </c>
      <c r="H467" t="str" cm="1">
        <f t="array" ref="H46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67" cm="1">
        <f t="array" ref="I46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67" t="str">
        <f>IF(IFERROR(SEARCH("&gt;",PartList[[#This Row],[ID]]),0),"O",IF(IFERROR(SEARCH("&lt;",PartList[[#This Row],[ID]]),0),"I",""))</f>
        <v/>
      </c>
      <c r="K467" t="str" cm="1">
        <f t="array" ref="K4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67" t="str" cm="1">
        <f t="array" ref="L4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67" t="str">
        <f>_xlfn.TEXTJOIN("#",TRUE,PartList[[#This Row],[ASSLY MARK]],PartList[[#This Row],[BOX NO]],PartList[[#This Row],[In/Out]],PartList[[#This Row],[O1-Grid]])</f>
        <v>SF05#Box1#11_B_A</v>
      </c>
      <c r="N467" t="str">
        <f>_xlfn.TEXTJOIN("#",TRUE,PartList[[#This Row],[ASSLY MARK]],PartList[[#This Row],[BOX NO]],PartList[[#This Row],[In/Out]],PartList[[#This Row],[O2-Grid]])</f>
        <v>SF05#Box1#10_11_A</v>
      </c>
      <c r="O467">
        <v>1</v>
      </c>
      <c r="P467">
        <f>_xlfn.XLOOKUP(PartList[[#This Row],[ASSLY MARK]],MasterPL[SplitMarkNo],MasterPL[BILL WT.(KG)],0,0)</f>
        <v>449.41</v>
      </c>
      <c r="Q467" cm="1">
        <f t="array" ref="Q46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67" t="str">
        <v>2BE35</v>
      </c>
      <c r="AB467" s="42">
        <f>SUMIF(PartList[ASSLY MARK],AA467,PartList[Avail. Qty])</f>
        <v>0</v>
      </c>
    </row>
    <row r="468" spans="1:28" x14ac:dyDescent="0.25">
      <c r="A468">
        <v>1084</v>
      </c>
      <c r="B468" t="s">
        <v>430</v>
      </c>
      <c r="C468" t="s">
        <v>1048</v>
      </c>
      <c r="D468" t="s">
        <v>426</v>
      </c>
      <c r="E468" t="s">
        <v>1086</v>
      </c>
      <c r="F468" t="str" cm="1">
        <f t="array" ref="F468">IF(SUM(IF(PartList[ASSLY MARK]=PartList[[#This Row],[ASSLY MARK]],1,0))&gt;1,"No","Yes")</f>
        <v>No</v>
      </c>
      <c r="G468" t="str" cm="1">
        <f t="array" ref="G468">_xlfn.TEXTJOIN("_",TRUE,TRIM(_xlfn.TEXTSPLIT(PartList[[#This Row],[GRID LOCATION]],{"PR01","/","-"})))</f>
        <v>11_A</v>
      </c>
      <c r="H468" t="str" cm="1">
        <f t="array" ref="H46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68" cm="1">
        <f t="array" ref="I46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68" t="str">
        <f>IF(IFERROR(SEARCH("&gt;",PartList[[#This Row],[ID]]),0),"O",IF(IFERROR(SEARCH("&lt;",PartList[[#This Row],[ID]]),0),"I",""))</f>
        <v/>
      </c>
      <c r="K468" t="str" cm="1">
        <f t="array" ref="K4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68" t="str" cm="1">
        <f t="array" ref="L4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68" t="str">
        <f>_xlfn.TEXTJOIN("#",TRUE,PartList[[#This Row],[ASSLY MARK]],PartList[[#This Row],[BOX NO]],PartList[[#This Row],[In/Out]],PartList[[#This Row],[O1-Grid]])</f>
        <v>SF05#Box1#11_B_A</v>
      </c>
      <c r="N468" t="str">
        <f>_xlfn.TEXTJOIN("#",TRUE,PartList[[#This Row],[ASSLY MARK]],PartList[[#This Row],[BOX NO]],PartList[[#This Row],[In/Out]],PartList[[#This Row],[O2-Grid]])</f>
        <v>SF05#Box1#10_11_A</v>
      </c>
      <c r="O468">
        <v>1</v>
      </c>
      <c r="P468">
        <f>_xlfn.XLOOKUP(PartList[[#This Row],[ASSLY MARK]],MasterPL[SplitMarkNo],MasterPL[BILL WT.(KG)],0,0)</f>
        <v>449.41</v>
      </c>
      <c r="Q468" cm="1">
        <f t="array" ref="Q46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68" t="str">
        <v>2BE36</v>
      </c>
      <c r="AB468" s="42">
        <f>SUMIF(PartList[ASSLY MARK],AA468,PartList[Avail. Qty])</f>
        <v>0</v>
      </c>
    </row>
    <row r="469" spans="1:28" x14ac:dyDescent="0.25">
      <c r="A469">
        <v>1085</v>
      </c>
      <c r="B469" t="s">
        <v>432</v>
      </c>
      <c r="C469" t="s">
        <v>1050</v>
      </c>
      <c r="D469" t="s">
        <v>426</v>
      </c>
      <c r="E469" t="s">
        <v>1086</v>
      </c>
      <c r="F469" t="str" cm="1">
        <f t="array" ref="F469">IF(SUM(IF(PartList[ASSLY MARK]=PartList[[#This Row],[ASSLY MARK]],1,0))&gt;1,"No","Yes")</f>
        <v>No</v>
      </c>
      <c r="G469" t="str" cm="1">
        <f t="array" ref="G469">_xlfn.TEXTJOIN("_",TRUE,TRIM(_xlfn.TEXTSPLIT(PartList[[#This Row],[GRID LOCATION]],{"PR01","/","-"})))</f>
        <v>11_B</v>
      </c>
      <c r="H469" t="str" cm="1">
        <f t="array" ref="H46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69" cm="1">
        <f t="array" ref="I46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69" t="str">
        <f>IF(IFERROR(SEARCH("&gt;",PartList[[#This Row],[ID]]),0),"O",IF(IFERROR(SEARCH("&lt;",PartList[[#This Row],[ID]]),0),"I",""))</f>
        <v/>
      </c>
      <c r="K469" t="str" cm="1">
        <f t="array" ref="K4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69" t="str" cm="1">
        <f t="array" ref="L4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69" t="str">
        <f>_xlfn.TEXTJOIN("#",TRUE,PartList[[#This Row],[ASSLY MARK]],PartList[[#This Row],[BOX NO]],PartList[[#This Row],[In/Out]],PartList[[#This Row],[O1-Grid]])</f>
        <v>SF06#Box1#11_B_A</v>
      </c>
      <c r="N469" t="str">
        <f>_xlfn.TEXTJOIN("#",TRUE,PartList[[#This Row],[ASSLY MARK]],PartList[[#This Row],[BOX NO]],PartList[[#This Row],[In/Out]],PartList[[#This Row],[O2-Grid]])</f>
        <v>SF06#Box1#10_11_B</v>
      </c>
      <c r="O469">
        <v>1</v>
      </c>
      <c r="P469">
        <f>_xlfn.XLOOKUP(PartList[[#This Row],[ASSLY MARK]],MasterPL[SplitMarkNo],MasterPL[BILL WT.(KG)],0,0)</f>
        <v>548.28</v>
      </c>
      <c r="Q469" cm="1">
        <f t="array" ref="Q46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69" t="str">
        <v>2BE37</v>
      </c>
      <c r="AB469" s="42">
        <f>SUMIF(PartList[ASSLY MARK],AA469,PartList[Avail. Qty])</f>
        <v>0</v>
      </c>
    </row>
    <row r="470" spans="1:28" x14ac:dyDescent="0.25">
      <c r="A470">
        <v>1086</v>
      </c>
      <c r="B470" t="s">
        <v>432</v>
      </c>
      <c r="C470" t="s">
        <v>1050</v>
      </c>
      <c r="D470" t="s">
        <v>426</v>
      </c>
      <c r="E470" t="s">
        <v>1086</v>
      </c>
      <c r="F470" t="str" cm="1">
        <f t="array" ref="F470">IF(SUM(IF(PartList[ASSLY MARK]=PartList[[#This Row],[ASSLY MARK]],1,0))&gt;1,"No","Yes")</f>
        <v>No</v>
      </c>
      <c r="G470" t="str" cm="1">
        <f t="array" ref="G470">_xlfn.TEXTJOIN("_",TRUE,TRIM(_xlfn.TEXTSPLIT(PartList[[#This Row],[GRID LOCATION]],{"PR01","/","-"})))</f>
        <v>11_B</v>
      </c>
      <c r="H470" t="str" cm="1">
        <f t="array" ref="H47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70" cm="1">
        <f t="array" ref="I47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70" t="str">
        <f>IF(IFERROR(SEARCH("&gt;",PartList[[#This Row],[ID]]),0),"O",IF(IFERROR(SEARCH("&lt;",PartList[[#This Row],[ID]]),0),"I",""))</f>
        <v/>
      </c>
      <c r="K470" t="str" cm="1">
        <f t="array" ref="K4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70" t="str" cm="1">
        <f t="array" ref="L4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70" t="str">
        <f>_xlfn.TEXTJOIN("#",TRUE,PartList[[#This Row],[ASSLY MARK]],PartList[[#This Row],[BOX NO]],PartList[[#This Row],[In/Out]],PartList[[#This Row],[O1-Grid]])</f>
        <v>SF06#Box1#11_B_A</v>
      </c>
      <c r="N470" t="str">
        <f>_xlfn.TEXTJOIN("#",TRUE,PartList[[#This Row],[ASSLY MARK]],PartList[[#This Row],[BOX NO]],PartList[[#This Row],[In/Out]],PartList[[#This Row],[O2-Grid]])</f>
        <v>SF06#Box1#10_11_B</v>
      </c>
      <c r="O470">
        <v>1</v>
      </c>
      <c r="P470">
        <f>_xlfn.XLOOKUP(PartList[[#This Row],[ASSLY MARK]],MasterPL[SplitMarkNo],MasterPL[BILL WT.(KG)],0,0)</f>
        <v>548.28</v>
      </c>
      <c r="Q470" cm="1">
        <f t="array" ref="Q47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70" t="str">
        <v>2BE38</v>
      </c>
      <c r="AB470" s="42">
        <f>SUMIF(PartList[ASSLY MARK],AA470,PartList[Avail. Qty])</f>
        <v>0</v>
      </c>
    </row>
    <row r="471" spans="1:28" x14ac:dyDescent="0.25">
      <c r="A471">
        <v>1087</v>
      </c>
      <c r="B471" t="s">
        <v>432</v>
      </c>
      <c r="C471" t="s">
        <v>1048</v>
      </c>
      <c r="D471" t="s">
        <v>426</v>
      </c>
      <c r="E471" t="s">
        <v>1086</v>
      </c>
      <c r="F471" t="str" cm="1">
        <f t="array" ref="F471">IF(SUM(IF(PartList[ASSLY MARK]=PartList[[#This Row],[ASSLY MARK]],1,0))&gt;1,"No","Yes")</f>
        <v>No</v>
      </c>
      <c r="G471" t="str" cm="1">
        <f t="array" ref="G471">_xlfn.TEXTJOIN("_",TRUE,TRIM(_xlfn.TEXTSPLIT(PartList[[#This Row],[GRID LOCATION]],{"PR01","/","-"})))</f>
        <v>11_A</v>
      </c>
      <c r="H471" t="str" cm="1">
        <f t="array" ref="H47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71" cm="1">
        <f t="array" ref="I47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71" t="str">
        <f>IF(IFERROR(SEARCH("&gt;",PartList[[#This Row],[ID]]),0),"O",IF(IFERROR(SEARCH("&lt;",PartList[[#This Row],[ID]]),0),"I",""))</f>
        <v/>
      </c>
      <c r="K471" t="str" cm="1">
        <f t="array" ref="K4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71" t="str" cm="1">
        <f t="array" ref="L4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71" t="str">
        <f>_xlfn.TEXTJOIN("#",TRUE,PartList[[#This Row],[ASSLY MARK]],PartList[[#This Row],[BOX NO]],PartList[[#This Row],[In/Out]],PartList[[#This Row],[O1-Grid]])</f>
        <v>SF06#Box1#11_B_A</v>
      </c>
      <c r="N471" t="str">
        <f>_xlfn.TEXTJOIN("#",TRUE,PartList[[#This Row],[ASSLY MARK]],PartList[[#This Row],[BOX NO]],PartList[[#This Row],[In/Out]],PartList[[#This Row],[O2-Grid]])</f>
        <v>SF06#Box1#10_11_A</v>
      </c>
      <c r="O471">
        <v>1</v>
      </c>
      <c r="P471">
        <f>_xlfn.XLOOKUP(PartList[[#This Row],[ASSLY MARK]],MasterPL[SplitMarkNo],MasterPL[BILL WT.(KG)],0,0)</f>
        <v>548.28</v>
      </c>
      <c r="Q471" cm="1">
        <f t="array" ref="Q47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71" t="str">
        <v>2BE39</v>
      </c>
      <c r="AB471" s="42">
        <f>SUMIF(PartList[ASSLY MARK],AA471,PartList[Avail. Qty])</f>
        <v>0</v>
      </c>
    </row>
    <row r="472" spans="1:28" x14ac:dyDescent="0.25">
      <c r="A472">
        <v>1088</v>
      </c>
      <c r="B472" t="s">
        <v>432</v>
      </c>
      <c r="C472" t="s">
        <v>1048</v>
      </c>
      <c r="D472" t="s">
        <v>426</v>
      </c>
      <c r="E472" t="s">
        <v>1086</v>
      </c>
      <c r="F472" t="str" cm="1">
        <f t="array" ref="F472">IF(SUM(IF(PartList[ASSLY MARK]=PartList[[#This Row],[ASSLY MARK]],1,0))&gt;1,"No","Yes")</f>
        <v>No</v>
      </c>
      <c r="G472" t="str" cm="1">
        <f t="array" ref="G472">_xlfn.TEXTJOIN("_",TRUE,TRIM(_xlfn.TEXTSPLIT(PartList[[#This Row],[GRID LOCATION]],{"PR01","/","-"})))</f>
        <v>11_A</v>
      </c>
      <c r="H472" t="str" cm="1">
        <f t="array" ref="H47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72" cm="1">
        <f t="array" ref="I47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72" t="str">
        <f>IF(IFERROR(SEARCH("&gt;",PartList[[#This Row],[ID]]),0),"O",IF(IFERROR(SEARCH("&lt;",PartList[[#This Row],[ID]]),0),"I",""))</f>
        <v/>
      </c>
      <c r="K472" t="str" cm="1">
        <f t="array" ref="K4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72" t="str" cm="1">
        <f t="array" ref="L4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72" t="str">
        <f>_xlfn.TEXTJOIN("#",TRUE,PartList[[#This Row],[ASSLY MARK]],PartList[[#This Row],[BOX NO]],PartList[[#This Row],[In/Out]],PartList[[#This Row],[O1-Grid]])</f>
        <v>SF06#Box1#11_B_A</v>
      </c>
      <c r="N472" t="str">
        <f>_xlfn.TEXTJOIN("#",TRUE,PartList[[#This Row],[ASSLY MARK]],PartList[[#This Row],[BOX NO]],PartList[[#This Row],[In/Out]],PartList[[#This Row],[O2-Grid]])</f>
        <v>SF06#Box1#10_11_A</v>
      </c>
      <c r="O472">
        <v>1</v>
      </c>
      <c r="P472">
        <f>_xlfn.XLOOKUP(PartList[[#This Row],[ASSLY MARK]],MasterPL[SplitMarkNo],MasterPL[BILL WT.(KG)],0,0)</f>
        <v>548.28</v>
      </c>
      <c r="Q472" cm="1">
        <f t="array" ref="Q47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72" t="str">
        <v>2BE40</v>
      </c>
      <c r="AB472" s="42">
        <f>SUMIF(PartList[ASSLY MARK],AA472,PartList[Avail. Qty])</f>
        <v>0</v>
      </c>
    </row>
    <row r="473" spans="1:28" x14ac:dyDescent="0.25">
      <c r="A473">
        <v>1127</v>
      </c>
      <c r="B473" t="s">
        <v>1103</v>
      </c>
      <c r="C473" t="s">
        <v>1045</v>
      </c>
      <c r="D473" t="s">
        <v>1085</v>
      </c>
      <c r="E473" t="s">
        <v>1086</v>
      </c>
      <c r="F473" t="str" cm="1">
        <f t="array" ref="F473">IF(SUM(IF(PartList[ASSLY MARK]=PartList[[#This Row],[ASSLY MARK]],1,0))&gt;1,"No","Yes")</f>
        <v>No</v>
      </c>
      <c r="G473" t="str" cm="1">
        <f t="array" ref="G473">_xlfn.TEXTJOIN("_",TRUE,TRIM(_xlfn.TEXTSPLIT(PartList[[#This Row],[GRID LOCATION]],{"PR01","/","-"})))</f>
        <v>10_B</v>
      </c>
      <c r="H473" t="str" cm="1">
        <f t="array" ref="H47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73" cm="1">
        <f t="array" ref="I47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73" t="str">
        <f>IF(IFERROR(SEARCH("&gt;",PartList[[#This Row],[ID]]),0),"O",IF(IFERROR(SEARCH("&lt;",PartList[[#This Row],[ID]]),0),"I",""))</f>
        <v/>
      </c>
      <c r="K473" t="str" cm="1">
        <f t="array" ref="K4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73" t="str" cm="1">
        <f t="array" ref="L4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73" t="str">
        <f>_xlfn.TEXTJOIN("#",TRUE,PartList[[#This Row],[ASSLY MARK]],PartList[[#This Row],[BOX NO]],PartList[[#This Row],[In/Out]],PartList[[#This Row],[O1-Grid]])</f>
        <v>SF11#Box1#10_B_A</v>
      </c>
      <c r="N473" t="str">
        <f>_xlfn.TEXTJOIN("#",TRUE,PartList[[#This Row],[ASSLY MARK]],PartList[[#This Row],[BOX NO]],PartList[[#This Row],[In/Out]],PartList[[#This Row],[O2-Grid]])</f>
        <v>SF11#Box1#10_11_B</v>
      </c>
      <c r="O473">
        <f>IF(PartList[[#This Row],[Unique]]="Yes",_xlfn.XLOOKUP(PartList[[#This Row],[ASSLY MARK]],FilteredPL!A:A,FilteredPL!B:B,0,0),0)</f>
        <v>0</v>
      </c>
      <c r="P473">
        <f>_xlfn.XLOOKUP(PartList[[#This Row],[ASSLY MARK]],MasterPL[SplitMarkNo],MasterPL[BILL WT.(KG)],0,0)</f>
        <v>0</v>
      </c>
      <c r="Q473" cm="1">
        <f t="array" ref="Q47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73" t="str">
        <v>2BE41</v>
      </c>
      <c r="AB473" s="42">
        <f>SUMIF(PartList[ASSLY MARK],AA473,PartList[Avail. Qty])</f>
        <v>0</v>
      </c>
    </row>
    <row r="474" spans="1:28" x14ac:dyDescent="0.25">
      <c r="A474">
        <v>1128</v>
      </c>
      <c r="B474" t="s">
        <v>1103</v>
      </c>
      <c r="C474" t="s">
        <v>1045</v>
      </c>
      <c r="D474" t="s">
        <v>1085</v>
      </c>
      <c r="E474" t="s">
        <v>1086</v>
      </c>
      <c r="F474" t="str" cm="1">
        <f t="array" ref="F474">IF(SUM(IF(PartList[ASSLY MARK]=PartList[[#This Row],[ASSLY MARK]],1,0))&gt;1,"No","Yes")</f>
        <v>No</v>
      </c>
      <c r="G474" t="str" cm="1">
        <f t="array" ref="G474">_xlfn.TEXTJOIN("_",TRUE,TRIM(_xlfn.TEXTSPLIT(PartList[[#This Row],[GRID LOCATION]],{"PR01","/","-"})))</f>
        <v>10_B</v>
      </c>
      <c r="H474" t="str" cm="1">
        <f t="array" ref="H47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74" cm="1">
        <f t="array" ref="I47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74" t="str">
        <f>IF(IFERROR(SEARCH("&gt;",PartList[[#This Row],[ID]]),0),"O",IF(IFERROR(SEARCH("&lt;",PartList[[#This Row],[ID]]),0),"I",""))</f>
        <v/>
      </c>
      <c r="K474" t="str" cm="1">
        <f t="array" ref="K4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74" t="str" cm="1">
        <f t="array" ref="L4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74" t="str">
        <f>_xlfn.TEXTJOIN("#",TRUE,PartList[[#This Row],[ASSLY MARK]],PartList[[#This Row],[BOX NO]],PartList[[#This Row],[In/Out]],PartList[[#This Row],[O1-Grid]])</f>
        <v>SF11#Box1#10_B_A</v>
      </c>
      <c r="N474" t="str">
        <f>_xlfn.TEXTJOIN("#",TRUE,PartList[[#This Row],[ASSLY MARK]],PartList[[#This Row],[BOX NO]],PartList[[#This Row],[In/Out]],PartList[[#This Row],[O2-Grid]])</f>
        <v>SF11#Box1#10_11_B</v>
      </c>
      <c r="O474">
        <f>IF(PartList[[#This Row],[Unique]]="Yes",_xlfn.XLOOKUP(PartList[[#This Row],[ASSLY MARK]],FilteredPL!A:A,FilteredPL!B:B,0,0),0)</f>
        <v>0</v>
      </c>
      <c r="P474">
        <f>_xlfn.XLOOKUP(PartList[[#This Row],[ASSLY MARK]],MasterPL[SplitMarkNo],MasterPL[BILL WT.(KG)],0,0)</f>
        <v>0</v>
      </c>
      <c r="Q474" cm="1">
        <f t="array" ref="Q47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74" t="str">
        <v>2BE42</v>
      </c>
      <c r="AB474" s="42">
        <f>SUMIF(PartList[ASSLY MARK],AA474,PartList[Avail. Qty])</f>
        <v>0</v>
      </c>
    </row>
    <row r="475" spans="1:28" x14ac:dyDescent="0.25">
      <c r="A475">
        <v>1129</v>
      </c>
      <c r="B475" t="s">
        <v>1104</v>
      </c>
      <c r="C475" t="s">
        <v>1050</v>
      </c>
      <c r="D475" t="s">
        <v>1094</v>
      </c>
      <c r="E475" t="s">
        <v>1086</v>
      </c>
      <c r="F475" t="str" cm="1">
        <f t="array" ref="F475">IF(SUM(IF(PartList[ASSLY MARK]=PartList[[#This Row],[ASSLY MARK]],1,0))&gt;1,"No","Yes")</f>
        <v>Yes</v>
      </c>
      <c r="G475" t="str" cm="1">
        <f t="array" ref="G475">_xlfn.TEXTJOIN("_",TRUE,TRIM(_xlfn.TEXTSPLIT(PartList[[#This Row],[GRID LOCATION]],{"PR01","/","-"})))</f>
        <v>11_B</v>
      </c>
      <c r="H475" t="str" cm="1">
        <f t="array" ref="H47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75" cm="1">
        <f t="array" ref="I47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75" t="str">
        <f>IF(IFERROR(SEARCH("&gt;",PartList[[#This Row],[ID]]),0),"O",IF(IFERROR(SEARCH("&lt;",PartList[[#This Row],[ID]]),0),"I",""))</f>
        <v/>
      </c>
      <c r="K475" t="str" cm="1">
        <f t="array" ref="K4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75" t="str" cm="1">
        <f t="array" ref="L4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75" t="str">
        <f>_xlfn.TEXTJOIN("#",TRUE,PartList[[#This Row],[ASSLY MARK]],PartList[[#This Row],[BOX NO]],PartList[[#This Row],[In/Out]],PartList[[#This Row],[O1-Grid]])</f>
        <v>SF12#Box1#11_B_A</v>
      </c>
      <c r="N475" t="str">
        <f>_xlfn.TEXTJOIN("#",TRUE,PartList[[#This Row],[ASSLY MARK]],PartList[[#This Row],[BOX NO]],PartList[[#This Row],[In/Out]],PartList[[#This Row],[O2-Grid]])</f>
        <v>SF12#Box1#10_11_B</v>
      </c>
      <c r="O475">
        <f>IF(PartList[[#This Row],[Unique]]="Yes",_xlfn.XLOOKUP(PartList[[#This Row],[ASSLY MARK]],FilteredPL!A:A,FilteredPL!B:B,0,0),0)</f>
        <v>0</v>
      </c>
      <c r="P475">
        <f>_xlfn.XLOOKUP(PartList[[#This Row],[ASSLY MARK]],MasterPL[SplitMarkNo],MasterPL[BILL WT.(KG)],0,0)</f>
        <v>0</v>
      </c>
      <c r="Q475" cm="1">
        <f t="array" ref="Q47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75" t="str">
        <v>2BE43</v>
      </c>
      <c r="AB475" s="42">
        <f>SUMIF(PartList[ASSLY MARK],AA475,PartList[Avail. Qty])</f>
        <v>0</v>
      </c>
    </row>
    <row r="476" spans="1:28" x14ac:dyDescent="0.25">
      <c r="A476">
        <v>1130</v>
      </c>
      <c r="B476" t="s">
        <v>1105</v>
      </c>
      <c r="C476" t="s">
        <v>1046</v>
      </c>
      <c r="D476" t="s">
        <v>1087</v>
      </c>
      <c r="E476" t="s">
        <v>1086</v>
      </c>
      <c r="F476" t="str" cm="1">
        <f t="array" ref="F476">IF(SUM(IF(PartList[ASSLY MARK]=PartList[[#This Row],[ASSLY MARK]],1,0))&gt;1,"No","Yes")</f>
        <v>No</v>
      </c>
      <c r="G476" t="str" cm="1">
        <f t="array" ref="G476">_xlfn.TEXTJOIN("_",TRUE,TRIM(_xlfn.TEXTSPLIT(PartList[[#This Row],[GRID LOCATION]],{"PR01","/","-"})))</f>
        <v>14_A</v>
      </c>
      <c r="H476" t="str" cm="1">
        <f t="array" ref="H47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76" cm="1">
        <f t="array" ref="I47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76" t="str">
        <f>IF(IFERROR(SEARCH("&gt;",PartList[[#This Row],[ID]]),0),"O",IF(IFERROR(SEARCH("&lt;",PartList[[#This Row],[ID]]),0),"I",""))</f>
        <v/>
      </c>
      <c r="K476" t="str" cm="1">
        <f t="array" ref="K4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76" t="str" cm="1">
        <f t="array" ref="L4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76" t="str">
        <f>_xlfn.TEXTJOIN("#",TRUE,PartList[[#This Row],[ASSLY MARK]],PartList[[#This Row],[BOX NO]],PartList[[#This Row],[In/Out]],PartList[[#This Row],[O1-Grid]])</f>
        <v>SF13#Box1_Box2_Box3_Box6#InBB</v>
      </c>
      <c r="N476" t="str">
        <f>_xlfn.TEXTJOIN("#",TRUE,PartList[[#This Row],[ASSLY MARK]],PartList[[#This Row],[BOX NO]],PartList[[#This Row],[In/Out]],PartList[[#This Row],[O2-Grid]])</f>
        <v>SF13#Box1_Box2_Box3_Box6#InBB</v>
      </c>
      <c r="O476">
        <f>IF(PartList[[#This Row],[Unique]]="Yes",_xlfn.XLOOKUP(PartList[[#This Row],[ASSLY MARK]],FilteredPL!A:A,FilteredPL!B:B,0,0),0)</f>
        <v>0</v>
      </c>
      <c r="P476">
        <f>_xlfn.XLOOKUP(PartList[[#This Row],[ASSLY MARK]],MasterPL[SplitMarkNo],MasterPL[BILL WT.(KG)],0,0)</f>
        <v>0</v>
      </c>
      <c r="Q476" cm="1">
        <f t="array" ref="Q47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76" t="str">
        <v>2BE44</v>
      </c>
      <c r="AB476" s="42">
        <f>SUMIF(PartList[ASSLY MARK],AA476,PartList[Avail. Qty])</f>
        <v>0</v>
      </c>
    </row>
    <row r="477" spans="1:28" x14ac:dyDescent="0.25">
      <c r="A477">
        <v>1131</v>
      </c>
      <c r="B477" t="s">
        <v>1105</v>
      </c>
      <c r="C477" t="s">
        <v>1052</v>
      </c>
      <c r="D477" t="s">
        <v>1087</v>
      </c>
      <c r="E477" t="s">
        <v>1086</v>
      </c>
      <c r="F477" t="str" cm="1">
        <f t="array" ref="F477">IF(SUM(IF(PartList[ASSLY MARK]=PartList[[#This Row],[ASSLY MARK]],1,0))&gt;1,"No","Yes")</f>
        <v>No</v>
      </c>
      <c r="G477" t="str" cm="1">
        <f t="array" ref="G477">_xlfn.TEXTJOIN("_",TRUE,TRIM(_xlfn.TEXTSPLIT(PartList[[#This Row],[GRID LOCATION]],{"PR01","/","-"})))</f>
        <v>14_B</v>
      </c>
      <c r="H477" t="str" cm="1">
        <f t="array" ref="H47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77" cm="1">
        <f t="array" ref="I47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77" t="str">
        <f>IF(IFERROR(SEARCH("&gt;",PartList[[#This Row],[ID]]),0),"O",IF(IFERROR(SEARCH("&lt;",PartList[[#This Row],[ID]]),0),"I",""))</f>
        <v/>
      </c>
      <c r="K477" t="str" cm="1">
        <f t="array" ref="K4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77" t="str" cm="1">
        <f t="array" ref="L4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77" t="str">
        <f>_xlfn.TEXTJOIN("#",TRUE,PartList[[#This Row],[ASSLY MARK]],PartList[[#This Row],[BOX NO]],PartList[[#This Row],[In/Out]],PartList[[#This Row],[O1-Grid]])</f>
        <v>SF13#Box1_Box2_Box3_Box6#InBB</v>
      </c>
      <c r="N477" t="str">
        <f>_xlfn.TEXTJOIN("#",TRUE,PartList[[#This Row],[ASSLY MARK]],PartList[[#This Row],[BOX NO]],PartList[[#This Row],[In/Out]],PartList[[#This Row],[O2-Grid]])</f>
        <v>SF13#Box1_Box2_Box3_Box6#InBB</v>
      </c>
      <c r="O477">
        <f>IF(PartList[[#This Row],[Unique]]="Yes",_xlfn.XLOOKUP(PartList[[#This Row],[ASSLY MARK]],FilteredPL!A:A,FilteredPL!B:B,0,0),0)</f>
        <v>0</v>
      </c>
      <c r="P477">
        <f>_xlfn.XLOOKUP(PartList[[#This Row],[ASSLY MARK]],MasterPL[SplitMarkNo],MasterPL[BILL WT.(KG)],0,0)</f>
        <v>0</v>
      </c>
      <c r="Q477" cm="1">
        <f t="array" ref="Q47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77" t="str">
        <v>2BE45</v>
      </c>
      <c r="AB477" s="42">
        <f>SUMIF(PartList[ASSLY MARK],AA477,PartList[Avail. Qty])</f>
        <v>0</v>
      </c>
    </row>
    <row r="478" spans="1:28" x14ac:dyDescent="0.25">
      <c r="A478">
        <v>1132</v>
      </c>
      <c r="B478" t="s">
        <v>1105</v>
      </c>
      <c r="C478" t="s">
        <v>1038</v>
      </c>
      <c r="D478" t="s">
        <v>1085</v>
      </c>
      <c r="E478" t="s">
        <v>1086</v>
      </c>
      <c r="F478" t="str" cm="1">
        <f t="array" ref="F478">IF(SUM(IF(PartList[ASSLY MARK]=PartList[[#This Row],[ASSLY MARK]],1,0))&gt;1,"No","Yes")</f>
        <v>No</v>
      </c>
      <c r="G478" t="str" cm="1">
        <f t="array" ref="G478">_xlfn.TEXTJOIN("_",TRUE,TRIM(_xlfn.TEXTSPLIT(PartList[[#This Row],[GRID LOCATION]],{"PR01","/","-"})))</f>
        <v>10_A</v>
      </c>
      <c r="H478" t="str" cm="1">
        <f t="array" ref="H47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78" cm="1">
        <f t="array" ref="I47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78" t="str">
        <f>IF(IFERROR(SEARCH("&gt;",PartList[[#This Row],[ID]]),0),"O",IF(IFERROR(SEARCH("&lt;",PartList[[#This Row],[ID]]),0),"I",""))</f>
        <v/>
      </c>
      <c r="K478" t="str" cm="1">
        <f t="array" ref="K4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78" t="str" cm="1">
        <f t="array" ref="L4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78" t="str">
        <f>_xlfn.TEXTJOIN("#",TRUE,PartList[[#This Row],[ASSLY MARK]],PartList[[#This Row],[BOX NO]],PartList[[#This Row],[In/Out]],PartList[[#This Row],[O1-Grid]])</f>
        <v>SF13#Box1#10_B_A</v>
      </c>
      <c r="N478" t="str">
        <f>_xlfn.TEXTJOIN("#",TRUE,PartList[[#This Row],[ASSLY MARK]],PartList[[#This Row],[BOX NO]],PartList[[#This Row],[In/Out]],PartList[[#This Row],[O2-Grid]])</f>
        <v>SF13#Box1#10_11_A</v>
      </c>
      <c r="O478">
        <f>IF(PartList[[#This Row],[Unique]]="Yes",_xlfn.XLOOKUP(PartList[[#This Row],[ASSLY MARK]],FilteredPL!A:A,FilteredPL!B:B,0,0),0)</f>
        <v>0</v>
      </c>
      <c r="P478">
        <f>_xlfn.XLOOKUP(PartList[[#This Row],[ASSLY MARK]],MasterPL[SplitMarkNo],MasterPL[BILL WT.(KG)],0,0)</f>
        <v>0</v>
      </c>
      <c r="Q478" cm="1">
        <f t="array" ref="Q47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78" t="str">
        <v>2BE46</v>
      </c>
      <c r="AB478" s="42">
        <f>SUMIF(PartList[ASSLY MARK],AA478,PartList[Avail. Qty])</f>
        <v>0</v>
      </c>
    </row>
    <row r="479" spans="1:28" x14ac:dyDescent="0.25">
      <c r="A479">
        <v>1134</v>
      </c>
      <c r="B479" t="s">
        <v>1105</v>
      </c>
      <c r="C479" t="s">
        <v>1046</v>
      </c>
      <c r="D479" t="s">
        <v>1087</v>
      </c>
      <c r="E479" t="s">
        <v>1086</v>
      </c>
      <c r="F479" t="str" cm="1">
        <f t="array" ref="F479">IF(SUM(IF(PartList[ASSLY MARK]=PartList[[#This Row],[ASSLY MARK]],1,0))&gt;1,"No","Yes")</f>
        <v>No</v>
      </c>
      <c r="G479" t="str" cm="1">
        <f t="array" ref="G479">_xlfn.TEXTJOIN("_",TRUE,TRIM(_xlfn.TEXTSPLIT(PartList[[#This Row],[GRID LOCATION]],{"PR01","/","-"})))</f>
        <v>14_A</v>
      </c>
      <c r="H479" t="str" cm="1">
        <f t="array" ref="H47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79" cm="1">
        <f t="array" ref="I47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79" t="str">
        <f>IF(IFERROR(SEARCH("&gt;",PartList[[#This Row],[ID]]),0),"O",IF(IFERROR(SEARCH("&lt;",PartList[[#This Row],[ID]]),0),"I",""))</f>
        <v/>
      </c>
      <c r="K479" t="str" cm="1">
        <f t="array" ref="K4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79" t="str" cm="1">
        <f t="array" ref="L4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79" t="str">
        <f>_xlfn.TEXTJOIN("#",TRUE,PartList[[#This Row],[ASSLY MARK]],PartList[[#This Row],[BOX NO]],PartList[[#This Row],[In/Out]],PartList[[#This Row],[O1-Grid]])</f>
        <v>SF13#Box1_Box2_Box3_Box6#InBB</v>
      </c>
      <c r="N479" t="str">
        <f>_xlfn.TEXTJOIN("#",TRUE,PartList[[#This Row],[ASSLY MARK]],PartList[[#This Row],[BOX NO]],PartList[[#This Row],[In/Out]],PartList[[#This Row],[O2-Grid]])</f>
        <v>SF13#Box1_Box2_Box3_Box6#InBB</v>
      </c>
      <c r="O479">
        <f>IF(PartList[[#This Row],[Unique]]="Yes",_xlfn.XLOOKUP(PartList[[#This Row],[ASSLY MARK]],FilteredPL!A:A,FilteredPL!B:B,0,0),0)</f>
        <v>0</v>
      </c>
      <c r="P479">
        <f>_xlfn.XLOOKUP(PartList[[#This Row],[ASSLY MARK]],MasterPL[SplitMarkNo],MasterPL[BILL WT.(KG)],0,0)</f>
        <v>0</v>
      </c>
      <c r="Q479" cm="1">
        <f t="array" ref="Q47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79" t="str">
        <v>2BE47</v>
      </c>
      <c r="AB479" s="42">
        <f>SUMIF(PartList[ASSLY MARK],AA479,PartList[Avail. Qty])</f>
        <v>0</v>
      </c>
    </row>
    <row r="480" spans="1:28" x14ac:dyDescent="0.25">
      <c r="A480">
        <v>1135</v>
      </c>
      <c r="B480" t="s">
        <v>1105</v>
      </c>
      <c r="C480" t="s">
        <v>1052</v>
      </c>
      <c r="D480" t="s">
        <v>1087</v>
      </c>
      <c r="E480" t="s">
        <v>1086</v>
      </c>
      <c r="F480" t="str" cm="1">
        <f t="array" ref="F480">IF(SUM(IF(PartList[ASSLY MARK]=PartList[[#This Row],[ASSLY MARK]],1,0))&gt;1,"No","Yes")</f>
        <v>No</v>
      </c>
      <c r="G480" t="str" cm="1">
        <f t="array" ref="G480">_xlfn.TEXTJOIN("_",TRUE,TRIM(_xlfn.TEXTSPLIT(PartList[[#This Row],[GRID LOCATION]],{"PR01","/","-"})))</f>
        <v>14_B</v>
      </c>
      <c r="H480" t="str" cm="1">
        <f t="array" ref="H48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80" cm="1">
        <f t="array" ref="I48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80" t="str">
        <f>IF(IFERROR(SEARCH("&gt;",PartList[[#This Row],[ID]]),0),"O",IF(IFERROR(SEARCH("&lt;",PartList[[#This Row],[ID]]),0),"I",""))</f>
        <v/>
      </c>
      <c r="K480" t="str" cm="1">
        <f t="array" ref="K4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80" t="str" cm="1">
        <f t="array" ref="L4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80" t="str">
        <f>_xlfn.TEXTJOIN("#",TRUE,PartList[[#This Row],[ASSLY MARK]],PartList[[#This Row],[BOX NO]],PartList[[#This Row],[In/Out]],PartList[[#This Row],[O1-Grid]])</f>
        <v>SF13#Box1_Box2_Box3_Box6#InBB</v>
      </c>
      <c r="N480" t="str">
        <f>_xlfn.TEXTJOIN("#",TRUE,PartList[[#This Row],[ASSLY MARK]],PartList[[#This Row],[BOX NO]],PartList[[#This Row],[In/Out]],PartList[[#This Row],[O2-Grid]])</f>
        <v>SF13#Box1_Box2_Box3_Box6#InBB</v>
      </c>
      <c r="O480">
        <f>IF(PartList[[#This Row],[Unique]]="Yes",_xlfn.XLOOKUP(PartList[[#This Row],[ASSLY MARK]],FilteredPL!A:A,FilteredPL!B:B,0,0),0)</f>
        <v>0</v>
      </c>
      <c r="P480">
        <f>_xlfn.XLOOKUP(PartList[[#This Row],[ASSLY MARK]],MasterPL[SplitMarkNo],MasterPL[BILL WT.(KG)],0,0)</f>
        <v>0</v>
      </c>
      <c r="Q480" cm="1">
        <f t="array" ref="Q48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80" t="str">
        <v>2BE50</v>
      </c>
      <c r="AB480" s="42">
        <f>SUMIF(PartList[ASSLY MARK],AA480,PartList[Avail. Qty])</f>
        <v>0</v>
      </c>
    </row>
    <row r="481" spans="1:28" x14ac:dyDescent="0.25">
      <c r="A481">
        <v>1137</v>
      </c>
      <c r="B481" t="s">
        <v>1105</v>
      </c>
      <c r="C481" t="s">
        <v>1038</v>
      </c>
      <c r="D481" t="s">
        <v>1085</v>
      </c>
      <c r="E481" t="s">
        <v>1086</v>
      </c>
      <c r="F481" t="str" cm="1">
        <f t="array" ref="F481">IF(SUM(IF(PartList[ASSLY MARK]=PartList[[#This Row],[ASSLY MARK]],1,0))&gt;1,"No","Yes")</f>
        <v>No</v>
      </c>
      <c r="G481" t="str" cm="1">
        <f t="array" ref="G481">_xlfn.TEXTJOIN("_",TRUE,TRIM(_xlfn.TEXTSPLIT(PartList[[#This Row],[GRID LOCATION]],{"PR01","/","-"})))</f>
        <v>10_A</v>
      </c>
      <c r="H481" t="str" cm="1">
        <f t="array" ref="H48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81" cm="1">
        <f t="array" ref="I48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81" t="str">
        <f>IF(IFERROR(SEARCH("&gt;",PartList[[#This Row],[ID]]),0),"O",IF(IFERROR(SEARCH("&lt;",PartList[[#This Row],[ID]]),0),"I",""))</f>
        <v/>
      </c>
      <c r="K481" t="str" cm="1">
        <f t="array" ref="K4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81" t="str" cm="1">
        <f t="array" ref="L4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81" t="str">
        <f>_xlfn.TEXTJOIN("#",TRUE,PartList[[#This Row],[ASSLY MARK]],PartList[[#This Row],[BOX NO]],PartList[[#This Row],[In/Out]],PartList[[#This Row],[O1-Grid]])</f>
        <v>SF13#Box1#10_B_A</v>
      </c>
      <c r="N481" t="str">
        <f>_xlfn.TEXTJOIN("#",TRUE,PartList[[#This Row],[ASSLY MARK]],PartList[[#This Row],[BOX NO]],PartList[[#This Row],[In/Out]],PartList[[#This Row],[O2-Grid]])</f>
        <v>SF13#Box1#10_11_A</v>
      </c>
      <c r="O481">
        <f>IF(PartList[[#This Row],[Unique]]="Yes",_xlfn.XLOOKUP(PartList[[#This Row],[ASSLY MARK]],FilteredPL!A:A,FilteredPL!B:B,0,0),0)</f>
        <v>0</v>
      </c>
      <c r="P481">
        <f>_xlfn.XLOOKUP(PartList[[#This Row],[ASSLY MARK]],MasterPL[SplitMarkNo],MasterPL[BILL WT.(KG)],0,0)</f>
        <v>0</v>
      </c>
      <c r="Q481" cm="1">
        <f t="array" ref="Q48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81" t="str">
        <v>2BE51</v>
      </c>
      <c r="AB481" s="42">
        <f>SUMIF(PartList[ASSLY MARK],AA481,PartList[Avail. Qty])</f>
        <v>0</v>
      </c>
    </row>
    <row r="482" spans="1:28" x14ac:dyDescent="0.25">
      <c r="A482">
        <v>1138</v>
      </c>
      <c r="B482" t="s">
        <v>433</v>
      </c>
      <c r="C482" t="s">
        <v>1045</v>
      </c>
      <c r="D482" t="s">
        <v>1106</v>
      </c>
      <c r="E482" t="s">
        <v>1086</v>
      </c>
      <c r="F482" t="str" cm="1">
        <f t="array" ref="F482">IF(SUM(IF(PartList[ASSLY MARK]=PartList[[#This Row],[ASSLY MARK]],1,0))&gt;1,"No","Yes")</f>
        <v>No</v>
      </c>
      <c r="G482" t="str" cm="1">
        <f t="array" ref="G482">_xlfn.TEXTJOIN("_",TRUE,TRIM(_xlfn.TEXTSPLIT(PartList[[#This Row],[GRID LOCATION]],{"PR01","/","-"})))</f>
        <v>10_B</v>
      </c>
      <c r="H482" t="str" cm="1">
        <f t="array" ref="H48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82" cm="1">
        <f t="array" ref="I48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82" t="str">
        <f>IF(IFERROR(SEARCH("&gt;",PartList[[#This Row],[ID]]),0),"O",IF(IFERROR(SEARCH("&lt;",PartList[[#This Row],[ID]]),0),"I",""))</f>
        <v/>
      </c>
      <c r="K482" t="str" cm="1">
        <f t="array" ref="K4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82" t="str" cm="1">
        <f t="array" ref="L4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82" t="str">
        <f>_xlfn.TEXTJOIN("#",TRUE,PartList[[#This Row],[ASSLY MARK]],PartList[[#This Row],[BOX NO]],PartList[[#This Row],[In/Out]],PartList[[#This Row],[O1-Grid]])</f>
        <v>SW01#Box1#10_B_A</v>
      </c>
      <c r="N482" t="str">
        <f>_xlfn.TEXTJOIN("#",TRUE,PartList[[#This Row],[ASSLY MARK]],PartList[[#This Row],[BOX NO]],PartList[[#This Row],[In/Out]],PartList[[#This Row],[O2-Grid]])</f>
        <v>SW01#Box1#10_11_B</v>
      </c>
      <c r="O482">
        <f>IF(PartList[[#This Row],[Unique]]="Yes",_xlfn.XLOOKUP(PartList[[#This Row],[ASSLY MARK]],FilteredPL!A:A,FilteredPL!B:B,0,0),0)</f>
        <v>0</v>
      </c>
      <c r="P482">
        <f>_xlfn.XLOOKUP(PartList[[#This Row],[ASSLY MARK]],MasterPL[SplitMarkNo],MasterPL[BILL WT.(KG)],0,0)</f>
        <v>0</v>
      </c>
      <c r="Q482" cm="1">
        <f t="array" ref="Q48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82" t="str">
        <v>2BE52</v>
      </c>
      <c r="AB482" s="42">
        <f>SUMIF(PartList[ASSLY MARK],AA482,PartList[Avail. Qty])</f>
        <v>0</v>
      </c>
    </row>
    <row r="483" spans="1:28" x14ac:dyDescent="0.25">
      <c r="A483">
        <v>1141</v>
      </c>
      <c r="B483" t="s">
        <v>433</v>
      </c>
      <c r="C483" t="s">
        <v>1045</v>
      </c>
      <c r="D483" t="s">
        <v>1106</v>
      </c>
      <c r="E483" t="s">
        <v>1086</v>
      </c>
      <c r="F483" t="str" cm="1">
        <f t="array" ref="F483">IF(SUM(IF(PartList[ASSLY MARK]=PartList[[#This Row],[ASSLY MARK]],1,0))&gt;1,"No","Yes")</f>
        <v>No</v>
      </c>
      <c r="G483" t="str" cm="1">
        <f t="array" ref="G483">_xlfn.TEXTJOIN("_",TRUE,TRIM(_xlfn.TEXTSPLIT(PartList[[#This Row],[GRID LOCATION]],{"PR01","/","-"})))</f>
        <v>10_B</v>
      </c>
      <c r="H483" t="str" cm="1">
        <f t="array" ref="H48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83" cm="1">
        <f t="array" ref="I48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83" t="str">
        <f>IF(IFERROR(SEARCH("&gt;",PartList[[#This Row],[ID]]),0),"O",IF(IFERROR(SEARCH("&lt;",PartList[[#This Row],[ID]]),0),"I",""))</f>
        <v/>
      </c>
      <c r="K483" t="str" cm="1">
        <f t="array" ref="K4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83" t="str" cm="1">
        <f t="array" ref="L4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83" t="str">
        <f>_xlfn.TEXTJOIN("#",TRUE,PartList[[#This Row],[ASSLY MARK]],PartList[[#This Row],[BOX NO]],PartList[[#This Row],[In/Out]],PartList[[#This Row],[O1-Grid]])</f>
        <v>SW01#Box1#10_B_A</v>
      </c>
      <c r="N483" t="str">
        <f>_xlfn.TEXTJOIN("#",TRUE,PartList[[#This Row],[ASSLY MARK]],PartList[[#This Row],[BOX NO]],PartList[[#This Row],[In/Out]],PartList[[#This Row],[O2-Grid]])</f>
        <v>SW01#Box1#10_11_B</v>
      </c>
      <c r="O483">
        <f>IF(PartList[[#This Row],[Unique]]="Yes",_xlfn.XLOOKUP(PartList[[#This Row],[ASSLY MARK]],FilteredPL!A:A,FilteredPL!B:B,0,0),0)</f>
        <v>0</v>
      </c>
      <c r="P483">
        <f>_xlfn.XLOOKUP(PartList[[#This Row],[ASSLY MARK]],MasterPL[SplitMarkNo],MasterPL[BILL WT.(KG)],0,0)</f>
        <v>0</v>
      </c>
      <c r="Q483" cm="1">
        <f t="array" ref="Q48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83" t="str">
        <v>2BE53</v>
      </c>
      <c r="AB483" s="42">
        <f>SUMIF(PartList[ASSLY MARK],AA483,PartList[Avail. Qty])</f>
        <v>0</v>
      </c>
    </row>
    <row r="484" spans="1:28" x14ac:dyDescent="0.25">
      <c r="A484">
        <v>1142</v>
      </c>
      <c r="B484" t="s">
        <v>433</v>
      </c>
      <c r="C484" t="s">
        <v>1052</v>
      </c>
      <c r="D484" t="s">
        <v>1108</v>
      </c>
      <c r="E484" t="s">
        <v>1086</v>
      </c>
      <c r="F484" t="str" cm="1">
        <f t="array" ref="F484">IF(SUM(IF(PartList[ASSLY MARK]=PartList[[#This Row],[ASSLY MARK]],1,0))&gt;1,"No","Yes")</f>
        <v>No</v>
      </c>
      <c r="G484" t="str" cm="1">
        <f t="array" ref="G484">_xlfn.TEXTJOIN("_",TRUE,TRIM(_xlfn.TEXTSPLIT(PartList[[#This Row],[GRID LOCATION]],{"PR01","/","-"})))</f>
        <v>14_B</v>
      </c>
      <c r="H484" t="str" cm="1">
        <f t="array" ref="H48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84" cm="1">
        <f t="array" ref="I48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84" t="str">
        <f>IF(IFERROR(SEARCH("&gt;",PartList[[#This Row],[ID]]),0),"O",IF(IFERROR(SEARCH("&lt;",PartList[[#This Row],[ID]]),0),"I",""))</f>
        <v/>
      </c>
      <c r="K484" t="str" cm="1">
        <f t="array" ref="K4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84" t="str" cm="1">
        <f t="array" ref="L4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84" t="str">
        <f>_xlfn.TEXTJOIN("#",TRUE,PartList[[#This Row],[ASSLY MARK]],PartList[[#This Row],[BOX NO]],PartList[[#This Row],[In/Out]],PartList[[#This Row],[O1-Grid]])</f>
        <v>SW01#Box1_Box2_Box3_Box6#InBB</v>
      </c>
      <c r="N484" t="str">
        <f>_xlfn.TEXTJOIN("#",TRUE,PartList[[#This Row],[ASSLY MARK]],PartList[[#This Row],[BOX NO]],PartList[[#This Row],[In/Out]],PartList[[#This Row],[O2-Grid]])</f>
        <v>SW01#Box1_Box2_Box3_Box6#InBB</v>
      </c>
      <c r="O484">
        <f>IF(PartList[[#This Row],[Unique]]="Yes",_xlfn.XLOOKUP(PartList[[#This Row],[ASSLY MARK]],FilteredPL!A:A,FilteredPL!B:B,0,0),0)</f>
        <v>0</v>
      </c>
      <c r="P484">
        <f>_xlfn.XLOOKUP(PartList[[#This Row],[ASSLY MARK]],MasterPL[SplitMarkNo],MasterPL[BILL WT.(KG)],0,0)</f>
        <v>0</v>
      </c>
      <c r="Q484" cm="1">
        <f t="array" ref="Q48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84" t="str">
        <v>2BE54</v>
      </c>
      <c r="AB484" s="42">
        <f>SUMIF(PartList[ASSLY MARK],AA484,PartList[Avail. Qty])</f>
        <v>0</v>
      </c>
    </row>
    <row r="485" spans="1:28" x14ac:dyDescent="0.25">
      <c r="A485">
        <v>1145</v>
      </c>
      <c r="B485" t="s">
        <v>433</v>
      </c>
      <c r="C485" t="s">
        <v>1046</v>
      </c>
      <c r="D485" t="s">
        <v>1108</v>
      </c>
      <c r="E485" t="s">
        <v>1086</v>
      </c>
      <c r="F485" t="str" cm="1">
        <f t="array" ref="F485">IF(SUM(IF(PartList[ASSLY MARK]=PartList[[#This Row],[ASSLY MARK]],1,0))&gt;1,"No","Yes")</f>
        <v>No</v>
      </c>
      <c r="G485" t="str" cm="1">
        <f t="array" ref="G485">_xlfn.TEXTJOIN("_",TRUE,TRIM(_xlfn.TEXTSPLIT(PartList[[#This Row],[GRID LOCATION]],{"PR01","/","-"})))</f>
        <v>14_A</v>
      </c>
      <c r="H485" t="str" cm="1">
        <f t="array" ref="H48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85" cm="1">
        <f t="array" ref="I48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85" t="str">
        <f>IF(IFERROR(SEARCH("&gt;",PartList[[#This Row],[ID]]),0),"O",IF(IFERROR(SEARCH("&lt;",PartList[[#This Row],[ID]]),0),"I",""))</f>
        <v/>
      </c>
      <c r="K485" t="str" cm="1">
        <f t="array" ref="K4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85" t="str" cm="1">
        <f t="array" ref="L4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85" t="str">
        <f>_xlfn.TEXTJOIN("#",TRUE,PartList[[#This Row],[ASSLY MARK]],PartList[[#This Row],[BOX NO]],PartList[[#This Row],[In/Out]],PartList[[#This Row],[O1-Grid]])</f>
        <v>SW01#Box1_Box2_Box3_Box6#InBB</v>
      </c>
      <c r="N485" t="str">
        <f>_xlfn.TEXTJOIN("#",TRUE,PartList[[#This Row],[ASSLY MARK]],PartList[[#This Row],[BOX NO]],PartList[[#This Row],[In/Out]],PartList[[#This Row],[O2-Grid]])</f>
        <v>SW01#Box1_Box2_Box3_Box6#InBB</v>
      </c>
      <c r="O485">
        <f>IF(PartList[[#This Row],[Unique]]="Yes",_xlfn.XLOOKUP(PartList[[#This Row],[ASSLY MARK]],FilteredPL!A:A,FilteredPL!B:B,0,0),0)</f>
        <v>0</v>
      </c>
      <c r="P485">
        <f>_xlfn.XLOOKUP(PartList[[#This Row],[ASSLY MARK]],MasterPL[SplitMarkNo],MasterPL[BILL WT.(KG)],0,0)</f>
        <v>0</v>
      </c>
      <c r="Q485" cm="1">
        <f t="array" ref="Q48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85" t="str">
        <v>2BE56</v>
      </c>
      <c r="AB485" s="42">
        <f>SUMIF(PartList[ASSLY MARK],AA485,PartList[Avail. Qty])</f>
        <v>0</v>
      </c>
    </row>
    <row r="486" spans="1:28" x14ac:dyDescent="0.25">
      <c r="A486">
        <v>1146</v>
      </c>
      <c r="B486" t="s">
        <v>433</v>
      </c>
      <c r="C486" t="s">
        <v>1038</v>
      </c>
      <c r="D486" t="s">
        <v>1106</v>
      </c>
      <c r="E486" t="s">
        <v>1086</v>
      </c>
      <c r="F486" t="str" cm="1">
        <f t="array" ref="F486">IF(SUM(IF(PartList[ASSLY MARK]=PartList[[#This Row],[ASSLY MARK]],1,0))&gt;1,"No","Yes")</f>
        <v>No</v>
      </c>
      <c r="G486" t="str" cm="1">
        <f t="array" ref="G486">_xlfn.TEXTJOIN("_",TRUE,TRIM(_xlfn.TEXTSPLIT(PartList[[#This Row],[GRID LOCATION]],{"PR01","/","-"})))</f>
        <v>10_A</v>
      </c>
      <c r="H486" t="str" cm="1">
        <f t="array" ref="H48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86" cm="1">
        <f t="array" ref="I48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86" t="str">
        <f>IF(IFERROR(SEARCH("&gt;",PartList[[#This Row],[ID]]),0),"O",IF(IFERROR(SEARCH("&lt;",PartList[[#This Row],[ID]]),0),"I",""))</f>
        <v/>
      </c>
      <c r="K486" t="str" cm="1">
        <f t="array" ref="K4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86" t="str" cm="1">
        <f t="array" ref="L4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86" t="str">
        <f>_xlfn.TEXTJOIN("#",TRUE,PartList[[#This Row],[ASSLY MARK]],PartList[[#This Row],[BOX NO]],PartList[[#This Row],[In/Out]],PartList[[#This Row],[O1-Grid]])</f>
        <v>SW01#Box1#10_B_A</v>
      </c>
      <c r="N486" t="str">
        <f>_xlfn.TEXTJOIN("#",TRUE,PartList[[#This Row],[ASSLY MARK]],PartList[[#This Row],[BOX NO]],PartList[[#This Row],[In/Out]],PartList[[#This Row],[O2-Grid]])</f>
        <v>SW01#Box1#10_11_A</v>
      </c>
      <c r="O486">
        <f>IF(PartList[[#This Row],[Unique]]="Yes",_xlfn.XLOOKUP(PartList[[#This Row],[ASSLY MARK]],FilteredPL!A:A,FilteredPL!B:B,0,0),0)</f>
        <v>0</v>
      </c>
      <c r="P486">
        <f>_xlfn.XLOOKUP(PartList[[#This Row],[ASSLY MARK]],MasterPL[SplitMarkNo],MasterPL[BILL WT.(KG)],0,0)</f>
        <v>0</v>
      </c>
      <c r="Q486" cm="1">
        <f t="array" ref="Q48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86" t="str">
        <v>2BE57</v>
      </c>
      <c r="AB486" s="42">
        <f>SUMIF(PartList[ASSLY MARK],AA486,PartList[Avail. Qty])</f>
        <v>0</v>
      </c>
    </row>
    <row r="487" spans="1:28" x14ac:dyDescent="0.25">
      <c r="A487">
        <v>1147</v>
      </c>
      <c r="B487" t="s">
        <v>433</v>
      </c>
      <c r="C487" t="s">
        <v>1046</v>
      </c>
      <c r="D487" t="s">
        <v>1108</v>
      </c>
      <c r="E487" t="s">
        <v>1086</v>
      </c>
      <c r="F487" t="str" cm="1">
        <f t="array" ref="F487">IF(SUM(IF(PartList[ASSLY MARK]=PartList[[#This Row],[ASSLY MARK]],1,0))&gt;1,"No","Yes")</f>
        <v>No</v>
      </c>
      <c r="G487" t="str" cm="1">
        <f t="array" ref="G487">_xlfn.TEXTJOIN("_",TRUE,TRIM(_xlfn.TEXTSPLIT(PartList[[#This Row],[GRID LOCATION]],{"PR01","/","-"})))</f>
        <v>14_A</v>
      </c>
      <c r="H487" t="str" cm="1">
        <f t="array" ref="H48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87" cm="1">
        <f t="array" ref="I48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87" t="str">
        <f>IF(IFERROR(SEARCH("&gt;",PartList[[#This Row],[ID]]),0),"O",IF(IFERROR(SEARCH("&lt;",PartList[[#This Row],[ID]]),0),"I",""))</f>
        <v/>
      </c>
      <c r="K487" t="str" cm="1">
        <f t="array" ref="K4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87" t="str" cm="1">
        <f t="array" ref="L4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87" t="str">
        <f>_xlfn.TEXTJOIN("#",TRUE,PartList[[#This Row],[ASSLY MARK]],PartList[[#This Row],[BOX NO]],PartList[[#This Row],[In/Out]],PartList[[#This Row],[O1-Grid]])</f>
        <v>SW01#Box1_Box2_Box3_Box6#InBB</v>
      </c>
      <c r="N487" t="str">
        <f>_xlfn.TEXTJOIN("#",TRUE,PartList[[#This Row],[ASSLY MARK]],PartList[[#This Row],[BOX NO]],PartList[[#This Row],[In/Out]],PartList[[#This Row],[O2-Grid]])</f>
        <v>SW01#Box1_Box2_Box3_Box6#InBB</v>
      </c>
      <c r="O487">
        <f>IF(PartList[[#This Row],[Unique]]="Yes",_xlfn.XLOOKUP(PartList[[#This Row],[ASSLY MARK]],FilteredPL!A:A,FilteredPL!B:B,0,0),0)</f>
        <v>0</v>
      </c>
      <c r="P487">
        <f>_xlfn.XLOOKUP(PartList[[#This Row],[ASSLY MARK]],MasterPL[SplitMarkNo],MasterPL[BILL WT.(KG)],0,0)</f>
        <v>0</v>
      </c>
      <c r="Q487" cm="1">
        <f t="array" ref="Q48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87" t="str">
        <v>2BE71</v>
      </c>
      <c r="AB487" s="42">
        <f>SUMIF(PartList[ASSLY MARK],AA487,PartList[Avail. Qty])</f>
        <v>0</v>
      </c>
    </row>
    <row r="488" spans="1:28" x14ac:dyDescent="0.25">
      <c r="A488">
        <v>1148</v>
      </c>
      <c r="B488" t="s">
        <v>433</v>
      </c>
      <c r="C488" t="s">
        <v>1052</v>
      </c>
      <c r="D488" t="s">
        <v>1108</v>
      </c>
      <c r="E488" t="s">
        <v>1086</v>
      </c>
      <c r="F488" t="str" cm="1">
        <f t="array" ref="F488">IF(SUM(IF(PartList[ASSLY MARK]=PartList[[#This Row],[ASSLY MARK]],1,0))&gt;1,"No","Yes")</f>
        <v>No</v>
      </c>
      <c r="G488" t="str" cm="1">
        <f t="array" ref="G488">_xlfn.TEXTJOIN("_",TRUE,TRIM(_xlfn.TEXTSPLIT(PartList[[#This Row],[GRID LOCATION]],{"PR01","/","-"})))</f>
        <v>14_B</v>
      </c>
      <c r="H488" t="str" cm="1">
        <f t="array" ref="H48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88" cm="1">
        <f t="array" ref="I48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88" t="str">
        <f>IF(IFERROR(SEARCH("&gt;",PartList[[#This Row],[ID]]),0),"O",IF(IFERROR(SEARCH("&lt;",PartList[[#This Row],[ID]]),0),"I",""))</f>
        <v/>
      </c>
      <c r="K488" t="str" cm="1">
        <f t="array" ref="K4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88" t="str" cm="1">
        <f t="array" ref="L4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88" t="str">
        <f>_xlfn.TEXTJOIN("#",TRUE,PartList[[#This Row],[ASSLY MARK]],PartList[[#This Row],[BOX NO]],PartList[[#This Row],[In/Out]],PartList[[#This Row],[O1-Grid]])</f>
        <v>SW01#Box1_Box2_Box3_Box6#InBB</v>
      </c>
      <c r="N488" t="str">
        <f>_xlfn.TEXTJOIN("#",TRUE,PartList[[#This Row],[ASSLY MARK]],PartList[[#This Row],[BOX NO]],PartList[[#This Row],[In/Out]],PartList[[#This Row],[O2-Grid]])</f>
        <v>SW01#Box1_Box2_Box3_Box6#InBB</v>
      </c>
      <c r="O488">
        <f>IF(PartList[[#This Row],[Unique]]="Yes",_xlfn.XLOOKUP(PartList[[#This Row],[ASSLY MARK]],FilteredPL!A:A,FilteredPL!B:B,0,0),0)</f>
        <v>0</v>
      </c>
      <c r="P488">
        <f>_xlfn.XLOOKUP(PartList[[#This Row],[ASSLY MARK]],MasterPL[SplitMarkNo],MasterPL[BILL WT.(KG)],0,0)</f>
        <v>0</v>
      </c>
      <c r="Q488" cm="1">
        <f t="array" ref="Q48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88" t="str">
        <v>2HB06</v>
      </c>
      <c r="AB488" s="42">
        <f>SUMIF(PartList[ASSLY MARK],AA488,PartList[Avail. Qty])</f>
        <v>0</v>
      </c>
    </row>
    <row r="489" spans="1:28" x14ac:dyDescent="0.25">
      <c r="A489">
        <v>1149</v>
      </c>
      <c r="B489" t="s">
        <v>433</v>
      </c>
      <c r="C489" t="s">
        <v>1038</v>
      </c>
      <c r="D489" t="s">
        <v>1106</v>
      </c>
      <c r="E489" t="s">
        <v>1086</v>
      </c>
      <c r="F489" t="str" cm="1">
        <f t="array" ref="F489">IF(SUM(IF(PartList[ASSLY MARK]=PartList[[#This Row],[ASSLY MARK]],1,0))&gt;1,"No","Yes")</f>
        <v>No</v>
      </c>
      <c r="G489" t="str" cm="1">
        <f t="array" ref="G489">_xlfn.TEXTJOIN("_",TRUE,TRIM(_xlfn.TEXTSPLIT(PartList[[#This Row],[GRID LOCATION]],{"PR01","/","-"})))</f>
        <v>10_A</v>
      </c>
      <c r="H489" t="str" cm="1">
        <f t="array" ref="H48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89" cm="1">
        <f t="array" ref="I48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89" t="str">
        <f>IF(IFERROR(SEARCH("&gt;",PartList[[#This Row],[ID]]),0),"O",IF(IFERROR(SEARCH("&lt;",PartList[[#This Row],[ID]]),0),"I",""))</f>
        <v/>
      </c>
      <c r="K489" t="str" cm="1">
        <f t="array" ref="K4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489" t="str" cm="1">
        <f t="array" ref="L4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89" t="str">
        <f>_xlfn.TEXTJOIN("#",TRUE,PartList[[#This Row],[ASSLY MARK]],PartList[[#This Row],[BOX NO]],PartList[[#This Row],[In/Out]],PartList[[#This Row],[O1-Grid]])</f>
        <v>SW01#Box1#10_B_A</v>
      </c>
      <c r="N489" t="str">
        <f>_xlfn.TEXTJOIN("#",TRUE,PartList[[#This Row],[ASSLY MARK]],PartList[[#This Row],[BOX NO]],PartList[[#This Row],[In/Out]],PartList[[#This Row],[O2-Grid]])</f>
        <v>SW01#Box1#10_11_A</v>
      </c>
      <c r="O489">
        <f>IF(PartList[[#This Row],[Unique]]="Yes",_xlfn.XLOOKUP(PartList[[#This Row],[ASSLY MARK]],FilteredPL!A:A,FilteredPL!B:B,0,0),0)</f>
        <v>0</v>
      </c>
      <c r="P489">
        <f>_xlfn.XLOOKUP(PartList[[#This Row],[ASSLY MARK]],MasterPL[SplitMarkNo],MasterPL[BILL WT.(KG)],0,0)</f>
        <v>0</v>
      </c>
      <c r="Q489" cm="1">
        <f t="array" ref="Q48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89" t="str">
        <v>2HB07</v>
      </c>
      <c r="AB489" s="42">
        <f>SUMIF(PartList[ASSLY MARK],AA489,PartList[Avail. Qty])</f>
        <v>0</v>
      </c>
    </row>
    <row r="490" spans="1:28" x14ac:dyDescent="0.25">
      <c r="A490">
        <v>1150</v>
      </c>
      <c r="B490" t="s">
        <v>435</v>
      </c>
      <c r="C490" t="s">
        <v>1046</v>
      </c>
      <c r="D490" t="s">
        <v>1109</v>
      </c>
      <c r="E490" t="s">
        <v>1086</v>
      </c>
      <c r="F490" t="str" cm="1">
        <f t="array" ref="F490">IF(SUM(IF(PartList[ASSLY MARK]=PartList[[#This Row],[ASSLY MARK]],1,0))&gt;1,"No","Yes")</f>
        <v>No</v>
      </c>
      <c r="G490" t="str" cm="1">
        <f t="array" ref="G490">_xlfn.TEXTJOIN("_",TRUE,TRIM(_xlfn.TEXTSPLIT(PartList[[#This Row],[GRID LOCATION]],{"PR01","/","-"})))</f>
        <v>14_A</v>
      </c>
      <c r="H490" t="str" cm="1">
        <f t="array" ref="H49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90" cm="1">
        <f t="array" ref="I49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90" t="str">
        <f>IF(IFERROR(SEARCH("&gt;",PartList[[#This Row],[ID]]),0),"O",IF(IFERROR(SEARCH("&lt;",PartList[[#This Row],[ID]]),0),"I",""))</f>
        <v/>
      </c>
      <c r="K490" t="str" cm="1">
        <f t="array" ref="K4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90" t="str" cm="1">
        <f t="array" ref="L4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90" t="str">
        <f>_xlfn.TEXTJOIN("#",TRUE,PartList[[#This Row],[ASSLY MARK]],PartList[[#This Row],[BOX NO]],PartList[[#This Row],[In/Out]],PartList[[#This Row],[O1-Grid]])</f>
        <v>SW02#Box1_Box2_Box3_Box6#InBB</v>
      </c>
      <c r="N490" t="str">
        <f>_xlfn.TEXTJOIN("#",TRUE,PartList[[#This Row],[ASSLY MARK]],PartList[[#This Row],[BOX NO]],PartList[[#This Row],[In/Out]],PartList[[#This Row],[O2-Grid]])</f>
        <v>SW02#Box1_Box2_Box3_Box6#InBB</v>
      </c>
      <c r="O490">
        <f>IF(PartList[[#This Row],[Unique]]="Yes",_xlfn.XLOOKUP(PartList[[#This Row],[ASSLY MARK]],FilteredPL!A:A,FilteredPL!B:B,0,0),0)</f>
        <v>0</v>
      </c>
      <c r="P490">
        <f>_xlfn.XLOOKUP(PartList[[#This Row],[ASSLY MARK]],MasterPL[SplitMarkNo],MasterPL[BILL WT.(KG)],0,0)</f>
        <v>0</v>
      </c>
      <c r="Q490" cm="1">
        <f t="array" ref="Q49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90" t="str">
        <v>2HB08</v>
      </c>
      <c r="AB490" s="42">
        <f>SUMIF(PartList[ASSLY MARK],AA490,PartList[Avail. Qty])</f>
        <v>0</v>
      </c>
    </row>
    <row r="491" spans="1:28" x14ac:dyDescent="0.25">
      <c r="A491">
        <v>1152</v>
      </c>
      <c r="B491" t="s">
        <v>435</v>
      </c>
      <c r="C491" t="s">
        <v>1050</v>
      </c>
      <c r="D491" t="s">
        <v>1111</v>
      </c>
      <c r="E491" t="s">
        <v>1086</v>
      </c>
      <c r="F491" t="str" cm="1">
        <f t="array" ref="F491">IF(SUM(IF(PartList[ASSLY MARK]=PartList[[#This Row],[ASSLY MARK]],1,0))&gt;1,"No","Yes")</f>
        <v>No</v>
      </c>
      <c r="G491" t="str" cm="1">
        <f t="array" ref="G491">_xlfn.TEXTJOIN("_",TRUE,TRIM(_xlfn.TEXTSPLIT(PartList[[#This Row],[GRID LOCATION]],{"PR01","/","-"})))</f>
        <v>11_B</v>
      </c>
      <c r="H491" t="str" cm="1">
        <f t="array" ref="H49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91" cm="1">
        <f t="array" ref="I49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91" t="str">
        <f>IF(IFERROR(SEARCH("&gt;",PartList[[#This Row],[ID]]),0),"O",IF(IFERROR(SEARCH("&lt;",PartList[[#This Row],[ID]]),0),"I",""))</f>
        <v/>
      </c>
      <c r="K491" t="str" cm="1">
        <f t="array" ref="K4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91" t="str" cm="1">
        <f t="array" ref="L4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91" t="str">
        <f>_xlfn.TEXTJOIN("#",TRUE,PartList[[#This Row],[ASSLY MARK]],PartList[[#This Row],[BOX NO]],PartList[[#This Row],[In/Out]],PartList[[#This Row],[O1-Grid]])</f>
        <v>SW02#Box1#11_B_A</v>
      </c>
      <c r="N491" t="str">
        <f>_xlfn.TEXTJOIN("#",TRUE,PartList[[#This Row],[ASSLY MARK]],PartList[[#This Row],[BOX NO]],PartList[[#This Row],[In/Out]],PartList[[#This Row],[O2-Grid]])</f>
        <v>SW02#Box1#10_11_B</v>
      </c>
      <c r="O491">
        <f>IF(PartList[[#This Row],[Unique]]="Yes",_xlfn.XLOOKUP(PartList[[#This Row],[ASSLY MARK]],FilteredPL!A:A,FilteredPL!B:B,0,0),0)</f>
        <v>0</v>
      </c>
      <c r="P491">
        <f>_xlfn.XLOOKUP(PartList[[#This Row],[ASSLY MARK]],MasterPL[SplitMarkNo],MasterPL[BILL WT.(KG)],0,0)</f>
        <v>0</v>
      </c>
      <c r="Q491" cm="1">
        <f t="array" ref="Q49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91" t="str">
        <v>2HB09</v>
      </c>
      <c r="AB491" s="42">
        <f>SUMIF(PartList[ASSLY MARK],AA491,PartList[Avail. Qty])</f>
        <v>0</v>
      </c>
    </row>
    <row r="492" spans="1:28" x14ac:dyDescent="0.25">
      <c r="A492">
        <v>1153</v>
      </c>
      <c r="B492" t="s">
        <v>435</v>
      </c>
      <c r="C492" t="s">
        <v>1050</v>
      </c>
      <c r="D492" t="s">
        <v>1112</v>
      </c>
      <c r="E492" t="s">
        <v>1086</v>
      </c>
      <c r="F492" t="str" cm="1">
        <f t="array" ref="F492">IF(SUM(IF(PartList[ASSLY MARK]=PartList[[#This Row],[ASSLY MARK]],1,0))&gt;1,"No","Yes")</f>
        <v>No</v>
      </c>
      <c r="G492" t="str" cm="1">
        <f t="array" ref="G492">_xlfn.TEXTJOIN("_",TRUE,TRIM(_xlfn.TEXTSPLIT(PartList[[#This Row],[GRID LOCATION]],{"PR01","/","-"})))</f>
        <v>11_B</v>
      </c>
      <c r="H492" t="str" cm="1">
        <f t="array" ref="H49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92" cm="1">
        <f t="array" ref="I49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92" t="str">
        <f>IF(IFERROR(SEARCH("&gt;",PartList[[#This Row],[ID]]),0),"O",IF(IFERROR(SEARCH("&lt;",PartList[[#This Row],[ID]]),0),"I",""))</f>
        <v/>
      </c>
      <c r="K492" t="str" cm="1">
        <f t="array" ref="K4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92" t="str" cm="1">
        <f t="array" ref="L4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92" t="str">
        <f>_xlfn.TEXTJOIN("#",TRUE,PartList[[#This Row],[ASSLY MARK]],PartList[[#This Row],[BOX NO]],PartList[[#This Row],[In/Out]],PartList[[#This Row],[O1-Grid]])</f>
        <v>SW02#Box1#11_B_A</v>
      </c>
      <c r="N492" t="str">
        <f>_xlfn.TEXTJOIN("#",TRUE,PartList[[#This Row],[ASSLY MARK]],PartList[[#This Row],[BOX NO]],PartList[[#This Row],[In/Out]],PartList[[#This Row],[O2-Grid]])</f>
        <v>SW02#Box1#10_11_B</v>
      </c>
      <c r="O492">
        <f>IF(PartList[[#This Row],[Unique]]="Yes",_xlfn.XLOOKUP(PartList[[#This Row],[ASSLY MARK]],FilteredPL!A:A,FilteredPL!B:B,0,0),0)</f>
        <v>0</v>
      </c>
      <c r="P492">
        <f>_xlfn.XLOOKUP(PartList[[#This Row],[ASSLY MARK]],MasterPL[SplitMarkNo],MasterPL[BILL WT.(KG)],0,0)</f>
        <v>0</v>
      </c>
      <c r="Q492" cm="1">
        <f t="array" ref="Q49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92" t="str">
        <v>2HB10</v>
      </c>
      <c r="AB492" s="42">
        <f>SUMIF(PartList[ASSLY MARK],AA492,PartList[Avail. Qty])</f>
        <v>0</v>
      </c>
    </row>
    <row r="493" spans="1:28" x14ac:dyDescent="0.25">
      <c r="A493">
        <v>1155</v>
      </c>
      <c r="B493" t="s">
        <v>435</v>
      </c>
      <c r="C493" t="s">
        <v>1048</v>
      </c>
      <c r="D493" t="s">
        <v>1111</v>
      </c>
      <c r="E493" t="s">
        <v>1086</v>
      </c>
      <c r="F493" t="str" cm="1">
        <f t="array" ref="F493">IF(SUM(IF(PartList[ASSLY MARK]=PartList[[#This Row],[ASSLY MARK]],1,0))&gt;1,"No","Yes")</f>
        <v>No</v>
      </c>
      <c r="G493" t="str" cm="1">
        <f t="array" ref="G493">_xlfn.TEXTJOIN("_",TRUE,TRIM(_xlfn.TEXTSPLIT(PartList[[#This Row],[GRID LOCATION]],{"PR01","/","-"})))</f>
        <v>11_A</v>
      </c>
      <c r="H493" t="str" cm="1">
        <f t="array" ref="H49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93" cm="1">
        <f t="array" ref="I49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93" t="str">
        <f>IF(IFERROR(SEARCH("&gt;",PartList[[#This Row],[ID]]),0),"O",IF(IFERROR(SEARCH("&lt;",PartList[[#This Row],[ID]]),0),"I",""))</f>
        <v/>
      </c>
      <c r="K493" t="str" cm="1">
        <f t="array" ref="K4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93" t="str" cm="1">
        <f t="array" ref="L4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93" t="str">
        <f>_xlfn.TEXTJOIN("#",TRUE,PartList[[#This Row],[ASSLY MARK]],PartList[[#This Row],[BOX NO]],PartList[[#This Row],[In/Out]],PartList[[#This Row],[O1-Grid]])</f>
        <v>SW02#Box1#11_B_A</v>
      </c>
      <c r="N493" t="str">
        <f>_xlfn.TEXTJOIN("#",TRUE,PartList[[#This Row],[ASSLY MARK]],PartList[[#This Row],[BOX NO]],PartList[[#This Row],[In/Out]],PartList[[#This Row],[O2-Grid]])</f>
        <v>SW02#Box1#10_11_A</v>
      </c>
      <c r="O493">
        <f>IF(PartList[[#This Row],[Unique]]="Yes",_xlfn.XLOOKUP(PartList[[#This Row],[ASSLY MARK]],FilteredPL!A:A,FilteredPL!B:B,0,0),0)</f>
        <v>0</v>
      </c>
      <c r="P493">
        <f>_xlfn.XLOOKUP(PartList[[#This Row],[ASSLY MARK]],MasterPL[SplitMarkNo],MasterPL[BILL WT.(KG)],0,0)</f>
        <v>0</v>
      </c>
      <c r="Q493" cm="1">
        <f t="array" ref="Q49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93" t="str">
        <v>2HB11</v>
      </c>
      <c r="AB493" s="42">
        <f>SUMIF(PartList[ASSLY MARK],AA493,PartList[Avail. Qty])</f>
        <v>0</v>
      </c>
    </row>
    <row r="494" spans="1:28" x14ac:dyDescent="0.25">
      <c r="A494">
        <v>1156</v>
      </c>
      <c r="B494" t="s">
        <v>435</v>
      </c>
      <c r="C494" t="s">
        <v>1048</v>
      </c>
      <c r="D494" t="s">
        <v>1111</v>
      </c>
      <c r="E494" t="s">
        <v>1086</v>
      </c>
      <c r="F494" t="str" cm="1">
        <f t="array" ref="F494">IF(SUM(IF(PartList[ASSLY MARK]=PartList[[#This Row],[ASSLY MARK]],1,0))&gt;1,"No","Yes")</f>
        <v>No</v>
      </c>
      <c r="G494" t="str" cm="1">
        <f t="array" ref="G494">_xlfn.TEXTJOIN("_",TRUE,TRIM(_xlfn.TEXTSPLIT(PartList[[#This Row],[GRID LOCATION]],{"PR01","/","-"})))</f>
        <v>11_A</v>
      </c>
      <c r="H494" t="str" cm="1">
        <f t="array" ref="H49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94" cm="1">
        <f t="array" ref="I49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94" t="str">
        <f>IF(IFERROR(SEARCH("&gt;",PartList[[#This Row],[ID]]),0),"O",IF(IFERROR(SEARCH("&lt;",PartList[[#This Row],[ID]]),0),"I",""))</f>
        <v/>
      </c>
      <c r="K494" t="str" cm="1">
        <f t="array" ref="K4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94" t="str" cm="1">
        <f t="array" ref="L4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94" t="str">
        <f>_xlfn.TEXTJOIN("#",TRUE,PartList[[#This Row],[ASSLY MARK]],PartList[[#This Row],[BOX NO]],PartList[[#This Row],[In/Out]],PartList[[#This Row],[O1-Grid]])</f>
        <v>SW02#Box1#11_B_A</v>
      </c>
      <c r="N494" t="str">
        <f>_xlfn.TEXTJOIN("#",TRUE,PartList[[#This Row],[ASSLY MARK]],PartList[[#This Row],[BOX NO]],PartList[[#This Row],[In/Out]],PartList[[#This Row],[O2-Grid]])</f>
        <v>SW02#Box1#10_11_A</v>
      </c>
      <c r="O494">
        <f>IF(PartList[[#This Row],[Unique]]="Yes",_xlfn.XLOOKUP(PartList[[#This Row],[ASSLY MARK]],FilteredPL!A:A,FilteredPL!B:B,0,0),0)</f>
        <v>0</v>
      </c>
      <c r="P494">
        <f>_xlfn.XLOOKUP(PartList[[#This Row],[ASSLY MARK]],MasterPL[SplitMarkNo],MasterPL[BILL WT.(KG)],0,0)</f>
        <v>0</v>
      </c>
      <c r="Q494" cm="1">
        <f t="array" ref="Q49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94" t="str">
        <v>2HB12</v>
      </c>
      <c r="AB494" s="42">
        <f>SUMIF(PartList[ASSLY MARK],AA494,PartList[Avail. Qty])</f>
        <v>0</v>
      </c>
    </row>
    <row r="495" spans="1:28" x14ac:dyDescent="0.25">
      <c r="A495">
        <v>1157</v>
      </c>
      <c r="B495" t="s">
        <v>435</v>
      </c>
      <c r="C495" t="s">
        <v>1050</v>
      </c>
      <c r="D495" t="s">
        <v>1111</v>
      </c>
      <c r="E495" t="s">
        <v>1086</v>
      </c>
      <c r="F495" t="str" cm="1">
        <f t="array" ref="F495">IF(SUM(IF(PartList[ASSLY MARK]=PartList[[#This Row],[ASSLY MARK]],1,0))&gt;1,"No","Yes")</f>
        <v>No</v>
      </c>
      <c r="G495" t="str" cm="1">
        <f t="array" ref="G495">_xlfn.TEXTJOIN("_",TRUE,TRIM(_xlfn.TEXTSPLIT(PartList[[#This Row],[GRID LOCATION]],{"PR01","/","-"})))</f>
        <v>11_B</v>
      </c>
      <c r="H495" t="str" cm="1">
        <f t="array" ref="H49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95" cm="1">
        <f t="array" ref="I49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95" t="str">
        <f>IF(IFERROR(SEARCH("&gt;",PartList[[#This Row],[ID]]),0),"O",IF(IFERROR(SEARCH("&lt;",PartList[[#This Row],[ID]]),0),"I",""))</f>
        <v/>
      </c>
      <c r="K495" t="str" cm="1">
        <f t="array" ref="K4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95" t="str" cm="1">
        <f t="array" ref="L4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495" t="str">
        <f>_xlfn.TEXTJOIN("#",TRUE,PartList[[#This Row],[ASSLY MARK]],PartList[[#This Row],[BOX NO]],PartList[[#This Row],[In/Out]],PartList[[#This Row],[O1-Grid]])</f>
        <v>SW02#Box1#11_B_A</v>
      </c>
      <c r="N495" t="str">
        <f>_xlfn.TEXTJOIN("#",TRUE,PartList[[#This Row],[ASSLY MARK]],PartList[[#This Row],[BOX NO]],PartList[[#This Row],[In/Out]],PartList[[#This Row],[O2-Grid]])</f>
        <v>SW02#Box1#10_11_B</v>
      </c>
      <c r="O495">
        <f>IF(PartList[[#This Row],[Unique]]="Yes",_xlfn.XLOOKUP(PartList[[#This Row],[ASSLY MARK]],FilteredPL!A:A,FilteredPL!B:B,0,0),0)</f>
        <v>0</v>
      </c>
      <c r="P495">
        <f>_xlfn.XLOOKUP(PartList[[#This Row],[ASSLY MARK]],MasterPL[SplitMarkNo],MasterPL[BILL WT.(KG)],0,0)</f>
        <v>0</v>
      </c>
      <c r="Q495" cm="1">
        <f t="array" ref="Q49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95" t="str">
        <v>2HB13</v>
      </c>
      <c r="AB495" s="42">
        <f>SUMIF(PartList[ASSLY MARK],AA495,PartList[Avail. Qty])</f>
        <v>0</v>
      </c>
    </row>
    <row r="496" spans="1:28" x14ac:dyDescent="0.25">
      <c r="A496">
        <v>1158</v>
      </c>
      <c r="B496" t="s">
        <v>435</v>
      </c>
      <c r="C496" t="s">
        <v>1052</v>
      </c>
      <c r="D496" t="s">
        <v>1109</v>
      </c>
      <c r="E496" t="s">
        <v>1086</v>
      </c>
      <c r="F496" t="str" cm="1">
        <f t="array" ref="F496">IF(SUM(IF(PartList[ASSLY MARK]=PartList[[#This Row],[ASSLY MARK]],1,0))&gt;1,"No","Yes")</f>
        <v>No</v>
      </c>
      <c r="G496" t="str" cm="1">
        <f t="array" ref="G496">_xlfn.TEXTJOIN("_",TRUE,TRIM(_xlfn.TEXTSPLIT(PartList[[#This Row],[GRID LOCATION]],{"PR01","/","-"})))</f>
        <v>14_B</v>
      </c>
      <c r="H496" t="str" cm="1">
        <f t="array" ref="H49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96" cm="1">
        <f t="array" ref="I49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96" t="str">
        <f>IF(IFERROR(SEARCH("&gt;",PartList[[#This Row],[ID]]),0),"O",IF(IFERROR(SEARCH("&lt;",PartList[[#This Row],[ID]]),0),"I",""))</f>
        <v/>
      </c>
      <c r="K496" t="str" cm="1">
        <f t="array" ref="K4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96" t="str" cm="1">
        <f t="array" ref="L4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96" t="str">
        <f>_xlfn.TEXTJOIN("#",TRUE,PartList[[#This Row],[ASSLY MARK]],PartList[[#This Row],[BOX NO]],PartList[[#This Row],[In/Out]],PartList[[#This Row],[O1-Grid]])</f>
        <v>SW02#Box1_Box2_Box3_Box6#InBB</v>
      </c>
      <c r="N496" t="str">
        <f>_xlfn.TEXTJOIN("#",TRUE,PartList[[#This Row],[ASSLY MARK]],PartList[[#This Row],[BOX NO]],PartList[[#This Row],[In/Out]],PartList[[#This Row],[O2-Grid]])</f>
        <v>SW02#Box1_Box2_Box3_Box6#InBB</v>
      </c>
      <c r="O496">
        <f>IF(PartList[[#This Row],[Unique]]="Yes",_xlfn.XLOOKUP(PartList[[#This Row],[ASSLY MARK]],FilteredPL!A:A,FilteredPL!B:B,0,0),0)</f>
        <v>0</v>
      </c>
      <c r="P496">
        <f>_xlfn.XLOOKUP(PartList[[#This Row],[ASSLY MARK]],MasterPL[SplitMarkNo],MasterPL[BILL WT.(KG)],0,0)</f>
        <v>0</v>
      </c>
      <c r="Q496" cm="1">
        <f t="array" ref="Q49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96" t="str">
        <v>2HB14</v>
      </c>
      <c r="AB496" s="42">
        <f>SUMIF(PartList[ASSLY MARK],AA496,PartList[Avail. Qty])</f>
        <v>0</v>
      </c>
    </row>
    <row r="497" spans="1:28" x14ac:dyDescent="0.25">
      <c r="A497">
        <v>1160</v>
      </c>
      <c r="B497" t="s">
        <v>435</v>
      </c>
      <c r="C497" t="s">
        <v>1048</v>
      </c>
      <c r="D497" t="s">
        <v>1113</v>
      </c>
      <c r="E497" t="s">
        <v>1086</v>
      </c>
      <c r="F497" t="str" cm="1">
        <f t="array" ref="F497">IF(SUM(IF(PartList[ASSLY MARK]=PartList[[#This Row],[ASSLY MARK]],1,0))&gt;1,"No","Yes")</f>
        <v>No</v>
      </c>
      <c r="G497" t="str" cm="1">
        <f t="array" ref="G497">_xlfn.TEXTJOIN("_",TRUE,TRIM(_xlfn.TEXTSPLIT(PartList[[#This Row],[GRID LOCATION]],{"PR01","/","-"})))</f>
        <v>11_A</v>
      </c>
      <c r="H497" t="str" cm="1">
        <f t="array" ref="H49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97" cm="1">
        <f t="array" ref="I49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97" t="str">
        <f>IF(IFERROR(SEARCH("&gt;",PartList[[#This Row],[ID]]),0),"O",IF(IFERROR(SEARCH("&lt;",PartList[[#This Row],[ID]]),0),"I",""))</f>
        <v/>
      </c>
      <c r="K497" t="str" cm="1">
        <f t="array" ref="K4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97" t="str" cm="1">
        <f t="array" ref="L4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97" t="str">
        <f>_xlfn.TEXTJOIN("#",TRUE,PartList[[#This Row],[ASSLY MARK]],PartList[[#This Row],[BOX NO]],PartList[[#This Row],[In/Out]],PartList[[#This Row],[O1-Grid]])</f>
        <v>SW02#Box1#11_B_A</v>
      </c>
      <c r="N497" t="str">
        <f>_xlfn.TEXTJOIN("#",TRUE,PartList[[#This Row],[ASSLY MARK]],PartList[[#This Row],[BOX NO]],PartList[[#This Row],[In/Out]],PartList[[#This Row],[O2-Grid]])</f>
        <v>SW02#Box1#10_11_A</v>
      </c>
      <c r="O497">
        <f>IF(PartList[[#This Row],[Unique]]="Yes",_xlfn.XLOOKUP(PartList[[#This Row],[ASSLY MARK]],FilteredPL!A:A,FilteredPL!B:B,0,0),0)</f>
        <v>0</v>
      </c>
      <c r="P497">
        <f>_xlfn.XLOOKUP(PartList[[#This Row],[ASSLY MARK]],MasterPL[SplitMarkNo],MasterPL[BILL WT.(KG)],0,0)</f>
        <v>0</v>
      </c>
      <c r="Q497" cm="1">
        <f t="array" ref="Q49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97" t="str">
        <v>2HB15</v>
      </c>
      <c r="AB497" s="42">
        <f>SUMIF(PartList[ASSLY MARK],AA497,PartList[Avail. Qty])</f>
        <v>0</v>
      </c>
    </row>
    <row r="498" spans="1:28" x14ac:dyDescent="0.25">
      <c r="A498">
        <v>1161</v>
      </c>
      <c r="B498" t="s">
        <v>435</v>
      </c>
      <c r="C498" t="s">
        <v>1052</v>
      </c>
      <c r="D498" t="s">
        <v>1109</v>
      </c>
      <c r="E498" t="s">
        <v>1086</v>
      </c>
      <c r="F498" t="str" cm="1">
        <f t="array" ref="F498">IF(SUM(IF(PartList[ASSLY MARK]=PartList[[#This Row],[ASSLY MARK]],1,0))&gt;1,"No","Yes")</f>
        <v>No</v>
      </c>
      <c r="G498" t="str" cm="1">
        <f t="array" ref="G498">_xlfn.TEXTJOIN("_",TRUE,TRIM(_xlfn.TEXTSPLIT(PartList[[#This Row],[GRID LOCATION]],{"PR01","/","-"})))</f>
        <v>14_B</v>
      </c>
      <c r="H498" t="str" cm="1">
        <f t="array" ref="H49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498" cm="1">
        <f t="array" ref="I49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98" t="str">
        <f>IF(IFERROR(SEARCH("&gt;",PartList[[#This Row],[ID]]),0),"O",IF(IFERROR(SEARCH("&lt;",PartList[[#This Row],[ID]]),0),"I",""))</f>
        <v/>
      </c>
      <c r="K498" t="str" cm="1">
        <f t="array" ref="K4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498" t="str" cm="1">
        <f t="array" ref="L4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498" t="str">
        <f>_xlfn.TEXTJOIN("#",TRUE,PartList[[#This Row],[ASSLY MARK]],PartList[[#This Row],[BOX NO]],PartList[[#This Row],[In/Out]],PartList[[#This Row],[O1-Grid]])</f>
        <v>SW02#Box1_Box2_Box3_Box6#InBB</v>
      </c>
      <c r="N498" t="str">
        <f>_xlfn.TEXTJOIN("#",TRUE,PartList[[#This Row],[ASSLY MARK]],PartList[[#This Row],[BOX NO]],PartList[[#This Row],[In/Out]],PartList[[#This Row],[O2-Grid]])</f>
        <v>SW02#Box1_Box2_Box3_Box6#InBB</v>
      </c>
      <c r="O498">
        <f>IF(PartList[[#This Row],[Unique]]="Yes",_xlfn.XLOOKUP(PartList[[#This Row],[ASSLY MARK]],FilteredPL!A:A,FilteredPL!B:B,0,0),0)</f>
        <v>0</v>
      </c>
      <c r="P498">
        <f>_xlfn.XLOOKUP(PartList[[#This Row],[ASSLY MARK]],MasterPL[SplitMarkNo],MasterPL[BILL WT.(KG)],0,0)</f>
        <v>0</v>
      </c>
      <c r="Q498" cm="1">
        <f t="array" ref="Q49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98" t="str">
        <v>2HB16</v>
      </c>
      <c r="AB498" s="42">
        <f>SUMIF(PartList[ASSLY MARK],AA498,PartList[Avail. Qty])</f>
        <v>0</v>
      </c>
    </row>
    <row r="499" spans="1:28" x14ac:dyDescent="0.25">
      <c r="A499">
        <v>1163</v>
      </c>
      <c r="B499" t="s">
        <v>435</v>
      </c>
      <c r="C499" t="s">
        <v>1048</v>
      </c>
      <c r="D499" t="s">
        <v>1113</v>
      </c>
      <c r="E499" t="s">
        <v>1086</v>
      </c>
      <c r="F499" t="str" cm="1">
        <f t="array" ref="F499">IF(SUM(IF(PartList[ASSLY MARK]=PartList[[#This Row],[ASSLY MARK]],1,0))&gt;1,"No","Yes")</f>
        <v>No</v>
      </c>
      <c r="G499" t="str" cm="1">
        <f t="array" ref="G499">_xlfn.TEXTJOIN("_",TRUE,TRIM(_xlfn.TEXTSPLIT(PartList[[#This Row],[GRID LOCATION]],{"PR01","/","-"})))</f>
        <v>11_A</v>
      </c>
      <c r="H499" t="str" cm="1">
        <f t="array" ref="H49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499" cm="1">
        <f t="array" ref="I49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499" t="str">
        <f>IF(IFERROR(SEARCH("&gt;",PartList[[#This Row],[ID]]),0),"O",IF(IFERROR(SEARCH("&lt;",PartList[[#This Row],[ID]]),0),"I",""))</f>
        <v/>
      </c>
      <c r="K499" t="str" cm="1">
        <f t="array" ref="K4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499" t="str" cm="1">
        <f t="array" ref="L4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499" t="str">
        <f>_xlfn.TEXTJOIN("#",TRUE,PartList[[#This Row],[ASSLY MARK]],PartList[[#This Row],[BOX NO]],PartList[[#This Row],[In/Out]],PartList[[#This Row],[O1-Grid]])</f>
        <v>SW02#Box1#11_B_A</v>
      </c>
      <c r="N499" t="str">
        <f>_xlfn.TEXTJOIN("#",TRUE,PartList[[#This Row],[ASSLY MARK]],PartList[[#This Row],[BOX NO]],PartList[[#This Row],[In/Out]],PartList[[#This Row],[O2-Grid]])</f>
        <v>SW02#Box1#10_11_A</v>
      </c>
      <c r="O499">
        <f>IF(PartList[[#This Row],[Unique]]="Yes",_xlfn.XLOOKUP(PartList[[#This Row],[ASSLY MARK]],FilteredPL!A:A,FilteredPL!B:B,0,0),0)</f>
        <v>0</v>
      </c>
      <c r="P499">
        <f>_xlfn.XLOOKUP(PartList[[#This Row],[ASSLY MARK]],MasterPL[SplitMarkNo],MasterPL[BILL WT.(KG)],0,0)</f>
        <v>0</v>
      </c>
      <c r="Q499" cm="1">
        <f t="array" ref="Q49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499" t="str">
        <v>2HB17</v>
      </c>
      <c r="AB499" s="42">
        <f>SUMIF(PartList[ASSLY MARK],AA499,PartList[Avail. Qty])</f>
        <v>0</v>
      </c>
    </row>
    <row r="500" spans="1:28" x14ac:dyDescent="0.25">
      <c r="A500">
        <v>1164</v>
      </c>
      <c r="B500" t="s">
        <v>435</v>
      </c>
      <c r="C500" t="s">
        <v>1050</v>
      </c>
      <c r="D500" t="s">
        <v>1112</v>
      </c>
      <c r="E500" t="s">
        <v>1086</v>
      </c>
      <c r="F500" t="str" cm="1">
        <f t="array" ref="F500">IF(SUM(IF(PartList[ASSLY MARK]=PartList[[#This Row],[ASSLY MARK]],1,0))&gt;1,"No","Yes")</f>
        <v>No</v>
      </c>
      <c r="G500" t="str" cm="1">
        <f t="array" ref="G500">_xlfn.TEXTJOIN("_",TRUE,TRIM(_xlfn.TEXTSPLIT(PartList[[#This Row],[GRID LOCATION]],{"PR01","/","-"})))</f>
        <v>11_B</v>
      </c>
      <c r="H500" t="str" cm="1">
        <f t="array" ref="H50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00" cm="1">
        <f t="array" ref="I50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00" t="str">
        <f>IF(IFERROR(SEARCH("&gt;",PartList[[#This Row],[ID]]),0),"O",IF(IFERROR(SEARCH("&lt;",PartList[[#This Row],[ID]]),0),"I",""))</f>
        <v/>
      </c>
      <c r="K500" t="str" cm="1">
        <f t="array" ref="K5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500" t="str" cm="1">
        <f t="array" ref="L5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500" t="str">
        <f>_xlfn.TEXTJOIN("#",TRUE,PartList[[#This Row],[ASSLY MARK]],PartList[[#This Row],[BOX NO]],PartList[[#This Row],[In/Out]],PartList[[#This Row],[O1-Grid]])</f>
        <v>SW02#Box1#11_B_A</v>
      </c>
      <c r="N500" t="str">
        <f>_xlfn.TEXTJOIN("#",TRUE,PartList[[#This Row],[ASSLY MARK]],PartList[[#This Row],[BOX NO]],PartList[[#This Row],[In/Out]],PartList[[#This Row],[O2-Grid]])</f>
        <v>SW02#Box1#10_11_B</v>
      </c>
      <c r="O500">
        <f>IF(PartList[[#This Row],[Unique]]="Yes",_xlfn.XLOOKUP(PartList[[#This Row],[ASSLY MARK]],FilteredPL!A:A,FilteredPL!B:B,0,0),0)</f>
        <v>0</v>
      </c>
      <c r="P500">
        <f>_xlfn.XLOOKUP(PartList[[#This Row],[ASSLY MARK]],MasterPL[SplitMarkNo],MasterPL[BILL WT.(KG)],0,0)</f>
        <v>0</v>
      </c>
      <c r="Q500" cm="1">
        <f t="array" ref="Q50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00" t="str">
        <v>2HB18</v>
      </c>
      <c r="AB500" s="42">
        <f>SUMIF(PartList[ASSLY MARK],AA500,PartList[Avail. Qty])</f>
        <v>0</v>
      </c>
    </row>
    <row r="501" spans="1:28" x14ac:dyDescent="0.25">
      <c r="A501">
        <v>1166</v>
      </c>
      <c r="B501" t="s">
        <v>435</v>
      </c>
      <c r="C501" t="s">
        <v>1045</v>
      </c>
      <c r="D501" t="s">
        <v>1111</v>
      </c>
      <c r="E501" t="s">
        <v>1086</v>
      </c>
      <c r="F501" t="str" cm="1">
        <f t="array" ref="F501">IF(SUM(IF(PartList[ASSLY MARK]=PartList[[#This Row],[ASSLY MARK]],1,0))&gt;1,"No","Yes")</f>
        <v>No</v>
      </c>
      <c r="G501" t="str" cm="1">
        <f t="array" ref="G501">_xlfn.TEXTJOIN("_",TRUE,TRIM(_xlfn.TEXTSPLIT(PartList[[#This Row],[GRID LOCATION]],{"PR01","/","-"})))</f>
        <v>10_B</v>
      </c>
      <c r="H501" t="str" cm="1">
        <f t="array" ref="H50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01" cm="1">
        <f t="array" ref="I50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01" t="str">
        <f>IF(IFERROR(SEARCH("&gt;",PartList[[#This Row],[ID]]),0),"O",IF(IFERROR(SEARCH("&lt;",PartList[[#This Row],[ID]]),0),"I",""))</f>
        <v/>
      </c>
      <c r="K501" t="str" cm="1">
        <f t="array" ref="K5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501" t="str" cm="1">
        <f t="array" ref="L5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501" t="str">
        <f>_xlfn.TEXTJOIN("#",TRUE,PartList[[#This Row],[ASSLY MARK]],PartList[[#This Row],[BOX NO]],PartList[[#This Row],[In/Out]],PartList[[#This Row],[O1-Grid]])</f>
        <v>SW02#Box1#10_B_A</v>
      </c>
      <c r="N501" t="str">
        <f>_xlfn.TEXTJOIN("#",TRUE,PartList[[#This Row],[ASSLY MARK]],PartList[[#This Row],[BOX NO]],PartList[[#This Row],[In/Out]],PartList[[#This Row],[O2-Grid]])</f>
        <v>SW02#Box1#10_11_B</v>
      </c>
      <c r="O501">
        <f>IF(PartList[[#This Row],[Unique]]="Yes",_xlfn.XLOOKUP(PartList[[#This Row],[ASSLY MARK]],FilteredPL!A:A,FilteredPL!B:B,0,0),0)</f>
        <v>0</v>
      </c>
      <c r="P501">
        <f>_xlfn.XLOOKUP(PartList[[#This Row],[ASSLY MARK]],MasterPL[SplitMarkNo],MasterPL[BILL WT.(KG)],0,0)</f>
        <v>0</v>
      </c>
      <c r="Q501" cm="1">
        <f t="array" ref="Q50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01" t="str">
        <v>2HB19</v>
      </c>
      <c r="AB501" s="42">
        <f>SUMIF(PartList[ASSLY MARK],AA501,PartList[Avail. Qty])</f>
        <v>0</v>
      </c>
    </row>
    <row r="502" spans="1:28" x14ac:dyDescent="0.25">
      <c r="A502">
        <v>1169</v>
      </c>
      <c r="B502" t="s">
        <v>435</v>
      </c>
      <c r="C502" t="s">
        <v>1045</v>
      </c>
      <c r="D502" t="s">
        <v>1111</v>
      </c>
      <c r="E502" t="s">
        <v>1086</v>
      </c>
      <c r="F502" t="str" cm="1">
        <f t="array" ref="F502">IF(SUM(IF(PartList[ASSLY MARK]=PartList[[#This Row],[ASSLY MARK]],1,0))&gt;1,"No","Yes")</f>
        <v>No</v>
      </c>
      <c r="G502" t="str" cm="1">
        <f t="array" ref="G502">_xlfn.TEXTJOIN("_",TRUE,TRIM(_xlfn.TEXTSPLIT(PartList[[#This Row],[GRID LOCATION]],{"PR01","/","-"})))</f>
        <v>10_B</v>
      </c>
      <c r="H502" t="str" cm="1">
        <f t="array" ref="H50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02" cm="1">
        <f t="array" ref="I50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02" t="str">
        <f>IF(IFERROR(SEARCH("&gt;",PartList[[#This Row],[ID]]),0),"O",IF(IFERROR(SEARCH("&lt;",PartList[[#This Row],[ID]]),0),"I",""))</f>
        <v/>
      </c>
      <c r="K502" t="str" cm="1">
        <f t="array" ref="K5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502" t="str" cm="1">
        <f t="array" ref="L5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502" t="str">
        <f>_xlfn.TEXTJOIN("#",TRUE,PartList[[#This Row],[ASSLY MARK]],PartList[[#This Row],[BOX NO]],PartList[[#This Row],[In/Out]],PartList[[#This Row],[O1-Grid]])</f>
        <v>SW02#Box1#10_B_A</v>
      </c>
      <c r="N502" t="str">
        <f>_xlfn.TEXTJOIN("#",TRUE,PartList[[#This Row],[ASSLY MARK]],PartList[[#This Row],[BOX NO]],PartList[[#This Row],[In/Out]],PartList[[#This Row],[O2-Grid]])</f>
        <v>SW02#Box1#10_11_B</v>
      </c>
      <c r="O502">
        <f>IF(PartList[[#This Row],[Unique]]="Yes",_xlfn.XLOOKUP(PartList[[#This Row],[ASSLY MARK]],FilteredPL!A:A,FilteredPL!B:B,0,0),0)</f>
        <v>0</v>
      </c>
      <c r="P502">
        <f>_xlfn.XLOOKUP(PartList[[#This Row],[ASSLY MARK]],MasterPL[SplitMarkNo],MasterPL[BILL WT.(KG)],0,0)</f>
        <v>0</v>
      </c>
      <c r="Q502" cm="1">
        <f t="array" ref="Q50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02" t="str">
        <v>2HB20</v>
      </c>
      <c r="AB502" s="42">
        <f>SUMIF(PartList[ASSLY MARK],AA502,PartList[Avail. Qty])</f>
        <v>0</v>
      </c>
    </row>
    <row r="503" spans="1:28" x14ac:dyDescent="0.25">
      <c r="A503">
        <v>1172</v>
      </c>
      <c r="B503" t="s">
        <v>435</v>
      </c>
      <c r="C503" t="s">
        <v>1038</v>
      </c>
      <c r="D503" t="s">
        <v>1111</v>
      </c>
      <c r="E503" t="s">
        <v>1086</v>
      </c>
      <c r="F503" t="str" cm="1">
        <f t="array" ref="F503">IF(SUM(IF(PartList[ASSLY MARK]=PartList[[#This Row],[ASSLY MARK]],1,0))&gt;1,"No","Yes")</f>
        <v>No</v>
      </c>
      <c r="G503" t="str" cm="1">
        <f t="array" ref="G503">_xlfn.TEXTJOIN("_",TRUE,TRIM(_xlfn.TEXTSPLIT(PartList[[#This Row],[GRID LOCATION]],{"PR01","/","-"})))</f>
        <v>10_A</v>
      </c>
      <c r="H503" t="str" cm="1">
        <f t="array" ref="H50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03" cm="1">
        <f t="array" ref="I50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03" t="str">
        <f>IF(IFERROR(SEARCH("&gt;",PartList[[#This Row],[ID]]),0),"O",IF(IFERROR(SEARCH("&lt;",PartList[[#This Row],[ID]]),0),"I",""))</f>
        <v/>
      </c>
      <c r="K503" t="str" cm="1">
        <f t="array" ref="K5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503" t="str" cm="1">
        <f t="array" ref="L5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503" t="str">
        <f>_xlfn.TEXTJOIN("#",TRUE,PartList[[#This Row],[ASSLY MARK]],PartList[[#This Row],[BOX NO]],PartList[[#This Row],[In/Out]],PartList[[#This Row],[O1-Grid]])</f>
        <v>SW02#Box1#10_B_A</v>
      </c>
      <c r="N503" t="str">
        <f>_xlfn.TEXTJOIN("#",TRUE,PartList[[#This Row],[ASSLY MARK]],PartList[[#This Row],[BOX NO]],PartList[[#This Row],[In/Out]],PartList[[#This Row],[O2-Grid]])</f>
        <v>SW02#Box1#10_11_A</v>
      </c>
      <c r="O503">
        <f>IF(PartList[[#This Row],[Unique]]="Yes",_xlfn.XLOOKUP(PartList[[#This Row],[ASSLY MARK]],FilteredPL!A:A,FilteredPL!B:B,0,0),0)</f>
        <v>0</v>
      </c>
      <c r="P503">
        <f>_xlfn.XLOOKUP(PartList[[#This Row],[ASSLY MARK]],MasterPL[SplitMarkNo],MasterPL[BILL WT.(KG)],0,0)</f>
        <v>0</v>
      </c>
      <c r="Q503" cm="1">
        <f t="array" ref="Q50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03" t="str">
        <v>2HB21</v>
      </c>
      <c r="AB503" s="42">
        <f>SUMIF(PartList[ASSLY MARK],AA503,PartList[Avail. Qty])</f>
        <v>0</v>
      </c>
    </row>
    <row r="504" spans="1:28" x14ac:dyDescent="0.25">
      <c r="A504">
        <v>1175</v>
      </c>
      <c r="B504" t="s">
        <v>435</v>
      </c>
      <c r="C504" t="s">
        <v>1038</v>
      </c>
      <c r="D504" t="s">
        <v>1111</v>
      </c>
      <c r="E504" t="s">
        <v>1086</v>
      </c>
      <c r="F504" t="str" cm="1">
        <f t="array" ref="F504">IF(SUM(IF(PartList[ASSLY MARK]=PartList[[#This Row],[ASSLY MARK]],1,0))&gt;1,"No","Yes")</f>
        <v>No</v>
      </c>
      <c r="G504" t="str" cm="1">
        <f t="array" ref="G504">_xlfn.TEXTJOIN("_",TRUE,TRIM(_xlfn.TEXTSPLIT(PartList[[#This Row],[GRID LOCATION]],{"PR01","/","-"})))</f>
        <v>10_A</v>
      </c>
      <c r="H504" t="str" cm="1">
        <f t="array" ref="H50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04" cm="1">
        <f t="array" ref="I50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04" t="str">
        <f>IF(IFERROR(SEARCH("&gt;",PartList[[#This Row],[ID]]),0),"O",IF(IFERROR(SEARCH("&lt;",PartList[[#This Row],[ID]]),0),"I",""))</f>
        <v/>
      </c>
      <c r="K504" t="str" cm="1">
        <f t="array" ref="K5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504" t="str" cm="1">
        <f t="array" ref="L5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504" t="str">
        <f>_xlfn.TEXTJOIN("#",TRUE,PartList[[#This Row],[ASSLY MARK]],PartList[[#This Row],[BOX NO]],PartList[[#This Row],[In/Out]],PartList[[#This Row],[O1-Grid]])</f>
        <v>SW02#Box1#10_B_A</v>
      </c>
      <c r="N504" t="str">
        <f>_xlfn.TEXTJOIN("#",TRUE,PartList[[#This Row],[ASSLY MARK]],PartList[[#This Row],[BOX NO]],PartList[[#This Row],[In/Out]],PartList[[#This Row],[O2-Grid]])</f>
        <v>SW02#Box1#10_11_A</v>
      </c>
      <c r="O504">
        <f>IF(PartList[[#This Row],[Unique]]="Yes",_xlfn.XLOOKUP(PartList[[#This Row],[ASSLY MARK]],FilteredPL!A:A,FilteredPL!B:B,0,0),0)</f>
        <v>0</v>
      </c>
      <c r="P504">
        <f>_xlfn.XLOOKUP(PartList[[#This Row],[ASSLY MARK]],MasterPL[SplitMarkNo],MasterPL[BILL WT.(KG)],0,0)</f>
        <v>0</v>
      </c>
      <c r="Q504" cm="1">
        <f t="array" ref="Q50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04" t="str">
        <v>2HB22</v>
      </c>
      <c r="AB504" s="42">
        <f>SUMIF(PartList[ASSLY MARK],AA504,PartList[Avail. Qty])</f>
        <v>0</v>
      </c>
    </row>
    <row r="505" spans="1:28" x14ac:dyDescent="0.25">
      <c r="A505">
        <v>1178</v>
      </c>
      <c r="B505" t="s">
        <v>435</v>
      </c>
      <c r="C505" t="s">
        <v>1038</v>
      </c>
      <c r="D505" t="s">
        <v>1113</v>
      </c>
      <c r="E505" t="s">
        <v>1086</v>
      </c>
      <c r="F505" t="str" cm="1">
        <f t="array" ref="F505">IF(SUM(IF(PartList[ASSLY MARK]=PartList[[#This Row],[ASSLY MARK]],1,0))&gt;1,"No","Yes")</f>
        <v>No</v>
      </c>
      <c r="G505" t="str" cm="1">
        <f t="array" ref="G505">_xlfn.TEXTJOIN("_",TRUE,TRIM(_xlfn.TEXTSPLIT(PartList[[#This Row],[GRID LOCATION]],{"PR01","/","-"})))</f>
        <v>10_A</v>
      </c>
      <c r="H505" t="str" cm="1">
        <f t="array" ref="H50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05" cm="1">
        <f t="array" ref="I50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05" t="str">
        <f>IF(IFERROR(SEARCH("&gt;",PartList[[#This Row],[ID]]),0),"O",IF(IFERROR(SEARCH("&lt;",PartList[[#This Row],[ID]]),0),"I",""))</f>
        <v/>
      </c>
      <c r="K505" t="str" cm="1">
        <f t="array" ref="K5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505" t="str" cm="1">
        <f t="array" ref="L5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505" t="str">
        <f>_xlfn.TEXTJOIN("#",TRUE,PartList[[#This Row],[ASSLY MARK]],PartList[[#This Row],[BOX NO]],PartList[[#This Row],[In/Out]],PartList[[#This Row],[O1-Grid]])</f>
        <v>SW02#Box1#10_B_A</v>
      </c>
      <c r="N505" t="str">
        <f>_xlfn.TEXTJOIN("#",TRUE,PartList[[#This Row],[ASSLY MARK]],PartList[[#This Row],[BOX NO]],PartList[[#This Row],[In/Out]],PartList[[#This Row],[O2-Grid]])</f>
        <v>SW02#Box1#10_11_A</v>
      </c>
      <c r="O505">
        <f>IF(PartList[[#This Row],[Unique]]="Yes",_xlfn.XLOOKUP(PartList[[#This Row],[ASSLY MARK]],FilteredPL!A:A,FilteredPL!B:B,0,0),0)</f>
        <v>0</v>
      </c>
      <c r="P505">
        <f>_xlfn.XLOOKUP(PartList[[#This Row],[ASSLY MARK]],MasterPL[SplitMarkNo],MasterPL[BILL WT.(KG)],0,0)</f>
        <v>0</v>
      </c>
      <c r="Q505" cm="1">
        <f t="array" ref="Q50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05" t="str">
        <v>2HB23</v>
      </c>
      <c r="AB505" s="42">
        <f>SUMIF(PartList[ASSLY MARK],AA505,PartList[Avail. Qty])</f>
        <v>0</v>
      </c>
    </row>
    <row r="506" spans="1:28" x14ac:dyDescent="0.25">
      <c r="A506">
        <v>1181</v>
      </c>
      <c r="B506" t="s">
        <v>435</v>
      </c>
      <c r="C506" t="s">
        <v>1038</v>
      </c>
      <c r="D506" t="s">
        <v>1113</v>
      </c>
      <c r="E506" t="s">
        <v>1086</v>
      </c>
      <c r="F506" t="str" cm="1">
        <f t="array" ref="F506">IF(SUM(IF(PartList[ASSLY MARK]=PartList[[#This Row],[ASSLY MARK]],1,0))&gt;1,"No","Yes")</f>
        <v>No</v>
      </c>
      <c r="G506" t="str" cm="1">
        <f t="array" ref="G506">_xlfn.TEXTJOIN("_",TRUE,TRIM(_xlfn.TEXTSPLIT(PartList[[#This Row],[GRID LOCATION]],{"PR01","/","-"})))</f>
        <v>10_A</v>
      </c>
      <c r="H506" t="str" cm="1">
        <f t="array" ref="H50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06" cm="1">
        <f t="array" ref="I50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06" t="str">
        <f>IF(IFERROR(SEARCH("&gt;",PartList[[#This Row],[ID]]),0),"O",IF(IFERROR(SEARCH("&lt;",PartList[[#This Row],[ID]]),0),"I",""))</f>
        <v/>
      </c>
      <c r="K506" t="str" cm="1">
        <f t="array" ref="K5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506" t="str" cm="1">
        <f t="array" ref="L5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506" t="str">
        <f>_xlfn.TEXTJOIN("#",TRUE,PartList[[#This Row],[ASSLY MARK]],PartList[[#This Row],[BOX NO]],PartList[[#This Row],[In/Out]],PartList[[#This Row],[O1-Grid]])</f>
        <v>SW02#Box1#10_B_A</v>
      </c>
      <c r="N506" t="str">
        <f>_xlfn.TEXTJOIN("#",TRUE,PartList[[#This Row],[ASSLY MARK]],PartList[[#This Row],[BOX NO]],PartList[[#This Row],[In/Out]],PartList[[#This Row],[O2-Grid]])</f>
        <v>SW02#Box1#10_11_A</v>
      </c>
      <c r="O506">
        <f>IF(PartList[[#This Row],[Unique]]="Yes",_xlfn.XLOOKUP(PartList[[#This Row],[ASSLY MARK]],FilteredPL!A:A,FilteredPL!B:B,0,0),0)</f>
        <v>0</v>
      </c>
      <c r="P506">
        <f>_xlfn.XLOOKUP(PartList[[#This Row],[ASSLY MARK]],MasterPL[SplitMarkNo],MasterPL[BILL WT.(KG)],0,0)</f>
        <v>0</v>
      </c>
      <c r="Q506" cm="1">
        <f t="array" ref="Q50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06" t="str">
        <v>2HB24</v>
      </c>
      <c r="AB506" s="42">
        <f>SUMIF(PartList[ASSLY MARK],AA506,PartList[Avail. Qty])</f>
        <v>0</v>
      </c>
    </row>
    <row r="507" spans="1:28" x14ac:dyDescent="0.25">
      <c r="A507">
        <v>1183</v>
      </c>
      <c r="B507" t="s">
        <v>435</v>
      </c>
      <c r="C507" t="s">
        <v>1046</v>
      </c>
      <c r="D507" t="s">
        <v>1109</v>
      </c>
      <c r="E507" t="s">
        <v>1086</v>
      </c>
      <c r="F507" t="str" cm="1">
        <f t="array" ref="F507">IF(SUM(IF(PartList[ASSLY MARK]=PartList[[#This Row],[ASSLY MARK]],1,0))&gt;1,"No","Yes")</f>
        <v>No</v>
      </c>
      <c r="G507" t="str" cm="1">
        <f t="array" ref="G507">_xlfn.TEXTJOIN("_",TRUE,TRIM(_xlfn.TEXTSPLIT(PartList[[#This Row],[GRID LOCATION]],{"PR01","/","-"})))</f>
        <v>14_A</v>
      </c>
      <c r="H507" t="str" cm="1">
        <f t="array" ref="H50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507" cm="1">
        <f t="array" ref="I50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07" t="str">
        <f>IF(IFERROR(SEARCH("&gt;",PartList[[#This Row],[ID]]),0),"O",IF(IFERROR(SEARCH("&lt;",PartList[[#This Row],[ID]]),0),"I",""))</f>
        <v/>
      </c>
      <c r="K507" t="str" cm="1">
        <f t="array" ref="K5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07" t="str" cm="1">
        <f t="array" ref="L5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07" t="str">
        <f>_xlfn.TEXTJOIN("#",TRUE,PartList[[#This Row],[ASSLY MARK]],PartList[[#This Row],[BOX NO]],PartList[[#This Row],[In/Out]],PartList[[#This Row],[O1-Grid]])</f>
        <v>SW02#Box1_Box2_Box3_Box6#InBB</v>
      </c>
      <c r="N507" t="str">
        <f>_xlfn.TEXTJOIN("#",TRUE,PartList[[#This Row],[ASSLY MARK]],PartList[[#This Row],[BOX NO]],PartList[[#This Row],[In/Out]],PartList[[#This Row],[O2-Grid]])</f>
        <v>SW02#Box1_Box2_Box3_Box6#InBB</v>
      </c>
      <c r="O507">
        <f>IF(PartList[[#This Row],[Unique]]="Yes",_xlfn.XLOOKUP(PartList[[#This Row],[ASSLY MARK]],FilteredPL!A:A,FilteredPL!B:B,0,0),0)</f>
        <v>0</v>
      </c>
      <c r="P507">
        <f>_xlfn.XLOOKUP(PartList[[#This Row],[ASSLY MARK]],MasterPL[SplitMarkNo],MasterPL[BILL WT.(KG)],0,0)</f>
        <v>0</v>
      </c>
      <c r="Q507" cm="1">
        <f t="array" ref="Q50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07" t="str">
        <v>2HB25</v>
      </c>
      <c r="AB507" s="42">
        <f>SUMIF(PartList[ASSLY MARK],AA507,PartList[Avail. Qty])</f>
        <v>0</v>
      </c>
    </row>
    <row r="508" spans="1:28" x14ac:dyDescent="0.25">
      <c r="A508">
        <v>1184</v>
      </c>
      <c r="B508" t="s">
        <v>435</v>
      </c>
      <c r="C508" t="s">
        <v>1045</v>
      </c>
      <c r="D508" t="s">
        <v>1113</v>
      </c>
      <c r="E508" t="s">
        <v>1086</v>
      </c>
      <c r="F508" t="str" cm="1">
        <f t="array" ref="F508">IF(SUM(IF(PartList[ASSLY MARK]=PartList[[#This Row],[ASSLY MARK]],1,0))&gt;1,"No","Yes")</f>
        <v>No</v>
      </c>
      <c r="G508" t="str" cm="1">
        <f t="array" ref="G508">_xlfn.TEXTJOIN("_",TRUE,TRIM(_xlfn.TEXTSPLIT(PartList[[#This Row],[GRID LOCATION]],{"PR01","/","-"})))</f>
        <v>10_B</v>
      </c>
      <c r="H508" t="str" cm="1">
        <f t="array" ref="H50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08" cm="1">
        <f t="array" ref="I50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08" t="str">
        <f>IF(IFERROR(SEARCH("&gt;",PartList[[#This Row],[ID]]),0),"O",IF(IFERROR(SEARCH("&lt;",PartList[[#This Row],[ID]]),0),"I",""))</f>
        <v/>
      </c>
      <c r="K508" t="str" cm="1">
        <f t="array" ref="K5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508" t="str" cm="1">
        <f t="array" ref="L5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508" t="str">
        <f>_xlfn.TEXTJOIN("#",TRUE,PartList[[#This Row],[ASSLY MARK]],PartList[[#This Row],[BOX NO]],PartList[[#This Row],[In/Out]],PartList[[#This Row],[O1-Grid]])</f>
        <v>SW02#Box1#10_B_A</v>
      </c>
      <c r="N508" t="str">
        <f>_xlfn.TEXTJOIN("#",TRUE,PartList[[#This Row],[ASSLY MARK]],PartList[[#This Row],[BOX NO]],PartList[[#This Row],[In/Out]],PartList[[#This Row],[O2-Grid]])</f>
        <v>SW02#Box1#10_11_B</v>
      </c>
      <c r="O508">
        <f>IF(PartList[[#This Row],[Unique]]="Yes",_xlfn.XLOOKUP(PartList[[#This Row],[ASSLY MARK]],FilteredPL!A:A,FilteredPL!B:B,0,0),0)</f>
        <v>0</v>
      </c>
      <c r="P508">
        <f>_xlfn.XLOOKUP(PartList[[#This Row],[ASSLY MARK]],MasterPL[SplitMarkNo],MasterPL[BILL WT.(KG)],0,0)</f>
        <v>0</v>
      </c>
      <c r="Q508" cm="1">
        <f t="array" ref="Q50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08" t="str">
        <v>2HB27</v>
      </c>
      <c r="AB508" s="42">
        <f>SUMIF(PartList[ASSLY MARK],AA508,PartList[Avail. Qty])</f>
        <v>0</v>
      </c>
    </row>
    <row r="509" spans="1:28" x14ac:dyDescent="0.25">
      <c r="A509">
        <v>1187</v>
      </c>
      <c r="B509" t="s">
        <v>435</v>
      </c>
      <c r="C509" t="s">
        <v>1045</v>
      </c>
      <c r="D509" t="s">
        <v>1113</v>
      </c>
      <c r="E509" t="s">
        <v>1086</v>
      </c>
      <c r="F509" t="str" cm="1">
        <f t="array" ref="F509">IF(SUM(IF(PartList[ASSLY MARK]=PartList[[#This Row],[ASSLY MARK]],1,0))&gt;1,"No","Yes")</f>
        <v>No</v>
      </c>
      <c r="G509" t="str" cm="1">
        <f t="array" ref="G509">_xlfn.TEXTJOIN("_",TRUE,TRIM(_xlfn.TEXTSPLIT(PartList[[#This Row],[GRID LOCATION]],{"PR01","/","-"})))</f>
        <v>10_B</v>
      </c>
      <c r="H509" t="str" cm="1">
        <f t="array" ref="H50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09" cm="1">
        <f t="array" ref="I50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09" t="str">
        <f>IF(IFERROR(SEARCH("&gt;",PartList[[#This Row],[ID]]),0),"O",IF(IFERROR(SEARCH("&lt;",PartList[[#This Row],[ID]]),0),"I",""))</f>
        <v/>
      </c>
      <c r="K509" t="str" cm="1">
        <f t="array" ref="K5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509" t="str" cm="1">
        <f t="array" ref="L5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509" t="str">
        <f>_xlfn.TEXTJOIN("#",TRUE,PartList[[#This Row],[ASSLY MARK]],PartList[[#This Row],[BOX NO]],PartList[[#This Row],[In/Out]],PartList[[#This Row],[O1-Grid]])</f>
        <v>SW02#Box1#10_B_A</v>
      </c>
      <c r="N509" t="str">
        <f>_xlfn.TEXTJOIN("#",TRUE,PartList[[#This Row],[ASSLY MARK]],PartList[[#This Row],[BOX NO]],PartList[[#This Row],[In/Out]],PartList[[#This Row],[O2-Grid]])</f>
        <v>SW02#Box1#10_11_B</v>
      </c>
      <c r="O509">
        <f>IF(PartList[[#This Row],[Unique]]="Yes",_xlfn.XLOOKUP(PartList[[#This Row],[ASSLY MARK]],FilteredPL!A:A,FilteredPL!B:B,0,0),0)</f>
        <v>0</v>
      </c>
      <c r="P509">
        <f>_xlfn.XLOOKUP(PartList[[#This Row],[ASSLY MARK]],MasterPL[SplitMarkNo],MasterPL[BILL WT.(KG)],0,0)</f>
        <v>0</v>
      </c>
      <c r="Q509" cm="1">
        <f t="array" ref="Q50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09" t="str">
        <v>2HB29</v>
      </c>
      <c r="AB509" s="42">
        <f>SUMIF(PartList[ASSLY MARK],AA509,PartList[Avail. Qty])</f>
        <v>0</v>
      </c>
    </row>
    <row r="510" spans="1:28" x14ac:dyDescent="0.25">
      <c r="A510">
        <v>1190</v>
      </c>
      <c r="B510" t="s">
        <v>1115</v>
      </c>
      <c r="C510" t="s">
        <v>1048</v>
      </c>
      <c r="D510" t="s">
        <v>1106</v>
      </c>
      <c r="E510" t="s">
        <v>1086</v>
      </c>
      <c r="F510" t="str" cm="1">
        <f t="array" ref="F510">IF(SUM(IF(PartList[ASSLY MARK]=PartList[[#This Row],[ASSLY MARK]],1,0))&gt;1,"No","Yes")</f>
        <v>No</v>
      </c>
      <c r="G510" t="str" cm="1">
        <f t="array" ref="G510">_xlfn.TEXTJOIN("_",TRUE,TRIM(_xlfn.TEXTSPLIT(PartList[[#This Row],[GRID LOCATION]],{"PR01","/","-"})))</f>
        <v>11_A</v>
      </c>
      <c r="H510" t="str" cm="1">
        <f t="array" ref="H51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10" cm="1">
        <f t="array" ref="I51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10" t="str">
        <f>IF(IFERROR(SEARCH("&gt;",PartList[[#This Row],[ID]]),0),"O",IF(IFERROR(SEARCH("&lt;",PartList[[#This Row],[ID]]),0),"I",""))</f>
        <v/>
      </c>
      <c r="K510" t="str" cm="1">
        <f t="array" ref="K5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510" t="str" cm="1">
        <f t="array" ref="L5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510" t="str">
        <f>_xlfn.TEXTJOIN("#",TRUE,PartList[[#This Row],[ASSLY MARK]],PartList[[#This Row],[BOX NO]],PartList[[#This Row],[In/Out]],PartList[[#This Row],[O1-Grid]])</f>
        <v>SW03#Box1#11_B_A</v>
      </c>
      <c r="N510" t="str">
        <f>_xlfn.TEXTJOIN("#",TRUE,PartList[[#This Row],[ASSLY MARK]],PartList[[#This Row],[BOX NO]],PartList[[#This Row],[In/Out]],PartList[[#This Row],[O2-Grid]])</f>
        <v>SW03#Box1#10_11_A</v>
      </c>
      <c r="O510">
        <f>IF(PartList[[#This Row],[Unique]]="Yes",_xlfn.XLOOKUP(PartList[[#This Row],[ASSLY MARK]],FilteredPL!A:A,FilteredPL!B:B,0,0),0)</f>
        <v>0</v>
      </c>
      <c r="P510">
        <f>_xlfn.XLOOKUP(PartList[[#This Row],[ASSLY MARK]],MasterPL[SplitMarkNo],MasterPL[BILL WT.(KG)],0,0)</f>
        <v>0</v>
      </c>
      <c r="Q510" cm="1">
        <f t="array" ref="Q51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10" t="str">
        <v>2HB30</v>
      </c>
      <c r="AB510" s="42">
        <f>SUMIF(PartList[ASSLY MARK],AA510,PartList[Avail. Qty])</f>
        <v>0</v>
      </c>
    </row>
    <row r="511" spans="1:28" x14ac:dyDescent="0.25">
      <c r="A511">
        <v>1191</v>
      </c>
      <c r="B511" t="s">
        <v>1115</v>
      </c>
      <c r="C511" t="s">
        <v>1050</v>
      </c>
      <c r="D511" t="s">
        <v>1106</v>
      </c>
      <c r="E511" t="s">
        <v>1086</v>
      </c>
      <c r="F511" t="str" cm="1">
        <f t="array" ref="F511">IF(SUM(IF(PartList[ASSLY MARK]=PartList[[#This Row],[ASSLY MARK]],1,0))&gt;1,"No","Yes")</f>
        <v>No</v>
      </c>
      <c r="G511" t="str" cm="1">
        <f t="array" ref="G511">_xlfn.TEXTJOIN("_",TRUE,TRIM(_xlfn.TEXTSPLIT(PartList[[#This Row],[GRID LOCATION]],{"PR01","/","-"})))</f>
        <v>11_B</v>
      </c>
      <c r="H511" t="str" cm="1">
        <f t="array" ref="H51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11" cm="1">
        <f t="array" ref="I51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11" t="str">
        <f>IF(IFERROR(SEARCH("&gt;",PartList[[#This Row],[ID]]),0),"O",IF(IFERROR(SEARCH("&lt;",PartList[[#This Row],[ID]]),0),"I",""))</f>
        <v/>
      </c>
      <c r="K511" t="str" cm="1">
        <f t="array" ref="K5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511" t="str" cm="1">
        <f t="array" ref="L5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511" t="str">
        <f>_xlfn.TEXTJOIN("#",TRUE,PartList[[#This Row],[ASSLY MARK]],PartList[[#This Row],[BOX NO]],PartList[[#This Row],[In/Out]],PartList[[#This Row],[O1-Grid]])</f>
        <v>SW03#Box1#11_B_A</v>
      </c>
      <c r="N511" t="str">
        <f>_xlfn.TEXTJOIN("#",TRUE,PartList[[#This Row],[ASSLY MARK]],PartList[[#This Row],[BOX NO]],PartList[[#This Row],[In/Out]],PartList[[#This Row],[O2-Grid]])</f>
        <v>SW03#Box1#10_11_B</v>
      </c>
      <c r="O511">
        <f>IF(PartList[[#This Row],[Unique]]="Yes",_xlfn.XLOOKUP(PartList[[#This Row],[ASSLY MARK]],FilteredPL!A:A,FilteredPL!B:B,0,0),0)</f>
        <v>0</v>
      </c>
      <c r="P511">
        <f>_xlfn.XLOOKUP(PartList[[#This Row],[ASSLY MARK]],MasterPL[SplitMarkNo],MasterPL[BILL WT.(KG)],0,0)</f>
        <v>0</v>
      </c>
      <c r="Q511" cm="1">
        <f t="array" ref="Q51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11" t="str">
        <v>2SC03</v>
      </c>
      <c r="AB511" s="42">
        <f>SUMIF(PartList[ASSLY MARK],AA511,PartList[Avail. Qty])</f>
        <v>0</v>
      </c>
    </row>
    <row r="512" spans="1:28" x14ac:dyDescent="0.25">
      <c r="A512">
        <v>1194</v>
      </c>
      <c r="B512" t="s">
        <v>1115</v>
      </c>
      <c r="C512" t="s">
        <v>1050</v>
      </c>
      <c r="D512" t="s">
        <v>1106</v>
      </c>
      <c r="E512" t="s">
        <v>1086</v>
      </c>
      <c r="F512" t="str" cm="1">
        <f t="array" ref="F512">IF(SUM(IF(PartList[ASSLY MARK]=PartList[[#This Row],[ASSLY MARK]],1,0))&gt;1,"No","Yes")</f>
        <v>No</v>
      </c>
      <c r="G512" t="str" cm="1">
        <f t="array" ref="G512">_xlfn.TEXTJOIN("_",TRUE,TRIM(_xlfn.TEXTSPLIT(PartList[[#This Row],[GRID LOCATION]],{"PR01","/","-"})))</f>
        <v>11_B</v>
      </c>
      <c r="H512" t="str" cm="1">
        <f t="array" ref="H51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12" cm="1">
        <f t="array" ref="I51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12" t="str">
        <f>IF(IFERROR(SEARCH("&gt;",PartList[[#This Row],[ID]]),0),"O",IF(IFERROR(SEARCH("&lt;",PartList[[#This Row],[ID]]),0),"I",""))</f>
        <v/>
      </c>
      <c r="K512" t="str" cm="1">
        <f t="array" ref="K5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512" t="str" cm="1">
        <f t="array" ref="L5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512" t="str">
        <f>_xlfn.TEXTJOIN("#",TRUE,PartList[[#This Row],[ASSLY MARK]],PartList[[#This Row],[BOX NO]],PartList[[#This Row],[In/Out]],PartList[[#This Row],[O1-Grid]])</f>
        <v>SW03#Box1#11_B_A</v>
      </c>
      <c r="N512" t="str">
        <f>_xlfn.TEXTJOIN("#",TRUE,PartList[[#This Row],[ASSLY MARK]],PartList[[#This Row],[BOX NO]],PartList[[#This Row],[In/Out]],PartList[[#This Row],[O2-Grid]])</f>
        <v>SW03#Box1#10_11_B</v>
      </c>
      <c r="O512">
        <f>IF(PartList[[#This Row],[Unique]]="Yes",_xlfn.XLOOKUP(PartList[[#This Row],[ASSLY MARK]],FilteredPL!A:A,FilteredPL!B:B,0,0),0)</f>
        <v>0</v>
      </c>
      <c r="P512">
        <f>_xlfn.XLOOKUP(PartList[[#This Row],[ASSLY MARK]],MasterPL[SplitMarkNo],MasterPL[BILL WT.(KG)],0,0)</f>
        <v>0</v>
      </c>
      <c r="Q512" cm="1">
        <f t="array" ref="Q51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12" t="str">
        <v>3BE41</v>
      </c>
      <c r="AB512" s="42">
        <f>SUMIF(PartList[ASSLY MARK],AA512,PartList[Avail. Qty])</f>
        <v>0</v>
      </c>
    </row>
    <row r="513" spans="1:28" x14ac:dyDescent="0.25">
      <c r="A513">
        <v>1195</v>
      </c>
      <c r="B513" t="s">
        <v>1115</v>
      </c>
      <c r="C513" t="s">
        <v>1048</v>
      </c>
      <c r="D513" t="s">
        <v>1106</v>
      </c>
      <c r="E513" t="s">
        <v>1086</v>
      </c>
      <c r="F513" t="str" cm="1">
        <f t="array" ref="F513">IF(SUM(IF(PartList[ASSLY MARK]=PartList[[#This Row],[ASSLY MARK]],1,0))&gt;1,"No","Yes")</f>
        <v>No</v>
      </c>
      <c r="G513" t="str" cm="1">
        <f t="array" ref="G513">_xlfn.TEXTJOIN("_",TRUE,TRIM(_xlfn.TEXTSPLIT(PartList[[#This Row],[GRID LOCATION]],{"PR01","/","-"})))</f>
        <v>11_A</v>
      </c>
      <c r="H513" t="str" cm="1">
        <f t="array" ref="H51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13" cm="1">
        <f t="array" ref="I51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13" t="str">
        <f>IF(IFERROR(SEARCH("&gt;",PartList[[#This Row],[ID]]),0),"O",IF(IFERROR(SEARCH("&lt;",PartList[[#This Row],[ID]]),0),"I",""))</f>
        <v/>
      </c>
      <c r="K513" t="str" cm="1">
        <f t="array" ref="K5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11_B_A</v>
      </c>
      <c r="L513" t="str" cm="1">
        <f t="array" ref="L5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513" t="str">
        <f>_xlfn.TEXTJOIN("#",TRUE,PartList[[#This Row],[ASSLY MARK]],PartList[[#This Row],[BOX NO]],PartList[[#This Row],[In/Out]],PartList[[#This Row],[O1-Grid]])</f>
        <v>SW03#Box1#11_B_A</v>
      </c>
      <c r="N513" t="str">
        <f>_xlfn.TEXTJOIN("#",TRUE,PartList[[#This Row],[ASSLY MARK]],PartList[[#This Row],[BOX NO]],PartList[[#This Row],[In/Out]],PartList[[#This Row],[O2-Grid]])</f>
        <v>SW03#Box1#10_11_A</v>
      </c>
      <c r="O513">
        <f>IF(PartList[[#This Row],[Unique]]="Yes",_xlfn.XLOOKUP(PartList[[#This Row],[ASSLY MARK]],FilteredPL!A:A,FilteredPL!B:B,0,0),0)</f>
        <v>0</v>
      </c>
      <c r="P513">
        <f>_xlfn.XLOOKUP(PartList[[#This Row],[ASSLY MARK]],MasterPL[SplitMarkNo],MasterPL[BILL WT.(KG)],0,0)</f>
        <v>0</v>
      </c>
      <c r="Q513" cm="1">
        <f t="array" ref="Q51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13" t="str">
        <v>3BE42</v>
      </c>
      <c r="AB513" s="42">
        <f>SUMIF(PartList[ASSLY MARK],AA513,PartList[Avail. Qty])</f>
        <v>0</v>
      </c>
    </row>
    <row r="514" spans="1:28" x14ac:dyDescent="0.25">
      <c r="A514">
        <v>1204</v>
      </c>
      <c r="B514" t="s">
        <v>1120</v>
      </c>
      <c r="C514" t="s">
        <v>1045</v>
      </c>
      <c r="D514" t="s">
        <v>1106</v>
      </c>
      <c r="E514" t="s">
        <v>1086</v>
      </c>
      <c r="F514" t="str" cm="1">
        <f t="array" ref="F514">IF(SUM(IF(PartList[ASSLY MARK]=PartList[[#This Row],[ASSLY MARK]],1,0))&gt;1,"No","Yes")</f>
        <v>No</v>
      </c>
      <c r="G514" t="str" cm="1">
        <f t="array" ref="G514">_xlfn.TEXTJOIN("_",TRUE,TRIM(_xlfn.TEXTSPLIT(PartList[[#This Row],[GRID LOCATION]],{"PR01","/","-"})))</f>
        <v>10_B</v>
      </c>
      <c r="H514" t="str" cm="1">
        <f t="array" ref="H51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14" cm="1">
        <f t="array" ref="I51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14" t="str">
        <f>IF(IFERROR(SEARCH("&gt;",PartList[[#This Row],[ID]]),0),"O",IF(IFERROR(SEARCH("&lt;",PartList[[#This Row],[ID]]),0),"I",""))</f>
        <v/>
      </c>
      <c r="K514" t="str" cm="1">
        <f t="array" ref="K5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514" t="str" cm="1">
        <f t="array" ref="L5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514" t="str">
        <f>_xlfn.TEXTJOIN("#",TRUE,PartList[[#This Row],[ASSLY MARK]],PartList[[#This Row],[BOX NO]],PartList[[#This Row],[In/Out]],PartList[[#This Row],[O1-Grid]])</f>
        <v>SW05#Box1#10_B_A</v>
      </c>
      <c r="N514" t="str">
        <f>_xlfn.TEXTJOIN("#",TRUE,PartList[[#This Row],[ASSLY MARK]],PartList[[#This Row],[BOX NO]],PartList[[#This Row],[In/Out]],PartList[[#This Row],[O2-Grid]])</f>
        <v>SW05#Box1#10_11_B</v>
      </c>
      <c r="O514">
        <f>IF(PartList[[#This Row],[Unique]]="Yes",_xlfn.XLOOKUP(PartList[[#This Row],[ASSLY MARK]],FilteredPL!A:A,FilteredPL!B:B,0,0),0)</f>
        <v>0</v>
      </c>
      <c r="P514">
        <f>_xlfn.XLOOKUP(PartList[[#This Row],[ASSLY MARK]],MasterPL[SplitMarkNo],MasterPL[BILL WT.(KG)],0,0)</f>
        <v>0</v>
      </c>
      <c r="Q514" cm="1">
        <f t="array" ref="Q51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14" t="str">
        <v>3BE43</v>
      </c>
      <c r="AB514" s="42">
        <f>SUMIF(PartList[ASSLY MARK],AA514,PartList[Avail. Qty])</f>
        <v>0</v>
      </c>
    </row>
    <row r="515" spans="1:28" x14ac:dyDescent="0.25">
      <c r="A515">
        <v>1207</v>
      </c>
      <c r="B515" t="s">
        <v>1120</v>
      </c>
      <c r="C515" t="s">
        <v>1045</v>
      </c>
      <c r="D515" t="s">
        <v>1106</v>
      </c>
      <c r="E515" t="s">
        <v>1086</v>
      </c>
      <c r="F515" t="str" cm="1">
        <f t="array" ref="F515">IF(SUM(IF(PartList[ASSLY MARK]=PartList[[#This Row],[ASSLY MARK]],1,0))&gt;1,"No","Yes")</f>
        <v>No</v>
      </c>
      <c r="G515" t="str" cm="1">
        <f t="array" ref="G515">_xlfn.TEXTJOIN("_",TRUE,TRIM(_xlfn.TEXTSPLIT(PartList[[#This Row],[GRID LOCATION]],{"PR01","/","-"})))</f>
        <v>10_B</v>
      </c>
      <c r="H515" t="str" cm="1">
        <f t="array" ref="H51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15" cm="1">
        <f t="array" ref="I51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15" t="str">
        <f>IF(IFERROR(SEARCH("&gt;",PartList[[#This Row],[ID]]),0),"O",IF(IFERROR(SEARCH("&lt;",PartList[[#This Row],[ID]]),0),"I",""))</f>
        <v/>
      </c>
      <c r="K515" t="str" cm="1">
        <f t="array" ref="K5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515" t="str" cm="1">
        <f t="array" ref="L5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10_11_B</v>
      </c>
      <c r="M515" t="str">
        <f>_xlfn.TEXTJOIN("#",TRUE,PartList[[#This Row],[ASSLY MARK]],PartList[[#This Row],[BOX NO]],PartList[[#This Row],[In/Out]],PartList[[#This Row],[O1-Grid]])</f>
        <v>SW05#Box1#10_B_A</v>
      </c>
      <c r="N515" t="str">
        <f>_xlfn.TEXTJOIN("#",TRUE,PartList[[#This Row],[ASSLY MARK]],PartList[[#This Row],[BOX NO]],PartList[[#This Row],[In/Out]],PartList[[#This Row],[O2-Grid]])</f>
        <v>SW05#Box1#10_11_B</v>
      </c>
      <c r="O515">
        <f>IF(PartList[[#This Row],[Unique]]="Yes",_xlfn.XLOOKUP(PartList[[#This Row],[ASSLY MARK]],FilteredPL!A:A,FilteredPL!B:B,0,0),0)</f>
        <v>0</v>
      </c>
      <c r="P515">
        <f>_xlfn.XLOOKUP(PartList[[#This Row],[ASSLY MARK]],MasterPL[SplitMarkNo],MasterPL[BILL WT.(KG)],0,0)</f>
        <v>0</v>
      </c>
      <c r="Q515" cm="1">
        <f t="array" ref="Q51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15" t="str">
        <v>3BE44</v>
      </c>
      <c r="AB515" s="42">
        <f>SUMIF(PartList[ASSLY MARK],AA515,PartList[Avail. Qty])</f>
        <v>0</v>
      </c>
    </row>
    <row r="516" spans="1:28" x14ac:dyDescent="0.25">
      <c r="A516">
        <v>1208</v>
      </c>
      <c r="B516" t="s">
        <v>1120</v>
      </c>
      <c r="C516" t="s">
        <v>1052</v>
      </c>
      <c r="D516" t="s">
        <v>1108</v>
      </c>
      <c r="E516" t="s">
        <v>1086</v>
      </c>
      <c r="F516" t="str" cm="1">
        <f t="array" ref="F516">IF(SUM(IF(PartList[ASSLY MARK]=PartList[[#This Row],[ASSLY MARK]],1,0))&gt;1,"No","Yes")</f>
        <v>No</v>
      </c>
      <c r="G516" t="str" cm="1">
        <f t="array" ref="G516">_xlfn.TEXTJOIN("_",TRUE,TRIM(_xlfn.TEXTSPLIT(PartList[[#This Row],[GRID LOCATION]],{"PR01","/","-"})))</f>
        <v>14_B</v>
      </c>
      <c r="H516" t="str" cm="1">
        <f t="array" ref="H51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516" cm="1">
        <f t="array" ref="I51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16" t="str">
        <f>IF(IFERROR(SEARCH("&gt;",PartList[[#This Row],[ID]]),0),"O",IF(IFERROR(SEARCH("&lt;",PartList[[#This Row],[ID]]),0),"I",""))</f>
        <v/>
      </c>
      <c r="K516" t="str" cm="1">
        <f t="array" ref="K5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16" t="str" cm="1">
        <f t="array" ref="L5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16" t="str">
        <f>_xlfn.TEXTJOIN("#",TRUE,PartList[[#This Row],[ASSLY MARK]],PartList[[#This Row],[BOX NO]],PartList[[#This Row],[In/Out]],PartList[[#This Row],[O1-Grid]])</f>
        <v>SW05#Box1_Box2_Box3_Box6#InBB</v>
      </c>
      <c r="N516" t="str">
        <f>_xlfn.TEXTJOIN("#",TRUE,PartList[[#This Row],[ASSLY MARK]],PartList[[#This Row],[BOX NO]],PartList[[#This Row],[In/Out]],PartList[[#This Row],[O2-Grid]])</f>
        <v>SW05#Box1_Box2_Box3_Box6#InBB</v>
      </c>
      <c r="O516">
        <f>IF(PartList[[#This Row],[Unique]]="Yes",_xlfn.XLOOKUP(PartList[[#This Row],[ASSLY MARK]],FilteredPL!A:A,FilteredPL!B:B,0,0),0)</f>
        <v>0</v>
      </c>
      <c r="P516">
        <f>_xlfn.XLOOKUP(PartList[[#This Row],[ASSLY MARK]],MasterPL[SplitMarkNo],MasterPL[BILL WT.(KG)],0,0)</f>
        <v>0</v>
      </c>
      <c r="Q516" cm="1">
        <f t="array" ref="Q51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16" t="str">
        <v>3BE46</v>
      </c>
      <c r="AB516" s="42">
        <f>SUMIF(PartList[ASSLY MARK],AA516,PartList[Avail. Qty])</f>
        <v>0</v>
      </c>
    </row>
    <row r="517" spans="1:28" x14ac:dyDescent="0.25">
      <c r="A517">
        <v>1211</v>
      </c>
      <c r="B517" t="s">
        <v>1120</v>
      </c>
      <c r="C517" t="s">
        <v>1046</v>
      </c>
      <c r="D517" t="s">
        <v>1108</v>
      </c>
      <c r="E517" t="s">
        <v>1086</v>
      </c>
      <c r="F517" t="str" cm="1">
        <f t="array" ref="F517">IF(SUM(IF(PartList[ASSLY MARK]=PartList[[#This Row],[ASSLY MARK]],1,0))&gt;1,"No","Yes")</f>
        <v>No</v>
      </c>
      <c r="G517" t="str" cm="1">
        <f t="array" ref="G517">_xlfn.TEXTJOIN("_",TRUE,TRIM(_xlfn.TEXTSPLIT(PartList[[#This Row],[GRID LOCATION]],{"PR01","/","-"})))</f>
        <v>14_A</v>
      </c>
      <c r="H517" t="str" cm="1">
        <f t="array" ref="H51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517" cm="1">
        <f t="array" ref="I51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17" t="str">
        <f>IF(IFERROR(SEARCH("&gt;",PartList[[#This Row],[ID]]),0),"O",IF(IFERROR(SEARCH("&lt;",PartList[[#This Row],[ID]]),0),"I",""))</f>
        <v/>
      </c>
      <c r="K517" t="str" cm="1">
        <f t="array" ref="K5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17" t="str" cm="1">
        <f t="array" ref="L5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17" t="str">
        <f>_xlfn.TEXTJOIN("#",TRUE,PartList[[#This Row],[ASSLY MARK]],PartList[[#This Row],[BOX NO]],PartList[[#This Row],[In/Out]],PartList[[#This Row],[O1-Grid]])</f>
        <v>SW05#Box1_Box2_Box3_Box6#InBB</v>
      </c>
      <c r="N517" t="str">
        <f>_xlfn.TEXTJOIN("#",TRUE,PartList[[#This Row],[ASSLY MARK]],PartList[[#This Row],[BOX NO]],PartList[[#This Row],[In/Out]],PartList[[#This Row],[O2-Grid]])</f>
        <v>SW05#Box1_Box2_Box3_Box6#InBB</v>
      </c>
      <c r="O517">
        <f>IF(PartList[[#This Row],[Unique]]="Yes",_xlfn.XLOOKUP(PartList[[#This Row],[ASSLY MARK]],FilteredPL!A:A,FilteredPL!B:B,0,0),0)</f>
        <v>0</v>
      </c>
      <c r="P517">
        <f>_xlfn.XLOOKUP(PartList[[#This Row],[ASSLY MARK]],MasterPL[SplitMarkNo],MasterPL[BILL WT.(KG)],0,0)</f>
        <v>0</v>
      </c>
      <c r="Q517" cm="1">
        <f t="array" ref="Q51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17" t="str">
        <v>3BE47</v>
      </c>
      <c r="AB517" s="42">
        <f>SUMIF(PartList[ASSLY MARK],AA517,PartList[Avail. Qty])</f>
        <v>0</v>
      </c>
    </row>
    <row r="518" spans="1:28" x14ac:dyDescent="0.25">
      <c r="A518">
        <v>1212</v>
      </c>
      <c r="B518" t="s">
        <v>1120</v>
      </c>
      <c r="C518" t="s">
        <v>1038</v>
      </c>
      <c r="D518" t="s">
        <v>1106</v>
      </c>
      <c r="E518" t="s">
        <v>1086</v>
      </c>
      <c r="F518" t="str" cm="1">
        <f t="array" ref="F518">IF(SUM(IF(PartList[ASSLY MARK]=PartList[[#This Row],[ASSLY MARK]],1,0))&gt;1,"No","Yes")</f>
        <v>No</v>
      </c>
      <c r="G518" t="str" cm="1">
        <f t="array" ref="G518">_xlfn.TEXTJOIN("_",TRUE,TRIM(_xlfn.TEXTSPLIT(PartList[[#This Row],[GRID LOCATION]],{"PR01","/","-"})))</f>
        <v>10_A</v>
      </c>
      <c r="H518" t="str" cm="1">
        <f t="array" ref="H51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18" cm="1">
        <f t="array" ref="I51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18" t="str">
        <f>IF(IFERROR(SEARCH("&gt;",PartList[[#This Row],[ID]]),0),"O",IF(IFERROR(SEARCH("&lt;",PartList[[#This Row],[ID]]),0),"I",""))</f>
        <v/>
      </c>
      <c r="K518" t="str" cm="1">
        <f t="array" ref="K5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518" t="str" cm="1">
        <f t="array" ref="L5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518" t="str">
        <f>_xlfn.TEXTJOIN("#",TRUE,PartList[[#This Row],[ASSLY MARK]],PartList[[#This Row],[BOX NO]],PartList[[#This Row],[In/Out]],PartList[[#This Row],[O1-Grid]])</f>
        <v>SW05#Box1#10_B_A</v>
      </c>
      <c r="N518" t="str">
        <f>_xlfn.TEXTJOIN("#",TRUE,PartList[[#This Row],[ASSLY MARK]],PartList[[#This Row],[BOX NO]],PartList[[#This Row],[In/Out]],PartList[[#This Row],[O2-Grid]])</f>
        <v>SW05#Box1#10_11_A</v>
      </c>
      <c r="O518">
        <f>IF(PartList[[#This Row],[Unique]]="Yes",_xlfn.XLOOKUP(PartList[[#This Row],[ASSLY MARK]],FilteredPL!A:A,FilteredPL!B:B,0,0),0)</f>
        <v>0</v>
      </c>
      <c r="P518">
        <f>_xlfn.XLOOKUP(PartList[[#This Row],[ASSLY MARK]],MasterPL[SplitMarkNo],MasterPL[BILL WT.(KG)],0,0)</f>
        <v>0</v>
      </c>
      <c r="Q518" cm="1">
        <f t="array" ref="Q51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18" t="str">
        <v>3BE48</v>
      </c>
      <c r="AB518" s="42">
        <f>SUMIF(PartList[ASSLY MARK],AA518,PartList[Avail. Qty])</f>
        <v>0</v>
      </c>
    </row>
    <row r="519" spans="1:28" x14ac:dyDescent="0.25">
      <c r="A519">
        <v>1213</v>
      </c>
      <c r="B519" t="s">
        <v>1120</v>
      </c>
      <c r="C519" t="s">
        <v>1046</v>
      </c>
      <c r="D519" t="s">
        <v>1108</v>
      </c>
      <c r="E519" t="s">
        <v>1086</v>
      </c>
      <c r="F519" t="str" cm="1">
        <f t="array" ref="F519">IF(SUM(IF(PartList[ASSLY MARK]=PartList[[#This Row],[ASSLY MARK]],1,0))&gt;1,"No","Yes")</f>
        <v>No</v>
      </c>
      <c r="G519" t="str" cm="1">
        <f t="array" ref="G519">_xlfn.TEXTJOIN("_",TRUE,TRIM(_xlfn.TEXTSPLIT(PartList[[#This Row],[GRID LOCATION]],{"PR01","/","-"})))</f>
        <v>14_A</v>
      </c>
      <c r="H519" t="str" cm="1">
        <f t="array" ref="H51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519" cm="1">
        <f t="array" ref="I51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19" t="str">
        <f>IF(IFERROR(SEARCH("&gt;",PartList[[#This Row],[ID]]),0),"O",IF(IFERROR(SEARCH("&lt;",PartList[[#This Row],[ID]]),0),"I",""))</f>
        <v/>
      </c>
      <c r="K519" t="str" cm="1">
        <f t="array" ref="K5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19" t="str" cm="1">
        <f t="array" ref="L5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19" t="str">
        <f>_xlfn.TEXTJOIN("#",TRUE,PartList[[#This Row],[ASSLY MARK]],PartList[[#This Row],[BOX NO]],PartList[[#This Row],[In/Out]],PartList[[#This Row],[O1-Grid]])</f>
        <v>SW05#Box1_Box2_Box3_Box6#InBB</v>
      </c>
      <c r="N519" t="str">
        <f>_xlfn.TEXTJOIN("#",TRUE,PartList[[#This Row],[ASSLY MARK]],PartList[[#This Row],[BOX NO]],PartList[[#This Row],[In/Out]],PartList[[#This Row],[O2-Grid]])</f>
        <v>SW05#Box1_Box2_Box3_Box6#InBB</v>
      </c>
      <c r="O519">
        <f>IF(PartList[[#This Row],[Unique]]="Yes",_xlfn.XLOOKUP(PartList[[#This Row],[ASSLY MARK]],FilteredPL!A:A,FilteredPL!B:B,0,0),0)</f>
        <v>0</v>
      </c>
      <c r="P519">
        <f>_xlfn.XLOOKUP(PartList[[#This Row],[ASSLY MARK]],MasterPL[SplitMarkNo],MasterPL[BILL WT.(KG)],0,0)</f>
        <v>0</v>
      </c>
      <c r="Q519" cm="1">
        <f t="array" ref="Q51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19" t="str">
        <v>3BE49</v>
      </c>
      <c r="AB519" s="42">
        <f>SUMIF(PartList[ASSLY MARK],AA519,PartList[Avail. Qty])</f>
        <v>0</v>
      </c>
    </row>
    <row r="520" spans="1:28" x14ac:dyDescent="0.25">
      <c r="A520">
        <v>1214</v>
      </c>
      <c r="B520" t="s">
        <v>1120</v>
      </c>
      <c r="C520" t="s">
        <v>1052</v>
      </c>
      <c r="D520" t="s">
        <v>1108</v>
      </c>
      <c r="E520" t="s">
        <v>1086</v>
      </c>
      <c r="F520" t="str" cm="1">
        <f t="array" ref="F520">IF(SUM(IF(PartList[ASSLY MARK]=PartList[[#This Row],[ASSLY MARK]],1,0))&gt;1,"No","Yes")</f>
        <v>No</v>
      </c>
      <c r="G520" t="str" cm="1">
        <f t="array" ref="G520">_xlfn.TEXTJOIN("_",TRUE,TRIM(_xlfn.TEXTSPLIT(PartList[[#This Row],[GRID LOCATION]],{"PR01","/","-"})))</f>
        <v>14_B</v>
      </c>
      <c r="H520" t="str" cm="1">
        <f t="array" ref="H52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520" cm="1">
        <f t="array" ref="I52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20" t="str">
        <f>IF(IFERROR(SEARCH("&gt;",PartList[[#This Row],[ID]]),0),"O",IF(IFERROR(SEARCH("&lt;",PartList[[#This Row],[ID]]),0),"I",""))</f>
        <v/>
      </c>
      <c r="K520" t="str" cm="1">
        <f t="array" ref="K5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20" t="str" cm="1">
        <f t="array" ref="L5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20" t="str">
        <f>_xlfn.TEXTJOIN("#",TRUE,PartList[[#This Row],[ASSLY MARK]],PartList[[#This Row],[BOX NO]],PartList[[#This Row],[In/Out]],PartList[[#This Row],[O1-Grid]])</f>
        <v>SW05#Box1_Box2_Box3_Box6#InBB</v>
      </c>
      <c r="N520" t="str">
        <f>_xlfn.TEXTJOIN("#",TRUE,PartList[[#This Row],[ASSLY MARK]],PartList[[#This Row],[BOX NO]],PartList[[#This Row],[In/Out]],PartList[[#This Row],[O2-Grid]])</f>
        <v>SW05#Box1_Box2_Box3_Box6#InBB</v>
      </c>
      <c r="O520">
        <f>IF(PartList[[#This Row],[Unique]]="Yes",_xlfn.XLOOKUP(PartList[[#This Row],[ASSLY MARK]],FilteredPL!A:A,FilteredPL!B:B,0,0),0)</f>
        <v>0</v>
      </c>
      <c r="P520">
        <f>_xlfn.XLOOKUP(PartList[[#This Row],[ASSLY MARK]],MasterPL[SplitMarkNo],MasterPL[BILL WT.(KG)],0,0)</f>
        <v>0</v>
      </c>
      <c r="Q520" cm="1">
        <f t="array" ref="Q52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20" t="str">
        <v>3BE50</v>
      </c>
      <c r="AB520" s="42">
        <f>SUMIF(PartList[ASSLY MARK],AA520,PartList[Avail. Qty])</f>
        <v>0</v>
      </c>
    </row>
    <row r="521" spans="1:28" x14ac:dyDescent="0.25">
      <c r="A521">
        <v>1215</v>
      </c>
      <c r="B521" t="s">
        <v>1120</v>
      </c>
      <c r="C521" t="s">
        <v>1038</v>
      </c>
      <c r="D521" t="s">
        <v>1106</v>
      </c>
      <c r="E521" t="s">
        <v>1086</v>
      </c>
      <c r="F521" t="str" cm="1">
        <f t="array" ref="F521">IF(SUM(IF(PartList[ASSLY MARK]=PartList[[#This Row],[ASSLY MARK]],1,0))&gt;1,"No","Yes")</f>
        <v>No</v>
      </c>
      <c r="G521" t="str" cm="1">
        <f t="array" ref="G521">_xlfn.TEXTJOIN("_",TRUE,TRIM(_xlfn.TEXTSPLIT(PartList[[#This Row],[GRID LOCATION]],{"PR01","/","-"})))</f>
        <v>10_A</v>
      </c>
      <c r="H521" t="str" cm="1">
        <f t="array" ref="H52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21" cm="1">
        <f t="array" ref="I52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21" t="str">
        <f>IF(IFERROR(SEARCH("&gt;",PartList[[#This Row],[ID]]),0),"O",IF(IFERROR(SEARCH("&lt;",PartList[[#This Row],[ID]]),0),"I",""))</f>
        <v/>
      </c>
      <c r="K521" t="str" cm="1">
        <f t="array" ref="K5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10_B_A</v>
      </c>
      <c r="L521" t="str" cm="1">
        <f t="array" ref="L5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10_11_A</v>
      </c>
      <c r="M521" t="str">
        <f>_xlfn.TEXTJOIN("#",TRUE,PartList[[#This Row],[ASSLY MARK]],PartList[[#This Row],[BOX NO]],PartList[[#This Row],[In/Out]],PartList[[#This Row],[O1-Grid]])</f>
        <v>SW05#Box1#10_B_A</v>
      </c>
      <c r="N521" t="str">
        <f>_xlfn.TEXTJOIN("#",TRUE,PartList[[#This Row],[ASSLY MARK]],PartList[[#This Row],[BOX NO]],PartList[[#This Row],[In/Out]],PartList[[#This Row],[O2-Grid]])</f>
        <v>SW05#Box1#10_11_A</v>
      </c>
      <c r="O521">
        <f>IF(PartList[[#This Row],[Unique]]="Yes",_xlfn.XLOOKUP(PartList[[#This Row],[ASSLY MARK]],FilteredPL!A:A,FilteredPL!B:B,0,0),0)</f>
        <v>0</v>
      </c>
      <c r="P521">
        <f>_xlfn.XLOOKUP(PartList[[#This Row],[ASSLY MARK]],MasterPL[SplitMarkNo],MasterPL[BILL WT.(KG)],0,0)</f>
        <v>0</v>
      </c>
      <c r="Q521" cm="1">
        <f t="array" ref="Q52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21" t="str">
        <v>3BE51</v>
      </c>
      <c r="AB521" s="42">
        <f>SUMIF(PartList[ASSLY MARK],AA521,PartList[Avail. Qty])</f>
        <v>0</v>
      </c>
    </row>
    <row r="522" spans="1:28" x14ac:dyDescent="0.25">
      <c r="A522">
        <v>1216</v>
      </c>
      <c r="B522" t="s">
        <v>437</v>
      </c>
      <c r="C522" t="s">
        <v>534</v>
      </c>
      <c r="D522" t="s">
        <v>1121</v>
      </c>
      <c r="E522" t="s">
        <v>1122</v>
      </c>
      <c r="F522" t="str" cm="1">
        <f t="array" ref="F522">IF(SUM(IF(PartList[ASSLY MARK]=PartList[[#This Row],[ASSLY MARK]],1,0))&gt;1,"No","Yes")</f>
        <v>Yes</v>
      </c>
      <c r="G522" t="str" cm="1">
        <f t="array" ref="G522">_xlfn.TEXTJOIN("_",TRUE,TRIM(_xlfn.TEXTSPLIT(PartList[[#This Row],[GRID LOCATION]],{"PR01","/","-"})))</f>
        <v>11_12_B</v>
      </c>
      <c r="H522" t="str" cm="1">
        <f t="array" ref="H52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22" cm="1">
        <f t="array" ref="I52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22" t="str">
        <f>IF(IFERROR(SEARCH("&gt;",PartList[[#This Row],[ID]]),0),"O",IF(IFERROR(SEARCH("&lt;",PartList[[#This Row],[ID]]),0),"I",""))</f>
        <v/>
      </c>
      <c r="K522" t="str" cm="1">
        <f t="array" ref="K5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22" t="str" cm="1">
        <f t="array" ref="L5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22" t="str">
        <f>_xlfn.TEXTJOIN("#",TRUE,PartList[[#This Row],[ASSLY MARK]],PartList[[#This Row],[BOX NO]],PartList[[#This Row],[In/Out]],PartList[[#This Row],[O1-Grid]])</f>
        <v>VB01#Box1_Box2#InBB</v>
      </c>
      <c r="N522" t="str">
        <f>_xlfn.TEXTJOIN("#",TRUE,PartList[[#This Row],[ASSLY MARK]],PartList[[#This Row],[BOX NO]],PartList[[#This Row],[In/Out]],PartList[[#This Row],[O2-Grid]])</f>
        <v>VB01#Box1_Box2#InBB</v>
      </c>
      <c r="O522">
        <f>IF(PartList[[#This Row],[Unique]]="Yes",_xlfn.XLOOKUP(PartList[[#This Row],[ASSLY MARK]],FilteredPL!A:A,FilteredPL!B:B,0,0),0)</f>
        <v>0</v>
      </c>
      <c r="P522">
        <f>_xlfn.XLOOKUP(PartList[[#This Row],[ASSLY MARK]],MasterPL[SplitMarkNo],MasterPL[BILL WT.(KG)],0,0)</f>
        <v>0</v>
      </c>
      <c r="Q522" cm="1">
        <f t="array" ref="Q52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22" t="str">
        <v>3BE52</v>
      </c>
      <c r="AB522" s="42">
        <f>SUMIF(PartList[ASSLY MARK],AA522,PartList[Avail. Qty])</f>
        <v>0</v>
      </c>
    </row>
    <row r="523" spans="1:28" x14ac:dyDescent="0.25">
      <c r="A523">
        <v>1217</v>
      </c>
      <c r="B523" t="s">
        <v>439</v>
      </c>
      <c r="C523" t="s">
        <v>533</v>
      </c>
      <c r="D523" t="s">
        <v>1123</v>
      </c>
      <c r="E523" t="s">
        <v>1122</v>
      </c>
      <c r="F523" t="str" cm="1">
        <f t="array" ref="F523">IF(SUM(IF(PartList[ASSLY MARK]=PartList[[#This Row],[ASSLY MARK]],1,0))&gt;1,"No","Yes")</f>
        <v>Yes</v>
      </c>
      <c r="G523" t="str" cm="1">
        <f t="array" ref="G523">_xlfn.TEXTJOIN("_",TRUE,TRIM(_xlfn.TEXTSPLIT(PartList[[#This Row],[GRID LOCATION]],{"PR01","/","-"})))</f>
        <v>11_12_A</v>
      </c>
      <c r="H523" t="str" cm="1">
        <f t="array" ref="H52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23" cm="1">
        <f t="array" ref="I52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23" t="str">
        <f>IF(IFERROR(SEARCH("&gt;",PartList[[#This Row],[ID]]),0),"O",IF(IFERROR(SEARCH("&lt;",PartList[[#This Row],[ID]]),0),"I",""))</f>
        <v/>
      </c>
      <c r="K523" t="str" cm="1">
        <f t="array" ref="K5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23" t="str" cm="1">
        <f t="array" ref="L5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23" t="str">
        <f>_xlfn.TEXTJOIN("#",TRUE,PartList[[#This Row],[ASSLY MARK]],PartList[[#This Row],[BOX NO]],PartList[[#This Row],[In/Out]],PartList[[#This Row],[O1-Grid]])</f>
        <v>VB02#Box1_Box2#InBB</v>
      </c>
      <c r="N523" t="str">
        <f>_xlfn.TEXTJOIN("#",TRUE,PartList[[#This Row],[ASSLY MARK]],PartList[[#This Row],[BOX NO]],PartList[[#This Row],[In/Out]],PartList[[#This Row],[O2-Grid]])</f>
        <v>VB02#Box1_Box2#InBB</v>
      </c>
      <c r="O523">
        <f>IF(PartList[[#This Row],[Unique]]="Yes",_xlfn.XLOOKUP(PartList[[#This Row],[ASSLY MARK]],FilteredPL!A:A,FilteredPL!B:B,0,0),0)</f>
        <v>0</v>
      </c>
      <c r="P523">
        <f>_xlfn.XLOOKUP(PartList[[#This Row],[ASSLY MARK]],MasterPL[SplitMarkNo],MasterPL[BILL WT.(KG)],0,0)</f>
        <v>0</v>
      </c>
      <c r="Q523" cm="1">
        <f t="array" ref="Q52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23" t="str">
        <v>3BE53</v>
      </c>
      <c r="AB523" s="42">
        <f>SUMIF(PartList[ASSLY MARK],AA523,PartList[Avail. Qty])</f>
        <v>0</v>
      </c>
    </row>
    <row r="524" spans="1:28" x14ac:dyDescent="0.25">
      <c r="A524">
        <v>1218</v>
      </c>
      <c r="B524" t="s">
        <v>440</v>
      </c>
      <c r="C524" t="s">
        <v>533</v>
      </c>
      <c r="D524" t="s">
        <v>1124</v>
      </c>
      <c r="E524" t="s">
        <v>1122</v>
      </c>
      <c r="F524" t="str" cm="1">
        <f t="array" ref="F524">IF(SUM(IF(PartList[ASSLY MARK]=PartList[[#This Row],[ASSLY MARK]],1,0))&gt;1,"No","Yes")</f>
        <v>Yes</v>
      </c>
      <c r="G524" t="str" cm="1">
        <f t="array" ref="G524">_xlfn.TEXTJOIN("_",TRUE,TRIM(_xlfn.TEXTSPLIT(PartList[[#This Row],[GRID LOCATION]],{"PR01","/","-"})))</f>
        <v>11_12_A</v>
      </c>
      <c r="H524" t="str" cm="1">
        <f t="array" ref="H52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24" cm="1">
        <f t="array" ref="I52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24" t="str">
        <f>IF(IFERROR(SEARCH("&gt;",PartList[[#This Row],[ID]]),0),"O",IF(IFERROR(SEARCH("&lt;",PartList[[#This Row],[ID]]),0),"I",""))</f>
        <v/>
      </c>
      <c r="K524" t="str" cm="1">
        <f t="array" ref="K5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24" t="str" cm="1">
        <f t="array" ref="L5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24" t="str">
        <f>_xlfn.TEXTJOIN("#",TRUE,PartList[[#This Row],[ASSLY MARK]],PartList[[#This Row],[BOX NO]],PartList[[#This Row],[In/Out]],PartList[[#This Row],[O1-Grid]])</f>
        <v>VB03#Box1_Box2#InBB</v>
      </c>
      <c r="N524" t="str">
        <f>_xlfn.TEXTJOIN("#",TRUE,PartList[[#This Row],[ASSLY MARK]],PartList[[#This Row],[BOX NO]],PartList[[#This Row],[In/Out]],PartList[[#This Row],[O2-Grid]])</f>
        <v>VB03#Box1_Box2#InBB</v>
      </c>
      <c r="O524">
        <f>IF(PartList[[#This Row],[Unique]]="Yes",_xlfn.XLOOKUP(PartList[[#This Row],[ASSLY MARK]],FilteredPL!A:A,FilteredPL!B:B,0,0),0)</f>
        <v>0</v>
      </c>
      <c r="P524">
        <f>_xlfn.XLOOKUP(PartList[[#This Row],[ASSLY MARK]],MasterPL[SplitMarkNo],MasterPL[BILL WT.(KG)],0,0)</f>
        <v>0</v>
      </c>
      <c r="Q524" cm="1">
        <f t="array" ref="Q52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24" t="str">
        <v>3BE55</v>
      </c>
      <c r="AB524" s="42">
        <f>SUMIF(PartList[ASSLY MARK],AA524,PartList[Avail. Qty])</f>
        <v>0</v>
      </c>
    </row>
    <row r="525" spans="1:28" x14ac:dyDescent="0.25">
      <c r="A525">
        <v>1219</v>
      </c>
      <c r="B525" t="s">
        <v>442</v>
      </c>
      <c r="C525" t="s">
        <v>508</v>
      </c>
      <c r="D525" t="s">
        <v>1125</v>
      </c>
      <c r="E525" t="s">
        <v>1122</v>
      </c>
      <c r="F525" t="str" cm="1">
        <f t="array" ref="F525">IF(SUM(IF(PartList[ASSLY MARK]=PartList[[#This Row],[ASSLY MARK]],1,0))&gt;1,"No","Yes")</f>
        <v>Yes</v>
      </c>
      <c r="G525" t="str" cm="1">
        <f t="array" ref="G525">_xlfn.TEXTJOIN("_",TRUE,TRIM(_xlfn.TEXTSPLIT(PartList[[#This Row],[GRID LOCATION]],{"PR01","/","-"})))</f>
        <v>10_A'_A</v>
      </c>
      <c r="H525" t="str" cm="1">
        <f t="array" ref="H52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525" cm="1">
        <f t="array" ref="I52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25" t="str">
        <f>IF(IFERROR(SEARCH("&gt;",PartList[[#This Row],[ID]]),0),"O",IF(IFERROR(SEARCH("&lt;",PartList[[#This Row],[ID]]),0),"I",""))</f>
        <v/>
      </c>
      <c r="K525" t="str" cm="1">
        <f t="array" ref="K5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25" t="str" cm="1">
        <f t="array" ref="L5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25" t="str">
        <f>_xlfn.TEXTJOIN("#",TRUE,PartList[[#This Row],[ASSLY MARK]],PartList[[#This Row],[BOX NO]],PartList[[#This Row],[In/Out]],PartList[[#This Row],[O1-Grid]])</f>
        <v>VB04#Box1_Box4#InBB</v>
      </c>
      <c r="N525" t="str">
        <f>_xlfn.TEXTJOIN("#",TRUE,PartList[[#This Row],[ASSLY MARK]],PartList[[#This Row],[BOX NO]],PartList[[#This Row],[In/Out]],PartList[[#This Row],[O2-Grid]])</f>
        <v>VB04#Box1_Box4#InBB</v>
      </c>
      <c r="O525">
        <f>IF(PartList[[#This Row],[Unique]]="Yes",_xlfn.XLOOKUP(PartList[[#This Row],[ASSLY MARK]],FilteredPL!A:A,FilteredPL!B:B,0,0),0)</f>
        <v>0</v>
      </c>
      <c r="P525">
        <f>_xlfn.XLOOKUP(PartList[[#This Row],[ASSLY MARK]],MasterPL[SplitMarkNo],MasterPL[BILL WT.(KG)],0,0)</f>
        <v>0</v>
      </c>
      <c r="Q525" cm="1">
        <f t="array" ref="Q52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25" t="str">
        <v>3BE56</v>
      </c>
      <c r="AB525" s="42">
        <f>SUMIF(PartList[ASSLY MARK],AA525,PartList[Avail. Qty])</f>
        <v>0</v>
      </c>
    </row>
    <row r="526" spans="1:28" x14ac:dyDescent="0.25">
      <c r="A526">
        <v>1220</v>
      </c>
      <c r="B526" t="s">
        <v>443</v>
      </c>
      <c r="C526" t="s">
        <v>510</v>
      </c>
      <c r="D526" t="s">
        <v>1126</v>
      </c>
      <c r="E526" t="s">
        <v>1122</v>
      </c>
      <c r="F526" t="str" cm="1">
        <f t="array" ref="F526">IF(SUM(IF(PartList[ASSLY MARK]=PartList[[#This Row],[ASSLY MARK]],1,0))&gt;1,"No","Yes")</f>
        <v>No</v>
      </c>
      <c r="G526" t="str" cm="1">
        <f t="array" ref="G526">_xlfn.TEXTJOIN("_",TRUE,TRIM(_xlfn.TEXTSPLIT(PartList[[#This Row],[GRID LOCATION]],{"PR01","/","-"})))</f>
        <v>10_B&gt;</v>
      </c>
      <c r="H526" t="str" cm="1">
        <f t="array" ref="H52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26" cm="1">
        <f t="array" ref="I52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26" t="str">
        <f>IF(IFERROR(SEARCH("&gt;",PartList[[#This Row],[ID]]),0),"O",IF(IFERROR(SEARCH("&lt;",PartList[[#This Row],[ID]]),0),"I",""))</f>
        <v>O</v>
      </c>
      <c r="K526" t="str" cm="1">
        <f t="array" ref="K5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526" t="str" cm="1">
        <f t="array" ref="L5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526" t="str">
        <f>_xlfn.TEXTJOIN("#",TRUE,PartList[[#This Row],[ASSLY MARK]],PartList[[#This Row],[BOX NO]],PartList[[#This Row],[In/Out]],PartList[[#This Row],[O1-Grid]])</f>
        <v>VB05#Box1#O</v>
      </c>
      <c r="N526" t="str">
        <f>_xlfn.TEXTJOIN("#",TRUE,PartList[[#This Row],[ASSLY MARK]],PartList[[#This Row],[BOX NO]],PartList[[#This Row],[In/Out]],PartList[[#This Row],[O2-Grid]])</f>
        <v>VB05#Box1#O</v>
      </c>
      <c r="O526">
        <f>IF(PartList[[#This Row],[Unique]]="Yes",_xlfn.XLOOKUP(PartList[[#This Row],[ASSLY MARK]],FilteredPL!A:A,FilteredPL!B:B,0,0),0)</f>
        <v>0</v>
      </c>
      <c r="P526">
        <f>_xlfn.XLOOKUP(PartList[[#This Row],[ASSLY MARK]],MasterPL[SplitMarkNo],MasterPL[BILL WT.(KG)],0,0)</f>
        <v>0</v>
      </c>
      <c r="Q526" cm="1">
        <f t="array" ref="Q52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26" t="str">
        <v>3BE57</v>
      </c>
      <c r="AB526" s="42">
        <f>SUMIF(PartList[ASSLY MARK],AA526,PartList[Avail. Qty])</f>
        <v>0</v>
      </c>
    </row>
    <row r="527" spans="1:28" x14ac:dyDescent="0.25">
      <c r="A527">
        <v>1221</v>
      </c>
      <c r="B527" t="s">
        <v>443</v>
      </c>
      <c r="C527" t="s">
        <v>508</v>
      </c>
      <c r="D527" t="s">
        <v>1126</v>
      </c>
      <c r="E527" t="s">
        <v>1122</v>
      </c>
      <c r="F527" t="str" cm="1">
        <f t="array" ref="F527">IF(SUM(IF(PartList[ASSLY MARK]=PartList[[#This Row],[ASSLY MARK]],1,0))&gt;1,"No","Yes")</f>
        <v>No</v>
      </c>
      <c r="G527" t="str" cm="1">
        <f t="array" ref="G527">_xlfn.TEXTJOIN("_",TRUE,TRIM(_xlfn.TEXTSPLIT(PartList[[#This Row],[GRID LOCATION]],{"PR01","/","-"})))</f>
        <v>10_A'_A</v>
      </c>
      <c r="H527" t="str" cm="1">
        <f t="array" ref="H52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527" cm="1">
        <f t="array" ref="I52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27" t="str">
        <f>IF(IFERROR(SEARCH("&gt;",PartList[[#This Row],[ID]]),0),"O",IF(IFERROR(SEARCH("&lt;",PartList[[#This Row],[ID]]),0),"I",""))</f>
        <v/>
      </c>
      <c r="K527" t="str" cm="1">
        <f t="array" ref="K5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27" t="str" cm="1">
        <f t="array" ref="L5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27" t="str">
        <f>_xlfn.TEXTJOIN("#",TRUE,PartList[[#This Row],[ASSLY MARK]],PartList[[#This Row],[BOX NO]],PartList[[#This Row],[In/Out]],PartList[[#This Row],[O1-Grid]])</f>
        <v>VB05#Box1_Box4#InBB</v>
      </c>
      <c r="N527" t="str">
        <f>_xlfn.TEXTJOIN("#",TRUE,PartList[[#This Row],[ASSLY MARK]],PartList[[#This Row],[BOX NO]],PartList[[#This Row],[In/Out]],PartList[[#This Row],[O2-Grid]])</f>
        <v>VB05#Box1_Box4#InBB</v>
      </c>
      <c r="O527">
        <f>IF(PartList[[#This Row],[Unique]]="Yes",_xlfn.XLOOKUP(PartList[[#This Row],[ASSLY MARK]],FilteredPL!A:A,FilteredPL!B:B,0,0),0)</f>
        <v>0</v>
      </c>
      <c r="P527">
        <f>_xlfn.XLOOKUP(PartList[[#This Row],[ASSLY MARK]],MasterPL[SplitMarkNo],MasterPL[BILL WT.(KG)],0,0)</f>
        <v>0</v>
      </c>
      <c r="Q527" cm="1">
        <f t="array" ref="Q52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27" t="str">
        <v>3BE58</v>
      </c>
      <c r="AB527" s="42">
        <f>SUMIF(PartList[ASSLY MARK],AA527,PartList[Avail. Qty])</f>
        <v>0</v>
      </c>
    </row>
    <row r="528" spans="1:28" x14ac:dyDescent="0.25">
      <c r="A528">
        <v>1225</v>
      </c>
      <c r="B528" t="s">
        <v>445</v>
      </c>
      <c r="C528" t="s">
        <v>510</v>
      </c>
      <c r="D528" t="s">
        <v>1128</v>
      </c>
      <c r="E528" t="s">
        <v>1122</v>
      </c>
      <c r="F528" t="str" cm="1">
        <f t="array" ref="F528">IF(SUM(IF(PartList[ASSLY MARK]=PartList[[#This Row],[ASSLY MARK]],1,0))&gt;1,"No","Yes")</f>
        <v>Yes</v>
      </c>
      <c r="G528" t="str" cm="1">
        <f t="array" ref="G528">_xlfn.TEXTJOIN("_",TRUE,TRIM(_xlfn.TEXTSPLIT(PartList[[#This Row],[GRID LOCATION]],{"PR01","/","-"})))</f>
        <v>10_B&gt;</v>
      </c>
      <c r="H528" t="str" cm="1">
        <f t="array" ref="H52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28" cm="1">
        <f t="array" ref="I52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28" t="str">
        <f>IF(IFERROR(SEARCH("&gt;",PartList[[#This Row],[ID]]),0),"O",IF(IFERROR(SEARCH("&lt;",PartList[[#This Row],[ID]]),0),"I",""))</f>
        <v>O</v>
      </c>
      <c r="K528" t="str" cm="1">
        <f t="array" ref="K5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528" t="str" cm="1">
        <f t="array" ref="L5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528" t="str">
        <f>_xlfn.TEXTJOIN("#",TRUE,PartList[[#This Row],[ASSLY MARK]],PartList[[#This Row],[BOX NO]],PartList[[#This Row],[In/Out]],PartList[[#This Row],[O1-Grid]])</f>
        <v>VB07#Box1#O</v>
      </c>
      <c r="N528" t="str">
        <f>_xlfn.TEXTJOIN("#",TRUE,PartList[[#This Row],[ASSLY MARK]],PartList[[#This Row],[BOX NO]],PartList[[#This Row],[In/Out]],PartList[[#This Row],[O2-Grid]])</f>
        <v>VB07#Box1#O</v>
      </c>
      <c r="O528">
        <f>IF(PartList[[#This Row],[Unique]]="Yes",_xlfn.XLOOKUP(PartList[[#This Row],[ASSLY MARK]],FilteredPL!A:A,FilteredPL!B:B,0,0),0)</f>
        <v>0</v>
      </c>
      <c r="P528">
        <f>_xlfn.XLOOKUP(PartList[[#This Row],[ASSLY MARK]],MasterPL[SplitMarkNo],MasterPL[BILL WT.(KG)],0,0)</f>
        <v>0</v>
      </c>
      <c r="Q528" cm="1">
        <f t="array" ref="Q52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28" t="str">
        <v>3HA01</v>
      </c>
      <c r="AB528" s="42">
        <f>SUMIF(PartList[ASSLY MARK],AA528,PartList[Avail. Qty])</f>
        <v>0</v>
      </c>
    </row>
    <row r="529" spans="1:28" x14ac:dyDescent="0.25">
      <c r="A529">
        <v>1226</v>
      </c>
      <c r="B529" t="s">
        <v>446</v>
      </c>
      <c r="C529" t="s">
        <v>515</v>
      </c>
      <c r="D529" t="s">
        <v>1129</v>
      </c>
      <c r="E529" t="s">
        <v>1122</v>
      </c>
      <c r="F529" t="str" cm="1">
        <f t="array" ref="F529">IF(SUM(IF(PartList[ASSLY MARK]=PartList[[#This Row],[ASSLY MARK]],1,0))&gt;1,"No","Yes")</f>
        <v>Yes</v>
      </c>
      <c r="G529" t="str" cm="1">
        <f t="array" ref="G529">_xlfn.TEXTJOIN("_",TRUE,TRIM(_xlfn.TEXTSPLIT(PartList[[#This Row],[GRID LOCATION]],{"PR01","/","-"})))</f>
        <v>10_11_A_B</v>
      </c>
      <c r="H529" t="str" cm="1">
        <f t="array" ref="H52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29" cm="1">
        <f t="array" ref="I52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29" t="str">
        <f>IF(IFERROR(SEARCH("&gt;",PartList[[#This Row],[ID]]),0),"O",IF(IFERROR(SEARCH("&lt;",PartList[[#This Row],[ID]]),0),"I",""))</f>
        <v/>
      </c>
      <c r="K529" t="str" cm="1">
        <f t="array" ref="K5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529" t="str" cm="1">
        <f t="array" ref="L5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529" t="str">
        <f>_xlfn.TEXTJOIN("#",TRUE,PartList[[#This Row],[ASSLY MARK]],PartList[[#This Row],[BOX NO]],PartList[[#This Row],[In/Out]],PartList[[#This Row],[O1-Grid]])</f>
        <v>VB08#Box1#InB</v>
      </c>
      <c r="N529" t="str">
        <f>_xlfn.TEXTJOIN("#",TRUE,PartList[[#This Row],[ASSLY MARK]],PartList[[#This Row],[BOX NO]],PartList[[#This Row],[In/Out]],PartList[[#This Row],[O2-Grid]])</f>
        <v>VB08#Box1#InB</v>
      </c>
      <c r="O529">
        <f>IF(PartList[[#This Row],[Unique]]="Yes",_xlfn.XLOOKUP(PartList[[#This Row],[ASSLY MARK]],FilteredPL!A:A,FilteredPL!B:B,0,0),0)</f>
        <v>0</v>
      </c>
      <c r="P529">
        <f>_xlfn.XLOOKUP(PartList[[#This Row],[ASSLY MARK]],MasterPL[SplitMarkNo],MasterPL[BILL WT.(KG)],0,0)</f>
        <v>0</v>
      </c>
      <c r="Q529" cm="1">
        <f t="array" ref="Q52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29" t="str">
        <v>3HA02</v>
      </c>
      <c r="AB529" s="42">
        <f>SUMIF(PartList[ASSLY MARK],AA529,PartList[Avail. Qty])</f>
        <v>0</v>
      </c>
    </row>
    <row r="530" spans="1:28" x14ac:dyDescent="0.25">
      <c r="A530">
        <v>1227</v>
      </c>
      <c r="B530" t="s">
        <v>447</v>
      </c>
      <c r="C530" t="s">
        <v>515</v>
      </c>
      <c r="D530" t="s">
        <v>1130</v>
      </c>
      <c r="E530" t="s">
        <v>1122</v>
      </c>
      <c r="F530" t="str" cm="1">
        <f t="array" ref="F530">IF(SUM(IF(PartList[ASSLY MARK]=PartList[[#This Row],[ASSLY MARK]],1,0))&gt;1,"No","Yes")</f>
        <v>Yes</v>
      </c>
      <c r="G530" t="str" cm="1">
        <f t="array" ref="G530">_xlfn.TEXTJOIN("_",TRUE,TRIM(_xlfn.TEXTSPLIT(PartList[[#This Row],[GRID LOCATION]],{"PR01","/","-"})))</f>
        <v>10_11_A_B</v>
      </c>
      <c r="H530" t="str" cm="1">
        <f t="array" ref="H53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30" cm="1">
        <f t="array" ref="I53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30" t="str">
        <f>IF(IFERROR(SEARCH("&gt;",PartList[[#This Row],[ID]]),0),"O",IF(IFERROR(SEARCH("&lt;",PartList[[#This Row],[ID]]),0),"I",""))</f>
        <v/>
      </c>
      <c r="K530" t="str" cm="1">
        <f t="array" ref="K5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530" t="str" cm="1">
        <f t="array" ref="L5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530" t="str">
        <f>_xlfn.TEXTJOIN("#",TRUE,PartList[[#This Row],[ASSLY MARK]],PartList[[#This Row],[BOX NO]],PartList[[#This Row],[In/Out]],PartList[[#This Row],[O1-Grid]])</f>
        <v>VB09#Box1#InB</v>
      </c>
      <c r="N530" t="str">
        <f>_xlfn.TEXTJOIN("#",TRUE,PartList[[#This Row],[ASSLY MARK]],PartList[[#This Row],[BOX NO]],PartList[[#This Row],[In/Out]],PartList[[#This Row],[O2-Grid]])</f>
        <v>VB09#Box1#InB</v>
      </c>
      <c r="O530">
        <f>IF(PartList[[#This Row],[Unique]]="Yes",_xlfn.XLOOKUP(PartList[[#This Row],[ASSLY MARK]],FilteredPL!A:A,FilteredPL!B:B,0,0),0)</f>
        <v>0</v>
      </c>
      <c r="P530">
        <f>_xlfn.XLOOKUP(PartList[[#This Row],[ASSLY MARK]],MasterPL[SplitMarkNo],MasterPL[BILL WT.(KG)],0,0)</f>
        <v>0</v>
      </c>
      <c r="Q530" cm="1">
        <f t="array" ref="Q53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30" t="str">
        <v>3HB18</v>
      </c>
      <c r="AB530" s="42">
        <f>SUMIF(PartList[ASSLY MARK],AA530,PartList[Avail. Qty])</f>
        <v>0</v>
      </c>
    </row>
    <row r="531" spans="1:28" x14ac:dyDescent="0.25">
      <c r="A531">
        <v>1228</v>
      </c>
      <c r="B531" t="s">
        <v>448</v>
      </c>
      <c r="C531" t="s">
        <v>513</v>
      </c>
      <c r="D531" t="s">
        <v>1131</v>
      </c>
      <c r="E531" t="s">
        <v>1122</v>
      </c>
      <c r="F531" t="str" cm="1">
        <f t="array" ref="F531">IF(SUM(IF(PartList[ASSLY MARK]=PartList[[#This Row],[ASSLY MARK]],1,0))&gt;1,"No","Yes")</f>
        <v>No</v>
      </c>
      <c r="G531" t="str" cm="1">
        <f t="array" ref="G531">_xlfn.TEXTJOIN("_",TRUE,TRIM(_xlfn.TEXTSPLIT(PartList[[#This Row],[GRID LOCATION]],{"PR01","/","-"})))</f>
        <v>10_11_B&gt;</v>
      </c>
      <c r="H531" t="str" cm="1">
        <f t="array" ref="H53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31" cm="1">
        <f t="array" ref="I53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31" t="str">
        <f>IF(IFERROR(SEARCH("&gt;",PartList[[#This Row],[ID]]),0),"O",IF(IFERROR(SEARCH("&lt;",PartList[[#This Row],[ID]]),0),"I",""))</f>
        <v>O</v>
      </c>
      <c r="K531" t="str" cm="1">
        <f t="array" ref="K5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531" t="str" cm="1">
        <f t="array" ref="L5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531" t="str">
        <f>_xlfn.TEXTJOIN("#",TRUE,PartList[[#This Row],[ASSLY MARK]],PartList[[#This Row],[BOX NO]],PartList[[#This Row],[In/Out]],PartList[[#This Row],[O1-Grid]])</f>
        <v>VB10#Box1#O</v>
      </c>
      <c r="N531" t="str">
        <f>_xlfn.TEXTJOIN("#",TRUE,PartList[[#This Row],[ASSLY MARK]],PartList[[#This Row],[BOX NO]],PartList[[#This Row],[In/Out]],PartList[[#This Row],[O2-Grid]])</f>
        <v>VB10#Box1#O</v>
      </c>
      <c r="O531">
        <f>IF(PartList[[#This Row],[Unique]]="Yes",_xlfn.XLOOKUP(PartList[[#This Row],[ASSLY MARK]],FilteredPL!A:A,FilteredPL!B:B,0,0),0)</f>
        <v>0</v>
      </c>
      <c r="P531">
        <f>_xlfn.XLOOKUP(PartList[[#This Row],[ASSLY MARK]],MasterPL[SplitMarkNo],MasterPL[BILL WT.(KG)],0,0)</f>
        <v>0</v>
      </c>
      <c r="Q531" cm="1">
        <f t="array" ref="Q53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31" t="str">
        <v>3SC08</v>
      </c>
      <c r="AB531" s="42">
        <f>SUMIF(PartList[ASSLY MARK],AA531,PartList[Avail. Qty])</f>
        <v>0</v>
      </c>
    </row>
    <row r="532" spans="1:28" x14ac:dyDescent="0.25">
      <c r="A532">
        <v>1229</v>
      </c>
      <c r="B532" t="s">
        <v>448</v>
      </c>
      <c r="C532" t="s">
        <v>531</v>
      </c>
      <c r="D532" t="s">
        <v>1131</v>
      </c>
      <c r="E532" t="s">
        <v>1122</v>
      </c>
      <c r="F532" t="str" cm="1">
        <f t="array" ref="F532">IF(SUM(IF(PartList[ASSLY MARK]=PartList[[#This Row],[ASSLY MARK]],1,0))&gt;1,"No","Yes")</f>
        <v>No</v>
      </c>
      <c r="G532" t="str" cm="1">
        <f t="array" ref="G532">_xlfn.TEXTJOIN("_",TRUE,TRIM(_xlfn.TEXTSPLIT(PartList[[#This Row],[GRID LOCATION]],{"PR01","/","-"})))</f>
        <v>11_12_B&gt;</v>
      </c>
      <c r="H532" t="str" cm="1">
        <f t="array" ref="H53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32" cm="1">
        <f t="array" ref="I53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32" t="str">
        <f>IF(IFERROR(SEARCH("&gt;",PartList[[#This Row],[ID]]),0),"O",IF(IFERROR(SEARCH("&lt;",PartList[[#This Row],[ID]]),0),"I",""))</f>
        <v>O</v>
      </c>
      <c r="K532" t="str" cm="1">
        <f t="array" ref="K5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532" t="str" cm="1">
        <f t="array" ref="L5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532" t="str">
        <f>_xlfn.TEXTJOIN("#",TRUE,PartList[[#This Row],[ASSLY MARK]],PartList[[#This Row],[BOX NO]],PartList[[#This Row],[In/Out]],PartList[[#This Row],[O1-Grid]])</f>
        <v>VB10#Box1_Box2#O</v>
      </c>
      <c r="N532" t="str">
        <f>_xlfn.TEXTJOIN("#",TRUE,PartList[[#This Row],[ASSLY MARK]],PartList[[#This Row],[BOX NO]],PartList[[#This Row],[In/Out]],PartList[[#This Row],[O2-Grid]])</f>
        <v>VB10#Box1_Box2#O</v>
      </c>
      <c r="O532">
        <f>IF(PartList[[#This Row],[Unique]]="Yes",_xlfn.XLOOKUP(PartList[[#This Row],[ASSLY MARK]],FilteredPL!A:A,FilteredPL!B:B,0,0),0)</f>
        <v>0</v>
      </c>
      <c r="P532">
        <f>_xlfn.XLOOKUP(PartList[[#This Row],[ASSLY MARK]],MasterPL[SplitMarkNo],MasterPL[BILL WT.(KG)],0,0)</f>
        <v>0</v>
      </c>
      <c r="Q532" cm="1">
        <f t="array" ref="Q53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32" t="str">
        <v>3SC09</v>
      </c>
      <c r="AB532" s="42">
        <f>SUMIF(PartList[ASSLY MARK],AA532,PartList[Avail. Qty])</f>
        <v>0</v>
      </c>
    </row>
    <row r="533" spans="1:28" x14ac:dyDescent="0.25">
      <c r="A533">
        <v>1230</v>
      </c>
      <c r="B533" t="s">
        <v>449</v>
      </c>
      <c r="C533" t="s">
        <v>528</v>
      </c>
      <c r="D533" t="s">
        <v>1132</v>
      </c>
      <c r="E533" t="s">
        <v>1122</v>
      </c>
      <c r="F533" t="str" cm="1">
        <f t="array" ref="F533">IF(SUM(IF(PartList[ASSLY MARK]=PartList[[#This Row],[ASSLY MARK]],1,0))&gt;1,"No","Yes")</f>
        <v>Yes</v>
      </c>
      <c r="G533" t="str" cm="1">
        <f t="array" ref="G533">_xlfn.TEXTJOIN("_",TRUE,TRIM(_xlfn.TEXTSPLIT(PartList[[#This Row],[GRID LOCATION]],{"PR01","/","-"})))</f>
        <v>11_A'_A</v>
      </c>
      <c r="H533" t="str" cm="1">
        <f t="array" ref="H53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533" cm="1">
        <f t="array" ref="I53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33" t="str">
        <f>IF(IFERROR(SEARCH("&gt;",PartList[[#This Row],[ID]]),0),"O",IF(IFERROR(SEARCH("&lt;",PartList[[#This Row],[ID]]),0),"I",""))</f>
        <v/>
      </c>
      <c r="K533" t="str" cm="1">
        <f t="array" ref="K5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33" t="str" cm="1">
        <f t="array" ref="L5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33" t="str">
        <f>_xlfn.TEXTJOIN("#",TRUE,PartList[[#This Row],[ASSLY MARK]],PartList[[#This Row],[BOX NO]],PartList[[#This Row],[In/Out]],PartList[[#This Row],[O1-Grid]])</f>
        <v>VB11#Box1_Box4#InBB</v>
      </c>
      <c r="N533" t="str">
        <f>_xlfn.TEXTJOIN("#",TRUE,PartList[[#This Row],[ASSLY MARK]],PartList[[#This Row],[BOX NO]],PartList[[#This Row],[In/Out]],PartList[[#This Row],[O2-Grid]])</f>
        <v>VB11#Box1_Box4#InBB</v>
      </c>
      <c r="O533">
        <f>IF(PartList[[#This Row],[Unique]]="Yes",_xlfn.XLOOKUP(PartList[[#This Row],[ASSLY MARK]],FilteredPL!A:A,FilteredPL!B:B,0,0),0)</f>
        <v>0</v>
      </c>
      <c r="P533">
        <f>_xlfn.XLOOKUP(PartList[[#This Row],[ASSLY MARK]],MasterPL[SplitMarkNo],MasterPL[BILL WT.(KG)],0,0)</f>
        <v>0</v>
      </c>
      <c r="Q533" cm="1">
        <f t="array" ref="Q53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33" t="str">
        <v>3SC10</v>
      </c>
      <c r="AB533" s="42">
        <f>SUMIF(PartList[ASSLY MARK],AA533,PartList[Avail. Qty])</f>
        <v>0</v>
      </c>
    </row>
    <row r="534" spans="1:28" x14ac:dyDescent="0.25">
      <c r="A534">
        <v>1231</v>
      </c>
      <c r="B534" t="s">
        <v>450</v>
      </c>
      <c r="C534" t="s">
        <v>528</v>
      </c>
      <c r="D534" t="s">
        <v>1126</v>
      </c>
      <c r="E534" t="s">
        <v>1122</v>
      </c>
      <c r="F534" t="str" cm="1">
        <f t="array" ref="F534">IF(SUM(IF(PartList[ASSLY MARK]=PartList[[#This Row],[ASSLY MARK]],1,0))&gt;1,"No","Yes")</f>
        <v>Yes</v>
      </c>
      <c r="G534" t="str" cm="1">
        <f t="array" ref="G534">_xlfn.TEXTJOIN("_",TRUE,TRIM(_xlfn.TEXTSPLIT(PartList[[#This Row],[GRID LOCATION]],{"PR01","/","-"})))</f>
        <v>11_A'_A</v>
      </c>
      <c r="H534" t="str" cm="1">
        <f t="array" ref="H53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534" cm="1">
        <f t="array" ref="I53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34" t="str">
        <f>IF(IFERROR(SEARCH("&gt;",PartList[[#This Row],[ID]]),0),"O",IF(IFERROR(SEARCH("&lt;",PartList[[#This Row],[ID]]),0),"I",""))</f>
        <v/>
      </c>
      <c r="K534" t="str" cm="1">
        <f t="array" ref="K5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34" t="str" cm="1">
        <f t="array" ref="L5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34" t="str">
        <f>_xlfn.TEXTJOIN("#",TRUE,PartList[[#This Row],[ASSLY MARK]],PartList[[#This Row],[BOX NO]],PartList[[#This Row],[In/Out]],PartList[[#This Row],[O1-Grid]])</f>
        <v>VB12#Box1_Box4#InBB</v>
      </c>
      <c r="N534" t="str">
        <f>_xlfn.TEXTJOIN("#",TRUE,PartList[[#This Row],[ASSLY MARK]],PartList[[#This Row],[BOX NO]],PartList[[#This Row],[In/Out]],PartList[[#This Row],[O2-Grid]])</f>
        <v>VB12#Box1_Box4#InBB</v>
      </c>
      <c r="O534">
        <f>IF(PartList[[#This Row],[Unique]]="Yes",_xlfn.XLOOKUP(PartList[[#This Row],[ASSLY MARK]],FilteredPL!A:A,FilteredPL!B:B,0,0),0)</f>
        <v>0</v>
      </c>
      <c r="P534">
        <f>_xlfn.XLOOKUP(PartList[[#This Row],[ASSLY MARK]],MasterPL[SplitMarkNo],MasterPL[BILL WT.(KG)],0,0)</f>
        <v>0</v>
      </c>
      <c r="Q534" cm="1">
        <f t="array" ref="Q53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34" t="str">
        <v>3SC11</v>
      </c>
      <c r="AB534" s="42">
        <f>SUMIF(PartList[ASSLY MARK],AA534,PartList[Avail. Qty])</f>
        <v>0</v>
      </c>
    </row>
    <row r="535" spans="1:28" x14ac:dyDescent="0.25">
      <c r="A535">
        <v>1232</v>
      </c>
      <c r="B535" t="s">
        <v>451</v>
      </c>
      <c r="C535" t="s">
        <v>528</v>
      </c>
      <c r="D535" t="s">
        <v>1133</v>
      </c>
      <c r="E535" t="s">
        <v>1122</v>
      </c>
      <c r="F535" t="str" cm="1">
        <f t="array" ref="F535">IF(SUM(IF(PartList[ASSLY MARK]=PartList[[#This Row],[ASSLY MARK]],1,0))&gt;1,"No","Yes")</f>
        <v>Yes</v>
      </c>
      <c r="G535" t="str" cm="1">
        <f t="array" ref="G535">_xlfn.TEXTJOIN("_",TRUE,TRIM(_xlfn.TEXTSPLIT(PartList[[#This Row],[GRID LOCATION]],{"PR01","/","-"})))</f>
        <v>11_A'_A</v>
      </c>
      <c r="H535" t="str" cm="1">
        <f t="array" ref="H53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535" cm="1">
        <f t="array" ref="I53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35" t="str">
        <f>IF(IFERROR(SEARCH("&gt;",PartList[[#This Row],[ID]]),0),"O",IF(IFERROR(SEARCH("&lt;",PartList[[#This Row],[ID]]),0),"I",""))</f>
        <v/>
      </c>
      <c r="K535" t="str" cm="1">
        <f t="array" ref="K5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35" t="str" cm="1">
        <f t="array" ref="L5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35" t="str">
        <f>_xlfn.TEXTJOIN("#",TRUE,PartList[[#This Row],[ASSLY MARK]],PartList[[#This Row],[BOX NO]],PartList[[#This Row],[In/Out]],PartList[[#This Row],[O1-Grid]])</f>
        <v>VB13#Box1_Box4#InBB</v>
      </c>
      <c r="N535" t="str">
        <f>_xlfn.TEXTJOIN("#",TRUE,PartList[[#This Row],[ASSLY MARK]],PartList[[#This Row],[BOX NO]],PartList[[#This Row],[In/Out]],PartList[[#This Row],[O2-Grid]])</f>
        <v>VB13#Box1_Box4#InBB</v>
      </c>
      <c r="O535">
        <f>IF(PartList[[#This Row],[Unique]]="Yes",_xlfn.XLOOKUP(PartList[[#This Row],[ASSLY MARK]],FilteredPL!A:A,FilteredPL!B:B,0,0),0)</f>
        <v>0</v>
      </c>
      <c r="P535">
        <f>_xlfn.XLOOKUP(PartList[[#This Row],[ASSLY MARK]],MasterPL[SplitMarkNo],MasterPL[BILL WT.(KG)],0,0)</f>
        <v>0</v>
      </c>
      <c r="Q535" cm="1">
        <f t="array" ref="Q53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35" t="str">
        <v>3SC12</v>
      </c>
      <c r="AB535" s="42">
        <f>SUMIF(PartList[ASSLY MARK],AA535,PartList[Avail. Qty])</f>
        <v>0</v>
      </c>
    </row>
    <row r="536" spans="1:28" x14ac:dyDescent="0.25">
      <c r="A536">
        <v>1233</v>
      </c>
      <c r="B536" t="s">
        <v>453</v>
      </c>
      <c r="C536" t="s">
        <v>529</v>
      </c>
      <c r="D536" t="s">
        <v>1134</v>
      </c>
      <c r="E536" t="s">
        <v>1122</v>
      </c>
      <c r="F536" t="str" cm="1">
        <f t="array" ref="F536">IF(SUM(IF(PartList[ASSLY MARK]=PartList[[#This Row],[ASSLY MARK]],1,0))&gt;1,"No","Yes")</f>
        <v>Yes</v>
      </c>
      <c r="G536" t="str" cm="1">
        <f t="array" ref="G536">_xlfn.TEXTJOIN("_",TRUE,TRIM(_xlfn.TEXTSPLIT(PartList[[#This Row],[GRID LOCATION]],{"PR01","/","-"})))</f>
        <v>11_A_B</v>
      </c>
      <c r="H536" t="str" cm="1">
        <f t="array" ref="H53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36" cm="1">
        <f t="array" ref="I53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36" t="str">
        <f>IF(IFERROR(SEARCH("&gt;",PartList[[#This Row],[ID]]),0),"O",IF(IFERROR(SEARCH("&lt;",PartList[[#This Row],[ID]]),0),"I",""))</f>
        <v/>
      </c>
      <c r="K536" t="str" cm="1">
        <f t="array" ref="K5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11_A_B</v>
      </c>
      <c r="L536" t="str" cm="1">
        <f t="array" ref="L5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536" t="str">
        <f>_xlfn.TEXTJOIN("#",TRUE,PartList[[#This Row],[ASSLY MARK]],PartList[[#This Row],[BOX NO]],PartList[[#This Row],[In/Out]],PartList[[#This Row],[O1-Grid]])</f>
        <v>VB14#Box1#11_A_B</v>
      </c>
      <c r="N536" t="str">
        <f>_xlfn.TEXTJOIN("#",TRUE,PartList[[#This Row],[ASSLY MARK]],PartList[[#This Row],[BOX NO]],PartList[[#This Row],[In/Out]],PartList[[#This Row],[O2-Grid]])</f>
        <v>VB14#Box1#InB</v>
      </c>
      <c r="O536">
        <f>IF(PartList[[#This Row],[Unique]]="Yes",_xlfn.XLOOKUP(PartList[[#This Row],[ASSLY MARK]],FilteredPL!A:A,FilteredPL!B:B,0,0),0)</f>
        <v>0</v>
      </c>
      <c r="P536">
        <f>_xlfn.XLOOKUP(PartList[[#This Row],[ASSLY MARK]],MasterPL[SplitMarkNo],MasterPL[BILL WT.(KG)],0,0)</f>
        <v>0</v>
      </c>
      <c r="Q536" cm="1">
        <f t="array" ref="Q53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36" t="str">
        <v>3SC13</v>
      </c>
      <c r="AB536" s="42">
        <f>SUMIF(PartList[ASSLY MARK],AA536,PartList[Avail. Qty])</f>
        <v>0</v>
      </c>
    </row>
    <row r="537" spans="1:28" x14ac:dyDescent="0.25">
      <c r="A537">
        <v>1234</v>
      </c>
      <c r="B537" t="s">
        <v>454</v>
      </c>
      <c r="C537" t="s">
        <v>530</v>
      </c>
      <c r="D537" t="s">
        <v>463</v>
      </c>
      <c r="E537" t="s">
        <v>1122</v>
      </c>
      <c r="F537" t="str" cm="1">
        <f t="array" ref="F537">IF(SUM(IF(PartList[ASSLY MARK]=PartList[[#This Row],[ASSLY MARK]],1,0))&gt;1,"No","Yes")</f>
        <v>Yes</v>
      </c>
      <c r="G537" t="str" cm="1">
        <f t="array" ref="G537">_xlfn.TEXTJOIN("_",TRUE,TRIM(_xlfn.TEXTSPLIT(PartList[[#This Row],[GRID LOCATION]],{"PR01","/","-"})))</f>
        <v>11_B&gt;</v>
      </c>
      <c r="H537" t="str" cm="1">
        <f t="array" ref="H53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37" cm="1">
        <f t="array" ref="I53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37" t="str">
        <f>IF(IFERROR(SEARCH("&gt;",PartList[[#This Row],[ID]]),0),"O",IF(IFERROR(SEARCH("&lt;",PartList[[#This Row],[ID]]),0),"I",""))</f>
        <v>O</v>
      </c>
      <c r="K537" t="str" cm="1">
        <f t="array" ref="K5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537" t="str" cm="1">
        <f t="array" ref="L5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537" t="str">
        <f>_xlfn.TEXTJOIN("#",TRUE,PartList[[#This Row],[ASSLY MARK]],PartList[[#This Row],[BOX NO]],PartList[[#This Row],[In/Out]],PartList[[#This Row],[O1-Grid]])</f>
        <v>VB15#Box1#O</v>
      </c>
      <c r="N537" t="str">
        <f>_xlfn.TEXTJOIN("#",TRUE,PartList[[#This Row],[ASSLY MARK]],PartList[[#This Row],[BOX NO]],PartList[[#This Row],[In/Out]],PartList[[#This Row],[O2-Grid]])</f>
        <v>VB15#Box1#O</v>
      </c>
      <c r="O537">
        <f>IF(PartList[[#This Row],[Unique]]="Yes",_xlfn.XLOOKUP(PartList[[#This Row],[ASSLY MARK]],FilteredPL!A:A,FilteredPL!B:B,0,0),0)</f>
        <v>0</v>
      </c>
      <c r="P537">
        <f>_xlfn.XLOOKUP(PartList[[#This Row],[ASSLY MARK]],MasterPL[SplitMarkNo],MasterPL[BILL WT.(KG)],0,0)</f>
        <v>0</v>
      </c>
      <c r="Q537" cm="1">
        <f t="array" ref="Q53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37" t="str">
        <v>3SC14</v>
      </c>
      <c r="AB537" s="42">
        <f>SUMIF(PartList[ASSLY MARK],AA537,PartList[Avail. Qty])</f>
        <v>0</v>
      </c>
    </row>
    <row r="538" spans="1:28" x14ac:dyDescent="0.25">
      <c r="A538">
        <v>1235</v>
      </c>
      <c r="B538" t="s">
        <v>455</v>
      </c>
      <c r="C538" t="s">
        <v>534</v>
      </c>
      <c r="D538" t="s">
        <v>441</v>
      </c>
      <c r="E538" t="s">
        <v>1122</v>
      </c>
      <c r="F538" t="str" cm="1">
        <f t="array" ref="F538">IF(SUM(IF(PartList[ASSLY MARK]=PartList[[#This Row],[ASSLY MARK]],1,0))&gt;1,"No","Yes")</f>
        <v>No</v>
      </c>
      <c r="G538" t="str" cm="1">
        <f t="array" ref="G538">_xlfn.TEXTJOIN("_",TRUE,TRIM(_xlfn.TEXTSPLIT(PartList[[#This Row],[GRID LOCATION]],{"PR01","/","-"})))</f>
        <v>11_12_B</v>
      </c>
      <c r="H538" t="str" cm="1">
        <f t="array" ref="H53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38" cm="1">
        <f t="array" ref="I53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38" t="str">
        <f>IF(IFERROR(SEARCH("&gt;",PartList[[#This Row],[ID]]),0),"O",IF(IFERROR(SEARCH("&lt;",PartList[[#This Row],[ID]]),0),"I",""))</f>
        <v/>
      </c>
      <c r="K538" t="str" cm="1">
        <f t="array" ref="K5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38" t="str" cm="1">
        <f t="array" ref="L5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38" t="str">
        <f>_xlfn.TEXTJOIN("#",TRUE,PartList[[#This Row],[ASSLY MARK]],PartList[[#This Row],[BOX NO]],PartList[[#This Row],[In/Out]],PartList[[#This Row],[O1-Grid]])</f>
        <v>VB16#Box1_Box2#InBB</v>
      </c>
      <c r="N538" t="str">
        <f>_xlfn.TEXTJOIN("#",TRUE,PartList[[#This Row],[ASSLY MARK]],PartList[[#This Row],[BOX NO]],PartList[[#This Row],[In/Out]],PartList[[#This Row],[O2-Grid]])</f>
        <v>VB16#Box1_Box2#InBB</v>
      </c>
      <c r="O538">
        <f>IF(PartList[[#This Row],[Unique]]="Yes",_xlfn.XLOOKUP(PartList[[#This Row],[ASSLY MARK]],FilteredPL!A:A,FilteredPL!B:B,0,0),0)</f>
        <v>0</v>
      </c>
      <c r="P538">
        <f>_xlfn.XLOOKUP(PartList[[#This Row],[ASSLY MARK]],MasterPL[SplitMarkNo],MasterPL[BILL WT.(KG)],0,0)</f>
        <v>0</v>
      </c>
      <c r="Q538" cm="1">
        <f t="array" ref="Q53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38" t="str">
        <v>4BE10</v>
      </c>
      <c r="AB538" s="42">
        <f>SUMIF(PartList[ASSLY MARK],AA538,PartList[Avail. Qty])</f>
        <v>0</v>
      </c>
    </row>
    <row r="539" spans="1:28" x14ac:dyDescent="0.25">
      <c r="A539">
        <v>1236</v>
      </c>
      <c r="B539" t="s">
        <v>455</v>
      </c>
      <c r="C539" t="s">
        <v>533</v>
      </c>
      <c r="D539" t="s">
        <v>441</v>
      </c>
      <c r="E539" t="s">
        <v>1122</v>
      </c>
      <c r="F539" t="str" cm="1">
        <f t="array" ref="F539">IF(SUM(IF(PartList[ASSLY MARK]=PartList[[#This Row],[ASSLY MARK]],1,0))&gt;1,"No","Yes")</f>
        <v>No</v>
      </c>
      <c r="G539" t="str" cm="1">
        <f t="array" ref="G539">_xlfn.TEXTJOIN("_",TRUE,TRIM(_xlfn.TEXTSPLIT(PartList[[#This Row],[GRID LOCATION]],{"PR01","/","-"})))</f>
        <v>11_12_A</v>
      </c>
      <c r="H539" t="str" cm="1">
        <f t="array" ref="H53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39" cm="1">
        <f t="array" ref="I53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39" t="str">
        <f>IF(IFERROR(SEARCH("&gt;",PartList[[#This Row],[ID]]),0),"O",IF(IFERROR(SEARCH("&lt;",PartList[[#This Row],[ID]]),0),"I",""))</f>
        <v/>
      </c>
      <c r="K539" t="str" cm="1">
        <f t="array" ref="K5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39" t="str" cm="1">
        <f t="array" ref="L5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39" t="str">
        <f>_xlfn.TEXTJOIN("#",TRUE,PartList[[#This Row],[ASSLY MARK]],PartList[[#This Row],[BOX NO]],PartList[[#This Row],[In/Out]],PartList[[#This Row],[O1-Grid]])</f>
        <v>VB16#Box1_Box2#InBB</v>
      </c>
      <c r="N539" t="str">
        <f>_xlfn.TEXTJOIN("#",TRUE,PartList[[#This Row],[ASSLY MARK]],PartList[[#This Row],[BOX NO]],PartList[[#This Row],[In/Out]],PartList[[#This Row],[O2-Grid]])</f>
        <v>VB16#Box1_Box2#InBB</v>
      </c>
      <c r="O539">
        <f>IF(PartList[[#This Row],[Unique]]="Yes",_xlfn.XLOOKUP(PartList[[#This Row],[ASSLY MARK]],FilteredPL!A:A,FilteredPL!B:B,0,0),0)</f>
        <v>0</v>
      </c>
      <c r="P539">
        <f>_xlfn.XLOOKUP(PartList[[#This Row],[ASSLY MARK]],MasterPL[SplitMarkNo],MasterPL[BILL WT.(KG)],0,0)</f>
        <v>0</v>
      </c>
      <c r="Q539" cm="1">
        <f t="array" ref="Q53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39" t="str">
        <v>4BE11</v>
      </c>
      <c r="AB539" s="42">
        <f>SUMIF(PartList[ASSLY MARK],AA539,PartList[Avail. Qty])</f>
        <v>0</v>
      </c>
    </row>
    <row r="540" spans="1:28" x14ac:dyDescent="0.25">
      <c r="A540">
        <v>1237</v>
      </c>
      <c r="B540" t="s">
        <v>456</v>
      </c>
      <c r="C540" t="s">
        <v>533</v>
      </c>
      <c r="D540" t="s">
        <v>1124</v>
      </c>
      <c r="E540" t="s">
        <v>1122</v>
      </c>
      <c r="F540" t="str" cm="1">
        <f t="array" ref="F540">IF(SUM(IF(PartList[ASSLY MARK]=PartList[[#This Row],[ASSLY MARK]],1,0))&gt;1,"No","Yes")</f>
        <v>Yes</v>
      </c>
      <c r="G540" t="str" cm="1">
        <f t="array" ref="G540">_xlfn.TEXTJOIN("_",TRUE,TRIM(_xlfn.TEXTSPLIT(PartList[[#This Row],[GRID LOCATION]],{"PR01","/","-"})))</f>
        <v>11_12_A</v>
      </c>
      <c r="H540" t="str" cm="1">
        <f t="array" ref="H54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40" cm="1">
        <f t="array" ref="I54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40" t="str">
        <f>IF(IFERROR(SEARCH("&gt;",PartList[[#This Row],[ID]]),0),"O",IF(IFERROR(SEARCH("&lt;",PartList[[#This Row],[ID]]),0),"I",""))</f>
        <v/>
      </c>
      <c r="K540" t="str" cm="1">
        <f t="array" ref="K5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40" t="str" cm="1">
        <f t="array" ref="L5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40" t="str">
        <f>_xlfn.TEXTJOIN("#",TRUE,PartList[[#This Row],[ASSLY MARK]],PartList[[#This Row],[BOX NO]],PartList[[#This Row],[In/Out]],PartList[[#This Row],[O1-Grid]])</f>
        <v>VB17#Box1_Box2#InBB</v>
      </c>
      <c r="N540" t="str">
        <f>_xlfn.TEXTJOIN("#",TRUE,PartList[[#This Row],[ASSLY MARK]],PartList[[#This Row],[BOX NO]],PartList[[#This Row],[In/Out]],PartList[[#This Row],[O2-Grid]])</f>
        <v>VB17#Box1_Box2#InBB</v>
      </c>
      <c r="O540">
        <f>IF(PartList[[#This Row],[Unique]]="Yes",_xlfn.XLOOKUP(PartList[[#This Row],[ASSLY MARK]],FilteredPL!A:A,FilteredPL!B:B,0,0),0)</f>
        <v>0</v>
      </c>
      <c r="P540">
        <f>_xlfn.XLOOKUP(PartList[[#This Row],[ASSLY MARK]],MasterPL[SplitMarkNo],MasterPL[BILL WT.(KG)],0,0)</f>
        <v>0</v>
      </c>
      <c r="Q540" cm="1">
        <f t="array" ref="Q54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40" t="str">
        <v>4BE12</v>
      </c>
      <c r="AB540" s="42">
        <f>SUMIF(PartList[ASSLY MARK],AA540,PartList[Avail. Qty])</f>
        <v>0</v>
      </c>
    </row>
    <row r="541" spans="1:28" x14ac:dyDescent="0.25">
      <c r="A541">
        <v>1238</v>
      </c>
      <c r="B541" t="s">
        <v>457</v>
      </c>
      <c r="C541" t="s">
        <v>533</v>
      </c>
      <c r="D541" t="s">
        <v>1135</v>
      </c>
      <c r="E541" t="s">
        <v>1122</v>
      </c>
      <c r="F541" t="str" cm="1">
        <f t="array" ref="F541">IF(SUM(IF(PartList[ASSLY MARK]=PartList[[#This Row],[ASSLY MARK]],1,0))&gt;1,"No","Yes")</f>
        <v>No</v>
      </c>
      <c r="G541" t="str" cm="1">
        <f t="array" ref="G541">_xlfn.TEXTJOIN("_",TRUE,TRIM(_xlfn.TEXTSPLIT(PartList[[#This Row],[GRID LOCATION]],{"PR01","/","-"})))</f>
        <v>11_12_A</v>
      </c>
      <c r="H541" t="str" cm="1">
        <f t="array" ref="H54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41" cm="1">
        <f t="array" ref="I54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41" t="str">
        <f>IF(IFERROR(SEARCH("&gt;",PartList[[#This Row],[ID]]),0),"O",IF(IFERROR(SEARCH("&lt;",PartList[[#This Row],[ID]]),0),"I",""))</f>
        <v/>
      </c>
      <c r="K541" t="str" cm="1">
        <f t="array" ref="K5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41" t="str" cm="1">
        <f t="array" ref="L5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41" t="str">
        <f>_xlfn.TEXTJOIN("#",TRUE,PartList[[#This Row],[ASSLY MARK]],PartList[[#This Row],[BOX NO]],PartList[[#This Row],[In/Out]],PartList[[#This Row],[O1-Grid]])</f>
        <v>VB18#Box1_Box2#InBB</v>
      </c>
      <c r="N541" t="str">
        <f>_xlfn.TEXTJOIN("#",TRUE,PartList[[#This Row],[ASSLY MARK]],PartList[[#This Row],[BOX NO]],PartList[[#This Row],[In/Out]],PartList[[#This Row],[O2-Grid]])</f>
        <v>VB18#Box1_Box2#InBB</v>
      </c>
      <c r="O541">
        <f>IF(PartList[[#This Row],[Unique]]="Yes",_xlfn.XLOOKUP(PartList[[#This Row],[ASSLY MARK]],FilteredPL!A:A,FilteredPL!B:B,0,0),0)</f>
        <v>0</v>
      </c>
      <c r="P541">
        <f>_xlfn.XLOOKUP(PartList[[#This Row],[ASSLY MARK]],MasterPL[SplitMarkNo],MasterPL[BILL WT.(KG)],0,0)</f>
        <v>0</v>
      </c>
      <c r="Q541" cm="1">
        <f t="array" ref="Q54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41" t="str">
        <v>4BE14</v>
      </c>
      <c r="AB541" s="42">
        <f>SUMIF(PartList[ASSLY MARK],AA541,PartList[Avail. Qty])</f>
        <v>0</v>
      </c>
    </row>
    <row r="542" spans="1:28" x14ac:dyDescent="0.25">
      <c r="A542">
        <v>1239</v>
      </c>
      <c r="B542" t="s">
        <v>457</v>
      </c>
      <c r="C542" t="s">
        <v>534</v>
      </c>
      <c r="D542" t="s">
        <v>1135</v>
      </c>
      <c r="E542" t="s">
        <v>1122</v>
      </c>
      <c r="F542" t="str" cm="1">
        <f t="array" ref="F542">IF(SUM(IF(PartList[ASSLY MARK]=PartList[[#This Row],[ASSLY MARK]],1,0))&gt;1,"No","Yes")</f>
        <v>No</v>
      </c>
      <c r="G542" t="str" cm="1">
        <f t="array" ref="G542">_xlfn.TEXTJOIN("_",TRUE,TRIM(_xlfn.TEXTSPLIT(PartList[[#This Row],[GRID LOCATION]],{"PR01","/","-"})))</f>
        <v>11_12_B</v>
      </c>
      <c r="H542" t="str" cm="1">
        <f t="array" ref="H54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42" cm="1">
        <f t="array" ref="I54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42" t="str">
        <f>IF(IFERROR(SEARCH("&gt;",PartList[[#This Row],[ID]]),0),"O",IF(IFERROR(SEARCH("&lt;",PartList[[#This Row],[ID]]),0),"I",""))</f>
        <v/>
      </c>
      <c r="K542" t="str" cm="1">
        <f t="array" ref="K5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42" t="str" cm="1">
        <f t="array" ref="L5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42" t="str">
        <f>_xlfn.TEXTJOIN("#",TRUE,PartList[[#This Row],[ASSLY MARK]],PartList[[#This Row],[BOX NO]],PartList[[#This Row],[In/Out]],PartList[[#This Row],[O1-Grid]])</f>
        <v>VB18#Box1_Box2#InBB</v>
      </c>
      <c r="N542" t="str">
        <f>_xlfn.TEXTJOIN("#",TRUE,PartList[[#This Row],[ASSLY MARK]],PartList[[#This Row],[BOX NO]],PartList[[#This Row],[In/Out]],PartList[[#This Row],[O2-Grid]])</f>
        <v>VB18#Box1_Box2#InBB</v>
      </c>
      <c r="O542">
        <f>IF(PartList[[#This Row],[Unique]]="Yes",_xlfn.XLOOKUP(PartList[[#This Row],[ASSLY MARK]],FilteredPL!A:A,FilteredPL!B:B,0,0),0)</f>
        <v>0</v>
      </c>
      <c r="P542">
        <f>_xlfn.XLOOKUP(PartList[[#This Row],[ASSLY MARK]],MasterPL[SplitMarkNo],MasterPL[BILL WT.(KG)],0,0)</f>
        <v>0</v>
      </c>
      <c r="Q542" cm="1">
        <f t="array" ref="Q54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42" t="str">
        <v>4BE15</v>
      </c>
      <c r="AB542" s="42">
        <f>SUMIF(PartList[ASSLY MARK],AA542,PartList[Avail. Qty])</f>
        <v>0</v>
      </c>
    </row>
    <row r="543" spans="1:28" x14ac:dyDescent="0.25">
      <c r="A543">
        <v>1240</v>
      </c>
      <c r="B543" t="s">
        <v>458</v>
      </c>
      <c r="C543" t="s">
        <v>515</v>
      </c>
      <c r="D543" t="s">
        <v>1136</v>
      </c>
      <c r="E543" t="s">
        <v>1122</v>
      </c>
      <c r="F543" t="str" cm="1">
        <f t="array" ref="F543">IF(SUM(IF(PartList[ASSLY MARK]=PartList[[#This Row],[ASSLY MARK]],1,0))&gt;1,"No","Yes")</f>
        <v>Yes</v>
      </c>
      <c r="G543" t="str" cm="1">
        <f t="array" ref="G543">_xlfn.TEXTJOIN("_",TRUE,TRIM(_xlfn.TEXTSPLIT(PartList[[#This Row],[GRID LOCATION]],{"PR01","/","-"})))</f>
        <v>10_11_A_B</v>
      </c>
      <c r="H543" t="str" cm="1">
        <f t="array" ref="H54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43" cm="1">
        <f t="array" ref="I54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43" t="str">
        <f>IF(IFERROR(SEARCH("&gt;",PartList[[#This Row],[ID]]),0),"O",IF(IFERROR(SEARCH("&lt;",PartList[[#This Row],[ID]]),0),"I",""))</f>
        <v/>
      </c>
      <c r="K543" t="str" cm="1">
        <f t="array" ref="K5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543" t="str" cm="1">
        <f t="array" ref="L5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543" t="str">
        <f>_xlfn.TEXTJOIN("#",TRUE,PartList[[#This Row],[ASSLY MARK]],PartList[[#This Row],[BOX NO]],PartList[[#This Row],[In/Out]],PartList[[#This Row],[O1-Grid]])</f>
        <v>VB19#Box1#InB</v>
      </c>
      <c r="N543" t="str">
        <f>_xlfn.TEXTJOIN("#",TRUE,PartList[[#This Row],[ASSLY MARK]],PartList[[#This Row],[BOX NO]],PartList[[#This Row],[In/Out]],PartList[[#This Row],[O2-Grid]])</f>
        <v>VB19#Box1#InB</v>
      </c>
      <c r="O543">
        <f>IF(PartList[[#This Row],[Unique]]="Yes",_xlfn.XLOOKUP(PartList[[#This Row],[ASSLY MARK]],FilteredPL!A:A,FilteredPL!B:B,0,0),0)</f>
        <v>0</v>
      </c>
      <c r="P543">
        <f>_xlfn.XLOOKUP(PartList[[#This Row],[ASSLY MARK]],MasterPL[SplitMarkNo],MasterPL[BILL WT.(KG)],0,0)</f>
        <v>0</v>
      </c>
      <c r="Q543" cm="1">
        <f t="array" ref="Q54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43" t="str">
        <v>4BE16</v>
      </c>
      <c r="AB543" s="42">
        <f>SUMIF(PartList[ASSLY MARK],AA543,PartList[Avail. Qty])</f>
        <v>0</v>
      </c>
    </row>
    <row r="544" spans="1:28" x14ac:dyDescent="0.25">
      <c r="A544">
        <v>1241</v>
      </c>
      <c r="B544" t="s">
        <v>460</v>
      </c>
      <c r="C544" t="s">
        <v>534</v>
      </c>
      <c r="D544" t="s">
        <v>1124</v>
      </c>
      <c r="E544" t="s">
        <v>1122</v>
      </c>
      <c r="F544" t="str" cm="1">
        <f t="array" ref="F544">IF(SUM(IF(PartList[ASSLY MARK]=PartList[[#This Row],[ASSLY MARK]],1,0))&gt;1,"No","Yes")</f>
        <v>Yes</v>
      </c>
      <c r="G544" t="str" cm="1">
        <f t="array" ref="G544">_xlfn.TEXTJOIN("_",TRUE,TRIM(_xlfn.TEXTSPLIT(PartList[[#This Row],[GRID LOCATION]],{"PR01","/","-"})))</f>
        <v>11_12_B</v>
      </c>
      <c r="H544" t="str" cm="1">
        <f t="array" ref="H54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44" cm="1">
        <f t="array" ref="I54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44" t="str">
        <f>IF(IFERROR(SEARCH("&gt;",PartList[[#This Row],[ID]]),0),"O",IF(IFERROR(SEARCH("&lt;",PartList[[#This Row],[ID]]),0),"I",""))</f>
        <v/>
      </c>
      <c r="K544" t="str" cm="1">
        <f t="array" ref="K5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44" t="str" cm="1">
        <f t="array" ref="L5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44" t="str">
        <f>_xlfn.TEXTJOIN("#",TRUE,PartList[[#This Row],[ASSLY MARK]],PartList[[#This Row],[BOX NO]],PartList[[#This Row],[In/Out]],PartList[[#This Row],[O1-Grid]])</f>
        <v>VB20#Box1_Box2#InBB</v>
      </c>
      <c r="N544" t="str">
        <f>_xlfn.TEXTJOIN("#",TRUE,PartList[[#This Row],[ASSLY MARK]],PartList[[#This Row],[BOX NO]],PartList[[#This Row],[In/Out]],PartList[[#This Row],[O2-Grid]])</f>
        <v>VB20#Box1_Box2#InBB</v>
      </c>
      <c r="O544">
        <f>IF(PartList[[#This Row],[Unique]]="Yes",_xlfn.XLOOKUP(PartList[[#This Row],[ASSLY MARK]],FilteredPL!A:A,FilteredPL!B:B,0,0),0)</f>
        <v>0</v>
      </c>
      <c r="P544">
        <f>_xlfn.XLOOKUP(PartList[[#This Row],[ASSLY MARK]],MasterPL[SplitMarkNo],MasterPL[BILL WT.(KG)],0,0)</f>
        <v>0</v>
      </c>
      <c r="Q544" cm="1">
        <f t="array" ref="Q54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44" t="str">
        <v>4BE17</v>
      </c>
      <c r="AB544" s="42">
        <f>SUMIF(PartList[ASSLY MARK],AA544,PartList[Avail. Qty])</f>
        <v>0</v>
      </c>
    </row>
    <row r="545" spans="1:28" x14ac:dyDescent="0.25">
      <c r="A545">
        <v>1242</v>
      </c>
      <c r="B545" t="s">
        <v>461</v>
      </c>
      <c r="C545" t="s">
        <v>533</v>
      </c>
      <c r="D545" t="s">
        <v>1137</v>
      </c>
      <c r="E545" t="s">
        <v>1122</v>
      </c>
      <c r="F545" t="str" cm="1">
        <f t="array" ref="F545">IF(SUM(IF(PartList[ASSLY MARK]=PartList[[#This Row],[ASSLY MARK]],1,0))&gt;1,"No","Yes")</f>
        <v>No</v>
      </c>
      <c r="G545" t="str" cm="1">
        <f t="array" ref="G545">_xlfn.TEXTJOIN("_",TRUE,TRIM(_xlfn.TEXTSPLIT(PartList[[#This Row],[GRID LOCATION]],{"PR01","/","-"})))</f>
        <v>11_12_A</v>
      </c>
      <c r="H545" t="str" cm="1">
        <f t="array" ref="H54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45" cm="1">
        <f t="array" ref="I54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45" t="str">
        <f>IF(IFERROR(SEARCH("&gt;",PartList[[#This Row],[ID]]),0),"O",IF(IFERROR(SEARCH("&lt;",PartList[[#This Row],[ID]]),0),"I",""))</f>
        <v/>
      </c>
      <c r="K545" t="str" cm="1">
        <f t="array" ref="K5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45" t="str" cm="1">
        <f t="array" ref="L5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45" t="str">
        <f>_xlfn.TEXTJOIN("#",TRUE,PartList[[#This Row],[ASSLY MARK]],PartList[[#This Row],[BOX NO]],PartList[[#This Row],[In/Out]],PartList[[#This Row],[O1-Grid]])</f>
        <v>VB21#Box1_Box2#InBB</v>
      </c>
      <c r="N545" t="str">
        <f>_xlfn.TEXTJOIN("#",TRUE,PartList[[#This Row],[ASSLY MARK]],PartList[[#This Row],[BOX NO]],PartList[[#This Row],[In/Out]],PartList[[#This Row],[O2-Grid]])</f>
        <v>VB21#Box1_Box2#InBB</v>
      </c>
      <c r="O545">
        <f>IF(PartList[[#This Row],[Unique]]="Yes",_xlfn.XLOOKUP(PartList[[#This Row],[ASSLY MARK]],FilteredPL!A:A,FilteredPL!B:B,0,0),0)</f>
        <v>0</v>
      </c>
      <c r="P545">
        <f>_xlfn.XLOOKUP(PartList[[#This Row],[ASSLY MARK]],MasterPL[SplitMarkNo],MasterPL[BILL WT.(KG)],0,0)</f>
        <v>0</v>
      </c>
      <c r="Q545" cm="1">
        <f t="array" ref="Q54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45" t="str">
        <v>4BE20</v>
      </c>
      <c r="AB545" s="42">
        <f>SUMIF(PartList[ASSLY MARK],AA545,PartList[Avail. Qty])</f>
        <v>0</v>
      </c>
    </row>
    <row r="546" spans="1:28" x14ac:dyDescent="0.25">
      <c r="A546">
        <v>1243</v>
      </c>
      <c r="B546" t="s">
        <v>461</v>
      </c>
      <c r="C546" t="s">
        <v>533</v>
      </c>
      <c r="D546" t="s">
        <v>1137</v>
      </c>
      <c r="E546" t="s">
        <v>1122</v>
      </c>
      <c r="F546" t="str" cm="1">
        <f t="array" ref="F546">IF(SUM(IF(PartList[ASSLY MARK]=PartList[[#This Row],[ASSLY MARK]],1,0))&gt;1,"No","Yes")</f>
        <v>No</v>
      </c>
      <c r="G546" t="str" cm="1">
        <f t="array" ref="G546">_xlfn.TEXTJOIN("_",TRUE,TRIM(_xlfn.TEXTSPLIT(PartList[[#This Row],[GRID LOCATION]],{"PR01","/","-"})))</f>
        <v>11_12_A</v>
      </c>
      <c r="H546" t="str" cm="1">
        <f t="array" ref="H54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46" cm="1">
        <f t="array" ref="I54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46" t="str">
        <f>IF(IFERROR(SEARCH("&gt;",PartList[[#This Row],[ID]]),0),"O",IF(IFERROR(SEARCH("&lt;",PartList[[#This Row],[ID]]),0),"I",""))</f>
        <v/>
      </c>
      <c r="K546" t="str" cm="1">
        <f t="array" ref="K5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46" t="str" cm="1">
        <f t="array" ref="L5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46" t="str">
        <f>_xlfn.TEXTJOIN("#",TRUE,PartList[[#This Row],[ASSLY MARK]],PartList[[#This Row],[BOX NO]],PartList[[#This Row],[In/Out]],PartList[[#This Row],[O1-Grid]])</f>
        <v>VB21#Box1_Box2#InBB</v>
      </c>
      <c r="N546" t="str">
        <f>_xlfn.TEXTJOIN("#",TRUE,PartList[[#This Row],[ASSLY MARK]],PartList[[#This Row],[BOX NO]],PartList[[#This Row],[In/Out]],PartList[[#This Row],[O2-Grid]])</f>
        <v>VB21#Box1_Box2#InBB</v>
      </c>
      <c r="O546">
        <f>IF(PartList[[#This Row],[Unique]]="Yes",_xlfn.XLOOKUP(PartList[[#This Row],[ASSLY MARK]],FilteredPL!A:A,FilteredPL!B:B,0,0),0)</f>
        <v>0</v>
      </c>
      <c r="P546">
        <f>_xlfn.XLOOKUP(PartList[[#This Row],[ASSLY MARK]],MasterPL[SplitMarkNo],MasterPL[BILL WT.(KG)],0,0)</f>
        <v>0</v>
      </c>
      <c r="Q546" cm="1">
        <f t="array" ref="Q54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46" t="str">
        <v>4BE21</v>
      </c>
      <c r="AB546" s="42">
        <f>SUMIF(PartList[ASSLY MARK],AA546,PartList[Avail. Qty])</f>
        <v>0</v>
      </c>
    </row>
    <row r="547" spans="1:28" x14ac:dyDescent="0.25">
      <c r="A547">
        <v>1256</v>
      </c>
      <c r="B547" t="s">
        <v>464</v>
      </c>
      <c r="C547" t="s">
        <v>534</v>
      </c>
      <c r="D547" t="s">
        <v>1139</v>
      </c>
      <c r="E547" t="s">
        <v>1122</v>
      </c>
      <c r="F547" t="str" cm="1">
        <f t="array" ref="F547">IF(SUM(IF(PartList[ASSLY MARK]=PartList[[#This Row],[ASSLY MARK]],1,0))&gt;1,"No","Yes")</f>
        <v>Yes</v>
      </c>
      <c r="G547" t="str" cm="1">
        <f t="array" ref="G547">_xlfn.TEXTJOIN("_",TRUE,TRIM(_xlfn.TEXTSPLIT(PartList[[#This Row],[GRID LOCATION]],{"PR01","/","-"})))</f>
        <v>11_12_B</v>
      </c>
      <c r="H547" t="str" cm="1">
        <f t="array" ref="H54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47" cm="1">
        <f t="array" ref="I54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47" t="str">
        <f>IF(IFERROR(SEARCH("&gt;",PartList[[#This Row],[ID]]),0),"O",IF(IFERROR(SEARCH("&lt;",PartList[[#This Row],[ID]]),0),"I",""))</f>
        <v/>
      </c>
      <c r="K547" t="str" cm="1">
        <f t="array" ref="K5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47" t="str" cm="1">
        <f t="array" ref="L5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47" t="str">
        <f>_xlfn.TEXTJOIN("#",TRUE,PartList[[#This Row],[ASSLY MARK]],PartList[[#This Row],[BOX NO]],PartList[[#This Row],[In/Out]],PartList[[#This Row],[O1-Grid]])</f>
        <v>VB23#Box1_Box2#InBB</v>
      </c>
      <c r="N547" t="str">
        <f>_xlfn.TEXTJOIN("#",TRUE,PartList[[#This Row],[ASSLY MARK]],PartList[[#This Row],[BOX NO]],PartList[[#This Row],[In/Out]],PartList[[#This Row],[O2-Grid]])</f>
        <v>VB23#Box1_Box2#InBB</v>
      </c>
      <c r="O547">
        <f>IF(PartList[[#This Row],[Unique]]="Yes",_xlfn.XLOOKUP(PartList[[#This Row],[ASSLY MARK]],FilteredPL!A:A,FilteredPL!B:B,0,0),0)</f>
        <v>0</v>
      </c>
      <c r="P547">
        <f>_xlfn.XLOOKUP(PartList[[#This Row],[ASSLY MARK]],MasterPL[SplitMarkNo],MasterPL[BILL WT.(KG)],0,0)</f>
        <v>0</v>
      </c>
      <c r="Q547" cm="1">
        <f t="array" ref="Q54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47" t="str">
        <v>4BE22</v>
      </c>
      <c r="AB547" s="42">
        <f>SUMIF(PartList[ASSLY MARK],AA547,PartList[Avail. Qty])</f>
        <v>0</v>
      </c>
    </row>
    <row r="548" spans="1:28" x14ac:dyDescent="0.25">
      <c r="A548">
        <v>1257</v>
      </c>
      <c r="B548" t="s">
        <v>465</v>
      </c>
      <c r="C548" t="s">
        <v>533</v>
      </c>
      <c r="D548" t="s">
        <v>1140</v>
      </c>
      <c r="E548" t="s">
        <v>1122</v>
      </c>
      <c r="F548" t="str" cm="1">
        <f t="array" ref="F548">IF(SUM(IF(PartList[ASSLY MARK]=PartList[[#This Row],[ASSLY MARK]],1,0))&gt;1,"No","Yes")</f>
        <v>Yes</v>
      </c>
      <c r="G548" t="str" cm="1">
        <f t="array" ref="G548">_xlfn.TEXTJOIN("_",TRUE,TRIM(_xlfn.TEXTSPLIT(PartList[[#This Row],[GRID LOCATION]],{"PR01","/","-"})))</f>
        <v>11_12_A</v>
      </c>
      <c r="H548" t="str" cm="1">
        <f t="array" ref="H54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48" cm="1">
        <f t="array" ref="I54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48" t="str">
        <f>IF(IFERROR(SEARCH("&gt;",PartList[[#This Row],[ID]]),0),"O",IF(IFERROR(SEARCH("&lt;",PartList[[#This Row],[ID]]),0),"I",""))</f>
        <v/>
      </c>
      <c r="K548" t="str" cm="1">
        <f t="array" ref="K5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48" t="str" cm="1">
        <f t="array" ref="L5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48" t="str">
        <f>_xlfn.TEXTJOIN("#",TRUE,PartList[[#This Row],[ASSLY MARK]],PartList[[#This Row],[BOX NO]],PartList[[#This Row],[In/Out]],PartList[[#This Row],[O1-Grid]])</f>
        <v>VB24#Box1_Box2#InBB</v>
      </c>
      <c r="N548" t="str">
        <f>_xlfn.TEXTJOIN("#",TRUE,PartList[[#This Row],[ASSLY MARK]],PartList[[#This Row],[BOX NO]],PartList[[#This Row],[In/Out]],PartList[[#This Row],[O2-Grid]])</f>
        <v>VB24#Box1_Box2#InBB</v>
      </c>
      <c r="O548">
        <f>IF(PartList[[#This Row],[Unique]]="Yes",_xlfn.XLOOKUP(PartList[[#This Row],[ASSLY MARK]],FilteredPL!A:A,FilteredPL!B:B,0,0),0)</f>
        <v>0</v>
      </c>
      <c r="P548">
        <f>_xlfn.XLOOKUP(PartList[[#This Row],[ASSLY MARK]],MasterPL[SplitMarkNo],MasterPL[BILL WT.(KG)],0,0)</f>
        <v>0</v>
      </c>
      <c r="Q548" cm="1">
        <f t="array" ref="Q54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48" t="str">
        <v>4BE23</v>
      </c>
      <c r="AB548" s="42">
        <f>SUMIF(PartList[ASSLY MARK],AA548,PartList[Avail. Qty])</f>
        <v>0</v>
      </c>
    </row>
    <row r="549" spans="1:28" x14ac:dyDescent="0.25">
      <c r="A549">
        <v>1258</v>
      </c>
      <c r="B549" t="s">
        <v>467</v>
      </c>
      <c r="C549" t="s">
        <v>534</v>
      </c>
      <c r="D549" t="s">
        <v>466</v>
      </c>
      <c r="E549" t="s">
        <v>1122</v>
      </c>
      <c r="F549" t="str" cm="1">
        <f t="array" ref="F549">IF(SUM(IF(PartList[ASSLY MARK]=PartList[[#This Row],[ASSLY MARK]],1,0))&gt;1,"No","Yes")</f>
        <v>No</v>
      </c>
      <c r="G549" t="str" cm="1">
        <f t="array" ref="G549">_xlfn.TEXTJOIN("_",TRUE,TRIM(_xlfn.TEXTSPLIT(PartList[[#This Row],[GRID LOCATION]],{"PR01","/","-"})))</f>
        <v>11_12_B</v>
      </c>
      <c r="H549" t="str" cm="1">
        <f t="array" ref="H54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49" cm="1">
        <f t="array" ref="I54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49" t="str">
        <f>IF(IFERROR(SEARCH("&gt;",PartList[[#This Row],[ID]]),0),"O",IF(IFERROR(SEARCH("&lt;",PartList[[#This Row],[ID]]),0),"I",""))</f>
        <v/>
      </c>
      <c r="K549" t="str" cm="1">
        <f t="array" ref="K5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49" t="str" cm="1">
        <f t="array" ref="L5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49" t="str">
        <f>_xlfn.TEXTJOIN("#",TRUE,PartList[[#This Row],[ASSLY MARK]],PartList[[#This Row],[BOX NO]],PartList[[#This Row],[In/Out]],PartList[[#This Row],[O1-Grid]])</f>
        <v>VB25#Box1_Box2#InBB</v>
      </c>
      <c r="N549" t="str">
        <f>_xlfn.TEXTJOIN("#",TRUE,PartList[[#This Row],[ASSLY MARK]],PartList[[#This Row],[BOX NO]],PartList[[#This Row],[In/Out]],PartList[[#This Row],[O2-Grid]])</f>
        <v>VB25#Box1_Box2#InBB</v>
      </c>
      <c r="O549">
        <f>IF(PartList[[#This Row],[Unique]]="Yes",_xlfn.XLOOKUP(PartList[[#This Row],[ASSLY MARK]],FilteredPL!A:A,FilteredPL!B:B,0,0),0)</f>
        <v>0</v>
      </c>
      <c r="P549">
        <f>_xlfn.XLOOKUP(PartList[[#This Row],[ASSLY MARK]],MasterPL[SplitMarkNo],MasterPL[BILL WT.(KG)],0,0)</f>
        <v>0</v>
      </c>
      <c r="Q549" cm="1">
        <f t="array" ref="Q54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49" t="str">
        <v>4BE24</v>
      </c>
      <c r="AB549" s="42">
        <f>SUMIF(PartList[ASSLY MARK],AA549,PartList[Avail. Qty])</f>
        <v>0</v>
      </c>
    </row>
    <row r="550" spans="1:28" x14ac:dyDescent="0.25">
      <c r="A550">
        <v>1259</v>
      </c>
      <c r="B550" t="s">
        <v>467</v>
      </c>
      <c r="C550" t="s">
        <v>533</v>
      </c>
      <c r="D550" t="s">
        <v>452</v>
      </c>
      <c r="E550" t="s">
        <v>1122</v>
      </c>
      <c r="F550" t="str" cm="1">
        <f t="array" ref="F550">IF(SUM(IF(PartList[ASSLY MARK]=PartList[[#This Row],[ASSLY MARK]],1,0))&gt;1,"No","Yes")</f>
        <v>No</v>
      </c>
      <c r="G550" t="str" cm="1">
        <f t="array" ref="G550">_xlfn.TEXTJOIN("_",TRUE,TRIM(_xlfn.TEXTSPLIT(PartList[[#This Row],[GRID LOCATION]],{"PR01","/","-"})))</f>
        <v>11_12_A</v>
      </c>
      <c r="H550" t="str" cm="1">
        <f t="array" ref="H55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50" cm="1">
        <f t="array" ref="I55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50" t="str">
        <f>IF(IFERROR(SEARCH("&gt;",PartList[[#This Row],[ID]]),0),"O",IF(IFERROR(SEARCH("&lt;",PartList[[#This Row],[ID]]),0),"I",""))</f>
        <v/>
      </c>
      <c r="K550" t="str" cm="1">
        <f t="array" ref="K5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50" t="str" cm="1">
        <f t="array" ref="L5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50" t="str">
        <f>_xlfn.TEXTJOIN("#",TRUE,PartList[[#This Row],[ASSLY MARK]],PartList[[#This Row],[BOX NO]],PartList[[#This Row],[In/Out]],PartList[[#This Row],[O1-Grid]])</f>
        <v>VB25#Box1_Box2#InBB</v>
      </c>
      <c r="N550" t="str">
        <f>_xlfn.TEXTJOIN("#",TRUE,PartList[[#This Row],[ASSLY MARK]],PartList[[#This Row],[BOX NO]],PartList[[#This Row],[In/Out]],PartList[[#This Row],[O2-Grid]])</f>
        <v>VB25#Box1_Box2#InBB</v>
      </c>
      <c r="O550">
        <f>IF(PartList[[#This Row],[Unique]]="Yes",_xlfn.XLOOKUP(PartList[[#This Row],[ASSLY MARK]],FilteredPL!A:A,FilteredPL!B:B,0,0),0)</f>
        <v>0</v>
      </c>
      <c r="P550">
        <f>_xlfn.XLOOKUP(PartList[[#This Row],[ASSLY MARK]],MasterPL[SplitMarkNo],MasterPL[BILL WT.(KG)],0,0)</f>
        <v>0</v>
      </c>
      <c r="Q550" cm="1">
        <f t="array" ref="Q55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50" t="str">
        <v>4BE25</v>
      </c>
      <c r="AB550" s="42">
        <f>SUMIF(PartList[ASSLY MARK],AA550,PartList[Avail. Qty])</f>
        <v>0</v>
      </c>
    </row>
    <row r="551" spans="1:28" x14ac:dyDescent="0.25">
      <c r="A551">
        <v>1260</v>
      </c>
      <c r="B551" t="s">
        <v>468</v>
      </c>
      <c r="C551" t="s">
        <v>511</v>
      </c>
      <c r="D551" t="s">
        <v>463</v>
      </c>
      <c r="E551" t="s">
        <v>1122</v>
      </c>
      <c r="F551" t="str" cm="1">
        <f t="array" ref="F551">IF(SUM(IF(PartList[ASSLY MARK]=PartList[[#This Row],[ASSLY MARK]],1,0))&gt;1,"No","Yes")</f>
        <v>Yes</v>
      </c>
      <c r="G551" t="str" cm="1">
        <f t="array" ref="G551">_xlfn.TEXTJOIN("_",TRUE,TRIM(_xlfn.TEXTSPLIT(PartList[[#This Row],[GRID LOCATION]],{"PR01","/","-"})))</f>
        <v>11_12_A'_A</v>
      </c>
      <c r="H551" t="str" cm="1">
        <f t="array" ref="H55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551" cm="1">
        <f t="array" ref="I55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51" t="str">
        <f>IF(IFERROR(SEARCH("&gt;",PartList[[#This Row],[ID]]),0),"O",IF(IFERROR(SEARCH("&lt;",PartList[[#This Row],[ID]]),0),"I",""))</f>
        <v/>
      </c>
      <c r="K551" t="str" cm="1">
        <f t="array" ref="K5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51" t="str" cm="1">
        <f t="array" ref="L5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51" t="str">
        <f>_xlfn.TEXTJOIN("#",TRUE,PartList[[#This Row],[ASSLY MARK]],PartList[[#This Row],[BOX NO]],PartList[[#This Row],[In/Out]],PartList[[#This Row],[O1-Grid]])</f>
        <v>VB26#Box1_Box2_Box4_Box5#InBB</v>
      </c>
      <c r="N551" t="str">
        <f>_xlfn.TEXTJOIN("#",TRUE,PartList[[#This Row],[ASSLY MARK]],PartList[[#This Row],[BOX NO]],PartList[[#This Row],[In/Out]],PartList[[#This Row],[O2-Grid]])</f>
        <v>VB26#Box1_Box2_Box4_Box5#InBB</v>
      </c>
      <c r="O551">
        <f>IF(PartList[[#This Row],[Unique]]="Yes",_xlfn.XLOOKUP(PartList[[#This Row],[ASSLY MARK]],FilteredPL!A:A,FilteredPL!B:B,0,0),0)</f>
        <v>0</v>
      </c>
      <c r="P551">
        <f>_xlfn.XLOOKUP(PartList[[#This Row],[ASSLY MARK]],MasterPL[SplitMarkNo],MasterPL[BILL WT.(KG)],0,0)</f>
        <v>0</v>
      </c>
      <c r="Q551" cm="1">
        <f t="array" ref="Q55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51" t="str">
        <v>4BE26</v>
      </c>
      <c r="AB551" s="42">
        <f>SUMIF(PartList[ASSLY MARK],AA551,PartList[Avail. Qty])</f>
        <v>0</v>
      </c>
    </row>
    <row r="552" spans="1:28" x14ac:dyDescent="0.25">
      <c r="A552">
        <v>1261</v>
      </c>
      <c r="B552" t="s">
        <v>469</v>
      </c>
      <c r="C552" t="s">
        <v>534</v>
      </c>
      <c r="D552" t="s">
        <v>1141</v>
      </c>
      <c r="E552" t="s">
        <v>1122</v>
      </c>
      <c r="F552" t="str" cm="1">
        <f t="array" ref="F552">IF(SUM(IF(PartList[ASSLY MARK]=PartList[[#This Row],[ASSLY MARK]],1,0))&gt;1,"No","Yes")</f>
        <v>Yes</v>
      </c>
      <c r="G552" t="str" cm="1">
        <f t="array" ref="G552">_xlfn.TEXTJOIN("_",TRUE,TRIM(_xlfn.TEXTSPLIT(PartList[[#This Row],[GRID LOCATION]],{"PR01","/","-"})))</f>
        <v>11_12_B</v>
      </c>
      <c r="H552" t="str" cm="1">
        <f t="array" ref="H55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52" cm="1">
        <f t="array" ref="I55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52" t="str">
        <f>IF(IFERROR(SEARCH("&gt;",PartList[[#This Row],[ID]]),0),"O",IF(IFERROR(SEARCH("&lt;",PartList[[#This Row],[ID]]),0),"I",""))</f>
        <v/>
      </c>
      <c r="K552" t="str" cm="1">
        <f t="array" ref="K5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52" t="str" cm="1">
        <f t="array" ref="L5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52" t="str">
        <f>_xlfn.TEXTJOIN("#",TRUE,PartList[[#This Row],[ASSLY MARK]],PartList[[#This Row],[BOX NO]],PartList[[#This Row],[In/Out]],PartList[[#This Row],[O1-Grid]])</f>
        <v>VB27#Box1_Box2#InBB</v>
      </c>
      <c r="N552" t="str">
        <f>_xlfn.TEXTJOIN("#",TRUE,PartList[[#This Row],[ASSLY MARK]],PartList[[#This Row],[BOX NO]],PartList[[#This Row],[In/Out]],PartList[[#This Row],[O2-Grid]])</f>
        <v>VB27#Box1_Box2#InBB</v>
      </c>
      <c r="O552">
        <f>IF(PartList[[#This Row],[Unique]]="Yes",_xlfn.XLOOKUP(PartList[[#This Row],[ASSLY MARK]],FilteredPL!A:A,FilteredPL!B:B,0,0),0)</f>
        <v>0</v>
      </c>
      <c r="P552">
        <f>_xlfn.XLOOKUP(PartList[[#This Row],[ASSLY MARK]],MasterPL[SplitMarkNo],MasterPL[BILL WT.(KG)],0,0)</f>
        <v>0</v>
      </c>
      <c r="Q552" cm="1">
        <f t="array" ref="Q55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52" t="str">
        <v>4BE27</v>
      </c>
      <c r="AB552" s="42">
        <f>SUMIF(PartList[ASSLY MARK],AA552,PartList[Avail. Qty])</f>
        <v>0</v>
      </c>
    </row>
    <row r="553" spans="1:28" x14ac:dyDescent="0.25">
      <c r="A553">
        <v>1262</v>
      </c>
      <c r="B553" t="s">
        <v>470</v>
      </c>
      <c r="C553" t="s">
        <v>533</v>
      </c>
      <c r="D553" t="s">
        <v>1142</v>
      </c>
      <c r="E553" t="s">
        <v>1122</v>
      </c>
      <c r="F553" t="str" cm="1">
        <f t="array" ref="F553">IF(SUM(IF(PartList[ASSLY MARK]=PartList[[#This Row],[ASSLY MARK]],1,0))&gt;1,"No","Yes")</f>
        <v>Yes</v>
      </c>
      <c r="G553" t="str" cm="1">
        <f t="array" ref="G553">_xlfn.TEXTJOIN("_",TRUE,TRIM(_xlfn.TEXTSPLIT(PartList[[#This Row],[GRID LOCATION]],{"PR01","/","-"})))</f>
        <v>11_12_A</v>
      </c>
      <c r="H553" t="str" cm="1">
        <f t="array" ref="H55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53" cm="1">
        <f t="array" ref="I55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53" t="str">
        <f>IF(IFERROR(SEARCH("&gt;",PartList[[#This Row],[ID]]),0),"O",IF(IFERROR(SEARCH("&lt;",PartList[[#This Row],[ID]]),0),"I",""))</f>
        <v/>
      </c>
      <c r="K553" t="str" cm="1">
        <f t="array" ref="K5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53" t="str" cm="1">
        <f t="array" ref="L5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53" t="str">
        <f>_xlfn.TEXTJOIN("#",TRUE,PartList[[#This Row],[ASSLY MARK]],PartList[[#This Row],[BOX NO]],PartList[[#This Row],[In/Out]],PartList[[#This Row],[O1-Grid]])</f>
        <v>VB28#Box1_Box2#InBB</v>
      </c>
      <c r="N553" t="str">
        <f>_xlfn.TEXTJOIN("#",TRUE,PartList[[#This Row],[ASSLY MARK]],PartList[[#This Row],[BOX NO]],PartList[[#This Row],[In/Out]],PartList[[#This Row],[O2-Grid]])</f>
        <v>VB28#Box1_Box2#InBB</v>
      </c>
      <c r="O553">
        <f>IF(PartList[[#This Row],[Unique]]="Yes",_xlfn.XLOOKUP(PartList[[#This Row],[ASSLY MARK]],FilteredPL!A:A,FilteredPL!B:B,0,0),0)</f>
        <v>0</v>
      </c>
      <c r="P553">
        <f>_xlfn.XLOOKUP(PartList[[#This Row],[ASSLY MARK]],MasterPL[SplitMarkNo],MasterPL[BILL WT.(KG)],0,0)</f>
        <v>0</v>
      </c>
      <c r="Q553" cm="1">
        <f t="array" ref="Q55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53" t="str">
        <v>4BE29</v>
      </c>
      <c r="AB553" s="42">
        <f>SUMIF(PartList[ASSLY MARK],AA553,PartList[Avail. Qty])</f>
        <v>0</v>
      </c>
    </row>
    <row r="554" spans="1:28" x14ac:dyDescent="0.25">
      <c r="A554">
        <v>1263</v>
      </c>
      <c r="B554" t="s">
        <v>471</v>
      </c>
      <c r="C554" t="s">
        <v>534</v>
      </c>
      <c r="D554" t="s">
        <v>1143</v>
      </c>
      <c r="E554" t="s">
        <v>1122</v>
      </c>
      <c r="F554" t="str" cm="1">
        <f t="array" ref="F554">IF(SUM(IF(PartList[ASSLY MARK]=PartList[[#This Row],[ASSLY MARK]],1,0))&gt;1,"No","Yes")</f>
        <v>No</v>
      </c>
      <c r="G554" t="str" cm="1">
        <f t="array" ref="G554">_xlfn.TEXTJOIN("_",TRUE,TRIM(_xlfn.TEXTSPLIT(PartList[[#This Row],[GRID LOCATION]],{"PR01","/","-"})))</f>
        <v>11_12_B</v>
      </c>
      <c r="H554" t="str" cm="1">
        <f t="array" ref="H55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54" cm="1">
        <f t="array" ref="I55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54" t="str">
        <f>IF(IFERROR(SEARCH("&gt;",PartList[[#This Row],[ID]]),0),"O",IF(IFERROR(SEARCH("&lt;",PartList[[#This Row],[ID]]),0),"I",""))</f>
        <v/>
      </c>
      <c r="K554" t="str" cm="1">
        <f t="array" ref="K5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54" t="str" cm="1">
        <f t="array" ref="L5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54" t="str">
        <f>_xlfn.TEXTJOIN("#",TRUE,PartList[[#This Row],[ASSLY MARK]],PartList[[#This Row],[BOX NO]],PartList[[#This Row],[In/Out]],PartList[[#This Row],[O1-Grid]])</f>
        <v>VB29#Box1_Box2#InBB</v>
      </c>
      <c r="N554" t="str">
        <f>_xlfn.TEXTJOIN("#",TRUE,PartList[[#This Row],[ASSLY MARK]],PartList[[#This Row],[BOX NO]],PartList[[#This Row],[In/Out]],PartList[[#This Row],[O2-Grid]])</f>
        <v>VB29#Box1_Box2#InBB</v>
      </c>
      <c r="O554">
        <f>IF(PartList[[#This Row],[Unique]]="Yes",_xlfn.XLOOKUP(PartList[[#This Row],[ASSLY MARK]],FilteredPL!A:A,FilteredPL!B:B,0,0),0)</f>
        <v>0</v>
      </c>
      <c r="P554">
        <f>_xlfn.XLOOKUP(PartList[[#This Row],[ASSLY MARK]],MasterPL[SplitMarkNo],MasterPL[BILL WT.(KG)],0,0)</f>
        <v>0</v>
      </c>
      <c r="Q554" cm="1">
        <f t="array" ref="Q55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54" t="str">
        <v>4BE30</v>
      </c>
      <c r="AB554" s="42">
        <f>SUMIF(PartList[ASSLY MARK],AA554,PartList[Avail. Qty])</f>
        <v>0</v>
      </c>
    </row>
    <row r="555" spans="1:28" x14ac:dyDescent="0.25">
      <c r="A555">
        <v>1264</v>
      </c>
      <c r="B555" t="s">
        <v>471</v>
      </c>
      <c r="C555" t="s">
        <v>533</v>
      </c>
      <c r="D555" t="s">
        <v>1142</v>
      </c>
      <c r="E555" t="s">
        <v>1122</v>
      </c>
      <c r="F555" t="str" cm="1">
        <f t="array" ref="F555">IF(SUM(IF(PartList[ASSLY MARK]=PartList[[#This Row],[ASSLY MARK]],1,0))&gt;1,"No","Yes")</f>
        <v>No</v>
      </c>
      <c r="G555" t="str" cm="1">
        <f t="array" ref="G555">_xlfn.TEXTJOIN("_",TRUE,TRIM(_xlfn.TEXTSPLIT(PartList[[#This Row],[GRID LOCATION]],{"PR01","/","-"})))</f>
        <v>11_12_A</v>
      </c>
      <c r="H555" t="str" cm="1">
        <f t="array" ref="H55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55" cm="1">
        <f t="array" ref="I55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55" t="str">
        <f>IF(IFERROR(SEARCH("&gt;",PartList[[#This Row],[ID]]),0),"O",IF(IFERROR(SEARCH("&lt;",PartList[[#This Row],[ID]]),0),"I",""))</f>
        <v/>
      </c>
      <c r="K555" t="str" cm="1">
        <f t="array" ref="K5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55" t="str" cm="1">
        <f t="array" ref="L5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55" t="str">
        <f>_xlfn.TEXTJOIN("#",TRUE,PartList[[#This Row],[ASSLY MARK]],PartList[[#This Row],[BOX NO]],PartList[[#This Row],[In/Out]],PartList[[#This Row],[O1-Grid]])</f>
        <v>VB29#Box1_Box2#InBB</v>
      </c>
      <c r="N555" t="str">
        <f>_xlfn.TEXTJOIN("#",TRUE,PartList[[#This Row],[ASSLY MARK]],PartList[[#This Row],[BOX NO]],PartList[[#This Row],[In/Out]],PartList[[#This Row],[O2-Grid]])</f>
        <v>VB29#Box1_Box2#InBB</v>
      </c>
      <c r="O555">
        <f>IF(PartList[[#This Row],[Unique]]="Yes",_xlfn.XLOOKUP(PartList[[#This Row],[ASSLY MARK]],FilteredPL!A:A,FilteredPL!B:B,0,0),0)</f>
        <v>0</v>
      </c>
      <c r="P555">
        <f>_xlfn.XLOOKUP(PartList[[#This Row],[ASSLY MARK]],MasterPL[SplitMarkNo],MasterPL[BILL WT.(KG)],0,0)</f>
        <v>0</v>
      </c>
      <c r="Q555" cm="1">
        <f t="array" ref="Q55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55" t="str">
        <v>4BE31</v>
      </c>
      <c r="AB555" s="42">
        <f>SUMIF(PartList[ASSLY MARK],AA555,PartList[Avail. Qty])</f>
        <v>0</v>
      </c>
    </row>
    <row r="556" spans="1:28" x14ac:dyDescent="0.25">
      <c r="A556">
        <v>1265</v>
      </c>
      <c r="B556" t="s">
        <v>472</v>
      </c>
      <c r="C556" t="s">
        <v>533</v>
      </c>
      <c r="D556" t="s">
        <v>459</v>
      </c>
      <c r="E556" t="s">
        <v>1122</v>
      </c>
      <c r="F556" t="str" cm="1">
        <f t="array" ref="F556">IF(SUM(IF(PartList[ASSLY MARK]=PartList[[#This Row],[ASSLY MARK]],1,0))&gt;1,"No","Yes")</f>
        <v>No</v>
      </c>
      <c r="G556" t="str" cm="1">
        <f t="array" ref="G556">_xlfn.TEXTJOIN("_",TRUE,TRIM(_xlfn.TEXTSPLIT(PartList[[#This Row],[GRID LOCATION]],{"PR01","/","-"})))</f>
        <v>11_12_A</v>
      </c>
      <c r="H556" t="str" cm="1">
        <f t="array" ref="H55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56" cm="1">
        <f t="array" ref="I55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56" t="str">
        <f>IF(IFERROR(SEARCH("&gt;",PartList[[#This Row],[ID]]),0),"O",IF(IFERROR(SEARCH("&lt;",PartList[[#This Row],[ID]]),0),"I",""))</f>
        <v/>
      </c>
      <c r="K556" t="str" cm="1">
        <f t="array" ref="K5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56" t="str" cm="1">
        <f t="array" ref="L5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56" t="str">
        <f>_xlfn.TEXTJOIN("#",TRUE,PartList[[#This Row],[ASSLY MARK]],PartList[[#This Row],[BOX NO]],PartList[[#This Row],[In/Out]],PartList[[#This Row],[O1-Grid]])</f>
        <v>VB30#Box1_Box2#InBB</v>
      </c>
      <c r="N556" t="str">
        <f>_xlfn.TEXTJOIN("#",TRUE,PartList[[#This Row],[ASSLY MARK]],PartList[[#This Row],[BOX NO]],PartList[[#This Row],[In/Out]],PartList[[#This Row],[O2-Grid]])</f>
        <v>VB30#Box1_Box2#InBB</v>
      </c>
      <c r="O556">
        <f>IF(PartList[[#This Row],[Unique]]="Yes",_xlfn.XLOOKUP(PartList[[#This Row],[ASSLY MARK]],FilteredPL!A:A,FilteredPL!B:B,0,0),0)</f>
        <v>0</v>
      </c>
      <c r="P556">
        <f>_xlfn.XLOOKUP(PartList[[#This Row],[ASSLY MARK]],MasterPL[SplitMarkNo],MasterPL[BILL WT.(KG)],0,0)</f>
        <v>0</v>
      </c>
      <c r="Q556" cm="1">
        <f t="array" ref="Q55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56" t="str">
        <v>4BE32</v>
      </c>
      <c r="AB556" s="42">
        <f>SUMIF(PartList[ASSLY MARK],AA556,PartList[Avail. Qty])</f>
        <v>0</v>
      </c>
    </row>
    <row r="557" spans="1:28" x14ac:dyDescent="0.25">
      <c r="A557">
        <v>1266</v>
      </c>
      <c r="B557" t="s">
        <v>472</v>
      </c>
      <c r="C557" t="s">
        <v>533</v>
      </c>
      <c r="D557" t="s">
        <v>459</v>
      </c>
      <c r="E557" t="s">
        <v>1122</v>
      </c>
      <c r="F557" t="str" cm="1">
        <f t="array" ref="F557">IF(SUM(IF(PartList[ASSLY MARK]=PartList[[#This Row],[ASSLY MARK]],1,0))&gt;1,"No","Yes")</f>
        <v>No</v>
      </c>
      <c r="G557" t="str" cm="1">
        <f t="array" ref="G557">_xlfn.TEXTJOIN("_",TRUE,TRIM(_xlfn.TEXTSPLIT(PartList[[#This Row],[GRID LOCATION]],{"PR01","/","-"})))</f>
        <v>11_12_A</v>
      </c>
      <c r="H557" t="str" cm="1">
        <f t="array" ref="H55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57" cm="1">
        <f t="array" ref="I55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57" t="str">
        <f>IF(IFERROR(SEARCH("&gt;",PartList[[#This Row],[ID]]),0),"O",IF(IFERROR(SEARCH("&lt;",PartList[[#This Row],[ID]]),0),"I",""))</f>
        <v/>
      </c>
      <c r="K557" t="str" cm="1">
        <f t="array" ref="K5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57" t="str" cm="1">
        <f t="array" ref="L5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57" t="str">
        <f>_xlfn.TEXTJOIN("#",TRUE,PartList[[#This Row],[ASSLY MARK]],PartList[[#This Row],[BOX NO]],PartList[[#This Row],[In/Out]],PartList[[#This Row],[O1-Grid]])</f>
        <v>VB30#Box1_Box2#InBB</v>
      </c>
      <c r="N557" t="str">
        <f>_xlfn.TEXTJOIN("#",TRUE,PartList[[#This Row],[ASSLY MARK]],PartList[[#This Row],[BOX NO]],PartList[[#This Row],[In/Out]],PartList[[#This Row],[O2-Grid]])</f>
        <v>VB30#Box1_Box2#InBB</v>
      </c>
      <c r="O557">
        <f>IF(PartList[[#This Row],[Unique]]="Yes",_xlfn.XLOOKUP(PartList[[#This Row],[ASSLY MARK]],FilteredPL!A:A,FilteredPL!B:B,0,0),0)</f>
        <v>0</v>
      </c>
      <c r="P557">
        <f>_xlfn.XLOOKUP(PartList[[#This Row],[ASSLY MARK]],MasterPL[SplitMarkNo],MasterPL[BILL WT.(KG)],0,0)</f>
        <v>0</v>
      </c>
      <c r="Q557" cm="1">
        <f t="array" ref="Q55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57" t="str">
        <v>4BE33</v>
      </c>
      <c r="AB557" s="42">
        <f>SUMIF(PartList[ASSLY MARK],AA557,PartList[Avail. Qty])</f>
        <v>0</v>
      </c>
    </row>
    <row r="558" spans="1:28" x14ac:dyDescent="0.25">
      <c r="A558">
        <v>1267</v>
      </c>
      <c r="B558" t="s">
        <v>473</v>
      </c>
      <c r="C558" t="s">
        <v>534</v>
      </c>
      <c r="D558" t="s">
        <v>1142</v>
      </c>
      <c r="E558" t="s">
        <v>1122</v>
      </c>
      <c r="F558" t="str" cm="1">
        <f t="array" ref="F558">IF(SUM(IF(PartList[ASSLY MARK]=PartList[[#This Row],[ASSLY MARK]],1,0))&gt;1,"No","Yes")</f>
        <v>Yes</v>
      </c>
      <c r="G558" t="str" cm="1">
        <f t="array" ref="G558">_xlfn.TEXTJOIN("_",TRUE,TRIM(_xlfn.TEXTSPLIT(PartList[[#This Row],[GRID LOCATION]],{"PR01","/","-"})))</f>
        <v>11_12_B</v>
      </c>
      <c r="H558" t="str" cm="1">
        <f t="array" ref="H55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58" cm="1">
        <f t="array" ref="I55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58" t="str">
        <f>IF(IFERROR(SEARCH("&gt;",PartList[[#This Row],[ID]]),0),"O",IF(IFERROR(SEARCH("&lt;",PartList[[#This Row],[ID]]),0),"I",""))</f>
        <v/>
      </c>
      <c r="K558" t="str" cm="1">
        <f t="array" ref="K5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58" t="str" cm="1">
        <f t="array" ref="L5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58" t="str">
        <f>_xlfn.TEXTJOIN("#",TRUE,PartList[[#This Row],[ASSLY MARK]],PartList[[#This Row],[BOX NO]],PartList[[#This Row],[In/Out]],PartList[[#This Row],[O1-Grid]])</f>
        <v>VB31#Box1_Box2#InBB</v>
      </c>
      <c r="N558" t="str">
        <f>_xlfn.TEXTJOIN("#",TRUE,PartList[[#This Row],[ASSLY MARK]],PartList[[#This Row],[BOX NO]],PartList[[#This Row],[In/Out]],PartList[[#This Row],[O2-Grid]])</f>
        <v>VB31#Box1_Box2#InBB</v>
      </c>
      <c r="O558">
        <f>IF(PartList[[#This Row],[Unique]]="Yes",_xlfn.XLOOKUP(PartList[[#This Row],[ASSLY MARK]],FilteredPL!A:A,FilteredPL!B:B,0,0),0)</f>
        <v>0</v>
      </c>
      <c r="P558">
        <f>_xlfn.XLOOKUP(PartList[[#This Row],[ASSLY MARK]],MasterPL[SplitMarkNo],MasterPL[BILL WT.(KG)],0,0)</f>
        <v>0</v>
      </c>
      <c r="Q558" cm="1">
        <f t="array" ref="Q55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58" t="str">
        <v>4BE34</v>
      </c>
      <c r="AB558" s="42">
        <f>SUMIF(PartList[ASSLY MARK],AA558,PartList[Avail. Qty])</f>
        <v>0</v>
      </c>
    </row>
    <row r="559" spans="1:28" x14ac:dyDescent="0.25">
      <c r="A559">
        <v>1268</v>
      </c>
      <c r="B559" t="s">
        <v>474</v>
      </c>
      <c r="C559" t="s">
        <v>534</v>
      </c>
      <c r="D559" t="s">
        <v>1141</v>
      </c>
      <c r="E559" t="s">
        <v>1122</v>
      </c>
      <c r="F559" t="str" cm="1">
        <f t="array" ref="F559">IF(SUM(IF(PartList[ASSLY MARK]=PartList[[#This Row],[ASSLY MARK]],1,0))&gt;1,"No","Yes")</f>
        <v>Yes</v>
      </c>
      <c r="G559" t="str" cm="1">
        <f t="array" ref="G559">_xlfn.TEXTJOIN("_",TRUE,TRIM(_xlfn.TEXTSPLIT(PartList[[#This Row],[GRID LOCATION]],{"PR01","/","-"})))</f>
        <v>11_12_B</v>
      </c>
      <c r="H559" t="str" cm="1">
        <f t="array" ref="H55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59" cm="1">
        <f t="array" ref="I55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59" t="str">
        <f>IF(IFERROR(SEARCH("&gt;",PartList[[#This Row],[ID]]),0),"O",IF(IFERROR(SEARCH("&lt;",PartList[[#This Row],[ID]]),0),"I",""))</f>
        <v/>
      </c>
      <c r="K559" t="str" cm="1">
        <f t="array" ref="K5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59" t="str" cm="1">
        <f t="array" ref="L5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59" t="str">
        <f>_xlfn.TEXTJOIN("#",TRUE,PartList[[#This Row],[ASSLY MARK]],PartList[[#This Row],[BOX NO]],PartList[[#This Row],[In/Out]],PartList[[#This Row],[O1-Grid]])</f>
        <v>VB32#Box1_Box2#InBB</v>
      </c>
      <c r="N559" t="str">
        <f>_xlfn.TEXTJOIN("#",TRUE,PartList[[#This Row],[ASSLY MARK]],PartList[[#This Row],[BOX NO]],PartList[[#This Row],[In/Out]],PartList[[#This Row],[O2-Grid]])</f>
        <v>VB32#Box1_Box2#InBB</v>
      </c>
      <c r="O559">
        <f>IF(PartList[[#This Row],[Unique]]="Yes",_xlfn.XLOOKUP(PartList[[#This Row],[ASSLY MARK]],FilteredPL!A:A,FilteredPL!B:B,0,0),0)</f>
        <v>0</v>
      </c>
      <c r="P559">
        <f>_xlfn.XLOOKUP(PartList[[#This Row],[ASSLY MARK]],MasterPL[SplitMarkNo],MasterPL[BILL WT.(KG)],0,0)</f>
        <v>0</v>
      </c>
      <c r="Q559" cm="1">
        <f t="array" ref="Q55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59" t="str">
        <v>4BE35</v>
      </c>
      <c r="AB559" s="42">
        <f>SUMIF(PartList[ASSLY MARK],AA559,PartList[Avail. Qty])</f>
        <v>0</v>
      </c>
    </row>
    <row r="560" spans="1:28" x14ac:dyDescent="0.25">
      <c r="A560">
        <v>1269</v>
      </c>
      <c r="B560" t="s">
        <v>475</v>
      </c>
      <c r="C560" t="s">
        <v>511</v>
      </c>
      <c r="D560" t="s">
        <v>463</v>
      </c>
      <c r="E560" t="s">
        <v>1122</v>
      </c>
      <c r="F560" t="str" cm="1">
        <f t="array" ref="F560">IF(SUM(IF(PartList[ASSLY MARK]=PartList[[#This Row],[ASSLY MARK]],1,0))&gt;1,"No","Yes")</f>
        <v>Yes</v>
      </c>
      <c r="G560" t="str" cm="1">
        <f t="array" ref="G560">_xlfn.TEXTJOIN("_",TRUE,TRIM(_xlfn.TEXTSPLIT(PartList[[#This Row],[GRID LOCATION]],{"PR01","/","-"})))</f>
        <v>11_12_A'_A</v>
      </c>
      <c r="H560" t="str" cm="1">
        <f t="array" ref="H56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560" cm="1">
        <f t="array" ref="I56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60" t="str">
        <f>IF(IFERROR(SEARCH("&gt;",PartList[[#This Row],[ID]]),0),"O",IF(IFERROR(SEARCH("&lt;",PartList[[#This Row],[ID]]),0),"I",""))</f>
        <v/>
      </c>
      <c r="K560" t="str" cm="1">
        <f t="array" ref="K5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60" t="str" cm="1">
        <f t="array" ref="L5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60" t="str">
        <f>_xlfn.TEXTJOIN("#",TRUE,PartList[[#This Row],[ASSLY MARK]],PartList[[#This Row],[BOX NO]],PartList[[#This Row],[In/Out]],PartList[[#This Row],[O1-Grid]])</f>
        <v>VB33#Box1_Box2_Box4_Box5#InBB</v>
      </c>
      <c r="N560" t="str">
        <f>_xlfn.TEXTJOIN("#",TRUE,PartList[[#This Row],[ASSLY MARK]],PartList[[#This Row],[BOX NO]],PartList[[#This Row],[In/Out]],PartList[[#This Row],[O2-Grid]])</f>
        <v>VB33#Box1_Box2_Box4_Box5#InBB</v>
      </c>
      <c r="O560">
        <f>IF(PartList[[#This Row],[Unique]]="Yes",_xlfn.XLOOKUP(PartList[[#This Row],[ASSLY MARK]],FilteredPL!A:A,FilteredPL!B:B,0,0),0)</f>
        <v>0</v>
      </c>
      <c r="P560">
        <f>_xlfn.XLOOKUP(PartList[[#This Row],[ASSLY MARK]],MasterPL[SplitMarkNo],MasterPL[BILL WT.(KG)],0,0)</f>
        <v>0</v>
      </c>
      <c r="Q560" cm="1">
        <f t="array" ref="Q56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60" t="str">
        <v>4BE38</v>
      </c>
      <c r="AB560" s="42">
        <f>SUMIF(PartList[ASSLY MARK],AA560,PartList[Avail. Qty])</f>
        <v>0</v>
      </c>
    </row>
    <row r="561" spans="1:28" x14ac:dyDescent="0.25">
      <c r="A561">
        <v>1270</v>
      </c>
      <c r="B561" t="s">
        <v>477</v>
      </c>
      <c r="C561" t="s">
        <v>534</v>
      </c>
      <c r="D561" t="s">
        <v>1121</v>
      </c>
      <c r="E561" t="s">
        <v>1122</v>
      </c>
      <c r="F561" t="str" cm="1">
        <f t="array" ref="F561">IF(SUM(IF(PartList[ASSLY MARK]=PartList[[#This Row],[ASSLY MARK]],1,0))&gt;1,"No","Yes")</f>
        <v>Yes</v>
      </c>
      <c r="G561" t="str" cm="1">
        <f t="array" ref="G561">_xlfn.TEXTJOIN("_",TRUE,TRIM(_xlfn.TEXTSPLIT(PartList[[#This Row],[GRID LOCATION]],{"PR01","/","-"})))</f>
        <v>11_12_B</v>
      </c>
      <c r="H561" t="str" cm="1">
        <f t="array" ref="H56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61" cm="1">
        <f t="array" ref="I56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61" t="str">
        <f>IF(IFERROR(SEARCH("&gt;",PartList[[#This Row],[ID]]),0),"O",IF(IFERROR(SEARCH("&lt;",PartList[[#This Row],[ID]]),0),"I",""))</f>
        <v/>
      </c>
      <c r="K561" t="str" cm="1">
        <f t="array" ref="K5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61" t="str" cm="1">
        <f t="array" ref="L5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61" t="str">
        <f>_xlfn.TEXTJOIN("#",TRUE,PartList[[#This Row],[ASSLY MARK]],PartList[[#This Row],[BOX NO]],PartList[[#This Row],[In/Out]],PartList[[#This Row],[O1-Grid]])</f>
        <v>VB34#Box1_Box2#InBB</v>
      </c>
      <c r="N561" t="str">
        <f>_xlfn.TEXTJOIN("#",TRUE,PartList[[#This Row],[ASSLY MARK]],PartList[[#This Row],[BOX NO]],PartList[[#This Row],[In/Out]],PartList[[#This Row],[O2-Grid]])</f>
        <v>VB34#Box1_Box2#InBB</v>
      </c>
      <c r="O561">
        <f>IF(PartList[[#This Row],[Unique]]="Yes",_xlfn.XLOOKUP(PartList[[#This Row],[ASSLY MARK]],FilteredPL!A:A,FilteredPL!B:B,0,0),0)</f>
        <v>0</v>
      </c>
      <c r="P561">
        <f>_xlfn.XLOOKUP(PartList[[#This Row],[ASSLY MARK]],MasterPL[SplitMarkNo],MasterPL[BILL WT.(KG)],0,0)</f>
        <v>0</v>
      </c>
      <c r="Q561" cm="1">
        <f t="array" ref="Q56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61" t="str">
        <v>4BE39</v>
      </c>
      <c r="AB561" s="42">
        <f>SUMIF(PartList[ASSLY MARK],AA561,PartList[Avail. Qty])</f>
        <v>0</v>
      </c>
    </row>
    <row r="562" spans="1:28" x14ac:dyDescent="0.25">
      <c r="A562">
        <v>1271</v>
      </c>
      <c r="B562" t="s">
        <v>478</v>
      </c>
      <c r="C562" t="s">
        <v>533</v>
      </c>
      <c r="D562" t="s">
        <v>452</v>
      </c>
      <c r="E562" t="s">
        <v>1122</v>
      </c>
      <c r="F562" t="str" cm="1">
        <f t="array" ref="F562">IF(SUM(IF(PartList[ASSLY MARK]=PartList[[#This Row],[ASSLY MARK]],1,0))&gt;1,"No","Yes")</f>
        <v>Yes</v>
      </c>
      <c r="G562" t="str" cm="1">
        <f t="array" ref="G562">_xlfn.TEXTJOIN("_",TRUE,TRIM(_xlfn.TEXTSPLIT(PartList[[#This Row],[GRID LOCATION]],{"PR01","/","-"})))</f>
        <v>11_12_A</v>
      </c>
      <c r="H562" t="str" cm="1">
        <f t="array" ref="H56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62" cm="1">
        <f t="array" ref="I56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62" t="str">
        <f>IF(IFERROR(SEARCH("&gt;",PartList[[#This Row],[ID]]),0),"O",IF(IFERROR(SEARCH("&lt;",PartList[[#This Row],[ID]]),0),"I",""))</f>
        <v/>
      </c>
      <c r="K562" t="str" cm="1">
        <f t="array" ref="K5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62" t="str" cm="1">
        <f t="array" ref="L5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62" t="str">
        <f>_xlfn.TEXTJOIN("#",TRUE,PartList[[#This Row],[ASSLY MARK]],PartList[[#This Row],[BOX NO]],PartList[[#This Row],[In/Out]],PartList[[#This Row],[O1-Grid]])</f>
        <v>VB35#Box1_Box2#InBB</v>
      </c>
      <c r="N562" t="str">
        <f>_xlfn.TEXTJOIN("#",TRUE,PartList[[#This Row],[ASSLY MARK]],PartList[[#This Row],[BOX NO]],PartList[[#This Row],[In/Out]],PartList[[#This Row],[O2-Grid]])</f>
        <v>VB35#Box1_Box2#InBB</v>
      </c>
      <c r="O562">
        <f>IF(PartList[[#This Row],[Unique]]="Yes",_xlfn.XLOOKUP(PartList[[#This Row],[ASSLY MARK]],FilteredPL!A:A,FilteredPL!B:B,0,0),0)</f>
        <v>0</v>
      </c>
      <c r="P562">
        <f>_xlfn.XLOOKUP(PartList[[#This Row],[ASSLY MARK]],MasterPL[SplitMarkNo],MasterPL[BILL WT.(KG)],0,0)</f>
        <v>0</v>
      </c>
      <c r="Q562" cm="1">
        <f t="array" ref="Q56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62" t="str">
        <v>4BE40</v>
      </c>
      <c r="AB562" s="42">
        <f>SUMIF(PartList[ASSLY MARK],AA562,PartList[Avail. Qty])</f>
        <v>0</v>
      </c>
    </row>
    <row r="563" spans="1:28" x14ac:dyDescent="0.25">
      <c r="A563">
        <v>1272</v>
      </c>
      <c r="B563" t="s">
        <v>479</v>
      </c>
      <c r="C563" t="s">
        <v>534</v>
      </c>
      <c r="D563" t="s">
        <v>452</v>
      </c>
      <c r="E563" t="s">
        <v>1122</v>
      </c>
      <c r="F563" t="str" cm="1">
        <f t="array" ref="F563">IF(SUM(IF(PartList[ASSLY MARK]=PartList[[#This Row],[ASSLY MARK]],1,0))&gt;1,"No","Yes")</f>
        <v>Yes</v>
      </c>
      <c r="G563" t="str" cm="1">
        <f t="array" ref="G563">_xlfn.TEXTJOIN("_",TRUE,TRIM(_xlfn.TEXTSPLIT(PartList[[#This Row],[GRID LOCATION]],{"PR01","/","-"})))</f>
        <v>11_12_B</v>
      </c>
      <c r="H563" t="str" cm="1">
        <f t="array" ref="H56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63" cm="1">
        <f t="array" ref="I56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63" t="str">
        <f>IF(IFERROR(SEARCH("&gt;",PartList[[#This Row],[ID]]),0),"O",IF(IFERROR(SEARCH("&lt;",PartList[[#This Row],[ID]]),0),"I",""))</f>
        <v/>
      </c>
      <c r="K563" t="str" cm="1">
        <f t="array" ref="K5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63" t="str" cm="1">
        <f t="array" ref="L5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63" t="str">
        <f>_xlfn.TEXTJOIN("#",TRUE,PartList[[#This Row],[ASSLY MARK]],PartList[[#This Row],[BOX NO]],PartList[[#This Row],[In/Out]],PartList[[#This Row],[O1-Grid]])</f>
        <v>VB36#Box1_Box2#InBB</v>
      </c>
      <c r="N563" t="str">
        <f>_xlfn.TEXTJOIN("#",TRUE,PartList[[#This Row],[ASSLY MARK]],PartList[[#This Row],[BOX NO]],PartList[[#This Row],[In/Out]],PartList[[#This Row],[O2-Grid]])</f>
        <v>VB36#Box1_Box2#InBB</v>
      </c>
      <c r="O563">
        <f>IF(PartList[[#This Row],[Unique]]="Yes",_xlfn.XLOOKUP(PartList[[#This Row],[ASSLY MARK]],FilteredPL!A:A,FilteredPL!B:B,0,0),0)</f>
        <v>0</v>
      </c>
      <c r="P563">
        <f>_xlfn.XLOOKUP(PartList[[#This Row],[ASSLY MARK]],MasterPL[SplitMarkNo],MasterPL[BILL WT.(KG)],0,0)</f>
        <v>0</v>
      </c>
      <c r="Q563" cm="1">
        <f t="array" ref="Q56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63" t="str">
        <v>4BE42</v>
      </c>
      <c r="AB563" s="42">
        <f>SUMIF(PartList[ASSLY MARK],AA563,PartList[Avail. Qty])</f>
        <v>0</v>
      </c>
    </row>
    <row r="564" spans="1:28" x14ac:dyDescent="0.25">
      <c r="A564">
        <v>1273</v>
      </c>
      <c r="B564" t="s">
        <v>480</v>
      </c>
      <c r="C564" t="s">
        <v>533</v>
      </c>
      <c r="D564" t="s">
        <v>1144</v>
      </c>
      <c r="E564" t="s">
        <v>1122</v>
      </c>
      <c r="F564" t="str" cm="1">
        <f t="array" ref="F564">IF(SUM(IF(PartList[ASSLY MARK]=PartList[[#This Row],[ASSLY MARK]],1,0))&gt;1,"No","Yes")</f>
        <v>Yes</v>
      </c>
      <c r="G564" t="str" cm="1">
        <f t="array" ref="G564">_xlfn.TEXTJOIN("_",TRUE,TRIM(_xlfn.TEXTSPLIT(PartList[[#This Row],[GRID LOCATION]],{"PR01","/","-"})))</f>
        <v>11_12_A</v>
      </c>
      <c r="H564" t="str" cm="1">
        <f t="array" ref="H56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64" cm="1">
        <f t="array" ref="I56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64" t="str">
        <f>IF(IFERROR(SEARCH("&gt;",PartList[[#This Row],[ID]]),0),"O",IF(IFERROR(SEARCH("&lt;",PartList[[#This Row],[ID]]),0),"I",""))</f>
        <v/>
      </c>
      <c r="K564" t="str" cm="1">
        <f t="array" ref="K5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64" t="str" cm="1">
        <f t="array" ref="L5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64" t="str">
        <f>_xlfn.TEXTJOIN("#",TRUE,PartList[[#This Row],[ASSLY MARK]],PartList[[#This Row],[BOX NO]],PartList[[#This Row],[In/Out]],PartList[[#This Row],[O1-Grid]])</f>
        <v>VB37#Box1_Box2#InBB</v>
      </c>
      <c r="N564" t="str">
        <f>_xlfn.TEXTJOIN("#",TRUE,PartList[[#This Row],[ASSLY MARK]],PartList[[#This Row],[BOX NO]],PartList[[#This Row],[In/Out]],PartList[[#This Row],[O2-Grid]])</f>
        <v>VB37#Box1_Box2#InBB</v>
      </c>
      <c r="O564">
        <f>IF(PartList[[#This Row],[Unique]]="Yes",_xlfn.XLOOKUP(PartList[[#This Row],[ASSLY MARK]],FilteredPL!A:A,FilteredPL!B:B,0,0),0)</f>
        <v>0</v>
      </c>
      <c r="P564">
        <f>_xlfn.XLOOKUP(PartList[[#This Row],[ASSLY MARK]],MasterPL[SplitMarkNo],MasterPL[BILL WT.(KG)],0,0)</f>
        <v>0</v>
      </c>
      <c r="Q564" cm="1">
        <f t="array" ref="Q56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64" t="str">
        <v>4BE43</v>
      </c>
      <c r="AB564" s="42">
        <f>SUMIF(PartList[ASSLY MARK],AA564,PartList[Avail. Qty])</f>
        <v>0</v>
      </c>
    </row>
    <row r="565" spans="1:28" x14ac:dyDescent="0.25">
      <c r="A565">
        <v>1274</v>
      </c>
      <c r="B565" t="s">
        <v>481</v>
      </c>
      <c r="C565" t="s">
        <v>534</v>
      </c>
      <c r="D565" t="s">
        <v>1139</v>
      </c>
      <c r="E565" t="s">
        <v>1122</v>
      </c>
      <c r="F565" t="str" cm="1">
        <f t="array" ref="F565">IF(SUM(IF(PartList[ASSLY MARK]=PartList[[#This Row],[ASSLY MARK]],1,0))&gt;1,"No","Yes")</f>
        <v>Yes</v>
      </c>
      <c r="G565" t="str" cm="1">
        <f t="array" ref="G565">_xlfn.TEXTJOIN("_",TRUE,TRIM(_xlfn.TEXTSPLIT(PartList[[#This Row],[GRID LOCATION]],{"PR01","/","-"})))</f>
        <v>11_12_B</v>
      </c>
      <c r="H565" t="str" cm="1">
        <f t="array" ref="H56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65" cm="1">
        <f t="array" ref="I56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65" t="str">
        <f>IF(IFERROR(SEARCH("&gt;",PartList[[#This Row],[ID]]),0),"O",IF(IFERROR(SEARCH("&lt;",PartList[[#This Row],[ID]]),0),"I",""))</f>
        <v/>
      </c>
      <c r="K565" t="str" cm="1">
        <f t="array" ref="K5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65" t="str" cm="1">
        <f t="array" ref="L5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65" t="str">
        <f>_xlfn.TEXTJOIN("#",TRUE,PartList[[#This Row],[ASSLY MARK]],PartList[[#This Row],[BOX NO]],PartList[[#This Row],[In/Out]],PartList[[#This Row],[O1-Grid]])</f>
        <v>VB38#Box1_Box2#InBB</v>
      </c>
      <c r="N565" t="str">
        <f>_xlfn.TEXTJOIN("#",TRUE,PartList[[#This Row],[ASSLY MARK]],PartList[[#This Row],[BOX NO]],PartList[[#This Row],[In/Out]],PartList[[#This Row],[O2-Grid]])</f>
        <v>VB38#Box1_Box2#InBB</v>
      </c>
      <c r="O565">
        <f>IF(PartList[[#This Row],[Unique]]="Yes",_xlfn.XLOOKUP(PartList[[#This Row],[ASSLY MARK]],FilteredPL!A:A,FilteredPL!B:B,0,0),0)</f>
        <v>0</v>
      </c>
      <c r="P565">
        <f>_xlfn.XLOOKUP(PartList[[#This Row],[ASSLY MARK]],MasterPL[SplitMarkNo],MasterPL[BILL WT.(KG)],0,0)</f>
        <v>0</v>
      </c>
      <c r="Q565" cm="1">
        <f t="array" ref="Q56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65" t="str">
        <v>4BE44</v>
      </c>
      <c r="AB565" s="42">
        <f>SUMIF(PartList[ASSLY MARK],AA565,PartList[Avail. Qty])</f>
        <v>0</v>
      </c>
    </row>
    <row r="566" spans="1:28" x14ac:dyDescent="0.25">
      <c r="A566">
        <v>1275</v>
      </c>
      <c r="B566" t="s">
        <v>482</v>
      </c>
      <c r="C566" t="s">
        <v>534</v>
      </c>
      <c r="D566" t="s">
        <v>1124</v>
      </c>
      <c r="E566" t="s">
        <v>1122</v>
      </c>
      <c r="F566" t="str" cm="1">
        <f t="array" ref="F566">IF(SUM(IF(PartList[ASSLY MARK]=PartList[[#This Row],[ASSLY MARK]],1,0))&gt;1,"No","Yes")</f>
        <v>Yes</v>
      </c>
      <c r="G566" t="str" cm="1">
        <f t="array" ref="G566">_xlfn.TEXTJOIN("_",TRUE,TRIM(_xlfn.TEXTSPLIT(PartList[[#This Row],[GRID LOCATION]],{"PR01","/","-"})))</f>
        <v>11_12_B</v>
      </c>
      <c r="H566" t="str" cm="1">
        <f t="array" ref="H56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66" cm="1">
        <f t="array" ref="I56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66" t="str">
        <f>IF(IFERROR(SEARCH("&gt;",PartList[[#This Row],[ID]]),0),"O",IF(IFERROR(SEARCH("&lt;",PartList[[#This Row],[ID]]),0),"I",""))</f>
        <v/>
      </c>
      <c r="K566" t="str" cm="1">
        <f t="array" ref="K5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66" t="str" cm="1">
        <f t="array" ref="L5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66" t="str">
        <f>_xlfn.TEXTJOIN("#",TRUE,PartList[[#This Row],[ASSLY MARK]],PartList[[#This Row],[BOX NO]],PartList[[#This Row],[In/Out]],PartList[[#This Row],[O1-Grid]])</f>
        <v>VB39#Box1_Box2#InBB</v>
      </c>
      <c r="N566" t="str">
        <f>_xlfn.TEXTJOIN("#",TRUE,PartList[[#This Row],[ASSLY MARK]],PartList[[#This Row],[BOX NO]],PartList[[#This Row],[In/Out]],PartList[[#This Row],[O2-Grid]])</f>
        <v>VB39#Box1_Box2#InBB</v>
      </c>
      <c r="O566">
        <f>IF(PartList[[#This Row],[Unique]]="Yes",_xlfn.XLOOKUP(PartList[[#This Row],[ASSLY MARK]],FilteredPL!A:A,FilteredPL!B:B,0,0),0)</f>
        <v>0</v>
      </c>
      <c r="P566">
        <f>_xlfn.XLOOKUP(PartList[[#This Row],[ASSLY MARK]],MasterPL[SplitMarkNo],MasterPL[BILL WT.(KG)],0,0)</f>
        <v>0</v>
      </c>
      <c r="Q566" cm="1">
        <f t="array" ref="Q56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66" t="str">
        <v>4BE45</v>
      </c>
      <c r="AB566" s="42">
        <f>SUMIF(PartList[ASSLY MARK],AA566,PartList[Avail. Qty])</f>
        <v>0</v>
      </c>
    </row>
    <row r="567" spans="1:28" x14ac:dyDescent="0.25">
      <c r="A567">
        <v>1276</v>
      </c>
      <c r="B567" t="s">
        <v>483</v>
      </c>
      <c r="C567" t="s">
        <v>512</v>
      </c>
      <c r="D567" t="s">
        <v>1145</v>
      </c>
      <c r="E567" t="s">
        <v>1122</v>
      </c>
      <c r="F567" t="str" cm="1">
        <f t="array" ref="F567">IF(SUM(IF(PartList[ASSLY MARK]=PartList[[#This Row],[ASSLY MARK]],1,0))&gt;1,"No","Yes")</f>
        <v>Yes</v>
      </c>
      <c r="G567" t="str" cm="1">
        <f t="array" ref="G567">_xlfn.TEXTJOIN("_",TRUE,TRIM(_xlfn.TEXTSPLIT(PartList[[#This Row],[GRID LOCATION]],{"PR01","/","-"})))</f>
        <v>10_11_A'_A</v>
      </c>
      <c r="H567" t="str" cm="1">
        <f t="array" ref="H56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567" cm="1">
        <f t="array" ref="I56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67" t="str">
        <f>IF(IFERROR(SEARCH("&gt;",PartList[[#This Row],[ID]]),0),"O",IF(IFERROR(SEARCH("&lt;",PartList[[#This Row],[ID]]),0),"I",""))</f>
        <v/>
      </c>
      <c r="K567" t="str" cm="1">
        <f t="array" ref="K5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67" t="str" cm="1">
        <f t="array" ref="L5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67" t="str">
        <f>_xlfn.TEXTJOIN("#",TRUE,PartList[[#This Row],[ASSLY MARK]],PartList[[#This Row],[BOX NO]],PartList[[#This Row],[In/Out]],PartList[[#This Row],[O1-Grid]])</f>
        <v>VB40#Box1_Box4#InBB</v>
      </c>
      <c r="N567" t="str">
        <f>_xlfn.TEXTJOIN("#",TRUE,PartList[[#This Row],[ASSLY MARK]],PartList[[#This Row],[BOX NO]],PartList[[#This Row],[In/Out]],PartList[[#This Row],[O2-Grid]])</f>
        <v>VB40#Box1_Box4#InBB</v>
      </c>
      <c r="O567">
        <f>IF(PartList[[#This Row],[Unique]]="Yes",_xlfn.XLOOKUP(PartList[[#This Row],[ASSLY MARK]],FilteredPL!A:A,FilteredPL!B:B,0,0),0)</f>
        <v>0</v>
      </c>
      <c r="P567">
        <f>_xlfn.XLOOKUP(PartList[[#This Row],[ASSLY MARK]],MasterPL[SplitMarkNo],MasterPL[BILL WT.(KG)],0,0)</f>
        <v>0</v>
      </c>
      <c r="Q567" cm="1">
        <f t="array" ref="Q56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67" t="str">
        <v>4BE46</v>
      </c>
      <c r="AB567" s="42">
        <f>SUMIF(PartList[ASSLY MARK],AA567,PartList[Avail. Qty])</f>
        <v>0</v>
      </c>
    </row>
    <row r="568" spans="1:28" x14ac:dyDescent="0.25">
      <c r="A568">
        <v>1277</v>
      </c>
      <c r="B568" t="s">
        <v>484</v>
      </c>
      <c r="C568" t="s">
        <v>533</v>
      </c>
      <c r="D568" t="s">
        <v>1146</v>
      </c>
      <c r="E568" t="s">
        <v>1122</v>
      </c>
      <c r="F568" t="str" cm="1">
        <f t="array" ref="F568">IF(SUM(IF(PartList[ASSLY MARK]=PartList[[#This Row],[ASSLY MARK]],1,0))&gt;1,"No","Yes")</f>
        <v>No</v>
      </c>
      <c r="G568" t="str" cm="1">
        <f t="array" ref="G568">_xlfn.TEXTJOIN("_",TRUE,TRIM(_xlfn.TEXTSPLIT(PartList[[#This Row],[GRID LOCATION]],{"PR01","/","-"})))</f>
        <v>11_12_A</v>
      </c>
      <c r="H568" t="str" cm="1">
        <f t="array" ref="H56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68" cm="1">
        <f t="array" ref="I56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68" t="str">
        <f>IF(IFERROR(SEARCH("&gt;",PartList[[#This Row],[ID]]),0),"O",IF(IFERROR(SEARCH("&lt;",PartList[[#This Row],[ID]]),0),"I",""))</f>
        <v/>
      </c>
      <c r="K568" t="str" cm="1">
        <f t="array" ref="K5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68" t="str" cm="1">
        <f t="array" ref="L5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68" t="str">
        <f>_xlfn.TEXTJOIN("#",TRUE,PartList[[#This Row],[ASSLY MARK]],PartList[[#This Row],[BOX NO]],PartList[[#This Row],[In/Out]],PartList[[#This Row],[O1-Grid]])</f>
        <v>VB41#Box1_Box2#InBB</v>
      </c>
      <c r="N568" t="str">
        <f>_xlfn.TEXTJOIN("#",TRUE,PartList[[#This Row],[ASSLY MARK]],PartList[[#This Row],[BOX NO]],PartList[[#This Row],[In/Out]],PartList[[#This Row],[O2-Grid]])</f>
        <v>VB41#Box1_Box2#InBB</v>
      </c>
      <c r="O568">
        <f>IF(PartList[[#This Row],[Unique]]="Yes",_xlfn.XLOOKUP(PartList[[#This Row],[ASSLY MARK]],FilteredPL!A:A,FilteredPL!B:B,0,0),0)</f>
        <v>0</v>
      </c>
      <c r="P568">
        <f>_xlfn.XLOOKUP(PartList[[#This Row],[ASSLY MARK]],MasterPL[SplitMarkNo],MasterPL[BILL WT.(KG)],0,0)</f>
        <v>0</v>
      </c>
      <c r="Q568" cm="1">
        <f t="array" ref="Q56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68" t="str">
        <v>4BE47</v>
      </c>
      <c r="AB568" s="42">
        <f>SUMIF(PartList[ASSLY MARK],AA568,PartList[Avail. Qty])</f>
        <v>0</v>
      </c>
    </row>
    <row r="569" spans="1:28" x14ac:dyDescent="0.25">
      <c r="A569">
        <v>1278</v>
      </c>
      <c r="B569" t="s">
        <v>484</v>
      </c>
      <c r="C569" t="s">
        <v>534</v>
      </c>
      <c r="D569" t="s">
        <v>1146</v>
      </c>
      <c r="E569" t="s">
        <v>1122</v>
      </c>
      <c r="F569" t="str" cm="1">
        <f t="array" ref="F569">IF(SUM(IF(PartList[ASSLY MARK]=PartList[[#This Row],[ASSLY MARK]],1,0))&gt;1,"No","Yes")</f>
        <v>No</v>
      </c>
      <c r="G569" t="str" cm="1">
        <f t="array" ref="G569">_xlfn.TEXTJOIN("_",TRUE,TRIM(_xlfn.TEXTSPLIT(PartList[[#This Row],[GRID LOCATION]],{"PR01","/","-"})))</f>
        <v>11_12_B</v>
      </c>
      <c r="H569" t="str" cm="1">
        <f t="array" ref="H56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69" cm="1">
        <f t="array" ref="I56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69" t="str">
        <f>IF(IFERROR(SEARCH("&gt;",PartList[[#This Row],[ID]]),0),"O",IF(IFERROR(SEARCH("&lt;",PartList[[#This Row],[ID]]),0),"I",""))</f>
        <v/>
      </c>
      <c r="K569" t="str" cm="1">
        <f t="array" ref="K5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69" t="str" cm="1">
        <f t="array" ref="L5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69" t="str">
        <f>_xlfn.TEXTJOIN("#",TRUE,PartList[[#This Row],[ASSLY MARK]],PartList[[#This Row],[BOX NO]],PartList[[#This Row],[In/Out]],PartList[[#This Row],[O1-Grid]])</f>
        <v>VB41#Box1_Box2#InBB</v>
      </c>
      <c r="N569" t="str">
        <f>_xlfn.TEXTJOIN("#",TRUE,PartList[[#This Row],[ASSLY MARK]],PartList[[#This Row],[BOX NO]],PartList[[#This Row],[In/Out]],PartList[[#This Row],[O2-Grid]])</f>
        <v>VB41#Box1_Box2#InBB</v>
      </c>
      <c r="O569">
        <f>IF(PartList[[#This Row],[Unique]]="Yes",_xlfn.XLOOKUP(PartList[[#This Row],[ASSLY MARK]],FilteredPL!A:A,FilteredPL!B:B,0,0),0)</f>
        <v>0</v>
      </c>
      <c r="P569">
        <f>_xlfn.XLOOKUP(PartList[[#This Row],[ASSLY MARK]],MasterPL[SplitMarkNo],MasterPL[BILL WT.(KG)],0,0)</f>
        <v>0</v>
      </c>
      <c r="Q569" cm="1">
        <f t="array" ref="Q56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69" t="str">
        <v>4BE48</v>
      </c>
      <c r="AB569" s="42">
        <f>SUMIF(PartList[ASSLY MARK],AA569,PartList[Avail. Qty])</f>
        <v>0</v>
      </c>
    </row>
    <row r="570" spans="1:28" x14ac:dyDescent="0.25">
      <c r="A570">
        <v>1279</v>
      </c>
      <c r="B570" t="s">
        <v>485</v>
      </c>
      <c r="C570" t="s">
        <v>534</v>
      </c>
      <c r="D570" t="s">
        <v>441</v>
      </c>
      <c r="E570" t="s">
        <v>1122</v>
      </c>
      <c r="F570" t="str" cm="1">
        <f t="array" ref="F570">IF(SUM(IF(PartList[ASSLY MARK]=PartList[[#This Row],[ASSLY MARK]],1,0))&gt;1,"No","Yes")</f>
        <v>No</v>
      </c>
      <c r="G570" t="str" cm="1">
        <f t="array" ref="G570">_xlfn.TEXTJOIN("_",TRUE,TRIM(_xlfn.TEXTSPLIT(PartList[[#This Row],[GRID LOCATION]],{"PR01","/","-"})))</f>
        <v>11_12_B</v>
      </c>
      <c r="H570" t="str" cm="1">
        <f t="array" ref="H57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70" cm="1">
        <f t="array" ref="I57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70" t="str">
        <f>IF(IFERROR(SEARCH("&gt;",PartList[[#This Row],[ID]]),0),"O",IF(IFERROR(SEARCH("&lt;",PartList[[#This Row],[ID]]),0),"I",""))</f>
        <v/>
      </c>
      <c r="K570" t="str" cm="1">
        <f t="array" ref="K5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70" t="str" cm="1">
        <f t="array" ref="L5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70" t="str">
        <f>_xlfn.TEXTJOIN("#",TRUE,PartList[[#This Row],[ASSLY MARK]],PartList[[#This Row],[BOX NO]],PartList[[#This Row],[In/Out]],PartList[[#This Row],[O1-Grid]])</f>
        <v>VB42#Box1_Box2#InBB</v>
      </c>
      <c r="N570" t="str">
        <f>_xlfn.TEXTJOIN("#",TRUE,PartList[[#This Row],[ASSLY MARK]],PartList[[#This Row],[BOX NO]],PartList[[#This Row],[In/Out]],PartList[[#This Row],[O2-Grid]])</f>
        <v>VB42#Box1_Box2#InBB</v>
      </c>
      <c r="O570">
        <f>IF(PartList[[#This Row],[Unique]]="Yes",_xlfn.XLOOKUP(PartList[[#This Row],[ASSLY MARK]],FilteredPL!A:A,FilteredPL!B:B,0,0),0)</f>
        <v>0</v>
      </c>
      <c r="P570">
        <f>_xlfn.XLOOKUP(PartList[[#This Row],[ASSLY MARK]],MasterPL[SplitMarkNo],MasterPL[BILL WT.(KG)],0,0)</f>
        <v>0</v>
      </c>
      <c r="Q570" cm="1">
        <f t="array" ref="Q57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70" t="str">
        <v>4BE49</v>
      </c>
      <c r="AB570" s="42">
        <f>SUMIF(PartList[ASSLY MARK],AA570,PartList[Avail. Qty])</f>
        <v>0</v>
      </c>
    </row>
    <row r="571" spans="1:28" x14ac:dyDescent="0.25">
      <c r="A571">
        <v>1280</v>
      </c>
      <c r="B571" t="s">
        <v>485</v>
      </c>
      <c r="C571" t="s">
        <v>533</v>
      </c>
      <c r="D571" t="s">
        <v>441</v>
      </c>
      <c r="E571" t="s">
        <v>1122</v>
      </c>
      <c r="F571" t="str" cm="1">
        <f t="array" ref="F571">IF(SUM(IF(PartList[ASSLY MARK]=PartList[[#This Row],[ASSLY MARK]],1,0))&gt;1,"No","Yes")</f>
        <v>No</v>
      </c>
      <c r="G571" t="str" cm="1">
        <f t="array" ref="G571">_xlfn.TEXTJOIN("_",TRUE,TRIM(_xlfn.TEXTSPLIT(PartList[[#This Row],[GRID LOCATION]],{"PR01","/","-"})))</f>
        <v>11_12_A</v>
      </c>
      <c r="H571" t="str" cm="1">
        <f t="array" ref="H57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71" cm="1">
        <f t="array" ref="I57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71" t="str">
        <f>IF(IFERROR(SEARCH("&gt;",PartList[[#This Row],[ID]]),0),"O",IF(IFERROR(SEARCH("&lt;",PartList[[#This Row],[ID]]),0),"I",""))</f>
        <v/>
      </c>
      <c r="K571" t="str" cm="1">
        <f t="array" ref="K5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71" t="str" cm="1">
        <f t="array" ref="L5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71" t="str">
        <f>_xlfn.TEXTJOIN("#",TRUE,PartList[[#This Row],[ASSLY MARK]],PartList[[#This Row],[BOX NO]],PartList[[#This Row],[In/Out]],PartList[[#This Row],[O1-Grid]])</f>
        <v>VB42#Box1_Box2#InBB</v>
      </c>
      <c r="N571" t="str">
        <f>_xlfn.TEXTJOIN("#",TRUE,PartList[[#This Row],[ASSLY MARK]],PartList[[#This Row],[BOX NO]],PartList[[#This Row],[In/Out]],PartList[[#This Row],[O2-Grid]])</f>
        <v>VB42#Box1_Box2#InBB</v>
      </c>
      <c r="O571">
        <f>IF(PartList[[#This Row],[Unique]]="Yes",_xlfn.XLOOKUP(PartList[[#This Row],[ASSLY MARK]],FilteredPL!A:A,FilteredPL!B:B,0,0),0)</f>
        <v>0</v>
      </c>
      <c r="P571">
        <f>_xlfn.XLOOKUP(PartList[[#This Row],[ASSLY MARK]],MasterPL[SplitMarkNo],MasterPL[BILL WT.(KG)],0,0)</f>
        <v>0</v>
      </c>
      <c r="Q571" cm="1">
        <f t="array" ref="Q57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71" t="str">
        <v>4BE50</v>
      </c>
      <c r="AB571" s="42">
        <f>SUMIF(PartList[ASSLY MARK],AA571,PartList[Avail. Qty])</f>
        <v>0</v>
      </c>
    </row>
    <row r="572" spans="1:28" x14ac:dyDescent="0.25">
      <c r="A572">
        <v>1286</v>
      </c>
      <c r="B572" t="s">
        <v>489</v>
      </c>
      <c r="C572" t="s">
        <v>533</v>
      </c>
      <c r="D572" t="s">
        <v>1123</v>
      </c>
      <c r="E572" t="s">
        <v>1122</v>
      </c>
      <c r="F572" t="str" cm="1">
        <f t="array" ref="F572">IF(SUM(IF(PartList[ASSLY MARK]=PartList[[#This Row],[ASSLY MARK]],1,0))&gt;1,"No","Yes")</f>
        <v>Yes</v>
      </c>
      <c r="G572" t="str" cm="1">
        <f t="array" ref="G572">_xlfn.TEXTJOIN("_",TRUE,TRIM(_xlfn.TEXTSPLIT(PartList[[#This Row],[GRID LOCATION]],{"PR01","/","-"})))</f>
        <v>11_12_A</v>
      </c>
      <c r="H572" t="str" cm="1">
        <f t="array" ref="H57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72" cm="1">
        <f t="array" ref="I57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72" t="str">
        <f>IF(IFERROR(SEARCH("&gt;",PartList[[#This Row],[ID]]),0),"O",IF(IFERROR(SEARCH("&lt;",PartList[[#This Row],[ID]]),0),"I",""))</f>
        <v/>
      </c>
      <c r="K572" t="str" cm="1">
        <f t="array" ref="K5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72" t="str" cm="1">
        <f t="array" ref="L5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72" t="str">
        <f>_xlfn.TEXTJOIN("#",TRUE,PartList[[#This Row],[ASSLY MARK]],PartList[[#This Row],[BOX NO]],PartList[[#This Row],[In/Out]],PartList[[#This Row],[O1-Grid]])</f>
        <v>VB47#Box1_Box2#InBB</v>
      </c>
      <c r="N572" t="str">
        <f>_xlfn.TEXTJOIN("#",TRUE,PartList[[#This Row],[ASSLY MARK]],PartList[[#This Row],[BOX NO]],PartList[[#This Row],[In/Out]],PartList[[#This Row],[O2-Grid]])</f>
        <v>VB47#Box1_Box2#InBB</v>
      </c>
      <c r="O572">
        <f>IF(PartList[[#This Row],[Unique]]="Yes",_xlfn.XLOOKUP(PartList[[#This Row],[ASSLY MARK]],FilteredPL!A:A,FilteredPL!B:B,0,0),0)</f>
        <v>0</v>
      </c>
      <c r="P572">
        <f>_xlfn.XLOOKUP(PartList[[#This Row],[ASSLY MARK]],MasterPL[SplitMarkNo],MasterPL[BILL WT.(KG)],0,0)</f>
        <v>0</v>
      </c>
      <c r="Q572" cm="1">
        <f t="array" ref="Q57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72" t="str">
        <v>4BE51</v>
      </c>
      <c r="AB572" s="42">
        <f>SUMIF(PartList[ASSLY MARK],AA572,PartList[Avail. Qty])</f>
        <v>0</v>
      </c>
    </row>
    <row r="573" spans="1:28" x14ac:dyDescent="0.25">
      <c r="A573">
        <v>1287</v>
      </c>
      <c r="B573" t="s">
        <v>490</v>
      </c>
      <c r="C573" t="s">
        <v>529</v>
      </c>
      <c r="D573" t="s">
        <v>1150</v>
      </c>
      <c r="E573" t="s">
        <v>1122</v>
      </c>
      <c r="F573" t="str" cm="1">
        <f t="array" ref="F573">IF(SUM(IF(PartList[ASSLY MARK]=PartList[[#This Row],[ASSLY MARK]],1,0))&gt;1,"No","Yes")</f>
        <v>No</v>
      </c>
      <c r="G573" t="str" cm="1">
        <f t="array" ref="G573">_xlfn.TEXTJOIN("_",TRUE,TRIM(_xlfn.TEXTSPLIT(PartList[[#This Row],[GRID LOCATION]],{"PR01","/","-"})))</f>
        <v>11_A_B</v>
      </c>
      <c r="H573" t="str" cm="1">
        <f t="array" ref="H57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73" cm="1">
        <f t="array" ref="I57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73" t="str">
        <f>IF(IFERROR(SEARCH("&gt;",PartList[[#This Row],[ID]]),0),"O",IF(IFERROR(SEARCH("&lt;",PartList[[#This Row],[ID]]),0),"I",""))</f>
        <v/>
      </c>
      <c r="K573" t="str" cm="1">
        <f t="array" ref="K5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11_A_B</v>
      </c>
      <c r="L573" t="str" cm="1">
        <f t="array" ref="L5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573" t="str">
        <f>_xlfn.TEXTJOIN("#",TRUE,PartList[[#This Row],[ASSLY MARK]],PartList[[#This Row],[BOX NO]],PartList[[#This Row],[In/Out]],PartList[[#This Row],[O1-Grid]])</f>
        <v>VB48#Box1#11_A_B</v>
      </c>
      <c r="N573" t="str">
        <f>_xlfn.TEXTJOIN("#",TRUE,PartList[[#This Row],[ASSLY MARK]],PartList[[#This Row],[BOX NO]],PartList[[#This Row],[In/Out]],PartList[[#This Row],[O2-Grid]])</f>
        <v>VB48#Box1#InB</v>
      </c>
      <c r="O573">
        <f>IF(PartList[[#This Row],[Unique]]="Yes",_xlfn.XLOOKUP(PartList[[#This Row],[ASSLY MARK]],FilteredPL!A:A,FilteredPL!B:B,0,0),0)</f>
        <v>0</v>
      </c>
      <c r="P573">
        <f>_xlfn.XLOOKUP(PartList[[#This Row],[ASSLY MARK]],MasterPL[SplitMarkNo],MasterPL[BILL WT.(KG)],0,0)</f>
        <v>0</v>
      </c>
      <c r="Q573" cm="1">
        <f t="array" ref="Q57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73" t="str">
        <v>4BE52</v>
      </c>
      <c r="AB573" s="42">
        <f>SUMIF(PartList[ASSLY MARK],AA573,PartList[Avail. Qty])</f>
        <v>0</v>
      </c>
    </row>
    <row r="574" spans="1:28" x14ac:dyDescent="0.25">
      <c r="A574">
        <v>1288</v>
      </c>
      <c r="B574" t="s">
        <v>490</v>
      </c>
      <c r="C574" t="s">
        <v>529</v>
      </c>
      <c r="D574" t="s">
        <v>1150</v>
      </c>
      <c r="E574" t="s">
        <v>1122</v>
      </c>
      <c r="F574" t="str" cm="1">
        <f t="array" ref="F574">IF(SUM(IF(PartList[ASSLY MARK]=PartList[[#This Row],[ASSLY MARK]],1,0))&gt;1,"No","Yes")</f>
        <v>No</v>
      </c>
      <c r="G574" t="str" cm="1">
        <f t="array" ref="G574">_xlfn.TEXTJOIN("_",TRUE,TRIM(_xlfn.TEXTSPLIT(PartList[[#This Row],[GRID LOCATION]],{"PR01","/","-"})))</f>
        <v>11_A_B</v>
      </c>
      <c r="H574" t="str" cm="1">
        <f t="array" ref="H57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</v>
      </c>
      <c r="I574" cm="1">
        <f t="array" ref="I57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74" t="str">
        <f>IF(IFERROR(SEARCH("&gt;",PartList[[#This Row],[ID]]),0),"O",IF(IFERROR(SEARCH("&lt;",PartList[[#This Row],[ID]]),0),"I",""))</f>
        <v/>
      </c>
      <c r="K574" t="str" cm="1">
        <f t="array" ref="K5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11_A_B</v>
      </c>
      <c r="L574" t="str" cm="1">
        <f t="array" ref="L5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574" t="str">
        <f>_xlfn.TEXTJOIN("#",TRUE,PartList[[#This Row],[ASSLY MARK]],PartList[[#This Row],[BOX NO]],PartList[[#This Row],[In/Out]],PartList[[#This Row],[O1-Grid]])</f>
        <v>VB48#Box1#11_A_B</v>
      </c>
      <c r="N574" t="str">
        <f>_xlfn.TEXTJOIN("#",TRUE,PartList[[#This Row],[ASSLY MARK]],PartList[[#This Row],[BOX NO]],PartList[[#This Row],[In/Out]],PartList[[#This Row],[O2-Grid]])</f>
        <v>VB48#Box1#InB</v>
      </c>
      <c r="O574">
        <f>IF(PartList[[#This Row],[Unique]]="Yes",_xlfn.XLOOKUP(PartList[[#This Row],[ASSLY MARK]],FilteredPL!A:A,FilteredPL!B:B,0,0),0)</f>
        <v>0</v>
      </c>
      <c r="P574">
        <f>_xlfn.XLOOKUP(PartList[[#This Row],[ASSLY MARK]],MasterPL[SplitMarkNo],MasterPL[BILL WT.(KG)],0,0)</f>
        <v>0</v>
      </c>
      <c r="Q574" cm="1">
        <f t="array" ref="Q57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74" t="str">
        <v>4FR01</v>
      </c>
      <c r="AB574" s="42">
        <f>SUMIF(PartList[ASSLY MARK],AA574,PartList[Avail. Qty])</f>
        <v>0</v>
      </c>
    </row>
    <row r="575" spans="1:28" x14ac:dyDescent="0.25">
      <c r="A575">
        <v>1289</v>
      </c>
      <c r="B575" t="s">
        <v>490</v>
      </c>
      <c r="C575" t="s">
        <v>532</v>
      </c>
      <c r="D575" t="s">
        <v>1150</v>
      </c>
      <c r="E575" t="s">
        <v>1122</v>
      </c>
      <c r="F575" t="str" cm="1">
        <f t="array" ref="F575">IF(SUM(IF(PartList[ASSLY MARK]=PartList[[#This Row],[ASSLY MARK]],1,0))&gt;1,"No","Yes")</f>
        <v>No</v>
      </c>
      <c r="G575" t="str" cm="1">
        <f t="array" ref="G575">_xlfn.TEXTJOIN("_",TRUE,TRIM(_xlfn.TEXTSPLIT(PartList[[#This Row],[GRID LOCATION]],{"PR01","/","-"})))</f>
        <v>11_12_A_B</v>
      </c>
      <c r="H575" t="str" cm="1">
        <f t="array" ref="H57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75" cm="1">
        <f t="array" ref="I57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75" t="str">
        <f>IF(IFERROR(SEARCH("&gt;",PartList[[#This Row],[ID]]),0),"O",IF(IFERROR(SEARCH("&lt;",PartList[[#This Row],[ID]]),0),"I",""))</f>
        <v/>
      </c>
      <c r="K575" t="str" cm="1">
        <f t="array" ref="K5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75" t="str" cm="1">
        <f t="array" ref="L5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75" t="str">
        <f>_xlfn.TEXTJOIN("#",TRUE,PartList[[#This Row],[ASSLY MARK]],PartList[[#This Row],[BOX NO]],PartList[[#This Row],[In/Out]],PartList[[#This Row],[O1-Grid]])</f>
        <v>VB48#Box1_Box2#InBB</v>
      </c>
      <c r="N575" t="str">
        <f>_xlfn.TEXTJOIN("#",TRUE,PartList[[#This Row],[ASSLY MARK]],PartList[[#This Row],[BOX NO]],PartList[[#This Row],[In/Out]],PartList[[#This Row],[O2-Grid]])</f>
        <v>VB48#Box1_Box2#InBB</v>
      </c>
      <c r="O575">
        <f>IF(PartList[[#This Row],[Unique]]="Yes",_xlfn.XLOOKUP(PartList[[#This Row],[ASSLY MARK]],FilteredPL!A:A,FilteredPL!B:B,0,0),0)</f>
        <v>0</v>
      </c>
      <c r="P575">
        <f>_xlfn.XLOOKUP(PartList[[#This Row],[ASSLY MARK]],MasterPL[SplitMarkNo],MasterPL[BILL WT.(KG)],0,0)</f>
        <v>0</v>
      </c>
      <c r="Q575" cm="1">
        <f t="array" ref="Q57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75" t="str">
        <v>4FR03</v>
      </c>
      <c r="AB575" s="42">
        <f>SUMIF(PartList[ASSLY MARK],AA575,PartList[Avail. Qty])</f>
        <v>0</v>
      </c>
    </row>
    <row r="576" spans="1:28" x14ac:dyDescent="0.25">
      <c r="A576">
        <v>1290</v>
      </c>
      <c r="B576" t="s">
        <v>490</v>
      </c>
      <c r="C576" t="s">
        <v>532</v>
      </c>
      <c r="D576" t="s">
        <v>1150</v>
      </c>
      <c r="E576" t="s">
        <v>1122</v>
      </c>
      <c r="F576" t="str" cm="1">
        <f t="array" ref="F576">IF(SUM(IF(PartList[ASSLY MARK]=PartList[[#This Row],[ASSLY MARK]],1,0))&gt;1,"No","Yes")</f>
        <v>No</v>
      </c>
      <c r="G576" t="str" cm="1">
        <f t="array" ref="G576">_xlfn.TEXTJOIN("_",TRUE,TRIM(_xlfn.TEXTSPLIT(PartList[[#This Row],[GRID LOCATION]],{"PR01","/","-"})))</f>
        <v>11_12_A_B</v>
      </c>
      <c r="H576" t="str" cm="1">
        <f t="array" ref="H57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76" cm="1">
        <f t="array" ref="I57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76" t="str">
        <f>IF(IFERROR(SEARCH("&gt;",PartList[[#This Row],[ID]]),0),"O",IF(IFERROR(SEARCH("&lt;",PartList[[#This Row],[ID]]),0),"I",""))</f>
        <v/>
      </c>
      <c r="K576" t="str" cm="1">
        <f t="array" ref="K5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76" t="str" cm="1">
        <f t="array" ref="L5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76" t="str">
        <f>_xlfn.TEXTJOIN("#",TRUE,PartList[[#This Row],[ASSLY MARK]],PartList[[#This Row],[BOX NO]],PartList[[#This Row],[In/Out]],PartList[[#This Row],[O1-Grid]])</f>
        <v>VB48#Box1_Box2#InBB</v>
      </c>
      <c r="N576" t="str">
        <f>_xlfn.TEXTJOIN("#",TRUE,PartList[[#This Row],[ASSLY MARK]],PartList[[#This Row],[BOX NO]],PartList[[#This Row],[In/Out]],PartList[[#This Row],[O2-Grid]])</f>
        <v>VB48#Box1_Box2#InBB</v>
      </c>
      <c r="O576">
        <f>IF(PartList[[#This Row],[Unique]]="Yes",_xlfn.XLOOKUP(PartList[[#This Row],[ASSLY MARK]],FilteredPL!A:A,FilteredPL!B:B,0,0),0)</f>
        <v>0</v>
      </c>
      <c r="P576">
        <f>_xlfn.XLOOKUP(PartList[[#This Row],[ASSLY MARK]],MasterPL[SplitMarkNo],MasterPL[BILL WT.(KG)],0,0)</f>
        <v>0</v>
      </c>
      <c r="Q576" cm="1">
        <f t="array" ref="Q57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76" t="str">
        <v>4FR04</v>
      </c>
      <c r="AB576" s="42">
        <f>SUMIF(PartList[ASSLY MARK],AA576,PartList[Avail. Qty])</f>
        <v>0</v>
      </c>
    </row>
    <row r="577" spans="1:28" x14ac:dyDescent="0.25">
      <c r="A577">
        <v>1326</v>
      </c>
      <c r="B577" t="s">
        <v>1191</v>
      </c>
      <c r="C577" t="s">
        <v>619</v>
      </c>
      <c r="D577" t="s">
        <v>1150</v>
      </c>
      <c r="E577" t="s">
        <v>1122</v>
      </c>
      <c r="F577" t="str" cm="1">
        <f t="array" ref="F577">IF(SUM(IF(PartList[ASSLY MARK]=PartList[[#This Row],[ASSLY MARK]],1,0))&gt;1,"No","Yes")</f>
        <v>Yes</v>
      </c>
      <c r="G577" t="str" cm="1">
        <f t="array" ref="G577">_xlfn.TEXTJOIN("_",TRUE,TRIM(_xlfn.TEXTSPLIT(PartList[[#This Row],[GRID LOCATION]],{"PR01","/","-"})))</f>
        <v>14_B&gt;</v>
      </c>
      <c r="H577" t="str" cm="1">
        <f t="array" ref="H57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577" cm="1">
        <f t="array" ref="I57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77" t="str">
        <f>IF(IFERROR(SEARCH("&gt;",PartList[[#This Row],[ID]]),0),"O",IF(IFERROR(SEARCH("&lt;",PartList[[#This Row],[ID]]),0),"I",""))</f>
        <v>O</v>
      </c>
      <c r="K577" t="str" cm="1">
        <f t="array" ref="K5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577" t="str" cm="1">
        <f t="array" ref="L5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577" t="str">
        <f>_xlfn.TEXTJOIN("#",TRUE,PartList[[#This Row],[ASSLY MARK]],PartList[[#This Row],[BOX NO]],PartList[[#This Row],[In/Out]],PartList[[#This Row],[O1-Grid]])</f>
        <v>VB77#Box1_Box2_Box3_Box6#O</v>
      </c>
      <c r="N577" t="str">
        <f>_xlfn.TEXTJOIN("#",TRUE,PartList[[#This Row],[ASSLY MARK]],PartList[[#This Row],[BOX NO]],PartList[[#This Row],[In/Out]],PartList[[#This Row],[O2-Grid]])</f>
        <v>VB77#Box1_Box2_Box3_Box6#O</v>
      </c>
      <c r="O577">
        <f>IF(PartList[[#This Row],[Unique]]="Yes",_xlfn.XLOOKUP(PartList[[#This Row],[ASSLY MARK]],FilteredPL!A:A,FilteredPL!B:B,0,0),0)</f>
        <v>0</v>
      </c>
      <c r="P577">
        <f>_xlfn.XLOOKUP(PartList[[#This Row],[ASSLY MARK]],MasterPL[SplitMarkNo],MasterPL[BILL WT.(KG)],0,0)</f>
        <v>0</v>
      </c>
      <c r="Q577" cm="1">
        <f t="array" ref="Q57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77" t="str">
        <v>4HB02</v>
      </c>
      <c r="AB577" s="42">
        <f>SUMIF(PartList[ASSLY MARK],AA577,PartList[Avail. Qty])</f>
        <v>0</v>
      </c>
    </row>
    <row r="578" spans="1:28" x14ac:dyDescent="0.25">
      <c r="A578">
        <v>1327</v>
      </c>
      <c r="B578" t="s">
        <v>1192</v>
      </c>
      <c r="C578" t="s">
        <v>619</v>
      </c>
      <c r="D578" t="s">
        <v>1193</v>
      </c>
      <c r="E578" t="s">
        <v>1122</v>
      </c>
      <c r="F578" t="str" cm="1">
        <f t="array" ref="F578">IF(SUM(IF(PartList[ASSLY MARK]=PartList[[#This Row],[ASSLY MARK]],1,0))&gt;1,"No","Yes")</f>
        <v>Yes</v>
      </c>
      <c r="G578" t="str" cm="1">
        <f t="array" ref="G578">_xlfn.TEXTJOIN("_",TRUE,TRIM(_xlfn.TEXTSPLIT(PartList[[#This Row],[GRID LOCATION]],{"PR01","/","-"})))</f>
        <v>14_B&gt;</v>
      </c>
      <c r="H578" t="str" cm="1">
        <f t="array" ref="H57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Box1_Box2_Box3_Box6</v>
      </c>
      <c r="I578" cm="1">
        <f t="array" ref="I57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78" t="str">
        <f>IF(IFERROR(SEARCH("&gt;",PartList[[#This Row],[ID]]),0),"O",IF(IFERROR(SEARCH("&lt;",PartList[[#This Row],[ID]]),0),"I",""))</f>
        <v>O</v>
      </c>
      <c r="K578" t="str" cm="1">
        <f t="array" ref="K5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578" t="str" cm="1">
        <f t="array" ref="L5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578" t="str">
        <f>_xlfn.TEXTJOIN("#",TRUE,PartList[[#This Row],[ASSLY MARK]],PartList[[#This Row],[BOX NO]],PartList[[#This Row],[In/Out]],PartList[[#This Row],[O1-Grid]])</f>
        <v>VB78#Box1_Box2_Box3_Box6#O</v>
      </c>
      <c r="N578" t="str">
        <f>_xlfn.TEXTJOIN("#",TRUE,PartList[[#This Row],[ASSLY MARK]],PartList[[#This Row],[BOX NO]],PartList[[#This Row],[In/Out]],PartList[[#This Row],[O2-Grid]])</f>
        <v>VB78#Box1_Box2_Box3_Box6#O</v>
      </c>
      <c r="O578">
        <f>IF(PartList[[#This Row],[Unique]]="Yes",_xlfn.XLOOKUP(PartList[[#This Row],[ASSLY MARK]],FilteredPL!A:A,FilteredPL!B:B,0,0),0)</f>
        <v>0</v>
      </c>
      <c r="P578">
        <f>_xlfn.XLOOKUP(PartList[[#This Row],[ASSLY MARK]],MasterPL[SplitMarkNo],MasterPL[BILL WT.(KG)],0,0)</f>
        <v>0</v>
      </c>
      <c r="Q578" cm="1">
        <f t="array" ref="Q57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78" t="str">
        <v>4HB03</v>
      </c>
      <c r="AB578" s="42">
        <f>SUMIF(PartList[ASSLY MARK],AA578,PartList[Avail. Qty])</f>
        <v>0</v>
      </c>
    </row>
    <row r="579" spans="1:28" x14ac:dyDescent="0.25">
      <c r="A579">
        <v>1344</v>
      </c>
      <c r="B579" t="s">
        <v>1211</v>
      </c>
      <c r="C579" t="s">
        <v>512</v>
      </c>
      <c r="D579" t="s">
        <v>1145</v>
      </c>
      <c r="E579" t="s">
        <v>1122</v>
      </c>
      <c r="F579" t="str" cm="1">
        <f t="array" ref="F579">IF(SUM(IF(PartList[ASSLY MARK]=PartList[[#This Row],[ASSLY MARK]],1,0))&gt;1,"No","Yes")</f>
        <v>Yes</v>
      </c>
      <c r="G579" t="str" cm="1">
        <f t="array" ref="G579">_xlfn.TEXTJOIN("_",TRUE,TRIM(_xlfn.TEXTSPLIT(PartList[[#This Row],[GRID LOCATION]],{"PR01","/","-"})))</f>
        <v>10_11_A'_A</v>
      </c>
      <c r="H579" t="str" cm="1">
        <f t="array" ref="H57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579" cm="1">
        <f t="array" ref="I57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79" t="str">
        <f>IF(IFERROR(SEARCH("&gt;",PartList[[#This Row],[ID]]),0),"O",IF(IFERROR(SEARCH("&lt;",PartList[[#This Row],[ID]]),0),"I",""))</f>
        <v/>
      </c>
      <c r="K579" t="str" cm="1">
        <f t="array" ref="K5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79" t="str" cm="1">
        <f t="array" ref="L5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79" t="str">
        <f>_xlfn.TEXTJOIN("#",TRUE,PartList[[#This Row],[ASSLY MARK]],PartList[[#This Row],[BOX NO]],PartList[[#This Row],[In/Out]],PartList[[#This Row],[O1-Grid]])</f>
        <v>VB92#Box1_Box4#InBB</v>
      </c>
      <c r="N579" t="str">
        <f>_xlfn.TEXTJOIN("#",TRUE,PartList[[#This Row],[ASSLY MARK]],PartList[[#This Row],[BOX NO]],PartList[[#This Row],[In/Out]],PartList[[#This Row],[O2-Grid]])</f>
        <v>VB92#Box1_Box4#InBB</v>
      </c>
      <c r="O579">
        <f>IF(PartList[[#This Row],[Unique]]="Yes",_xlfn.XLOOKUP(PartList[[#This Row],[ASSLY MARK]],FilteredPL!A:A,FilteredPL!B:B,0,0),0)</f>
        <v>0</v>
      </c>
      <c r="P579">
        <f>_xlfn.XLOOKUP(PartList[[#This Row],[ASSLY MARK]],MasterPL[SplitMarkNo],MasterPL[BILL WT.(KG)],0,0)</f>
        <v>0</v>
      </c>
      <c r="Q579" cm="1">
        <f t="array" ref="Q57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79" t="str">
        <v>4HB04</v>
      </c>
      <c r="AB579" s="42">
        <f>SUMIF(PartList[ASSLY MARK],AA579,PartList[Avail. Qty])</f>
        <v>0</v>
      </c>
    </row>
    <row r="580" spans="1:28" x14ac:dyDescent="0.25">
      <c r="A580">
        <v>1345</v>
      </c>
      <c r="B580" t="s">
        <v>1212</v>
      </c>
      <c r="C580" t="s">
        <v>512</v>
      </c>
      <c r="D580" t="s">
        <v>1131</v>
      </c>
      <c r="E580" t="s">
        <v>1122</v>
      </c>
      <c r="F580" t="str" cm="1">
        <f t="array" ref="F580">IF(SUM(IF(PartList[ASSLY MARK]=PartList[[#This Row],[ASSLY MARK]],1,0))&gt;1,"No","Yes")</f>
        <v>Yes</v>
      </c>
      <c r="G580" t="str" cm="1">
        <f t="array" ref="G580">_xlfn.TEXTJOIN("_",TRUE,TRIM(_xlfn.TEXTSPLIT(PartList[[#This Row],[GRID LOCATION]],{"PR01","/","-"})))</f>
        <v>10_11_A'_A</v>
      </c>
      <c r="H580" t="str" cm="1">
        <f t="array" ref="H58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580" cm="1">
        <f t="array" ref="I58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80" t="str">
        <f>IF(IFERROR(SEARCH("&gt;",PartList[[#This Row],[ID]]),0),"O",IF(IFERROR(SEARCH("&lt;",PartList[[#This Row],[ID]]),0),"I",""))</f>
        <v/>
      </c>
      <c r="K580" t="str" cm="1">
        <f t="array" ref="K5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80" t="str" cm="1">
        <f t="array" ref="L5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80" t="str">
        <f>_xlfn.TEXTJOIN("#",TRUE,PartList[[#This Row],[ASSLY MARK]],PartList[[#This Row],[BOX NO]],PartList[[#This Row],[In/Out]],PartList[[#This Row],[O1-Grid]])</f>
        <v>VB93#Box1_Box4#InBB</v>
      </c>
      <c r="N580" t="str">
        <f>_xlfn.TEXTJOIN("#",TRUE,PartList[[#This Row],[ASSLY MARK]],PartList[[#This Row],[BOX NO]],PartList[[#This Row],[In/Out]],PartList[[#This Row],[O2-Grid]])</f>
        <v>VB93#Box1_Box4#InBB</v>
      </c>
      <c r="O580">
        <f>IF(PartList[[#This Row],[Unique]]="Yes",_xlfn.XLOOKUP(PartList[[#This Row],[ASSLY MARK]],FilteredPL!A:A,FilteredPL!B:B,0,0),0)</f>
        <v>0</v>
      </c>
      <c r="P580">
        <f>_xlfn.XLOOKUP(PartList[[#This Row],[ASSLY MARK]],MasterPL[SplitMarkNo],MasterPL[BILL WT.(KG)],0,0)</f>
        <v>0</v>
      </c>
      <c r="Q580" cm="1">
        <f t="array" ref="Q58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80" t="str">
        <v>4HB05</v>
      </c>
      <c r="AB580" s="42">
        <f>SUMIF(PartList[ASSLY MARK],AA580,PartList[Avail. Qty])</f>
        <v>0</v>
      </c>
    </row>
    <row r="581" spans="1:28" x14ac:dyDescent="0.25">
      <c r="A581">
        <v>1347</v>
      </c>
      <c r="B581" t="s">
        <v>1216</v>
      </c>
      <c r="C581" t="s">
        <v>531</v>
      </c>
      <c r="D581" t="s">
        <v>1217</v>
      </c>
      <c r="E581" t="s">
        <v>1122</v>
      </c>
      <c r="F581" t="str" cm="1">
        <f t="array" ref="F581">IF(SUM(IF(PartList[ASSLY MARK]=PartList[[#This Row],[ASSLY MARK]],1,0))&gt;1,"No","Yes")</f>
        <v>Yes</v>
      </c>
      <c r="G581" t="str" cm="1">
        <f t="array" ref="G581">_xlfn.TEXTJOIN("_",TRUE,TRIM(_xlfn.TEXTSPLIT(PartList[[#This Row],[GRID LOCATION]],{"PR01","/","-"})))</f>
        <v>11_12_B&gt;</v>
      </c>
      <c r="H581" t="str" cm="1">
        <f t="array" ref="H58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81" cm="1">
        <f t="array" ref="I58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81" t="str">
        <f>IF(IFERROR(SEARCH("&gt;",PartList[[#This Row],[ID]]),0),"O",IF(IFERROR(SEARCH("&lt;",PartList[[#This Row],[ID]]),0),"I",""))</f>
        <v>O</v>
      </c>
      <c r="K581" t="str" cm="1">
        <f t="array" ref="K5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581" t="str" cm="1">
        <f t="array" ref="L5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581" t="str">
        <f>_xlfn.TEXTJOIN("#",TRUE,PartList[[#This Row],[ASSLY MARK]],PartList[[#This Row],[BOX NO]],PartList[[#This Row],[In/Out]],PartList[[#This Row],[O1-Grid]])</f>
        <v>VB95#Box1_Box2#O</v>
      </c>
      <c r="N581" t="str">
        <f>_xlfn.TEXTJOIN("#",TRUE,PartList[[#This Row],[ASSLY MARK]],PartList[[#This Row],[BOX NO]],PartList[[#This Row],[In/Out]],PartList[[#This Row],[O2-Grid]])</f>
        <v>VB95#Box1_Box2#O</v>
      </c>
      <c r="O581">
        <f>IF(PartList[[#This Row],[Unique]]="Yes",_xlfn.XLOOKUP(PartList[[#This Row],[ASSLY MARK]],FilteredPL!A:A,FilteredPL!B:B,0,0),0)</f>
        <v>0</v>
      </c>
      <c r="P581">
        <f>_xlfn.XLOOKUP(PartList[[#This Row],[ASSLY MARK]],MasterPL[SplitMarkNo],MasterPL[BILL WT.(KG)],0,0)</f>
        <v>0</v>
      </c>
      <c r="Q581" cm="1">
        <f t="array" ref="Q58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81" t="str">
        <v>4HB06</v>
      </c>
      <c r="AB581" s="42">
        <f>SUMIF(PartList[ASSLY MARK],AA581,PartList[Avail. Qty])</f>
        <v>0</v>
      </c>
    </row>
    <row r="582" spans="1:28" x14ac:dyDescent="0.25">
      <c r="A582">
        <v>1348</v>
      </c>
      <c r="B582" t="s">
        <v>1218</v>
      </c>
      <c r="C582" t="s">
        <v>531</v>
      </c>
      <c r="D582" t="s">
        <v>476</v>
      </c>
      <c r="E582" t="s">
        <v>1122</v>
      </c>
      <c r="F582" t="str" cm="1">
        <f t="array" ref="F582">IF(SUM(IF(PartList[ASSLY MARK]=PartList[[#This Row],[ASSLY MARK]],1,0))&gt;1,"No","Yes")</f>
        <v>Yes</v>
      </c>
      <c r="G582" t="str" cm="1">
        <f t="array" ref="G582">_xlfn.TEXTJOIN("_",TRUE,TRIM(_xlfn.TEXTSPLIT(PartList[[#This Row],[GRID LOCATION]],{"PR01","/","-"})))</f>
        <v>11_12_B&gt;</v>
      </c>
      <c r="H582" t="str" cm="1">
        <f t="array" ref="H58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82" cm="1">
        <f t="array" ref="I58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82" t="str">
        <f>IF(IFERROR(SEARCH("&gt;",PartList[[#This Row],[ID]]),0),"O",IF(IFERROR(SEARCH("&lt;",PartList[[#This Row],[ID]]),0),"I",""))</f>
        <v>O</v>
      </c>
      <c r="K582" t="str" cm="1">
        <f t="array" ref="K5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582" t="str" cm="1">
        <f t="array" ref="L5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582" t="str">
        <f>_xlfn.TEXTJOIN("#",TRUE,PartList[[#This Row],[ASSLY MARK]],PartList[[#This Row],[BOX NO]],PartList[[#This Row],[In/Out]],PartList[[#This Row],[O1-Grid]])</f>
        <v>VB96#Box1_Box2#O</v>
      </c>
      <c r="N582" t="str">
        <f>_xlfn.TEXTJOIN("#",TRUE,PartList[[#This Row],[ASSLY MARK]],PartList[[#This Row],[BOX NO]],PartList[[#This Row],[In/Out]],PartList[[#This Row],[O2-Grid]])</f>
        <v>VB96#Box1_Box2#O</v>
      </c>
      <c r="O582">
        <f>IF(PartList[[#This Row],[Unique]]="Yes",_xlfn.XLOOKUP(PartList[[#This Row],[ASSLY MARK]],FilteredPL!A:A,FilteredPL!B:B,0,0),0)</f>
        <v>0</v>
      </c>
      <c r="P582">
        <f>_xlfn.XLOOKUP(PartList[[#This Row],[ASSLY MARK]],MasterPL[SplitMarkNo],MasterPL[BILL WT.(KG)],0,0)</f>
        <v>0</v>
      </c>
      <c r="Q582" cm="1">
        <f t="array" ref="Q58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82" t="str">
        <v>4HB07</v>
      </c>
      <c r="AB582" s="42">
        <f>SUMIF(PartList[ASSLY MARK],AA582,PartList[Avail. Qty])</f>
        <v>0</v>
      </c>
    </row>
    <row r="583" spans="1:28" x14ac:dyDescent="0.25">
      <c r="A583">
        <v>1349</v>
      </c>
      <c r="B583" t="s">
        <v>1219</v>
      </c>
      <c r="C583" t="s">
        <v>531</v>
      </c>
      <c r="D583" t="s">
        <v>1220</v>
      </c>
      <c r="E583" t="s">
        <v>1122</v>
      </c>
      <c r="F583" t="str" cm="1">
        <f t="array" ref="F583">IF(SUM(IF(PartList[ASSLY MARK]=PartList[[#This Row],[ASSLY MARK]],1,0))&gt;1,"No","Yes")</f>
        <v>Yes</v>
      </c>
      <c r="G583" t="str" cm="1">
        <f t="array" ref="G583">_xlfn.TEXTJOIN("_",TRUE,TRIM(_xlfn.TEXTSPLIT(PartList[[#This Row],[GRID LOCATION]],{"PR01","/","-"})))</f>
        <v>11_12_B&gt;</v>
      </c>
      <c r="H583" t="str" cm="1">
        <f t="array" ref="H58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83" cm="1">
        <f t="array" ref="I58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83" t="str">
        <f>IF(IFERROR(SEARCH("&gt;",PartList[[#This Row],[ID]]),0),"O",IF(IFERROR(SEARCH("&lt;",PartList[[#This Row],[ID]]),0),"I",""))</f>
        <v>O</v>
      </c>
      <c r="K583" t="str" cm="1">
        <f t="array" ref="K5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583" t="str" cm="1">
        <f t="array" ref="L5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583" t="str">
        <f>_xlfn.TEXTJOIN("#",TRUE,PartList[[#This Row],[ASSLY MARK]],PartList[[#This Row],[BOX NO]],PartList[[#This Row],[In/Out]],PartList[[#This Row],[O1-Grid]])</f>
        <v>VB97#Box1_Box2#O</v>
      </c>
      <c r="N583" t="str">
        <f>_xlfn.TEXTJOIN("#",TRUE,PartList[[#This Row],[ASSLY MARK]],PartList[[#This Row],[BOX NO]],PartList[[#This Row],[In/Out]],PartList[[#This Row],[O2-Grid]])</f>
        <v>VB97#Box1_Box2#O</v>
      </c>
      <c r="O583">
        <f>IF(PartList[[#This Row],[Unique]]="Yes",_xlfn.XLOOKUP(PartList[[#This Row],[ASSLY MARK]],FilteredPL!A:A,FilteredPL!B:B,0,0),0)</f>
        <v>0</v>
      </c>
      <c r="P583">
        <f>_xlfn.XLOOKUP(PartList[[#This Row],[ASSLY MARK]],MasterPL[SplitMarkNo],MasterPL[BILL WT.(KG)],0,0)</f>
        <v>0</v>
      </c>
      <c r="Q583" cm="1">
        <f t="array" ref="Q58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83" t="str">
        <v>4HB08</v>
      </c>
      <c r="AB583" s="42">
        <f>SUMIF(PartList[ASSLY MARK],AA583,PartList[Avail. Qty])</f>
        <v>0</v>
      </c>
    </row>
    <row r="584" spans="1:28" x14ac:dyDescent="0.25">
      <c r="A584">
        <v>1350</v>
      </c>
      <c r="B584" t="s">
        <v>1221</v>
      </c>
      <c r="C584" t="s">
        <v>531</v>
      </c>
      <c r="D584" t="s">
        <v>1133</v>
      </c>
      <c r="E584" t="s">
        <v>1122</v>
      </c>
      <c r="F584" t="str" cm="1">
        <f t="array" ref="F584">IF(SUM(IF(PartList[ASSLY MARK]=PartList[[#This Row],[ASSLY MARK]],1,0))&gt;1,"No","Yes")</f>
        <v>Yes</v>
      </c>
      <c r="G584" t="str" cm="1">
        <f t="array" ref="G584">_xlfn.TEXTJOIN("_",TRUE,TRIM(_xlfn.TEXTSPLIT(PartList[[#This Row],[GRID LOCATION]],{"PR01","/","-"})))</f>
        <v>11_12_B&gt;</v>
      </c>
      <c r="H584" t="str" cm="1">
        <f t="array" ref="H58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84" cm="1">
        <f t="array" ref="I58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84" t="str">
        <f>IF(IFERROR(SEARCH("&gt;",PartList[[#This Row],[ID]]),0),"O",IF(IFERROR(SEARCH("&lt;",PartList[[#This Row],[ID]]),0),"I",""))</f>
        <v>O</v>
      </c>
      <c r="K584" t="str" cm="1">
        <f t="array" ref="K5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584" t="str" cm="1">
        <f t="array" ref="L5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584" t="str">
        <f>_xlfn.TEXTJOIN("#",TRUE,PartList[[#This Row],[ASSLY MARK]],PartList[[#This Row],[BOX NO]],PartList[[#This Row],[In/Out]],PartList[[#This Row],[O1-Grid]])</f>
        <v>VB98#Box1_Box2#O</v>
      </c>
      <c r="N584" t="str">
        <f>_xlfn.TEXTJOIN("#",TRUE,PartList[[#This Row],[ASSLY MARK]],PartList[[#This Row],[BOX NO]],PartList[[#This Row],[In/Out]],PartList[[#This Row],[O2-Grid]])</f>
        <v>VB98#Box1_Box2#O</v>
      </c>
      <c r="O584">
        <f>IF(PartList[[#This Row],[Unique]]="Yes",_xlfn.XLOOKUP(PartList[[#This Row],[ASSLY MARK]],FilteredPL!A:A,FilteredPL!B:B,0,0),0)</f>
        <v>0</v>
      </c>
      <c r="P584">
        <f>_xlfn.XLOOKUP(PartList[[#This Row],[ASSLY MARK]],MasterPL[SplitMarkNo],MasterPL[BILL WT.(KG)],0,0)</f>
        <v>0</v>
      </c>
      <c r="Q584" cm="1">
        <f t="array" ref="Q58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84" t="str">
        <v>4HB09</v>
      </c>
      <c r="AB584" s="42">
        <f>SUMIF(PartList[ASSLY MARK],AA584,PartList[Avail. Qty])</f>
        <v>0</v>
      </c>
    </row>
    <row r="585" spans="1:28" x14ac:dyDescent="0.25">
      <c r="A585">
        <v>1351</v>
      </c>
      <c r="B585" t="s">
        <v>1222</v>
      </c>
      <c r="C585" t="s">
        <v>511</v>
      </c>
      <c r="D585" t="s">
        <v>1223</v>
      </c>
      <c r="E585" t="s">
        <v>1122</v>
      </c>
      <c r="F585" t="str" cm="1">
        <f t="array" ref="F585">IF(SUM(IF(PartList[ASSLY MARK]=PartList[[#This Row],[ASSLY MARK]],1,0))&gt;1,"No","Yes")</f>
        <v>Yes</v>
      </c>
      <c r="G585" t="str" cm="1">
        <f t="array" ref="G585">_xlfn.TEXTJOIN("_",TRUE,TRIM(_xlfn.TEXTSPLIT(PartList[[#This Row],[GRID LOCATION]],{"PR01","/","-"})))</f>
        <v>11_12_A'_A</v>
      </c>
      <c r="H585" t="str" cm="1">
        <f t="array" ref="H58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585" cm="1">
        <f t="array" ref="I58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85" t="str">
        <f>IF(IFERROR(SEARCH("&gt;",PartList[[#This Row],[ID]]),0),"O",IF(IFERROR(SEARCH("&lt;",PartList[[#This Row],[ID]]),0),"I",""))</f>
        <v/>
      </c>
      <c r="K585" t="str" cm="1">
        <f t="array" ref="K5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85" t="str" cm="1">
        <f t="array" ref="L5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85" t="str">
        <f>_xlfn.TEXTJOIN("#",TRUE,PartList[[#This Row],[ASSLY MARK]],PartList[[#This Row],[BOX NO]],PartList[[#This Row],[In/Out]],PartList[[#This Row],[O1-Grid]])</f>
        <v>VB99#Box1_Box2_Box4_Box5#InBB</v>
      </c>
      <c r="N585" t="str">
        <f>_xlfn.TEXTJOIN("#",TRUE,PartList[[#This Row],[ASSLY MARK]],PartList[[#This Row],[BOX NO]],PartList[[#This Row],[In/Out]],PartList[[#This Row],[O2-Grid]])</f>
        <v>VB99#Box1_Box2_Box4_Box5#InBB</v>
      </c>
      <c r="O585">
        <f>IF(PartList[[#This Row],[Unique]]="Yes",_xlfn.XLOOKUP(PartList[[#This Row],[ASSLY MARK]],FilteredPL!A:A,FilteredPL!B:B,0,0),0)</f>
        <v>0</v>
      </c>
      <c r="P585">
        <f>_xlfn.XLOOKUP(PartList[[#This Row],[ASSLY MARK]],MasterPL[SplitMarkNo],MasterPL[BILL WT.(KG)],0,0)</f>
        <v>0</v>
      </c>
      <c r="Q585" cm="1">
        <f t="array" ref="Q58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85" t="str">
        <v>4HB10</v>
      </c>
      <c r="AB585" s="42">
        <f>SUMIF(PartList[ASSLY MARK],AA585,PartList[Avail. Qty])</f>
        <v>0</v>
      </c>
    </row>
    <row r="586" spans="1:28" x14ac:dyDescent="0.25">
      <c r="A586">
        <v>1357</v>
      </c>
      <c r="B586" t="s">
        <v>1227</v>
      </c>
      <c r="C586" t="s">
        <v>512</v>
      </c>
      <c r="D586" t="s">
        <v>1131</v>
      </c>
      <c r="E586" t="s">
        <v>1122</v>
      </c>
      <c r="F586" t="str" cm="1">
        <f t="array" ref="F586">IF(SUM(IF(PartList[ASSLY MARK]=PartList[[#This Row],[ASSLY MARK]],1,0))&gt;1,"No","Yes")</f>
        <v>Yes</v>
      </c>
      <c r="G586" t="str" cm="1">
        <f t="array" ref="G586">_xlfn.TEXTJOIN("_",TRUE,TRIM(_xlfn.TEXTSPLIT(PartList[[#This Row],[GRID LOCATION]],{"PR01","/","-"})))</f>
        <v>10_11_A'_A</v>
      </c>
      <c r="H586" t="str" cm="1">
        <f t="array" ref="H58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Box1_Box4</v>
      </c>
      <c r="I586" cm="1">
        <f t="array" ref="I58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86" t="str">
        <f>IF(IFERROR(SEARCH("&gt;",PartList[[#This Row],[ID]]),0),"O",IF(IFERROR(SEARCH("&lt;",PartList[[#This Row],[ID]]),0),"I",""))</f>
        <v/>
      </c>
      <c r="K586" t="str" cm="1">
        <f t="array" ref="K5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86" t="str" cm="1">
        <f t="array" ref="L5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86" t="str">
        <f>_xlfn.TEXTJOIN("#",TRUE,PartList[[#This Row],[ASSLY MARK]],PartList[[#This Row],[BOX NO]],PartList[[#This Row],[In/Out]],PartList[[#This Row],[O1-Grid]])</f>
        <v>VB103#Box1_Box4#InBB</v>
      </c>
      <c r="N586" t="str">
        <f>_xlfn.TEXTJOIN("#",TRUE,PartList[[#This Row],[ASSLY MARK]],PartList[[#This Row],[BOX NO]],PartList[[#This Row],[In/Out]],PartList[[#This Row],[O2-Grid]])</f>
        <v>VB103#Box1_Box4#InBB</v>
      </c>
      <c r="O586">
        <f>IF(PartList[[#This Row],[Unique]]="Yes",_xlfn.XLOOKUP(PartList[[#This Row],[ASSLY MARK]],FilteredPL!A:A,FilteredPL!B:B,0,0),0)</f>
        <v>0</v>
      </c>
      <c r="P586">
        <f>_xlfn.XLOOKUP(PartList[[#This Row],[ASSLY MARK]],MasterPL[SplitMarkNo],MasterPL[BILL WT.(KG)],0,0)</f>
        <v>0</v>
      </c>
      <c r="Q586" cm="1">
        <f t="array" ref="Q58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86" t="str">
        <v>4HB11</v>
      </c>
      <c r="AB586" s="42">
        <f>SUMIF(PartList[ASSLY MARK],AA586,PartList[Avail. Qty])</f>
        <v>0</v>
      </c>
    </row>
    <row r="587" spans="1:28" x14ac:dyDescent="0.25">
      <c r="A587">
        <v>1358</v>
      </c>
      <c r="B587" t="s">
        <v>1228</v>
      </c>
      <c r="C587" t="s">
        <v>511</v>
      </c>
      <c r="D587" t="s">
        <v>1131</v>
      </c>
      <c r="E587" t="s">
        <v>1122</v>
      </c>
      <c r="F587" t="str" cm="1">
        <f t="array" ref="F587">IF(SUM(IF(PartList[ASSLY MARK]=PartList[[#This Row],[ASSLY MARK]],1,0))&gt;1,"No","Yes")</f>
        <v>Yes</v>
      </c>
      <c r="G587" t="str" cm="1">
        <f t="array" ref="G587">_xlfn.TEXTJOIN("_",TRUE,TRIM(_xlfn.TEXTSPLIT(PartList[[#This Row],[GRID LOCATION]],{"PR01","/","-"})))</f>
        <v>11_12_A'_A</v>
      </c>
      <c r="H587" t="str" cm="1">
        <f t="array" ref="H58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Box1_Box2_Box4_Box5</v>
      </c>
      <c r="I587" cm="1">
        <f t="array" ref="I58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87" t="str">
        <f>IF(IFERROR(SEARCH("&gt;",PartList[[#This Row],[ID]]),0),"O",IF(IFERROR(SEARCH("&lt;",PartList[[#This Row],[ID]]),0),"I",""))</f>
        <v/>
      </c>
      <c r="K587" t="str" cm="1">
        <f t="array" ref="K5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87" t="str" cm="1">
        <f t="array" ref="L5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87" t="str">
        <f>_xlfn.TEXTJOIN("#",TRUE,PartList[[#This Row],[ASSLY MARK]],PartList[[#This Row],[BOX NO]],PartList[[#This Row],[In/Out]],PartList[[#This Row],[O1-Grid]])</f>
        <v>VB104#Box1_Box2_Box4_Box5#InBB</v>
      </c>
      <c r="N587" t="str">
        <f>_xlfn.TEXTJOIN("#",TRUE,PartList[[#This Row],[ASSLY MARK]],PartList[[#This Row],[BOX NO]],PartList[[#This Row],[In/Out]],PartList[[#This Row],[O2-Grid]])</f>
        <v>VB104#Box1_Box2_Box4_Box5#InBB</v>
      </c>
      <c r="O587">
        <f>IF(PartList[[#This Row],[Unique]]="Yes",_xlfn.XLOOKUP(PartList[[#This Row],[ASSLY MARK]],FilteredPL!A:A,FilteredPL!B:B,0,0),0)</f>
        <v>0</v>
      </c>
      <c r="P587">
        <f>_xlfn.XLOOKUP(PartList[[#This Row],[ASSLY MARK]],MasterPL[SplitMarkNo],MasterPL[BILL WT.(KG)],0,0)</f>
        <v>0</v>
      </c>
      <c r="Q587" cm="1">
        <f t="array" ref="Q58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87" t="str">
        <v>4HB12</v>
      </c>
      <c r="AB587" s="42">
        <f>SUMIF(PartList[ASSLY MARK],AA587,PartList[Avail. Qty])</f>
        <v>0</v>
      </c>
    </row>
    <row r="588" spans="1:28" x14ac:dyDescent="0.25">
      <c r="A588">
        <v>1359</v>
      </c>
      <c r="B588" t="s">
        <v>1229</v>
      </c>
      <c r="C588" t="s">
        <v>533</v>
      </c>
      <c r="D588" t="s">
        <v>1141</v>
      </c>
      <c r="E588" t="s">
        <v>1122</v>
      </c>
      <c r="F588" t="str" cm="1">
        <f t="array" ref="F588">IF(SUM(IF(PartList[ASSLY MARK]=PartList[[#This Row],[ASSLY MARK]],1,0))&gt;1,"No","Yes")</f>
        <v>Yes</v>
      </c>
      <c r="G588" t="str" cm="1">
        <f t="array" ref="G588">_xlfn.TEXTJOIN("_",TRUE,TRIM(_xlfn.TEXTSPLIT(PartList[[#This Row],[GRID LOCATION]],{"PR01","/","-"})))</f>
        <v>11_12_A</v>
      </c>
      <c r="H588" t="str" cm="1">
        <f t="array" ref="H58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88" cm="1">
        <f t="array" ref="I58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88" t="str">
        <f>IF(IFERROR(SEARCH("&gt;",PartList[[#This Row],[ID]]),0),"O",IF(IFERROR(SEARCH("&lt;",PartList[[#This Row],[ID]]),0),"I",""))</f>
        <v/>
      </c>
      <c r="K588" t="str" cm="1">
        <f t="array" ref="K5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88" t="str" cm="1">
        <f t="array" ref="L5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88" t="str">
        <f>_xlfn.TEXTJOIN("#",TRUE,PartList[[#This Row],[ASSLY MARK]],PartList[[#This Row],[BOX NO]],PartList[[#This Row],[In/Out]],PartList[[#This Row],[O1-Grid]])</f>
        <v>VB105#Box1_Box2#InBB</v>
      </c>
      <c r="N588" t="str">
        <f>_xlfn.TEXTJOIN("#",TRUE,PartList[[#This Row],[ASSLY MARK]],PartList[[#This Row],[BOX NO]],PartList[[#This Row],[In/Out]],PartList[[#This Row],[O2-Grid]])</f>
        <v>VB105#Box1_Box2#InBB</v>
      </c>
      <c r="O588">
        <f>IF(PartList[[#This Row],[Unique]]="Yes",_xlfn.XLOOKUP(PartList[[#This Row],[ASSLY MARK]],FilteredPL!A:A,FilteredPL!B:B,0,0),0)</f>
        <v>0</v>
      </c>
      <c r="P588">
        <f>_xlfn.XLOOKUP(PartList[[#This Row],[ASSLY MARK]],MasterPL[SplitMarkNo],MasterPL[BILL WT.(KG)],0,0)</f>
        <v>0</v>
      </c>
      <c r="Q588" cm="1">
        <f t="array" ref="Q58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88" t="str">
        <v>4HB13</v>
      </c>
      <c r="AB588" s="42">
        <f>SUMIF(PartList[ASSLY MARK],AA588,PartList[Avail. Qty])</f>
        <v>0</v>
      </c>
    </row>
    <row r="589" spans="1:28" x14ac:dyDescent="0.25">
      <c r="A589">
        <v>1360</v>
      </c>
      <c r="B589" t="s">
        <v>1230</v>
      </c>
      <c r="C589" t="s">
        <v>533</v>
      </c>
      <c r="D589" t="s">
        <v>1141</v>
      </c>
      <c r="E589" t="s">
        <v>1122</v>
      </c>
      <c r="F589" t="str" cm="1">
        <f t="array" ref="F589">IF(SUM(IF(PartList[ASSLY MARK]=PartList[[#This Row],[ASSLY MARK]],1,0))&gt;1,"No","Yes")</f>
        <v>Yes</v>
      </c>
      <c r="G589" t="str" cm="1">
        <f t="array" ref="G589">_xlfn.TEXTJOIN("_",TRUE,TRIM(_xlfn.TEXTSPLIT(PartList[[#This Row],[GRID LOCATION]],{"PR01","/","-"})))</f>
        <v>11_12_A</v>
      </c>
      <c r="H589" t="str" cm="1">
        <f t="array" ref="H58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Box1_Box2</v>
      </c>
      <c r="I589" cm="1">
        <f t="array" ref="I58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1</v>
      </c>
      <c r="J589" t="str">
        <f>IF(IFERROR(SEARCH("&gt;",PartList[[#This Row],[ID]]),0),"O",IF(IFERROR(SEARCH("&lt;",PartList[[#This Row],[ID]]),0),"I",""))</f>
        <v/>
      </c>
      <c r="K589" t="str" cm="1">
        <f t="array" ref="K5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89" t="str" cm="1">
        <f t="array" ref="L5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89" t="str">
        <f>_xlfn.TEXTJOIN("#",TRUE,PartList[[#This Row],[ASSLY MARK]],PartList[[#This Row],[BOX NO]],PartList[[#This Row],[In/Out]],PartList[[#This Row],[O1-Grid]])</f>
        <v>VB106#Box1_Box2#InBB</v>
      </c>
      <c r="N589" t="str">
        <f>_xlfn.TEXTJOIN("#",TRUE,PartList[[#This Row],[ASSLY MARK]],PartList[[#This Row],[BOX NO]],PartList[[#This Row],[In/Out]],PartList[[#This Row],[O2-Grid]])</f>
        <v>VB106#Box1_Box2#InBB</v>
      </c>
      <c r="O589">
        <f>IF(PartList[[#This Row],[Unique]]="Yes",_xlfn.XLOOKUP(PartList[[#This Row],[ASSLY MARK]],FilteredPL!A:A,FilteredPL!B:B,0,0),0)</f>
        <v>0</v>
      </c>
      <c r="P589">
        <f>_xlfn.XLOOKUP(PartList[[#This Row],[ASSLY MARK]],MasterPL[SplitMarkNo],MasterPL[BILL WT.(KG)],0,0)</f>
        <v>0</v>
      </c>
      <c r="Q589" cm="1">
        <f t="array" ref="Q58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89" t="str">
        <v>4HB14</v>
      </c>
      <c r="AB589" s="42">
        <f>SUMIF(PartList[ASSLY MARK],AA589,PartList[Avail. Qty])</f>
        <v>0</v>
      </c>
    </row>
    <row r="590" spans="1:28" x14ac:dyDescent="0.25">
      <c r="A590">
        <v>29</v>
      </c>
      <c r="B590" t="s">
        <v>105</v>
      </c>
      <c r="C590" t="s">
        <v>518</v>
      </c>
      <c r="D590" t="s">
        <v>519</v>
      </c>
      <c r="E590" t="s">
        <v>5</v>
      </c>
      <c r="F590" t="str" cm="1">
        <f t="array" ref="F590">IF(SUM(IF(PartList[ASSLY MARK]=PartList[[#This Row],[ASSLY MARK]],1,0))&gt;1,"No","Yes")</f>
        <v>No</v>
      </c>
      <c r="G590" t="str" cm="1">
        <f t="array" ref="G590">_xlfn.TEXTJOIN("_",TRUE,TRIM(_xlfn.TEXTSPLIT(PartList[[#This Row],[GRID LOCATION]],{"PR01","/","-"})))</f>
        <v>12_A_B</v>
      </c>
      <c r="H590" t="str" cm="1">
        <f t="array" ref="H59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590" cm="1">
        <f t="array" ref="I59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590" t="str">
        <f>IF(IFERROR(SEARCH("&gt;",PartList[[#This Row],[ID]]),0),"O",IF(IFERROR(SEARCH("&lt;",PartList[[#This Row],[ID]]),0),"I",""))</f>
        <v/>
      </c>
      <c r="K590" t="str" cm="1">
        <f t="array" ref="K5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12_A_B</v>
      </c>
      <c r="L590" t="str" cm="1">
        <f t="array" ref="L5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590" t="str">
        <f>_xlfn.TEXTJOIN("#",TRUE,PartList[[#This Row],[ASSLY MARK]],PartList[[#This Row],[BOX NO]],PartList[[#This Row],[In/Out]],PartList[[#This Row],[O1-Grid]])</f>
        <v>1BE17#Box2#12_A_B</v>
      </c>
      <c r="N590" t="str">
        <f>_xlfn.TEXTJOIN("#",TRUE,PartList[[#This Row],[ASSLY MARK]],PartList[[#This Row],[BOX NO]],PartList[[#This Row],[In/Out]],PartList[[#This Row],[O2-Grid]])</f>
        <v>1BE17#Box2#InB</v>
      </c>
      <c r="O590">
        <f>IF(PartList[[#This Row],[Unique]]="Yes",_xlfn.XLOOKUP(PartList[[#This Row],[ASSLY MARK]],FilteredPL!A:A,FilteredPL!B:B,0,0),0)</f>
        <v>0</v>
      </c>
      <c r="P590">
        <f>_xlfn.XLOOKUP(PartList[[#This Row],[ASSLY MARK]],MasterPL[SplitMarkNo],MasterPL[BILL WT.(KG)],0,0)</f>
        <v>0</v>
      </c>
      <c r="Q590" cm="1">
        <f t="array" ref="Q59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90" t="str">
        <v>4HB15</v>
      </c>
      <c r="AB590" s="42">
        <f>SUMIF(PartList[ASSLY MARK],AA590,PartList[Avail. Qty])</f>
        <v>0</v>
      </c>
    </row>
    <row r="591" spans="1:28" x14ac:dyDescent="0.25">
      <c r="A591">
        <v>30</v>
      </c>
      <c r="B591" t="s">
        <v>105</v>
      </c>
      <c r="C591" t="s">
        <v>520</v>
      </c>
      <c r="D591" t="s">
        <v>519</v>
      </c>
      <c r="E591" t="s">
        <v>5</v>
      </c>
      <c r="F591" t="str" cm="1">
        <f t="array" ref="F591">IF(SUM(IF(PartList[ASSLY MARK]=PartList[[#This Row],[ASSLY MARK]],1,0))&gt;1,"No","Yes")</f>
        <v>No</v>
      </c>
      <c r="G591" t="str" cm="1">
        <f t="array" ref="G591">_xlfn.TEXTJOIN("_",TRUE,TRIM(_xlfn.TEXTSPLIT(PartList[[#This Row],[GRID LOCATION]],{"PR01","/","-"})))</f>
        <v>13_A_B</v>
      </c>
      <c r="H591" t="str" cm="1">
        <f t="array" ref="H59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591" cm="1">
        <f t="array" ref="I59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591" t="str">
        <f>IF(IFERROR(SEARCH("&gt;",PartList[[#This Row],[ID]]),0),"O",IF(IFERROR(SEARCH("&lt;",PartList[[#This Row],[ID]]),0),"I",""))</f>
        <v/>
      </c>
      <c r="K591" t="str" cm="1">
        <f t="array" ref="K5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13_A_B</v>
      </c>
      <c r="L591" t="str" cm="1">
        <f t="array" ref="L5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591" t="str">
        <f>_xlfn.TEXTJOIN("#",TRUE,PartList[[#This Row],[ASSLY MARK]],PartList[[#This Row],[BOX NO]],PartList[[#This Row],[In/Out]],PartList[[#This Row],[O1-Grid]])</f>
        <v>1BE17#Box2#13_A_B</v>
      </c>
      <c r="N591" t="str">
        <f>_xlfn.TEXTJOIN("#",TRUE,PartList[[#This Row],[ASSLY MARK]],PartList[[#This Row],[BOX NO]],PartList[[#This Row],[In/Out]],PartList[[#This Row],[O2-Grid]])</f>
        <v>1BE17#Box2#InB</v>
      </c>
      <c r="O591">
        <f>IF(PartList[[#This Row],[Unique]]="Yes",_xlfn.XLOOKUP(PartList[[#This Row],[ASSLY MARK]],FilteredPL!A:A,FilteredPL!B:B,0,0),0)</f>
        <v>0</v>
      </c>
      <c r="P591">
        <f>_xlfn.XLOOKUP(PartList[[#This Row],[ASSLY MARK]],MasterPL[SplitMarkNo],MasterPL[BILL WT.(KG)],0,0)</f>
        <v>0</v>
      </c>
      <c r="Q591" cm="1">
        <f t="array" ref="Q59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91" t="str">
        <v>4HB16</v>
      </c>
      <c r="AB591" s="42">
        <f>SUMIF(PartList[ASSLY MARK],AA591,PartList[Avail. Qty])</f>
        <v>0</v>
      </c>
    </row>
    <row r="592" spans="1:28" x14ac:dyDescent="0.25">
      <c r="A592">
        <v>31</v>
      </c>
      <c r="B592" t="s">
        <v>106</v>
      </c>
      <c r="C592" t="s">
        <v>518</v>
      </c>
      <c r="D592" t="s">
        <v>519</v>
      </c>
      <c r="E592" t="s">
        <v>5</v>
      </c>
      <c r="F592" t="str" cm="1">
        <f t="array" ref="F592">IF(SUM(IF(PartList[ASSLY MARK]=PartList[[#This Row],[ASSLY MARK]],1,0))&gt;1,"No","Yes")</f>
        <v>Yes</v>
      </c>
      <c r="G592" t="str" cm="1">
        <f t="array" ref="G592">_xlfn.TEXTJOIN("_",TRUE,TRIM(_xlfn.TEXTSPLIT(PartList[[#This Row],[GRID LOCATION]],{"PR01","/","-"})))</f>
        <v>12_A_B</v>
      </c>
      <c r="H592" t="str" cm="1">
        <f t="array" ref="H59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592" cm="1">
        <f t="array" ref="I59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592" t="str">
        <f>IF(IFERROR(SEARCH("&gt;",PartList[[#This Row],[ID]]),0),"O",IF(IFERROR(SEARCH("&lt;",PartList[[#This Row],[ID]]),0),"I",""))</f>
        <v/>
      </c>
      <c r="K592" t="str" cm="1">
        <f t="array" ref="K5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12_A_B</v>
      </c>
      <c r="L592" t="str" cm="1">
        <f t="array" ref="L5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592" t="str">
        <f>_xlfn.TEXTJOIN("#",TRUE,PartList[[#This Row],[ASSLY MARK]],PartList[[#This Row],[BOX NO]],PartList[[#This Row],[In/Out]],PartList[[#This Row],[O1-Grid]])</f>
        <v>1BE18#Box2#12_A_B</v>
      </c>
      <c r="N592" t="str">
        <f>_xlfn.TEXTJOIN("#",TRUE,PartList[[#This Row],[ASSLY MARK]],PartList[[#This Row],[BOX NO]],PartList[[#This Row],[In/Out]],PartList[[#This Row],[O2-Grid]])</f>
        <v>1BE18#Box2#InB</v>
      </c>
      <c r="O592">
        <f>IF(PartList[[#This Row],[Unique]]="Yes",_xlfn.XLOOKUP(PartList[[#This Row],[ASSLY MARK]],FilteredPL!A:A,FilteredPL!B:B,0,0),0)</f>
        <v>0</v>
      </c>
      <c r="P592">
        <f>_xlfn.XLOOKUP(PartList[[#This Row],[ASSLY MARK]],MasterPL[SplitMarkNo],MasterPL[BILL WT.(KG)],0,0)</f>
        <v>0</v>
      </c>
      <c r="Q592" cm="1">
        <f t="array" ref="Q59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92" t="str">
        <v>4HB17</v>
      </c>
      <c r="AB592" s="42">
        <f>SUMIF(PartList[ASSLY MARK],AA592,PartList[Avail. Qty])</f>
        <v>0</v>
      </c>
    </row>
    <row r="593" spans="1:28" x14ac:dyDescent="0.25">
      <c r="A593">
        <v>58</v>
      </c>
      <c r="B593" t="s">
        <v>537</v>
      </c>
      <c r="C593" t="s">
        <v>538</v>
      </c>
      <c r="D593" t="s">
        <v>539</v>
      </c>
      <c r="E593" t="s">
        <v>5</v>
      </c>
      <c r="F593" t="str" cm="1">
        <f t="array" ref="F593">IF(SUM(IF(PartList[ASSLY MARK]=PartList[[#This Row],[ASSLY MARK]],1,0))&gt;1,"No","Yes")</f>
        <v>Yes</v>
      </c>
      <c r="G593" t="str" cm="1">
        <f t="array" ref="G593">_xlfn.TEXTJOIN("_",TRUE,TRIM(_xlfn.TEXTSPLIT(PartList[[#This Row],[GRID LOCATION]],{"PR01","/","-"})))</f>
        <v>12_A'_A</v>
      </c>
      <c r="H593" t="str" cm="1">
        <f t="array" ref="H59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593" cm="1">
        <f t="array" ref="I59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593" t="str">
        <f>IF(IFERROR(SEARCH("&gt;",PartList[[#This Row],[ID]]),0),"O",IF(IFERROR(SEARCH("&lt;",PartList[[#This Row],[ID]]),0),"I",""))</f>
        <v/>
      </c>
      <c r="K593" t="str" cm="1">
        <f t="array" ref="K5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93" t="str" cm="1">
        <f t="array" ref="L5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93" t="str">
        <f>_xlfn.TEXTJOIN("#",TRUE,PartList[[#This Row],[ASSLY MARK]],PartList[[#This Row],[BOX NO]],PartList[[#This Row],[In/Out]],PartList[[#This Row],[O1-Grid]])</f>
        <v>1BE41#Box2_Box5#InBB</v>
      </c>
      <c r="N593" t="str">
        <f>_xlfn.TEXTJOIN("#",TRUE,PartList[[#This Row],[ASSLY MARK]],PartList[[#This Row],[BOX NO]],PartList[[#This Row],[In/Out]],PartList[[#This Row],[O2-Grid]])</f>
        <v>1BE41#Box2_Box5#InBB</v>
      </c>
      <c r="O593">
        <f>IF(PartList[[#This Row],[Unique]]="Yes",_xlfn.XLOOKUP(PartList[[#This Row],[ASSLY MARK]],FilteredPL!A:A,FilteredPL!B:B,0,0),0)</f>
        <v>0</v>
      </c>
      <c r="P593">
        <f>_xlfn.XLOOKUP(PartList[[#This Row],[ASSLY MARK]],MasterPL[SplitMarkNo],MasterPL[BILL WT.(KG)],0,0)</f>
        <v>0</v>
      </c>
      <c r="Q593" cm="1">
        <f t="array" ref="Q59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93" t="str">
        <v>4HB18</v>
      </c>
      <c r="AB593" s="42">
        <f>SUMIF(PartList[ASSLY MARK],AA593,PartList[Avail. Qty])</f>
        <v>0</v>
      </c>
    </row>
    <row r="594" spans="1:28" x14ac:dyDescent="0.25">
      <c r="A594">
        <v>59</v>
      </c>
      <c r="B594" t="s">
        <v>540</v>
      </c>
      <c r="C594" t="s">
        <v>538</v>
      </c>
      <c r="D594" t="s">
        <v>90</v>
      </c>
      <c r="E594" t="s">
        <v>5</v>
      </c>
      <c r="F594" t="str" cm="1">
        <f t="array" ref="F594">IF(SUM(IF(PartList[ASSLY MARK]=PartList[[#This Row],[ASSLY MARK]],1,0))&gt;1,"No","Yes")</f>
        <v>Yes</v>
      </c>
      <c r="G594" t="str" cm="1">
        <f t="array" ref="G594">_xlfn.TEXTJOIN("_",TRUE,TRIM(_xlfn.TEXTSPLIT(PartList[[#This Row],[GRID LOCATION]],{"PR01","/","-"})))</f>
        <v>12_A'_A</v>
      </c>
      <c r="H594" t="str" cm="1">
        <f t="array" ref="H59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594" cm="1">
        <f t="array" ref="I59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594" t="str">
        <f>IF(IFERROR(SEARCH("&gt;",PartList[[#This Row],[ID]]),0),"O",IF(IFERROR(SEARCH("&lt;",PartList[[#This Row],[ID]]),0),"I",""))</f>
        <v/>
      </c>
      <c r="K594" t="str" cm="1">
        <f t="array" ref="K5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594" t="str" cm="1">
        <f t="array" ref="L5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594" t="str">
        <f>_xlfn.TEXTJOIN("#",TRUE,PartList[[#This Row],[ASSLY MARK]],PartList[[#This Row],[BOX NO]],PartList[[#This Row],[In/Out]],PartList[[#This Row],[O1-Grid]])</f>
        <v>1BE42#Box2_Box5#InBB</v>
      </c>
      <c r="N594" t="str">
        <f>_xlfn.TEXTJOIN("#",TRUE,PartList[[#This Row],[ASSLY MARK]],PartList[[#This Row],[BOX NO]],PartList[[#This Row],[In/Out]],PartList[[#This Row],[O2-Grid]])</f>
        <v>1BE42#Box2_Box5#InBB</v>
      </c>
      <c r="O594">
        <f>IF(PartList[[#This Row],[Unique]]="Yes",_xlfn.XLOOKUP(PartList[[#This Row],[ASSLY MARK]],FilteredPL!A:A,FilteredPL!B:B,0,0),0)</f>
        <v>0</v>
      </c>
      <c r="P594">
        <f>_xlfn.XLOOKUP(PartList[[#This Row],[ASSLY MARK]],MasterPL[SplitMarkNo],MasterPL[BILL WT.(KG)],0,0)</f>
        <v>0</v>
      </c>
      <c r="Q594" cm="1">
        <f t="array" ref="Q59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94" t="str">
        <v>4HB19</v>
      </c>
      <c r="AB594" s="42">
        <f>SUMIF(PartList[ASSLY MARK],AA594,PartList[Avail. Qty])</f>
        <v>0</v>
      </c>
    </row>
    <row r="595" spans="1:28" x14ac:dyDescent="0.25">
      <c r="A595">
        <v>60</v>
      </c>
      <c r="B595" t="s">
        <v>541</v>
      </c>
      <c r="C595" t="s">
        <v>520</v>
      </c>
      <c r="D595" t="s">
        <v>519</v>
      </c>
      <c r="E595" t="s">
        <v>5</v>
      </c>
      <c r="F595" t="str" cm="1">
        <f t="array" ref="F595">IF(SUM(IF(PartList[ASSLY MARK]=PartList[[#This Row],[ASSLY MARK]],1,0))&gt;1,"No","Yes")</f>
        <v>Yes</v>
      </c>
      <c r="G595" t="str" cm="1">
        <f t="array" ref="G595">_xlfn.TEXTJOIN("_",TRUE,TRIM(_xlfn.TEXTSPLIT(PartList[[#This Row],[GRID LOCATION]],{"PR01","/","-"})))</f>
        <v>13_A_B</v>
      </c>
      <c r="H595" t="str" cm="1">
        <f t="array" ref="H59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595" cm="1">
        <f t="array" ref="I59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595" t="str">
        <f>IF(IFERROR(SEARCH("&gt;",PartList[[#This Row],[ID]]),0),"O",IF(IFERROR(SEARCH("&lt;",PartList[[#This Row],[ID]]),0),"I",""))</f>
        <v/>
      </c>
      <c r="K595" t="str" cm="1">
        <f t="array" ref="K5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13_A_B</v>
      </c>
      <c r="L595" t="str" cm="1">
        <f t="array" ref="L5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595" t="str">
        <f>_xlfn.TEXTJOIN("#",TRUE,PartList[[#This Row],[ASSLY MARK]],PartList[[#This Row],[BOX NO]],PartList[[#This Row],[In/Out]],PartList[[#This Row],[O1-Grid]])</f>
        <v>1BE43#Box2#13_A_B</v>
      </c>
      <c r="N595" t="str">
        <f>_xlfn.TEXTJOIN("#",TRUE,PartList[[#This Row],[ASSLY MARK]],PartList[[#This Row],[BOX NO]],PartList[[#This Row],[In/Out]],PartList[[#This Row],[O2-Grid]])</f>
        <v>1BE43#Box2#InB</v>
      </c>
      <c r="O595">
        <f>IF(PartList[[#This Row],[Unique]]="Yes",_xlfn.XLOOKUP(PartList[[#This Row],[ASSLY MARK]],FilteredPL!A:A,FilteredPL!B:B,0,0),0)</f>
        <v>0</v>
      </c>
      <c r="P595">
        <f>_xlfn.XLOOKUP(PartList[[#This Row],[ASSLY MARK]],MasterPL[SplitMarkNo],MasterPL[BILL WT.(KG)],0,0)</f>
        <v>0</v>
      </c>
      <c r="Q595" cm="1">
        <f t="array" ref="Q59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95" t="str">
        <v>4HB20</v>
      </c>
      <c r="AB595" s="42">
        <f>SUMIF(PartList[ASSLY MARK],AA595,PartList[Avail. Qty])</f>
        <v>0</v>
      </c>
    </row>
    <row r="596" spans="1:28" x14ac:dyDescent="0.25">
      <c r="A596">
        <v>61</v>
      </c>
      <c r="B596" t="s">
        <v>542</v>
      </c>
      <c r="C596" t="s">
        <v>518</v>
      </c>
      <c r="D596" t="s">
        <v>519</v>
      </c>
      <c r="E596" t="s">
        <v>5</v>
      </c>
      <c r="F596" t="str" cm="1">
        <f t="array" ref="F596">IF(SUM(IF(PartList[ASSLY MARK]=PartList[[#This Row],[ASSLY MARK]],1,0))&gt;1,"No","Yes")</f>
        <v>No</v>
      </c>
      <c r="G596" t="str" cm="1">
        <f t="array" ref="G596">_xlfn.TEXTJOIN("_",TRUE,TRIM(_xlfn.TEXTSPLIT(PartList[[#This Row],[GRID LOCATION]],{"PR01","/","-"})))</f>
        <v>12_A_B</v>
      </c>
      <c r="H596" t="str" cm="1">
        <f t="array" ref="H59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596" cm="1">
        <f t="array" ref="I59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596" t="str">
        <f>IF(IFERROR(SEARCH("&gt;",PartList[[#This Row],[ID]]),0),"O",IF(IFERROR(SEARCH("&lt;",PartList[[#This Row],[ID]]),0),"I",""))</f>
        <v/>
      </c>
      <c r="K596" t="str" cm="1">
        <f t="array" ref="K5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12_A_B</v>
      </c>
      <c r="L596" t="str" cm="1">
        <f t="array" ref="L5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596" t="str">
        <f>_xlfn.TEXTJOIN("#",TRUE,PartList[[#This Row],[ASSLY MARK]],PartList[[#This Row],[BOX NO]],PartList[[#This Row],[In/Out]],PartList[[#This Row],[O1-Grid]])</f>
        <v>1BE44#Box2#12_A_B</v>
      </c>
      <c r="N596" t="str">
        <f>_xlfn.TEXTJOIN("#",TRUE,PartList[[#This Row],[ASSLY MARK]],PartList[[#This Row],[BOX NO]],PartList[[#This Row],[In/Out]],PartList[[#This Row],[O2-Grid]])</f>
        <v>1BE44#Box2#InB</v>
      </c>
      <c r="O596">
        <f>IF(PartList[[#This Row],[Unique]]="Yes",_xlfn.XLOOKUP(PartList[[#This Row],[ASSLY MARK]],FilteredPL!A:A,FilteredPL!B:B,0,0),0)</f>
        <v>0</v>
      </c>
      <c r="P596">
        <f>_xlfn.XLOOKUP(PartList[[#This Row],[ASSLY MARK]],MasterPL[SplitMarkNo],MasterPL[BILL WT.(KG)],0,0)</f>
        <v>0</v>
      </c>
      <c r="Q596" cm="1">
        <f t="array" ref="Q59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96" t="str">
        <v>4HB21</v>
      </c>
      <c r="AB596" s="42">
        <f>SUMIF(PartList[ASSLY MARK],AA596,PartList[Avail. Qty])</f>
        <v>0</v>
      </c>
    </row>
    <row r="597" spans="1:28" x14ac:dyDescent="0.25">
      <c r="A597">
        <v>62</v>
      </c>
      <c r="B597" t="s">
        <v>542</v>
      </c>
      <c r="C597" t="s">
        <v>518</v>
      </c>
      <c r="D597" t="s">
        <v>519</v>
      </c>
      <c r="E597" t="s">
        <v>5</v>
      </c>
      <c r="F597" t="str" cm="1">
        <f t="array" ref="F597">IF(SUM(IF(PartList[ASSLY MARK]=PartList[[#This Row],[ASSLY MARK]],1,0))&gt;1,"No","Yes")</f>
        <v>No</v>
      </c>
      <c r="G597" t="str" cm="1">
        <f t="array" ref="G597">_xlfn.TEXTJOIN("_",TRUE,TRIM(_xlfn.TEXTSPLIT(PartList[[#This Row],[GRID LOCATION]],{"PR01","/","-"})))</f>
        <v>12_A_B</v>
      </c>
      <c r="H597" t="str" cm="1">
        <f t="array" ref="H59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597" cm="1">
        <f t="array" ref="I59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597" t="str">
        <f>IF(IFERROR(SEARCH("&gt;",PartList[[#This Row],[ID]]),0),"O",IF(IFERROR(SEARCH("&lt;",PartList[[#This Row],[ID]]),0),"I",""))</f>
        <v/>
      </c>
      <c r="K597" t="str" cm="1">
        <f t="array" ref="K5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12_A_B</v>
      </c>
      <c r="L597" t="str" cm="1">
        <f t="array" ref="L5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597" t="str">
        <f>_xlfn.TEXTJOIN("#",TRUE,PartList[[#This Row],[ASSLY MARK]],PartList[[#This Row],[BOX NO]],PartList[[#This Row],[In/Out]],PartList[[#This Row],[O1-Grid]])</f>
        <v>1BE44#Box2#12_A_B</v>
      </c>
      <c r="N597" t="str">
        <f>_xlfn.TEXTJOIN("#",TRUE,PartList[[#This Row],[ASSLY MARK]],PartList[[#This Row],[BOX NO]],PartList[[#This Row],[In/Out]],PartList[[#This Row],[O2-Grid]])</f>
        <v>1BE44#Box2#InB</v>
      </c>
      <c r="O597">
        <f>IF(PartList[[#This Row],[Unique]]="Yes",_xlfn.XLOOKUP(PartList[[#This Row],[ASSLY MARK]],FilteredPL!A:A,FilteredPL!B:B,0,0),0)</f>
        <v>0</v>
      </c>
      <c r="P597">
        <f>_xlfn.XLOOKUP(PartList[[#This Row],[ASSLY MARK]],MasterPL[SplitMarkNo],MasterPL[BILL WT.(KG)],0,0)</f>
        <v>0</v>
      </c>
      <c r="Q597" cm="1">
        <f t="array" ref="Q59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97" t="str">
        <v>4HB22</v>
      </c>
      <c r="AB597" s="42">
        <f>SUMIF(PartList[ASSLY MARK],AA597,PartList[Avail. Qty])</f>
        <v>0</v>
      </c>
    </row>
    <row r="598" spans="1:28" x14ac:dyDescent="0.25">
      <c r="A598">
        <v>63</v>
      </c>
      <c r="B598" t="s">
        <v>543</v>
      </c>
      <c r="C598" t="s">
        <v>518</v>
      </c>
      <c r="D598" t="s">
        <v>90</v>
      </c>
      <c r="E598" t="s">
        <v>5</v>
      </c>
      <c r="F598" t="str" cm="1">
        <f t="array" ref="F598">IF(SUM(IF(PartList[ASSLY MARK]=PartList[[#This Row],[ASSLY MARK]],1,0))&gt;1,"No","Yes")</f>
        <v>Yes</v>
      </c>
      <c r="G598" t="str" cm="1">
        <f t="array" ref="G598">_xlfn.TEXTJOIN("_",TRUE,TRIM(_xlfn.TEXTSPLIT(PartList[[#This Row],[GRID LOCATION]],{"PR01","/","-"})))</f>
        <v>12_A_B</v>
      </c>
      <c r="H598" t="str" cm="1">
        <f t="array" ref="H59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598" cm="1">
        <f t="array" ref="I59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598" t="str">
        <f>IF(IFERROR(SEARCH("&gt;",PartList[[#This Row],[ID]]),0),"O",IF(IFERROR(SEARCH("&lt;",PartList[[#This Row],[ID]]),0),"I",""))</f>
        <v/>
      </c>
      <c r="K598" t="str" cm="1">
        <f t="array" ref="K5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12_A_B</v>
      </c>
      <c r="L598" t="str" cm="1">
        <f t="array" ref="L5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598" t="str">
        <f>_xlfn.TEXTJOIN("#",TRUE,PartList[[#This Row],[ASSLY MARK]],PartList[[#This Row],[BOX NO]],PartList[[#This Row],[In/Out]],PartList[[#This Row],[O1-Grid]])</f>
        <v>1BE45#Box2#12_A_B</v>
      </c>
      <c r="N598" t="str">
        <f>_xlfn.TEXTJOIN("#",TRUE,PartList[[#This Row],[ASSLY MARK]],PartList[[#This Row],[BOX NO]],PartList[[#This Row],[In/Out]],PartList[[#This Row],[O2-Grid]])</f>
        <v>1BE45#Box2#InB</v>
      </c>
      <c r="O598">
        <f>IF(PartList[[#This Row],[Unique]]="Yes",_xlfn.XLOOKUP(PartList[[#This Row],[ASSLY MARK]],FilteredPL!A:A,FilteredPL!B:B,0,0),0)</f>
        <v>0</v>
      </c>
      <c r="P598">
        <f>_xlfn.XLOOKUP(PartList[[#This Row],[ASSLY MARK]],MasterPL[SplitMarkNo],MasterPL[BILL WT.(KG)],0,0)</f>
        <v>0</v>
      </c>
      <c r="Q598" cm="1">
        <f t="array" ref="Q59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98" t="str">
        <v>4HB23</v>
      </c>
      <c r="AB598" s="42">
        <f>SUMIF(PartList[ASSLY MARK],AA598,PartList[Avail. Qty])</f>
        <v>0</v>
      </c>
    </row>
    <row r="599" spans="1:28" x14ac:dyDescent="0.25">
      <c r="A599">
        <v>64</v>
      </c>
      <c r="B599" t="s">
        <v>544</v>
      </c>
      <c r="C599" t="s">
        <v>545</v>
      </c>
      <c r="D599" t="s">
        <v>90</v>
      </c>
      <c r="E599" t="s">
        <v>5</v>
      </c>
      <c r="F599" t="str" cm="1">
        <f t="array" ref="F599">IF(SUM(IF(PartList[ASSLY MARK]=PartList[[#This Row],[ASSLY MARK]],1,0))&gt;1,"No","Yes")</f>
        <v>Yes</v>
      </c>
      <c r="G599" t="str" cm="1">
        <f t="array" ref="G599">_xlfn.TEXTJOIN("_",TRUE,TRIM(_xlfn.TEXTSPLIT(PartList[[#This Row],[GRID LOCATION]],{"PR01","/","-"})))</f>
        <v>12_B&gt;</v>
      </c>
      <c r="H599" t="str" cm="1">
        <f t="array" ref="H59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599" cm="1">
        <f t="array" ref="I59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599" t="str">
        <f>IF(IFERROR(SEARCH("&gt;",PartList[[#This Row],[ID]]),0),"O",IF(IFERROR(SEARCH("&lt;",PartList[[#This Row],[ID]]),0),"I",""))</f>
        <v>O</v>
      </c>
      <c r="K599" t="str" cm="1">
        <f t="array" ref="K5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599" t="str" cm="1">
        <f t="array" ref="L5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599" t="str">
        <f>_xlfn.TEXTJOIN("#",TRUE,PartList[[#This Row],[ASSLY MARK]],PartList[[#This Row],[BOX NO]],PartList[[#This Row],[In/Out]],PartList[[#This Row],[O1-Grid]])</f>
        <v>1BE46#Box2#O</v>
      </c>
      <c r="N599" t="str">
        <f>_xlfn.TEXTJOIN("#",TRUE,PartList[[#This Row],[ASSLY MARK]],PartList[[#This Row],[BOX NO]],PartList[[#This Row],[In/Out]],PartList[[#This Row],[O2-Grid]])</f>
        <v>1BE46#Box2#O</v>
      </c>
      <c r="O599">
        <f>IF(PartList[[#This Row],[Unique]]="Yes",_xlfn.XLOOKUP(PartList[[#This Row],[ASSLY MARK]],FilteredPL!A:A,FilteredPL!B:B,0,0),0)</f>
        <v>0</v>
      </c>
      <c r="P599">
        <f>_xlfn.XLOOKUP(PartList[[#This Row],[ASSLY MARK]],MasterPL[SplitMarkNo],MasterPL[BILL WT.(KG)],0,0)</f>
        <v>0</v>
      </c>
      <c r="Q599" cm="1">
        <f t="array" ref="Q59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599" t="str">
        <v>4HB24</v>
      </c>
      <c r="AB599" s="42">
        <f>SUMIF(PartList[ASSLY MARK],AA599,PartList[Avail. Qty])</f>
        <v>0</v>
      </c>
    </row>
    <row r="600" spans="1:28" x14ac:dyDescent="0.25">
      <c r="A600">
        <v>65</v>
      </c>
      <c r="B600" t="s">
        <v>546</v>
      </c>
      <c r="C600" t="s">
        <v>547</v>
      </c>
      <c r="D600" t="s">
        <v>519</v>
      </c>
      <c r="E600" t="s">
        <v>5</v>
      </c>
      <c r="F600" t="str" cm="1">
        <f t="array" ref="F600">IF(SUM(IF(PartList[ASSLY MARK]=PartList[[#This Row],[ASSLY MARK]],1,0))&gt;1,"No","Yes")</f>
        <v>Yes</v>
      </c>
      <c r="G600" t="str" cm="1">
        <f t="array" ref="G600">_xlfn.TEXTJOIN("_",TRUE,TRIM(_xlfn.TEXTSPLIT(PartList[[#This Row],[GRID LOCATION]],{"PR01","/","-"})))</f>
        <v>12_13_A_B</v>
      </c>
      <c r="H600" t="str" cm="1">
        <f t="array" ref="H60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00" cm="1">
        <f t="array" ref="I60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00" t="str">
        <f>IF(IFERROR(SEARCH("&gt;",PartList[[#This Row],[ID]]),0),"O",IF(IFERROR(SEARCH("&lt;",PartList[[#This Row],[ID]]),0),"I",""))</f>
        <v/>
      </c>
      <c r="K600" t="str" cm="1">
        <f t="array" ref="K6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00" t="str" cm="1">
        <f t="array" ref="L6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00" t="str">
        <f>_xlfn.TEXTJOIN("#",TRUE,PartList[[#This Row],[ASSLY MARK]],PartList[[#This Row],[BOX NO]],PartList[[#This Row],[In/Out]],PartList[[#This Row],[O1-Grid]])</f>
        <v>1BE47#Box2#InB</v>
      </c>
      <c r="N600" t="str">
        <f>_xlfn.TEXTJOIN("#",TRUE,PartList[[#This Row],[ASSLY MARK]],PartList[[#This Row],[BOX NO]],PartList[[#This Row],[In/Out]],PartList[[#This Row],[O2-Grid]])</f>
        <v>1BE47#Box2#InB</v>
      </c>
      <c r="O600">
        <f>IF(PartList[[#This Row],[Unique]]="Yes",_xlfn.XLOOKUP(PartList[[#This Row],[ASSLY MARK]],FilteredPL!A:A,FilteredPL!B:B,0,0),0)</f>
        <v>0</v>
      </c>
      <c r="P600">
        <f>_xlfn.XLOOKUP(PartList[[#This Row],[ASSLY MARK]],MasterPL[SplitMarkNo],MasterPL[BILL WT.(KG)],0,0)</f>
        <v>0</v>
      </c>
      <c r="Q600" cm="1">
        <f t="array" ref="Q60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00" t="str">
        <v>4HB25</v>
      </c>
      <c r="AB600" s="42">
        <f>SUMIF(PartList[ASSLY MARK],AA600,PartList[Avail. Qty])</f>
        <v>0</v>
      </c>
    </row>
    <row r="601" spans="1:28" x14ac:dyDescent="0.25">
      <c r="A601">
        <v>66</v>
      </c>
      <c r="B601" t="s">
        <v>548</v>
      </c>
      <c r="C601" t="s">
        <v>547</v>
      </c>
      <c r="D601" t="s">
        <v>519</v>
      </c>
      <c r="E601" t="s">
        <v>5</v>
      </c>
      <c r="F601" t="str" cm="1">
        <f t="array" ref="F601">IF(SUM(IF(PartList[ASSLY MARK]=PartList[[#This Row],[ASSLY MARK]],1,0))&gt;1,"No","Yes")</f>
        <v>No</v>
      </c>
      <c r="G601" t="str" cm="1">
        <f t="array" ref="G601">_xlfn.TEXTJOIN("_",TRUE,TRIM(_xlfn.TEXTSPLIT(PartList[[#This Row],[GRID LOCATION]],{"PR01","/","-"})))</f>
        <v>12_13_A_B</v>
      </c>
      <c r="H601" t="str" cm="1">
        <f t="array" ref="H60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01" cm="1">
        <f t="array" ref="I60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01" t="str">
        <f>IF(IFERROR(SEARCH("&gt;",PartList[[#This Row],[ID]]),0),"O",IF(IFERROR(SEARCH("&lt;",PartList[[#This Row],[ID]]),0),"I",""))</f>
        <v/>
      </c>
      <c r="K601" t="str" cm="1">
        <f t="array" ref="K6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01" t="str" cm="1">
        <f t="array" ref="L6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01" t="str">
        <f>_xlfn.TEXTJOIN("#",TRUE,PartList[[#This Row],[ASSLY MARK]],PartList[[#This Row],[BOX NO]],PartList[[#This Row],[In/Out]],PartList[[#This Row],[O1-Grid]])</f>
        <v>1BE48#Box2#InB</v>
      </c>
      <c r="N601" t="str">
        <f>_xlfn.TEXTJOIN("#",TRUE,PartList[[#This Row],[ASSLY MARK]],PartList[[#This Row],[BOX NO]],PartList[[#This Row],[In/Out]],PartList[[#This Row],[O2-Grid]])</f>
        <v>1BE48#Box2#InB</v>
      </c>
      <c r="O601">
        <f>IF(PartList[[#This Row],[Unique]]="Yes",_xlfn.XLOOKUP(PartList[[#This Row],[ASSLY MARK]],FilteredPL!A:A,FilteredPL!B:B,0,0),0)</f>
        <v>0</v>
      </c>
      <c r="P601">
        <f>_xlfn.XLOOKUP(PartList[[#This Row],[ASSLY MARK]],MasterPL[SplitMarkNo],MasterPL[BILL WT.(KG)],0,0)</f>
        <v>0</v>
      </c>
      <c r="Q601" cm="1">
        <f t="array" ref="Q60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01" t="str">
        <v>4HB26</v>
      </c>
      <c r="AB601" s="42">
        <f>SUMIF(PartList[ASSLY MARK],AA601,PartList[Avail. Qty])</f>
        <v>0</v>
      </c>
    </row>
    <row r="602" spans="1:28" x14ac:dyDescent="0.25">
      <c r="A602">
        <v>67</v>
      </c>
      <c r="B602" t="s">
        <v>548</v>
      </c>
      <c r="C602" t="s">
        <v>547</v>
      </c>
      <c r="D602" t="s">
        <v>519</v>
      </c>
      <c r="E602" t="s">
        <v>5</v>
      </c>
      <c r="F602" t="str" cm="1">
        <f t="array" ref="F602">IF(SUM(IF(PartList[ASSLY MARK]=PartList[[#This Row],[ASSLY MARK]],1,0))&gt;1,"No","Yes")</f>
        <v>No</v>
      </c>
      <c r="G602" t="str" cm="1">
        <f t="array" ref="G602">_xlfn.TEXTJOIN("_",TRUE,TRIM(_xlfn.TEXTSPLIT(PartList[[#This Row],[GRID LOCATION]],{"PR01","/","-"})))</f>
        <v>12_13_A_B</v>
      </c>
      <c r="H602" t="str" cm="1">
        <f t="array" ref="H60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02" cm="1">
        <f t="array" ref="I60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02" t="str">
        <f>IF(IFERROR(SEARCH("&gt;",PartList[[#This Row],[ID]]),0),"O",IF(IFERROR(SEARCH("&lt;",PartList[[#This Row],[ID]]),0),"I",""))</f>
        <v/>
      </c>
      <c r="K602" t="str" cm="1">
        <f t="array" ref="K6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02" t="str" cm="1">
        <f t="array" ref="L6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02" t="str">
        <f>_xlfn.TEXTJOIN("#",TRUE,PartList[[#This Row],[ASSLY MARK]],PartList[[#This Row],[BOX NO]],PartList[[#This Row],[In/Out]],PartList[[#This Row],[O1-Grid]])</f>
        <v>1BE48#Box2#InB</v>
      </c>
      <c r="N602" t="str">
        <f>_xlfn.TEXTJOIN("#",TRUE,PartList[[#This Row],[ASSLY MARK]],PartList[[#This Row],[BOX NO]],PartList[[#This Row],[In/Out]],PartList[[#This Row],[O2-Grid]])</f>
        <v>1BE48#Box2#InB</v>
      </c>
      <c r="O602">
        <f>IF(PartList[[#This Row],[Unique]]="Yes",_xlfn.XLOOKUP(PartList[[#This Row],[ASSLY MARK]],FilteredPL!A:A,FilteredPL!B:B,0,0),0)</f>
        <v>0</v>
      </c>
      <c r="P602">
        <f>_xlfn.XLOOKUP(PartList[[#This Row],[ASSLY MARK]],MasterPL[SplitMarkNo],MasterPL[BILL WT.(KG)],0,0)</f>
        <v>0</v>
      </c>
      <c r="Q602" cm="1">
        <f t="array" ref="Q60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02" t="str">
        <v>4HB27</v>
      </c>
      <c r="AB602" s="42">
        <f>SUMIF(PartList[ASSLY MARK],AA602,PartList[Avail. Qty])</f>
        <v>0</v>
      </c>
    </row>
    <row r="603" spans="1:28" x14ac:dyDescent="0.25">
      <c r="A603">
        <v>68</v>
      </c>
      <c r="B603" t="s">
        <v>548</v>
      </c>
      <c r="C603" t="s">
        <v>547</v>
      </c>
      <c r="D603" t="s">
        <v>519</v>
      </c>
      <c r="E603" t="s">
        <v>5</v>
      </c>
      <c r="F603" t="str" cm="1">
        <f t="array" ref="F603">IF(SUM(IF(PartList[ASSLY MARK]=PartList[[#This Row],[ASSLY MARK]],1,0))&gt;1,"No","Yes")</f>
        <v>No</v>
      </c>
      <c r="G603" t="str" cm="1">
        <f t="array" ref="G603">_xlfn.TEXTJOIN("_",TRUE,TRIM(_xlfn.TEXTSPLIT(PartList[[#This Row],[GRID LOCATION]],{"PR01","/","-"})))</f>
        <v>12_13_A_B</v>
      </c>
      <c r="H603" t="str" cm="1">
        <f t="array" ref="H60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03" cm="1">
        <f t="array" ref="I60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03" t="str">
        <f>IF(IFERROR(SEARCH("&gt;",PartList[[#This Row],[ID]]),0),"O",IF(IFERROR(SEARCH("&lt;",PartList[[#This Row],[ID]]),0),"I",""))</f>
        <v/>
      </c>
      <c r="K603" t="str" cm="1">
        <f t="array" ref="K6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03" t="str" cm="1">
        <f t="array" ref="L6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03" t="str">
        <f>_xlfn.TEXTJOIN("#",TRUE,PartList[[#This Row],[ASSLY MARK]],PartList[[#This Row],[BOX NO]],PartList[[#This Row],[In/Out]],PartList[[#This Row],[O1-Grid]])</f>
        <v>1BE48#Box2#InB</v>
      </c>
      <c r="N603" t="str">
        <f>_xlfn.TEXTJOIN("#",TRUE,PartList[[#This Row],[ASSLY MARK]],PartList[[#This Row],[BOX NO]],PartList[[#This Row],[In/Out]],PartList[[#This Row],[O2-Grid]])</f>
        <v>1BE48#Box2#InB</v>
      </c>
      <c r="O603">
        <f>IF(PartList[[#This Row],[Unique]]="Yes",_xlfn.XLOOKUP(PartList[[#This Row],[ASSLY MARK]],FilteredPL!A:A,FilteredPL!B:B,0,0),0)</f>
        <v>0</v>
      </c>
      <c r="P603">
        <f>_xlfn.XLOOKUP(PartList[[#This Row],[ASSLY MARK]],MasterPL[SplitMarkNo],MasterPL[BILL WT.(KG)],0,0)</f>
        <v>0</v>
      </c>
      <c r="Q603" cm="1">
        <f t="array" ref="Q60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03" t="str">
        <v>4HB28</v>
      </c>
      <c r="AB603" s="42">
        <f>SUMIF(PartList[ASSLY MARK],AA603,PartList[Avail. Qty])</f>
        <v>0</v>
      </c>
    </row>
    <row r="604" spans="1:28" x14ac:dyDescent="0.25">
      <c r="A604">
        <v>69</v>
      </c>
      <c r="B604" t="s">
        <v>548</v>
      </c>
      <c r="C604" t="s">
        <v>547</v>
      </c>
      <c r="D604" t="s">
        <v>519</v>
      </c>
      <c r="E604" t="s">
        <v>5</v>
      </c>
      <c r="F604" t="str" cm="1">
        <f t="array" ref="F604">IF(SUM(IF(PartList[ASSLY MARK]=PartList[[#This Row],[ASSLY MARK]],1,0))&gt;1,"No","Yes")</f>
        <v>No</v>
      </c>
      <c r="G604" t="str" cm="1">
        <f t="array" ref="G604">_xlfn.TEXTJOIN("_",TRUE,TRIM(_xlfn.TEXTSPLIT(PartList[[#This Row],[GRID LOCATION]],{"PR01","/","-"})))</f>
        <v>12_13_A_B</v>
      </c>
      <c r="H604" t="str" cm="1">
        <f t="array" ref="H60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04" cm="1">
        <f t="array" ref="I60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04" t="str">
        <f>IF(IFERROR(SEARCH("&gt;",PartList[[#This Row],[ID]]),0),"O",IF(IFERROR(SEARCH("&lt;",PartList[[#This Row],[ID]]),0),"I",""))</f>
        <v/>
      </c>
      <c r="K604" t="str" cm="1">
        <f t="array" ref="K6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04" t="str" cm="1">
        <f t="array" ref="L6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04" t="str">
        <f>_xlfn.TEXTJOIN("#",TRUE,PartList[[#This Row],[ASSLY MARK]],PartList[[#This Row],[BOX NO]],PartList[[#This Row],[In/Out]],PartList[[#This Row],[O1-Grid]])</f>
        <v>1BE48#Box2#InB</v>
      </c>
      <c r="N604" t="str">
        <f>_xlfn.TEXTJOIN("#",TRUE,PartList[[#This Row],[ASSLY MARK]],PartList[[#This Row],[BOX NO]],PartList[[#This Row],[In/Out]],PartList[[#This Row],[O2-Grid]])</f>
        <v>1BE48#Box2#InB</v>
      </c>
      <c r="O604">
        <f>IF(PartList[[#This Row],[Unique]]="Yes",_xlfn.XLOOKUP(PartList[[#This Row],[ASSLY MARK]],FilteredPL!A:A,FilteredPL!B:B,0,0),0)</f>
        <v>0</v>
      </c>
      <c r="P604">
        <f>_xlfn.XLOOKUP(PartList[[#This Row],[ASSLY MARK]],MasterPL[SplitMarkNo],MasterPL[BILL WT.(KG)],0,0)</f>
        <v>0</v>
      </c>
      <c r="Q604" cm="1">
        <f t="array" ref="Q60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04" t="str">
        <v>4HB29</v>
      </c>
      <c r="AB604" s="42">
        <f>SUMIF(PartList[ASSLY MARK],AA604,PartList[Avail. Qty])</f>
        <v>0</v>
      </c>
    </row>
    <row r="605" spans="1:28" x14ac:dyDescent="0.25">
      <c r="A605">
        <v>70</v>
      </c>
      <c r="B605" t="s">
        <v>549</v>
      </c>
      <c r="C605" t="s">
        <v>547</v>
      </c>
      <c r="D605" t="s">
        <v>519</v>
      </c>
      <c r="E605" t="s">
        <v>5</v>
      </c>
      <c r="F605" t="str" cm="1">
        <f t="array" ref="F605">IF(SUM(IF(PartList[ASSLY MARK]=PartList[[#This Row],[ASSLY MARK]],1,0))&gt;1,"No","Yes")</f>
        <v>Yes</v>
      </c>
      <c r="G605" t="str" cm="1">
        <f t="array" ref="G605">_xlfn.TEXTJOIN("_",TRUE,TRIM(_xlfn.TEXTSPLIT(PartList[[#This Row],[GRID LOCATION]],{"PR01","/","-"})))</f>
        <v>12_13_A_B</v>
      </c>
      <c r="H605" t="str" cm="1">
        <f t="array" ref="H60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05" cm="1">
        <f t="array" ref="I60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05" t="str">
        <f>IF(IFERROR(SEARCH("&gt;",PartList[[#This Row],[ID]]),0),"O",IF(IFERROR(SEARCH("&lt;",PartList[[#This Row],[ID]]),0),"I",""))</f>
        <v/>
      </c>
      <c r="K605" t="str" cm="1">
        <f t="array" ref="K6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05" t="str" cm="1">
        <f t="array" ref="L6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05" t="str">
        <f>_xlfn.TEXTJOIN("#",TRUE,PartList[[#This Row],[ASSLY MARK]],PartList[[#This Row],[BOX NO]],PartList[[#This Row],[In/Out]],PartList[[#This Row],[O1-Grid]])</f>
        <v>1BE49#Box2#InB</v>
      </c>
      <c r="N605" t="str">
        <f>_xlfn.TEXTJOIN("#",TRUE,PartList[[#This Row],[ASSLY MARK]],PartList[[#This Row],[BOX NO]],PartList[[#This Row],[In/Out]],PartList[[#This Row],[O2-Grid]])</f>
        <v>1BE49#Box2#InB</v>
      </c>
      <c r="O605">
        <f>IF(PartList[[#This Row],[Unique]]="Yes",_xlfn.XLOOKUP(PartList[[#This Row],[ASSLY MARK]],FilteredPL!A:A,FilteredPL!B:B,0,0),0)</f>
        <v>0</v>
      </c>
      <c r="P605">
        <f>_xlfn.XLOOKUP(PartList[[#This Row],[ASSLY MARK]],MasterPL[SplitMarkNo],MasterPL[BILL WT.(KG)],0,0)</f>
        <v>0</v>
      </c>
      <c r="Q605" cm="1">
        <f t="array" ref="Q60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05" t="str">
        <v>4HB30</v>
      </c>
      <c r="AB605" s="42">
        <f>SUMIF(PartList[ASSLY MARK],AA605,PartList[Avail. Qty])</f>
        <v>0</v>
      </c>
    </row>
    <row r="606" spans="1:28" x14ac:dyDescent="0.25">
      <c r="A606">
        <v>71</v>
      </c>
      <c r="B606" t="s">
        <v>550</v>
      </c>
      <c r="C606" t="s">
        <v>547</v>
      </c>
      <c r="D606" t="s">
        <v>519</v>
      </c>
      <c r="E606" t="s">
        <v>5</v>
      </c>
      <c r="F606" t="str" cm="1">
        <f t="array" ref="F606">IF(SUM(IF(PartList[ASSLY MARK]=PartList[[#This Row],[ASSLY MARK]],1,0))&gt;1,"No","Yes")</f>
        <v>Yes</v>
      </c>
      <c r="G606" t="str" cm="1">
        <f t="array" ref="G606">_xlfn.TEXTJOIN("_",TRUE,TRIM(_xlfn.TEXTSPLIT(PartList[[#This Row],[GRID LOCATION]],{"PR01","/","-"})))</f>
        <v>12_13_A_B</v>
      </c>
      <c r="H606" t="str" cm="1">
        <f t="array" ref="H60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06" cm="1">
        <f t="array" ref="I60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06" t="str">
        <f>IF(IFERROR(SEARCH("&gt;",PartList[[#This Row],[ID]]),0),"O",IF(IFERROR(SEARCH("&lt;",PartList[[#This Row],[ID]]),0),"I",""))</f>
        <v/>
      </c>
      <c r="K606" t="str" cm="1">
        <f t="array" ref="K6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06" t="str" cm="1">
        <f t="array" ref="L6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06" t="str">
        <f>_xlfn.TEXTJOIN("#",TRUE,PartList[[#This Row],[ASSLY MARK]],PartList[[#This Row],[BOX NO]],PartList[[#This Row],[In/Out]],PartList[[#This Row],[O1-Grid]])</f>
        <v>1BE50#Box2#InB</v>
      </c>
      <c r="N606" t="str">
        <f>_xlfn.TEXTJOIN("#",TRUE,PartList[[#This Row],[ASSLY MARK]],PartList[[#This Row],[BOX NO]],PartList[[#This Row],[In/Out]],PartList[[#This Row],[O2-Grid]])</f>
        <v>1BE50#Box2#InB</v>
      </c>
      <c r="O606">
        <f>IF(PartList[[#This Row],[Unique]]="Yes",_xlfn.XLOOKUP(PartList[[#This Row],[ASSLY MARK]],FilteredPL!A:A,FilteredPL!B:B,0,0),0)</f>
        <v>0</v>
      </c>
      <c r="P606">
        <f>_xlfn.XLOOKUP(PartList[[#This Row],[ASSLY MARK]],MasterPL[SplitMarkNo],MasterPL[BILL WT.(KG)],0,0)</f>
        <v>0</v>
      </c>
      <c r="Q606" cm="1">
        <f t="array" ref="Q60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06" t="str">
        <v>4HB31</v>
      </c>
      <c r="AB606" s="42">
        <f>SUMIF(PartList[ASSLY MARK],AA606,PartList[Avail. Qty])</f>
        <v>0</v>
      </c>
    </row>
    <row r="607" spans="1:28" x14ac:dyDescent="0.25">
      <c r="A607">
        <v>72</v>
      </c>
      <c r="B607" t="s">
        <v>551</v>
      </c>
      <c r="C607" t="s">
        <v>547</v>
      </c>
      <c r="D607" t="s">
        <v>90</v>
      </c>
      <c r="E607" t="s">
        <v>5</v>
      </c>
      <c r="F607" t="str" cm="1">
        <f t="array" ref="F607">IF(SUM(IF(PartList[ASSLY MARK]=PartList[[#This Row],[ASSLY MARK]],1,0))&gt;1,"No","Yes")</f>
        <v>No</v>
      </c>
      <c r="G607" t="str" cm="1">
        <f t="array" ref="G607">_xlfn.TEXTJOIN("_",TRUE,TRIM(_xlfn.TEXTSPLIT(PartList[[#This Row],[GRID LOCATION]],{"PR01","/","-"})))</f>
        <v>12_13_A_B</v>
      </c>
      <c r="H607" t="str" cm="1">
        <f t="array" ref="H60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07" cm="1">
        <f t="array" ref="I60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07" t="str">
        <f>IF(IFERROR(SEARCH("&gt;",PartList[[#This Row],[ID]]),0),"O",IF(IFERROR(SEARCH("&lt;",PartList[[#This Row],[ID]]),0),"I",""))</f>
        <v/>
      </c>
      <c r="K607" t="str" cm="1">
        <f t="array" ref="K6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07" t="str" cm="1">
        <f t="array" ref="L6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07" t="str">
        <f>_xlfn.TEXTJOIN("#",TRUE,PartList[[#This Row],[ASSLY MARK]],PartList[[#This Row],[BOX NO]],PartList[[#This Row],[In/Out]],PartList[[#This Row],[O1-Grid]])</f>
        <v>1BE51#Box2#InB</v>
      </c>
      <c r="N607" t="str">
        <f>_xlfn.TEXTJOIN("#",TRUE,PartList[[#This Row],[ASSLY MARK]],PartList[[#This Row],[BOX NO]],PartList[[#This Row],[In/Out]],PartList[[#This Row],[O2-Grid]])</f>
        <v>1BE51#Box2#InB</v>
      </c>
      <c r="O607">
        <f>IF(PartList[[#This Row],[Unique]]="Yes",_xlfn.XLOOKUP(PartList[[#This Row],[ASSLY MARK]],FilteredPL!A:A,FilteredPL!B:B,0,0),0)</f>
        <v>0</v>
      </c>
      <c r="P607">
        <f>_xlfn.XLOOKUP(PartList[[#This Row],[ASSLY MARK]],MasterPL[SplitMarkNo],MasterPL[BILL WT.(KG)],0,0)</f>
        <v>0</v>
      </c>
      <c r="Q607" cm="1">
        <f t="array" ref="Q60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07" t="str">
        <v>4HB32</v>
      </c>
      <c r="AB607" s="42">
        <f>SUMIF(PartList[ASSLY MARK],AA607,PartList[Avail. Qty])</f>
        <v>0</v>
      </c>
    </row>
    <row r="608" spans="1:28" x14ac:dyDescent="0.25">
      <c r="A608">
        <v>73</v>
      </c>
      <c r="B608" t="s">
        <v>551</v>
      </c>
      <c r="C608" t="s">
        <v>547</v>
      </c>
      <c r="D608" t="s">
        <v>88</v>
      </c>
      <c r="E608" t="s">
        <v>5</v>
      </c>
      <c r="F608" t="str" cm="1">
        <f t="array" ref="F608">IF(SUM(IF(PartList[ASSLY MARK]=PartList[[#This Row],[ASSLY MARK]],1,0))&gt;1,"No","Yes")</f>
        <v>No</v>
      </c>
      <c r="G608" t="str" cm="1">
        <f t="array" ref="G608">_xlfn.TEXTJOIN("_",TRUE,TRIM(_xlfn.TEXTSPLIT(PartList[[#This Row],[GRID LOCATION]],{"PR01","/","-"})))</f>
        <v>12_13_A_B</v>
      </c>
      <c r="H608" t="str" cm="1">
        <f t="array" ref="H60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08" cm="1">
        <f t="array" ref="I60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08" t="str">
        <f>IF(IFERROR(SEARCH("&gt;",PartList[[#This Row],[ID]]),0),"O",IF(IFERROR(SEARCH("&lt;",PartList[[#This Row],[ID]]),0),"I",""))</f>
        <v/>
      </c>
      <c r="K608" t="str" cm="1">
        <f t="array" ref="K6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08" t="str" cm="1">
        <f t="array" ref="L6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08" t="str">
        <f>_xlfn.TEXTJOIN("#",TRUE,PartList[[#This Row],[ASSLY MARK]],PartList[[#This Row],[BOX NO]],PartList[[#This Row],[In/Out]],PartList[[#This Row],[O1-Grid]])</f>
        <v>1BE51#Box2#InB</v>
      </c>
      <c r="N608" t="str">
        <f>_xlfn.TEXTJOIN("#",TRUE,PartList[[#This Row],[ASSLY MARK]],PartList[[#This Row],[BOX NO]],PartList[[#This Row],[In/Out]],PartList[[#This Row],[O2-Grid]])</f>
        <v>1BE51#Box2#InB</v>
      </c>
      <c r="O608">
        <f>IF(PartList[[#This Row],[Unique]]="Yes",_xlfn.XLOOKUP(PartList[[#This Row],[ASSLY MARK]],FilteredPL!A:A,FilteredPL!B:B,0,0),0)</f>
        <v>0</v>
      </c>
      <c r="P608">
        <f>_xlfn.XLOOKUP(PartList[[#This Row],[ASSLY MARK]],MasterPL[SplitMarkNo],MasterPL[BILL WT.(KG)],0,0)</f>
        <v>0</v>
      </c>
      <c r="Q608" cm="1">
        <f t="array" ref="Q60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08" t="str">
        <v>4HB33</v>
      </c>
      <c r="AB608" s="42">
        <f>SUMIF(PartList[ASSLY MARK],AA608,PartList[Avail. Qty])</f>
        <v>0</v>
      </c>
    </row>
    <row r="609" spans="1:28" x14ac:dyDescent="0.25">
      <c r="A609">
        <v>74</v>
      </c>
      <c r="B609" t="s">
        <v>552</v>
      </c>
      <c r="C609" t="s">
        <v>547</v>
      </c>
      <c r="D609" t="s">
        <v>90</v>
      </c>
      <c r="E609" t="s">
        <v>5</v>
      </c>
      <c r="F609" t="str" cm="1">
        <f t="array" ref="F609">IF(SUM(IF(PartList[ASSLY MARK]=PartList[[#This Row],[ASSLY MARK]],1,0))&gt;1,"No","Yes")</f>
        <v>Yes</v>
      </c>
      <c r="G609" t="str" cm="1">
        <f t="array" ref="G609">_xlfn.TEXTJOIN("_",TRUE,TRIM(_xlfn.TEXTSPLIT(PartList[[#This Row],[GRID LOCATION]],{"PR01","/","-"})))</f>
        <v>12_13_A_B</v>
      </c>
      <c r="H609" t="str" cm="1">
        <f t="array" ref="H60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09" cm="1">
        <f t="array" ref="I60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09" t="str">
        <f>IF(IFERROR(SEARCH("&gt;",PartList[[#This Row],[ID]]),0),"O",IF(IFERROR(SEARCH("&lt;",PartList[[#This Row],[ID]]),0),"I",""))</f>
        <v/>
      </c>
      <c r="K609" t="str" cm="1">
        <f t="array" ref="K6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09" t="str" cm="1">
        <f t="array" ref="L6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09" t="str">
        <f>_xlfn.TEXTJOIN("#",TRUE,PartList[[#This Row],[ASSLY MARK]],PartList[[#This Row],[BOX NO]],PartList[[#This Row],[In/Out]],PartList[[#This Row],[O1-Grid]])</f>
        <v>1BE52#Box2#InB</v>
      </c>
      <c r="N609" t="str">
        <f>_xlfn.TEXTJOIN("#",TRUE,PartList[[#This Row],[ASSLY MARK]],PartList[[#This Row],[BOX NO]],PartList[[#This Row],[In/Out]],PartList[[#This Row],[O2-Grid]])</f>
        <v>1BE52#Box2#InB</v>
      </c>
      <c r="O609">
        <f>IF(PartList[[#This Row],[Unique]]="Yes",_xlfn.XLOOKUP(PartList[[#This Row],[ASSLY MARK]],FilteredPL!A:A,FilteredPL!B:B,0,0),0)</f>
        <v>0</v>
      </c>
      <c r="P609">
        <f>_xlfn.XLOOKUP(PartList[[#This Row],[ASSLY MARK]],MasterPL[SplitMarkNo],MasterPL[BILL WT.(KG)],0,0)</f>
        <v>0</v>
      </c>
      <c r="Q609" cm="1">
        <f t="array" ref="Q60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09" t="str">
        <v>4HB45</v>
      </c>
      <c r="AB609" s="42">
        <f>SUMIF(PartList[ASSLY MARK],AA609,PartList[Avail. Qty])</f>
        <v>0</v>
      </c>
    </row>
    <row r="610" spans="1:28" x14ac:dyDescent="0.25">
      <c r="A610">
        <v>75</v>
      </c>
      <c r="B610" t="s">
        <v>553</v>
      </c>
      <c r="C610" t="s">
        <v>554</v>
      </c>
      <c r="D610" t="s">
        <v>519</v>
      </c>
      <c r="E610" t="s">
        <v>5</v>
      </c>
      <c r="F610" t="str" cm="1">
        <f t="array" ref="F610">IF(SUM(IF(PartList[ASSLY MARK]=PartList[[#This Row],[ASSLY MARK]],1,0))&gt;1,"No","Yes")</f>
        <v>Yes</v>
      </c>
      <c r="G610" t="str" cm="1">
        <f t="array" ref="G610">_xlfn.TEXTJOIN("_",TRUE,TRIM(_xlfn.TEXTSPLIT(PartList[[#This Row],[GRID LOCATION]],{"PR01","/","-"})))</f>
        <v>12_13_A</v>
      </c>
      <c r="H610" t="str" cm="1">
        <f t="array" ref="H61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10" cm="1">
        <f t="array" ref="I61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10" t="str">
        <f>IF(IFERROR(SEARCH("&gt;",PartList[[#This Row],[ID]]),0),"O",IF(IFERROR(SEARCH("&lt;",PartList[[#This Row],[ID]]),0),"I",""))</f>
        <v/>
      </c>
      <c r="K610" t="str" cm="1">
        <f t="array" ref="K6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10" t="str" cm="1">
        <f t="array" ref="L6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610" t="str">
        <f>_xlfn.TEXTJOIN("#",TRUE,PartList[[#This Row],[ASSLY MARK]],PartList[[#This Row],[BOX NO]],PartList[[#This Row],[In/Out]],PartList[[#This Row],[O1-Grid]])</f>
        <v>1BE53#Box2#InB</v>
      </c>
      <c r="N610" t="str">
        <f>_xlfn.TEXTJOIN("#",TRUE,PartList[[#This Row],[ASSLY MARK]],PartList[[#This Row],[BOX NO]],PartList[[#This Row],[In/Out]],PartList[[#This Row],[O2-Grid]])</f>
        <v>1BE53#Box2#12_13_A</v>
      </c>
      <c r="O610">
        <f>IF(PartList[[#This Row],[Unique]]="Yes",_xlfn.XLOOKUP(PartList[[#This Row],[ASSLY MARK]],FilteredPL!A:A,FilteredPL!B:B,0,0),0)</f>
        <v>0</v>
      </c>
      <c r="P610">
        <f>_xlfn.XLOOKUP(PartList[[#This Row],[ASSLY MARK]],MasterPL[SplitMarkNo],MasterPL[BILL WT.(KG)],0,0)</f>
        <v>0</v>
      </c>
      <c r="Q610" cm="1">
        <f t="array" ref="Q61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10" t="str">
        <v>4HB47</v>
      </c>
      <c r="AB610" s="42">
        <f>SUMIF(PartList[ASSLY MARK],AA610,PartList[Avail. Qty])</f>
        <v>0</v>
      </c>
    </row>
    <row r="611" spans="1:28" x14ac:dyDescent="0.25">
      <c r="A611">
        <v>76</v>
      </c>
      <c r="B611" t="s">
        <v>555</v>
      </c>
      <c r="C611" t="s">
        <v>556</v>
      </c>
      <c r="D611" t="s">
        <v>519</v>
      </c>
      <c r="E611" t="s">
        <v>5</v>
      </c>
      <c r="F611" t="str" cm="1">
        <f t="array" ref="F611">IF(SUM(IF(PartList[ASSLY MARK]=PartList[[#This Row],[ASSLY MARK]],1,0))&gt;1,"No","Yes")</f>
        <v>Yes</v>
      </c>
      <c r="G611" t="str" cm="1">
        <f t="array" ref="G611">_xlfn.TEXTJOIN("_",TRUE,TRIM(_xlfn.TEXTSPLIT(PartList[[#This Row],[GRID LOCATION]],{"PR01","/","-"})))</f>
        <v>12_13_B</v>
      </c>
      <c r="H611" t="str" cm="1">
        <f t="array" ref="H61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11" cm="1">
        <f t="array" ref="I61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11" t="str">
        <f>IF(IFERROR(SEARCH("&gt;",PartList[[#This Row],[ID]]),0),"O",IF(IFERROR(SEARCH("&lt;",PartList[[#This Row],[ID]]),0),"I",""))</f>
        <v/>
      </c>
      <c r="K611" t="str" cm="1">
        <f t="array" ref="K6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11" t="str" cm="1">
        <f t="array" ref="L6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611" t="str">
        <f>_xlfn.TEXTJOIN("#",TRUE,PartList[[#This Row],[ASSLY MARK]],PartList[[#This Row],[BOX NO]],PartList[[#This Row],[In/Out]],PartList[[#This Row],[O1-Grid]])</f>
        <v>1BE54#Box2#InB</v>
      </c>
      <c r="N611" t="str">
        <f>_xlfn.TEXTJOIN("#",TRUE,PartList[[#This Row],[ASSLY MARK]],PartList[[#This Row],[BOX NO]],PartList[[#This Row],[In/Out]],PartList[[#This Row],[O2-Grid]])</f>
        <v>1BE54#Box2#12_13_B</v>
      </c>
      <c r="O611">
        <f>IF(PartList[[#This Row],[Unique]]="Yes",_xlfn.XLOOKUP(PartList[[#This Row],[ASSLY MARK]],FilteredPL!A:A,FilteredPL!B:B,0,0),0)</f>
        <v>0</v>
      </c>
      <c r="P611">
        <f>_xlfn.XLOOKUP(PartList[[#This Row],[ASSLY MARK]],MasterPL[SplitMarkNo],MasterPL[BILL WT.(KG)],0,0)</f>
        <v>0</v>
      </c>
      <c r="Q611" cm="1">
        <f t="array" ref="Q61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11" t="str">
        <v>4HB48</v>
      </c>
      <c r="AB611" s="42">
        <f>SUMIF(PartList[ASSLY MARK],AA611,PartList[Avail. Qty])</f>
        <v>0</v>
      </c>
    </row>
    <row r="612" spans="1:28" x14ac:dyDescent="0.25">
      <c r="A612">
        <v>77</v>
      </c>
      <c r="B612" t="s">
        <v>557</v>
      </c>
      <c r="C612" t="s">
        <v>558</v>
      </c>
      <c r="D612" t="s">
        <v>539</v>
      </c>
      <c r="E612" t="s">
        <v>5</v>
      </c>
      <c r="F612" t="str" cm="1">
        <f t="array" ref="F612">IF(SUM(IF(PartList[ASSLY MARK]=PartList[[#This Row],[ASSLY MARK]],1,0))&gt;1,"No","Yes")</f>
        <v>Yes</v>
      </c>
      <c r="G612" t="str" cm="1">
        <f t="array" ref="G612">_xlfn.TEXTJOIN("_",TRUE,TRIM(_xlfn.TEXTSPLIT(PartList[[#This Row],[GRID LOCATION]],{"PR01","/","-"})))</f>
        <v>12_13_A'_A</v>
      </c>
      <c r="H612" t="str" cm="1">
        <f t="array" ref="H61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612" cm="1">
        <f t="array" ref="I61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12" t="str">
        <f>IF(IFERROR(SEARCH("&gt;",PartList[[#This Row],[ID]]),0),"O",IF(IFERROR(SEARCH("&lt;",PartList[[#This Row],[ID]]),0),"I",""))</f>
        <v/>
      </c>
      <c r="K612" t="str" cm="1">
        <f t="array" ref="K6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12" t="str" cm="1">
        <f t="array" ref="L6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12" t="str">
        <f>_xlfn.TEXTJOIN("#",TRUE,PartList[[#This Row],[ASSLY MARK]],PartList[[#This Row],[BOX NO]],PartList[[#This Row],[In/Out]],PartList[[#This Row],[O1-Grid]])</f>
        <v>1BE55#Box2_Box5#InBB</v>
      </c>
      <c r="N612" t="str">
        <f>_xlfn.TEXTJOIN("#",TRUE,PartList[[#This Row],[ASSLY MARK]],PartList[[#This Row],[BOX NO]],PartList[[#This Row],[In/Out]],PartList[[#This Row],[O2-Grid]])</f>
        <v>1BE55#Box2_Box5#InBB</v>
      </c>
      <c r="O612">
        <f>IF(PartList[[#This Row],[Unique]]="Yes",_xlfn.XLOOKUP(PartList[[#This Row],[ASSLY MARK]],FilteredPL!A:A,FilteredPL!B:B,0,0),0)</f>
        <v>0</v>
      </c>
      <c r="P612">
        <f>_xlfn.XLOOKUP(PartList[[#This Row],[ASSLY MARK]],MasterPL[SplitMarkNo],MasterPL[BILL WT.(KG)],0,0)</f>
        <v>0</v>
      </c>
      <c r="Q612" cm="1">
        <f t="array" ref="Q61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12" t="str">
        <v>4HB50</v>
      </c>
      <c r="AB612" s="42">
        <f>SUMIF(PartList[ASSLY MARK],AA612,PartList[Avail. Qty])</f>
        <v>0</v>
      </c>
    </row>
    <row r="613" spans="1:28" x14ac:dyDescent="0.25">
      <c r="A613">
        <v>78</v>
      </c>
      <c r="B613" t="s">
        <v>559</v>
      </c>
      <c r="C613" t="s">
        <v>554</v>
      </c>
      <c r="D613" t="s">
        <v>539</v>
      </c>
      <c r="E613" t="s">
        <v>5</v>
      </c>
      <c r="F613" t="str" cm="1">
        <f t="array" ref="F613">IF(SUM(IF(PartList[ASSLY MARK]=PartList[[#This Row],[ASSLY MARK]],1,0))&gt;1,"No","Yes")</f>
        <v>Yes</v>
      </c>
      <c r="G613" t="str" cm="1">
        <f t="array" ref="G613">_xlfn.TEXTJOIN("_",TRUE,TRIM(_xlfn.TEXTSPLIT(PartList[[#This Row],[GRID LOCATION]],{"PR01","/","-"})))</f>
        <v>12_13_A</v>
      </c>
      <c r="H613" t="str" cm="1">
        <f t="array" ref="H61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13" cm="1">
        <f t="array" ref="I61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13" t="str">
        <f>IF(IFERROR(SEARCH("&gt;",PartList[[#This Row],[ID]]),0),"O",IF(IFERROR(SEARCH("&lt;",PartList[[#This Row],[ID]]),0),"I",""))</f>
        <v/>
      </c>
      <c r="K613" t="str" cm="1">
        <f t="array" ref="K6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13" t="str" cm="1">
        <f t="array" ref="L6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613" t="str">
        <f>_xlfn.TEXTJOIN("#",TRUE,PartList[[#This Row],[ASSLY MARK]],PartList[[#This Row],[BOX NO]],PartList[[#This Row],[In/Out]],PartList[[#This Row],[O1-Grid]])</f>
        <v>1BE56#Box2#InB</v>
      </c>
      <c r="N613" t="str">
        <f>_xlfn.TEXTJOIN("#",TRUE,PartList[[#This Row],[ASSLY MARK]],PartList[[#This Row],[BOX NO]],PartList[[#This Row],[In/Out]],PartList[[#This Row],[O2-Grid]])</f>
        <v>1BE56#Box2#12_13_A</v>
      </c>
      <c r="O613">
        <f>IF(PartList[[#This Row],[Unique]]="Yes",_xlfn.XLOOKUP(PartList[[#This Row],[ASSLY MARK]],FilteredPL!A:A,FilteredPL!B:B,0,0),0)</f>
        <v>0</v>
      </c>
      <c r="P613">
        <f>_xlfn.XLOOKUP(PartList[[#This Row],[ASSLY MARK]],MasterPL[SplitMarkNo],MasterPL[BILL WT.(KG)],0,0)</f>
        <v>0</v>
      </c>
      <c r="Q613" cm="1">
        <f t="array" ref="Q61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13" t="str">
        <v>4HB51</v>
      </c>
      <c r="AB613" s="42">
        <f>SUMIF(PartList[ASSLY MARK],AA613,PartList[Avail. Qty])</f>
        <v>0</v>
      </c>
    </row>
    <row r="614" spans="1:28" x14ac:dyDescent="0.25">
      <c r="A614">
        <v>79</v>
      </c>
      <c r="B614" t="s">
        <v>560</v>
      </c>
      <c r="C614" t="s">
        <v>561</v>
      </c>
      <c r="D614" t="s">
        <v>90</v>
      </c>
      <c r="E614" t="s">
        <v>5</v>
      </c>
      <c r="F614" t="str" cm="1">
        <f t="array" ref="F614">IF(SUM(IF(PartList[ASSLY MARK]=PartList[[#This Row],[ASSLY MARK]],1,0))&gt;1,"No","Yes")</f>
        <v>No</v>
      </c>
      <c r="G614" t="str" cm="1">
        <f t="array" ref="G614">_xlfn.TEXTJOIN("_",TRUE,TRIM(_xlfn.TEXTSPLIT(PartList[[#This Row],[GRID LOCATION]],{"PR01","/","-"})))</f>
        <v>12_13_B&gt;</v>
      </c>
      <c r="H614" t="str" cm="1">
        <f t="array" ref="H61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14" cm="1">
        <f t="array" ref="I61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14" t="str">
        <f>IF(IFERROR(SEARCH("&gt;",PartList[[#This Row],[ID]]),0),"O",IF(IFERROR(SEARCH("&lt;",PartList[[#This Row],[ID]]),0),"I",""))</f>
        <v>O</v>
      </c>
      <c r="K614" t="str" cm="1">
        <f t="array" ref="K6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614" t="str" cm="1">
        <f t="array" ref="L6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614" t="str">
        <f>_xlfn.TEXTJOIN("#",TRUE,PartList[[#This Row],[ASSLY MARK]],PartList[[#This Row],[BOX NO]],PartList[[#This Row],[In/Out]],PartList[[#This Row],[O1-Grid]])</f>
        <v>1BE57#Box2#O</v>
      </c>
      <c r="N614" t="str">
        <f>_xlfn.TEXTJOIN("#",TRUE,PartList[[#This Row],[ASSLY MARK]],PartList[[#This Row],[BOX NO]],PartList[[#This Row],[In/Out]],PartList[[#This Row],[O2-Grid]])</f>
        <v>1BE57#Box2#O</v>
      </c>
      <c r="O614">
        <f>IF(PartList[[#This Row],[Unique]]="Yes",_xlfn.XLOOKUP(PartList[[#This Row],[ASSLY MARK]],FilteredPL!A:A,FilteredPL!B:B,0,0),0)</f>
        <v>0</v>
      </c>
      <c r="P614">
        <f>_xlfn.XLOOKUP(PartList[[#This Row],[ASSLY MARK]],MasterPL[SplitMarkNo],MasterPL[BILL WT.(KG)],0,0)</f>
        <v>0</v>
      </c>
      <c r="Q614" cm="1">
        <f t="array" ref="Q61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14" t="str">
        <v>4HB52</v>
      </c>
      <c r="AB614" s="42">
        <f>SUMIF(PartList[ASSLY MARK],AA614,PartList[Avail. Qty])</f>
        <v>0</v>
      </c>
    </row>
    <row r="615" spans="1:28" x14ac:dyDescent="0.25">
      <c r="A615">
        <v>80</v>
      </c>
      <c r="B615" t="s">
        <v>560</v>
      </c>
      <c r="C615" t="s">
        <v>561</v>
      </c>
      <c r="D615" t="s">
        <v>90</v>
      </c>
      <c r="E615" t="s">
        <v>5</v>
      </c>
      <c r="F615" t="str" cm="1">
        <f t="array" ref="F615">IF(SUM(IF(PartList[ASSLY MARK]=PartList[[#This Row],[ASSLY MARK]],1,0))&gt;1,"No","Yes")</f>
        <v>No</v>
      </c>
      <c r="G615" t="str" cm="1">
        <f t="array" ref="G615">_xlfn.TEXTJOIN("_",TRUE,TRIM(_xlfn.TEXTSPLIT(PartList[[#This Row],[GRID LOCATION]],{"PR01","/","-"})))</f>
        <v>12_13_B&gt;</v>
      </c>
      <c r="H615" t="str" cm="1">
        <f t="array" ref="H61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15" cm="1">
        <f t="array" ref="I61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15" t="str">
        <f>IF(IFERROR(SEARCH("&gt;",PartList[[#This Row],[ID]]),0),"O",IF(IFERROR(SEARCH("&lt;",PartList[[#This Row],[ID]]),0),"I",""))</f>
        <v>O</v>
      </c>
      <c r="K615" t="str" cm="1">
        <f t="array" ref="K6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615" t="str" cm="1">
        <f t="array" ref="L6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615" t="str">
        <f>_xlfn.TEXTJOIN("#",TRUE,PartList[[#This Row],[ASSLY MARK]],PartList[[#This Row],[BOX NO]],PartList[[#This Row],[In/Out]],PartList[[#This Row],[O1-Grid]])</f>
        <v>1BE57#Box2#O</v>
      </c>
      <c r="N615" t="str">
        <f>_xlfn.TEXTJOIN("#",TRUE,PartList[[#This Row],[ASSLY MARK]],PartList[[#This Row],[BOX NO]],PartList[[#This Row],[In/Out]],PartList[[#This Row],[O2-Grid]])</f>
        <v>1BE57#Box2#O</v>
      </c>
      <c r="O615">
        <f>IF(PartList[[#This Row],[Unique]]="Yes",_xlfn.XLOOKUP(PartList[[#This Row],[ASSLY MARK]],FilteredPL!A:A,FilteredPL!B:B,0,0),0)</f>
        <v>0</v>
      </c>
      <c r="P615">
        <f>_xlfn.XLOOKUP(PartList[[#This Row],[ASSLY MARK]],MasterPL[SplitMarkNo],MasterPL[BILL WT.(KG)],0,0)</f>
        <v>0</v>
      </c>
      <c r="Q615" cm="1">
        <f t="array" ref="Q61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15" t="str">
        <v>5BE10</v>
      </c>
      <c r="AB615" s="42">
        <f>SUMIF(PartList[ASSLY MARK],AA615,PartList[Avail. Qty])</f>
        <v>0</v>
      </c>
    </row>
    <row r="616" spans="1:28" x14ac:dyDescent="0.25">
      <c r="A616">
        <v>81</v>
      </c>
      <c r="B616" t="s">
        <v>560</v>
      </c>
      <c r="C616" t="s">
        <v>561</v>
      </c>
      <c r="D616" t="s">
        <v>90</v>
      </c>
      <c r="E616" t="s">
        <v>5</v>
      </c>
      <c r="F616" t="str" cm="1">
        <f t="array" ref="F616">IF(SUM(IF(PartList[ASSLY MARK]=PartList[[#This Row],[ASSLY MARK]],1,0))&gt;1,"No","Yes")</f>
        <v>No</v>
      </c>
      <c r="G616" t="str" cm="1">
        <f t="array" ref="G616">_xlfn.TEXTJOIN("_",TRUE,TRIM(_xlfn.TEXTSPLIT(PartList[[#This Row],[GRID LOCATION]],{"PR01","/","-"})))</f>
        <v>12_13_B&gt;</v>
      </c>
      <c r="H616" t="str" cm="1">
        <f t="array" ref="H61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16" cm="1">
        <f t="array" ref="I61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16" t="str">
        <f>IF(IFERROR(SEARCH("&gt;",PartList[[#This Row],[ID]]),0),"O",IF(IFERROR(SEARCH("&lt;",PartList[[#This Row],[ID]]),0),"I",""))</f>
        <v>O</v>
      </c>
      <c r="K616" t="str" cm="1">
        <f t="array" ref="K6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616" t="str" cm="1">
        <f t="array" ref="L6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616" t="str">
        <f>_xlfn.TEXTJOIN("#",TRUE,PartList[[#This Row],[ASSLY MARK]],PartList[[#This Row],[BOX NO]],PartList[[#This Row],[In/Out]],PartList[[#This Row],[O1-Grid]])</f>
        <v>1BE57#Box2#O</v>
      </c>
      <c r="N616" t="str">
        <f>_xlfn.TEXTJOIN("#",TRUE,PartList[[#This Row],[ASSLY MARK]],PartList[[#This Row],[BOX NO]],PartList[[#This Row],[In/Out]],PartList[[#This Row],[O2-Grid]])</f>
        <v>1BE57#Box2#O</v>
      </c>
      <c r="O616">
        <f>IF(PartList[[#This Row],[Unique]]="Yes",_xlfn.XLOOKUP(PartList[[#This Row],[ASSLY MARK]],FilteredPL!A:A,FilteredPL!B:B,0,0),0)</f>
        <v>0</v>
      </c>
      <c r="P616">
        <f>_xlfn.XLOOKUP(PartList[[#This Row],[ASSLY MARK]],MasterPL[SplitMarkNo],MasterPL[BILL WT.(KG)],0,0)</f>
        <v>0</v>
      </c>
      <c r="Q616" cm="1">
        <f t="array" ref="Q61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16" t="str">
        <v>5BE45</v>
      </c>
      <c r="AB616" s="42">
        <f>SUMIF(PartList[ASSLY MARK],AA616,PartList[Avail. Qty])</f>
        <v>0</v>
      </c>
    </row>
    <row r="617" spans="1:28" x14ac:dyDescent="0.25">
      <c r="A617">
        <v>82</v>
      </c>
      <c r="B617" t="s">
        <v>560</v>
      </c>
      <c r="C617" t="s">
        <v>561</v>
      </c>
      <c r="D617" t="s">
        <v>90</v>
      </c>
      <c r="E617" t="s">
        <v>5</v>
      </c>
      <c r="F617" t="str" cm="1">
        <f t="array" ref="F617">IF(SUM(IF(PartList[ASSLY MARK]=PartList[[#This Row],[ASSLY MARK]],1,0))&gt;1,"No","Yes")</f>
        <v>No</v>
      </c>
      <c r="G617" t="str" cm="1">
        <f t="array" ref="G617">_xlfn.TEXTJOIN("_",TRUE,TRIM(_xlfn.TEXTSPLIT(PartList[[#This Row],[GRID LOCATION]],{"PR01","/","-"})))</f>
        <v>12_13_B&gt;</v>
      </c>
      <c r="H617" t="str" cm="1">
        <f t="array" ref="H61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17" cm="1">
        <f t="array" ref="I61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17" t="str">
        <f>IF(IFERROR(SEARCH("&gt;",PartList[[#This Row],[ID]]),0),"O",IF(IFERROR(SEARCH("&lt;",PartList[[#This Row],[ID]]),0),"I",""))</f>
        <v>O</v>
      </c>
      <c r="K617" t="str" cm="1">
        <f t="array" ref="K6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617" t="str" cm="1">
        <f t="array" ref="L6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617" t="str">
        <f>_xlfn.TEXTJOIN("#",TRUE,PartList[[#This Row],[ASSLY MARK]],PartList[[#This Row],[BOX NO]],PartList[[#This Row],[In/Out]],PartList[[#This Row],[O1-Grid]])</f>
        <v>1BE57#Box2#O</v>
      </c>
      <c r="N617" t="str">
        <f>_xlfn.TEXTJOIN("#",TRUE,PartList[[#This Row],[ASSLY MARK]],PartList[[#This Row],[BOX NO]],PartList[[#This Row],[In/Out]],PartList[[#This Row],[O2-Grid]])</f>
        <v>1BE57#Box2#O</v>
      </c>
      <c r="O617">
        <f>IF(PartList[[#This Row],[Unique]]="Yes",_xlfn.XLOOKUP(PartList[[#This Row],[ASSLY MARK]],FilteredPL!A:A,FilteredPL!B:B,0,0),0)</f>
        <v>0</v>
      </c>
      <c r="P617">
        <f>_xlfn.XLOOKUP(PartList[[#This Row],[ASSLY MARK]],MasterPL[SplitMarkNo],MasterPL[BILL WT.(KG)],0,0)</f>
        <v>0</v>
      </c>
      <c r="Q617" cm="1">
        <f t="array" ref="Q61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17" t="str">
        <v>5BE46</v>
      </c>
      <c r="AB617" s="42">
        <f>SUMIF(PartList[ASSLY MARK],AA617,PartList[Avail. Qty])</f>
        <v>0</v>
      </c>
    </row>
    <row r="618" spans="1:28" x14ac:dyDescent="0.25">
      <c r="A618">
        <v>83</v>
      </c>
      <c r="B618" t="s">
        <v>562</v>
      </c>
      <c r="C618" t="s">
        <v>558</v>
      </c>
      <c r="D618" t="s">
        <v>90</v>
      </c>
      <c r="E618" t="s">
        <v>5</v>
      </c>
      <c r="F618" t="str" cm="1">
        <f t="array" ref="F618">IF(SUM(IF(PartList[ASSLY MARK]=PartList[[#This Row],[ASSLY MARK]],1,0))&gt;1,"No","Yes")</f>
        <v>No</v>
      </c>
      <c r="G618" t="str" cm="1">
        <f t="array" ref="G618">_xlfn.TEXTJOIN("_",TRUE,TRIM(_xlfn.TEXTSPLIT(PartList[[#This Row],[GRID LOCATION]],{"PR01","/","-"})))</f>
        <v>12_13_A'_A</v>
      </c>
      <c r="H618" t="str" cm="1">
        <f t="array" ref="H61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618" cm="1">
        <f t="array" ref="I61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18" t="str">
        <f>IF(IFERROR(SEARCH("&gt;",PartList[[#This Row],[ID]]),0),"O",IF(IFERROR(SEARCH("&lt;",PartList[[#This Row],[ID]]),0),"I",""))</f>
        <v/>
      </c>
      <c r="K618" t="str" cm="1">
        <f t="array" ref="K6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18" t="str" cm="1">
        <f t="array" ref="L6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18" t="str">
        <f>_xlfn.TEXTJOIN("#",TRUE,PartList[[#This Row],[ASSLY MARK]],PartList[[#This Row],[BOX NO]],PartList[[#This Row],[In/Out]],PartList[[#This Row],[O1-Grid]])</f>
        <v>1BE58#Box2_Box5#InBB</v>
      </c>
      <c r="N618" t="str">
        <f>_xlfn.TEXTJOIN("#",TRUE,PartList[[#This Row],[ASSLY MARK]],PartList[[#This Row],[BOX NO]],PartList[[#This Row],[In/Out]],PartList[[#This Row],[O2-Grid]])</f>
        <v>1BE58#Box2_Box5#InBB</v>
      </c>
      <c r="O618">
        <f>IF(PartList[[#This Row],[Unique]]="Yes",_xlfn.XLOOKUP(PartList[[#This Row],[ASSLY MARK]],FilteredPL!A:A,FilteredPL!B:B,0,0),0)</f>
        <v>0</v>
      </c>
      <c r="P618">
        <f>_xlfn.XLOOKUP(PartList[[#This Row],[ASSLY MARK]],MasterPL[SplitMarkNo],MasterPL[BILL WT.(KG)],0,0)</f>
        <v>0</v>
      </c>
      <c r="Q618" cm="1">
        <f t="array" ref="Q61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18" t="str">
        <v>5BE47</v>
      </c>
      <c r="AB618" s="42">
        <f>SUMIF(PartList[ASSLY MARK],AA618,PartList[Avail. Qty])</f>
        <v>0</v>
      </c>
    </row>
    <row r="619" spans="1:28" x14ac:dyDescent="0.25">
      <c r="A619">
        <v>84</v>
      </c>
      <c r="B619" t="s">
        <v>562</v>
      </c>
      <c r="C619" t="s">
        <v>558</v>
      </c>
      <c r="D619" t="s">
        <v>90</v>
      </c>
      <c r="E619" t="s">
        <v>5</v>
      </c>
      <c r="F619" t="str" cm="1">
        <f t="array" ref="F619">IF(SUM(IF(PartList[ASSLY MARK]=PartList[[#This Row],[ASSLY MARK]],1,0))&gt;1,"No","Yes")</f>
        <v>No</v>
      </c>
      <c r="G619" t="str" cm="1">
        <f t="array" ref="G619">_xlfn.TEXTJOIN("_",TRUE,TRIM(_xlfn.TEXTSPLIT(PartList[[#This Row],[GRID LOCATION]],{"PR01","/","-"})))</f>
        <v>12_13_A'_A</v>
      </c>
      <c r="H619" t="str" cm="1">
        <f t="array" ref="H61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619" cm="1">
        <f t="array" ref="I61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19" t="str">
        <f>IF(IFERROR(SEARCH("&gt;",PartList[[#This Row],[ID]]),0),"O",IF(IFERROR(SEARCH("&lt;",PartList[[#This Row],[ID]]),0),"I",""))</f>
        <v/>
      </c>
      <c r="K619" t="str" cm="1">
        <f t="array" ref="K6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19" t="str" cm="1">
        <f t="array" ref="L6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19" t="str">
        <f>_xlfn.TEXTJOIN("#",TRUE,PartList[[#This Row],[ASSLY MARK]],PartList[[#This Row],[BOX NO]],PartList[[#This Row],[In/Out]],PartList[[#This Row],[O1-Grid]])</f>
        <v>1BE58#Box2_Box5#InBB</v>
      </c>
      <c r="N619" t="str">
        <f>_xlfn.TEXTJOIN("#",TRUE,PartList[[#This Row],[ASSLY MARK]],PartList[[#This Row],[BOX NO]],PartList[[#This Row],[In/Out]],PartList[[#This Row],[O2-Grid]])</f>
        <v>1BE58#Box2_Box5#InBB</v>
      </c>
      <c r="O619">
        <f>IF(PartList[[#This Row],[Unique]]="Yes",_xlfn.XLOOKUP(PartList[[#This Row],[ASSLY MARK]],FilteredPL!A:A,FilteredPL!B:B,0,0),0)</f>
        <v>0</v>
      </c>
      <c r="P619">
        <f>_xlfn.XLOOKUP(PartList[[#This Row],[ASSLY MARK]],MasterPL[SplitMarkNo],MasterPL[BILL WT.(KG)],0,0)</f>
        <v>0</v>
      </c>
      <c r="Q619" cm="1">
        <f t="array" ref="Q61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19" t="str">
        <v>5BE48</v>
      </c>
      <c r="AB619" s="42">
        <f>SUMIF(PartList[ASSLY MARK],AA619,PartList[Avail. Qty])</f>
        <v>0</v>
      </c>
    </row>
    <row r="620" spans="1:28" x14ac:dyDescent="0.25">
      <c r="A620">
        <v>85</v>
      </c>
      <c r="B620" t="s">
        <v>562</v>
      </c>
      <c r="C620" t="s">
        <v>558</v>
      </c>
      <c r="D620" t="s">
        <v>90</v>
      </c>
      <c r="E620" t="s">
        <v>5</v>
      </c>
      <c r="F620" t="str" cm="1">
        <f t="array" ref="F620">IF(SUM(IF(PartList[ASSLY MARK]=PartList[[#This Row],[ASSLY MARK]],1,0))&gt;1,"No","Yes")</f>
        <v>No</v>
      </c>
      <c r="G620" t="str" cm="1">
        <f t="array" ref="G620">_xlfn.TEXTJOIN("_",TRUE,TRIM(_xlfn.TEXTSPLIT(PartList[[#This Row],[GRID LOCATION]],{"PR01","/","-"})))</f>
        <v>12_13_A'_A</v>
      </c>
      <c r="H620" t="str" cm="1">
        <f t="array" ref="H62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620" cm="1">
        <f t="array" ref="I62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20" t="str">
        <f>IF(IFERROR(SEARCH("&gt;",PartList[[#This Row],[ID]]),0),"O",IF(IFERROR(SEARCH("&lt;",PartList[[#This Row],[ID]]),0),"I",""))</f>
        <v/>
      </c>
      <c r="K620" t="str" cm="1">
        <f t="array" ref="K6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20" t="str" cm="1">
        <f t="array" ref="L6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20" t="str">
        <f>_xlfn.TEXTJOIN("#",TRUE,PartList[[#This Row],[ASSLY MARK]],PartList[[#This Row],[BOX NO]],PartList[[#This Row],[In/Out]],PartList[[#This Row],[O1-Grid]])</f>
        <v>1BE58#Box2_Box5#InBB</v>
      </c>
      <c r="N620" t="str">
        <f>_xlfn.TEXTJOIN("#",TRUE,PartList[[#This Row],[ASSLY MARK]],PartList[[#This Row],[BOX NO]],PartList[[#This Row],[In/Out]],PartList[[#This Row],[O2-Grid]])</f>
        <v>1BE58#Box2_Box5#InBB</v>
      </c>
      <c r="O620">
        <f>IF(PartList[[#This Row],[Unique]]="Yes",_xlfn.XLOOKUP(PartList[[#This Row],[ASSLY MARK]],FilteredPL!A:A,FilteredPL!B:B,0,0),0)</f>
        <v>0</v>
      </c>
      <c r="P620">
        <f>_xlfn.XLOOKUP(PartList[[#This Row],[ASSLY MARK]],MasterPL[SplitMarkNo],MasterPL[BILL WT.(KG)],0,0)</f>
        <v>0</v>
      </c>
      <c r="Q620" cm="1">
        <f t="array" ref="Q62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20" t="str">
        <v>5BE49</v>
      </c>
      <c r="AB620" s="42">
        <f>SUMIF(PartList[ASSLY MARK],AA620,PartList[Avail. Qty])</f>
        <v>0</v>
      </c>
    </row>
    <row r="621" spans="1:28" x14ac:dyDescent="0.25">
      <c r="A621">
        <v>86</v>
      </c>
      <c r="B621" t="s">
        <v>562</v>
      </c>
      <c r="C621" t="s">
        <v>558</v>
      </c>
      <c r="D621" t="s">
        <v>90</v>
      </c>
      <c r="E621" t="s">
        <v>5</v>
      </c>
      <c r="F621" t="str" cm="1">
        <f t="array" ref="F621">IF(SUM(IF(PartList[ASSLY MARK]=PartList[[#This Row],[ASSLY MARK]],1,0))&gt;1,"No","Yes")</f>
        <v>No</v>
      </c>
      <c r="G621" t="str" cm="1">
        <f t="array" ref="G621">_xlfn.TEXTJOIN("_",TRUE,TRIM(_xlfn.TEXTSPLIT(PartList[[#This Row],[GRID LOCATION]],{"PR01","/","-"})))</f>
        <v>12_13_A'_A</v>
      </c>
      <c r="H621" t="str" cm="1">
        <f t="array" ref="H62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621" cm="1">
        <f t="array" ref="I62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21" t="str">
        <f>IF(IFERROR(SEARCH("&gt;",PartList[[#This Row],[ID]]),0),"O",IF(IFERROR(SEARCH("&lt;",PartList[[#This Row],[ID]]),0),"I",""))</f>
        <v/>
      </c>
      <c r="K621" t="str" cm="1">
        <f t="array" ref="K6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21" t="str" cm="1">
        <f t="array" ref="L6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21" t="str">
        <f>_xlfn.TEXTJOIN("#",TRUE,PartList[[#This Row],[ASSLY MARK]],PartList[[#This Row],[BOX NO]],PartList[[#This Row],[In/Out]],PartList[[#This Row],[O1-Grid]])</f>
        <v>1BE58#Box2_Box5#InBB</v>
      </c>
      <c r="N621" t="str">
        <f>_xlfn.TEXTJOIN("#",TRUE,PartList[[#This Row],[ASSLY MARK]],PartList[[#This Row],[BOX NO]],PartList[[#This Row],[In/Out]],PartList[[#This Row],[O2-Grid]])</f>
        <v>1BE58#Box2_Box5#InBB</v>
      </c>
      <c r="O621">
        <f>IF(PartList[[#This Row],[Unique]]="Yes",_xlfn.XLOOKUP(PartList[[#This Row],[ASSLY MARK]],FilteredPL!A:A,FilteredPL!B:B,0,0),0)</f>
        <v>0</v>
      </c>
      <c r="P621">
        <f>_xlfn.XLOOKUP(PartList[[#This Row],[ASSLY MARK]],MasterPL[SplitMarkNo],MasterPL[BILL WT.(KG)],0,0)</f>
        <v>0</v>
      </c>
      <c r="Q621" cm="1">
        <f t="array" ref="Q62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21" t="str">
        <v>5BE50</v>
      </c>
      <c r="AB621" s="42">
        <f>SUMIF(PartList[ASSLY MARK],AA621,PartList[Avail. Qty])</f>
        <v>0</v>
      </c>
    </row>
    <row r="622" spans="1:28" x14ac:dyDescent="0.25">
      <c r="A622">
        <v>87</v>
      </c>
      <c r="B622" t="s">
        <v>562</v>
      </c>
      <c r="C622" t="s">
        <v>558</v>
      </c>
      <c r="D622" t="s">
        <v>90</v>
      </c>
      <c r="E622" t="s">
        <v>5</v>
      </c>
      <c r="F622" t="str" cm="1">
        <f t="array" ref="F622">IF(SUM(IF(PartList[ASSLY MARK]=PartList[[#This Row],[ASSLY MARK]],1,0))&gt;1,"No","Yes")</f>
        <v>No</v>
      </c>
      <c r="G622" t="str" cm="1">
        <f t="array" ref="G622">_xlfn.TEXTJOIN("_",TRUE,TRIM(_xlfn.TEXTSPLIT(PartList[[#This Row],[GRID LOCATION]],{"PR01","/","-"})))</f>
        <v>12_13_A'_A</v>
      </c>
      <c r="H622" t="str" cm="1">
        <f t="array" ref="H62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622" cm="1">
        <f t="array" ref="I62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22" t="str">
        <f>IF(IFERROR(SEARCH("&gt;",PartList[[#This Row],[ID]]),0),"O",IF(IFERROR(SEARCH("&lt;",PartList[[#This Row],[ID]]),0),"I",""))</f>
        <v/>
      </c>
      <c r="K622" t="str" cm="1">
        <f t="array" ref="K6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22" t="str" cm="1">
        <f t="array" ref="L6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22" t="str">
        <f>_xlfn.TEXTJOIN("#",TRUE,PartList[[#This Row],[ASSLY MARK]],PartList[[#This Row],[BOX NO]],PartList[[#This Row],[In/Out]],PartList[[#This Row],[O1-Grid]])</f>
        <v>1BE58#Box2_Box5#InBB</v>
      </c>
      <c r="N622" t="str">
        <f>_xlfn.TEXTJOIN("#",TRUE,PartList[[#This Row],[ASSLY MARK]],PartList[[#This Row],[BOX NO]],PartList[[#This Row],[In/Out]],PartList[[#This Row],[O2-Grid]])</f>
        <v>1BE58#Box2_Box5#InBB</v>
      </c>
      <c r="O622">
        <f>IF(PartList[[#This Row],[Unique]]="Yes",_xlfn.XLOOKUP(PartList[[#This Row],[ASSLY MARK]],FilteredPL!A:A,FilteredPL!B:B,0,0),0)</f>
        <v>0</v>
      </c>
      <c r="P622">
        <f>_xlfn.XLOOKUP(PartList[[#This Row],[ASSLY MARK]],MasterPL[SplitMarkNo],MasterPL[BILL WT.(KG)],0,0)</f>
        <v>0</v>
      </c>
      <c r="Q622" cm="1">
        <f t="array" ref="Q62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22" t="str">
        <v>5BE51</v>
      </c>
      <c r="AB622" s="42">
        <f>SUMIF(PartList[ASSLY MARK],AA622,PartList[Avail. Qty])</f>
        <v>0</v>
      </c>
    </row>
    <row r="623" spans="1:28" x14ac:dyDescent="0.25">
      <c r="A623">
        <v>88</v>
      </c>
      <c r="B623" t="s">
        <v>563</v>
      </c>
      <c r="C623" t="s">
        <v>561</v>
      </c>
      <c r="D623" t="s">
        <v>90</v>
      </c>
      <c r="E623" t="s">
        <v>5</v>
      </c>
      <c r="F623" t="str" cm="1">
        <f t="array" ref="F623">IF(SUM(IF(PartList[ASSLY MARK]=PartList[[#This Row],[ASSLY MARK]],1,0))&gt;1,"No","Yes")</f>
        <v>Yes</v>
      </c>
      <c r="G623" t="str" cm="1">
        <f t="array" ref="G623">_xlfn.TEXTJOIN("_",TRUE,TRIM(_xlfn.TEXTSPLIT(PartList[[#This Row],[GRID LOCATION]],{"PR01","/","-"})))</f>
        <v>12_13_B&gt;</v>
      </c>
      <c r="H623" t="str" cm="1">
        <f t="array" ref="H62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23" cm="1">
        <f t="array" ref="I62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23" t="str">
        <f>IF(IFERROR(SEARCH("&gt;",PartList[[#This Row],[ID]]),0),"O",IF(IFERROR(SEARCH("&lt;",PartList[[#This Row],[ID]]),0),"I",""))</f>
        <v>O</v>
      </c>
      <c r="K623" t="str" cm="1">
        <f t="array" ref="K6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623" t="str" cm="1">
        <f t="array" ref="L6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623" t="str">
        <f>_xlfn.TEXTJOIN("#",TRUE,PartList[[#This Row],[ASSLY MARK]],PartList[[#This Row],[BOX NO]],PartList[[#This Row],[In/Out]],PartList[[#This Row],[O1-Grid]])</f>
        <v>1BE59#Box2#O</v>
      </c>
      <c r="N623" t="str">
        <f>_xlfn.TEXTJOIN("#",TRUE,PartList[[#This Row],[ASSLY MARK]],PartList[[#This Row],[BOX NO]],PartList[[#This Row],[In/Out]],PartList[[#This Row],[O2-Grid]])</f>
        <v>1BE59#Box2#O</v>
      </c>
      <c r="O623">
        <f>IF(PartList[[#This Row],[Unique]]="Yes",_xlfn.XLOOKUP(PartList[[#This Row],[ASSLY MARK]],FilteredPL!A:A,FilteredPL!B:B,0,0),0)</f>
        <v>0</v>
      </c>
      <c r="P623">
        <f>_xlfn.XLOOKUP(PartList[[#This Row],[ASSLY MARK]],MasterPL[SplitMarkNo],MasterPL[BILL WT.(KG)],0,0)</f>
        <v>0</v>
      </c>
      <c r="Q623" cm="1">
        <f t="array" ref="Q62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23" t="str">
        <v>5HA01</v>
      </c>
      <c r="AB623" s="42">
        <f>SUMIF(PartList[ASSLY MARK],AA623,PartList[Avail. Qty])</f>
        <v>0</v>
      </c>
    </row>
    <row r="624" spans="1:28" x14ac:dyDescent="0.25">
      <c r="A624">
        <v>90</v>
      </c>
      <c r="B624" t="s">
        <v>566</v>
      </c>
      <c r="C624" t="s">
        <v>520</v>
      </c>
      <c r="D624" t="s">
        <v>519</v>
      </c>
      <c r="E624" t="s">
        <v>5</v>
      </c>
      <c r="F624" t="str" cm="1">
        <f t="array" ref="F624">IF(SUM(IF(PartList[ASSLY MARK]=PartList[[#This Row],[ASSLY MARK]],1,0))&gt;1,"No","Yes")</f>
        <v>No</v>
      </c>
      <c r="G624" t="str" cm="1">
        <f t="array" ref="G624">_xlfn.TEXTJOIN("_",TRUE,TRIM(_xlfn.TEXTSPLIT(PartList[[#This Row],[GRID LOCATION]],{"PR01","/","-"})))</f>
        <v>13_A_B</v>
      </c>
      <c r="H624" t="str" cm="1">
        <f t="array" ref="H62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24" cm="1">
        <f t="array" ref="I62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24" t="str">
        <f>IF(IFERROR(SEARCH("&gt;",PartList[[#This Row],[ID]]),0),"O",IF(IFERROR(SEARCH("&lt;",PartList[[#This Row],[ID]]),0),"I",""))</f>
        <v/>
      </c>
      <c r="K624" t="str" cm="1">
        <f t="array" ref="K6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13_A_B</v>
      </c>
      <c r="L624" t="str" cm="1">
        <f t="array" ref="L6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24" t="str">
        <f>_xlfn.TEXTJOIN("#",TRUE,PartList[[#This Row],[ASSLY MARK]],PartList[[#This Row],[BOX NO]],PartList[[#This Row],[In/Out]],PartList[[#This Row],[O1-Grid]])</f>
        <v>1BE61#Box2#13_A_B</v>
      </c>
      <c r="N624" t="str">
        <f>_xlfn.TEXTJOIN("#",TRUE,PartList[[#This Row],[ASSLY MARK]],PartList[[#This Row],[BOX NO]],PartList[[#This Row],[In/Out]],PartList[[#This Row],[O2-Grid]])</f>
        <v>1BE61#Box2#InB</v>
      </c>
      <c r="O624">
        <f>IF(PartList[[#This Row],[Unique]]="Yes",_xlfn.XLOOKUP(PartList[[#This Row],[ASSLY MARK]],FilteredPL!A:A,FilteredPL!B:B,0,0),0)</f>
        <v>0</v>
      </c>
      <c r="P624">
        <f>_xlfn.XLOOKUP(PartList[[#This Row],[ASSLY MARK]],MasterPL[SplitMarkNo],MasterPL[BILL WT.(KG)],0,0)</f>
        <v>0</v>
      </c>
      <c r="Q624" cm="1">
        <f t="array" ref="Q62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24" t="str">
        <v>5HA02</v>
      </c>
      <c r="AB624" s="42">
        <f>SUMIF(PartList[ASSLY MARK],AA624,PartList[Avail. Qty])</f>
        <v>0</v>
      </c>
    </row>
    <row r="625" spans="1:28" x14ac:dyDescent="0.25">
      <c r="A625">
        <v>91</v>
      </c>
      <c r="B625" t="s">
        <v>566</v>
      </c>
      <c r="C625" t="s">
        <v>520</v>
      </c>
      <c r="D625" t="s">
        <v>519</v>
      </c>
      <c r="E625" t="s">
        <v>5</v>
      </c>
      <c r="F625" t="str" cm="1">
        <f t="array" ref="F625">IF(SUM(IF(PartList[ASSLY MARK]=PartList[[#This Row],[ASSLY MARK]],1,0))&gt;1,"No","Yes")</f>
        <v>No</v>
      </c>
      <c r="G625" t="str" cm="1">
        <f t="array" ref="G625">_xlfn.TEXTJOIN("_",TRUE,TRIM(_xlfn.TEXTSPLIT(PartList[[#This Row],[GRID LOCATION]],{"PR01","/","-"})))</f>
        <v>13_A_B</v>
      </c>
      <c r="H625" t="str" cm="1">
        <f t="array" ref="H62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25" cm="1">
        <f t="array" ref="I62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25" t="str">
        <f>IF(IFERROR(SEARCH("&gt;",PartList[[#This Row],[ID]]),0),"O",IF(IFERROR(SEARCH("&lt;",PartList[[#This Row],[ID]]),0),"I",""))</f>
        <v/>
      </c>
      <c r="K625" t="str" cm="1">
        <f t="array" ref="K6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13_A_B</v>
      </c>
      <c r="L625" t="str" cm="1">
        <f t="array" ref="L6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25" t="str">
        <f>_xlfn.TEXTJOIN("#",TRUE,PartList[[#This Row],[ASSLY MARK]],PartList[[#This Row],[BOX NO]],PartList[[#This Row],[In/Out]],PartList[[#This Row],[O1-Grid]])</f>
        <v>1BE61#Box2#13_A_B</v>
      </c>
      <c r="N625" t="str">
        <f>_xlfn.TEXTJOIN("#",TRUE,PartList[[#This Row],[ASSLY MARK]],PartList[[#This Row],[BOX NO]],PartList[[#This Row],[In/Out]],PartList[[#This Row],[O2-Grid]])</f>
        <v>1BE61#Box2#InB</v>
      </c>
      <c r="O625">
        <f>IF(PartList[[#This Row],[Unique]]="Yes",_xlfn.XLOOKUP(PartList[[#This Row],[ASSLY MARK]],FilteredPL!A:A,FilteredPL!B:B,0,0),0)</f>
        <v>0</v>
      </c>
      <c r="P625">
        <f>_xlfn.XLOOKUP(PartList[[#This Row],[ASSLY MARK]],MasterPL[SplitMarkNo],MasterPL[BILL WT.(KG)],0,0)</f>
        <v>0</v>
      </c>
      <c r="Q625" cm="1">
        <f t="array" ref="Q62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25" t="str">
        <v>6BE41</v>
      </c>
      <c r="AB625" s="42">
        <f>SUMIF(PartList[ASSLY MARK],AA625,PartList[Avail. Qty])</f>
        <v>0</v>
      </c>
    </row>
    <row r="626" spans="1:28" x14ac:dyDescent="0.25">
      <c r="A626">
        <v>92</v>
      </c>
      <c r="B626" t="s">
        <v>567</v>
      </c>
      <c r="C626" t="s">
        <v>547</v>
      </c>
      <c r="D626" t="s">
        <v>90</v>
      </c>
      <c r="E626" t="s">
        <v>5</v>
      </c>
      <c r="F626" t="str" cm="1">
        <f t="array" ref="F626">IF(SUM(IF(PartList[ASSLY MARK]=PartList[[#This Row],[ASSLY MARK]],1,0))&gt;1,"No","Yes")</f>
        <v>Yes</v>
      </c>
      <c r="G626" t="str" cm="1">
        <f t="array" ref="G626">_xlfn.TEXTJOIN("_",TRUE,TRIM(_xlfn.TEXTSPLIT(PartList[[#This Row],[GRID LOCATION]],{"PR01","/","-"})))</f>
        <v>12_13_A_B</v>
      </c>
      <c r="H626" t="str" cm="1">
        <f t="array" ref="H62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26" cm="1">
        <f t="array" ref="I62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26" t="str">
        <f>IF(IFERROR(SEARCH("&gt;",PartList[[#This Row],[ID]]),0),"O",IF(IFERROR(SEARCH("&lt;",PartList[[#This Row],[ID]]),0),"I",""))</f>
        <v/>
      </c>
      <c r="K626" t="str" cm="1">
        <f t="array" ref="K6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26" t="str" cm="1">
        <f t="array" ref="L6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26" t="str">
        <f>_xlfn.TEXTJOIN("#",TRUE,PartList[[#This Row],[ASSLY MARK]],PartList[[#This Row],[BOX NO]],PartList[[#This Row],[In/Out]],PartList[[#This Row],[O1-Grid]])</f>
        <v>1BE62#Box2#InB</v>
      </c>
      <c r="N626" t="str">
        <f>_xlfn.TEXTJOIN("#",TRUE,PartList[[#This Row],[ASSLY MARK]],PartList[[#This Row],[BOX NO]],PartList[[#This Row],[In/Out]],PartList[[#This Row],[O2-Grid]])</f>
        <v>1BE62#Box2#InB</v>
      </c>
      <c r="O626">
        <f>IF(PartList[[#This Row],[Unique]]="Yes",_xlfn.XLOOKUP(PartList[[#This Row],[ASSLY MARK]],FilteredPL!A:A,FilteredPL!B:B,0,0),0)</f>
        <v>0</v>
      </c>
      <c r="P626">
        <f>_xlfn.XLOOKUP(PartList[[#This Row],[ASSLY MARK]],MasterPL[SplitMarkNo],MasterPL[BILL WT.(KG)],0,0)</f>
        <v>0</v>
      </c>
      <c r="Q626" cm="1">
        <f t="array" ref="Q62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26" t="str">
        <v>6BE42</v>
      </c>
      <c r="AB626" s="42">
        <f>SUMIF(PartList[ASSLY MARK],AA626,PartList[Avail. Qty])</f>
        <v>0</v>
      </c>
    </row>
    <row r="627" spans="1:28" x14ac:dyDescent="0.25">
      <c r="A627">
        <v>93</v>
      </c>
      <c r="B627" t="s">
        <v>568</v>
      </c>
      <c r="C627" t="s">
        <v>547</v>
      </c>
      <c r="D627" t="s">
        <v>90</v>
      </c>
      <c r="E627" t="s">
        <v>5</v>
      </c>
      <c r="F627" t="str" cm="1">
        <f t="array" ref="F627">IF(SUM(IF(PartList[ASSLY MARK]=PartList[[#This Row],[ASSLY MARK]],1,0))&gt;1,"No","Yes")</f>
        <v>Yes</v>
      </c>
      <c r="G627" t="str" cm="1">
        <f t="array" ref="G627">_xlfn.TEXTJOIN("_",TRUE,TRIM(_xlfn.TEXTSPLIT(PartList[[#This Row],[GRID LOCATION]],{"PR01","/","-"})))</f>
        <v>12_13_A_B</v>
      </c>
      <c r="H627" t="str" cm="1">
        <f t="array" ref="H62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27" cm="1">
        <f t="array" ref="I62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27" t="str">
        <f>IF(IFERROR(SEARCH("&gt;",PartList[[#This Row],[ID]]),0),"O",IF(IFERROR(SEARCH("&lt;",PartList[[#This Row],[ID]]),0),"I",""))</f>
        <v/>
      </c>
      <c r="K627" t="str" cm="1">
        <f t="array" ref="K6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27" t="str" cm="1">
        <f t="array" ref="L6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27" t="str">
        <f>_xlfn.TEXTJOIN("#",TRUE,PartList[[#This Row],[ASSLY MARK]],PartList[[#This Row],[BOX NO]],PartList[[#This Row],[In/Out]],PartList[[#This Row],[O1-Grid]])</f>
        <v>1BE63#Box2#InB</v>
      </c>
      <c r="N627" t="str">
        <f>_xlfn.TEXTJOIN("#",TRUE,PartList[[#This Row],[ASSLY MARK]],PartList[[#This Row],[BOX NO]],PartList[[#This Row],[In/Out]],PartList[[#This Row],[O2-Grid]])</f>
        <v>1BE63#Box2#InB</v>
      </c>
      <c r="O627">
        <f>IF(PartList[[#This Row],[Unique]]="Yes",_xlfn.XLOOKUP(PartList[[#This Row],[ASSLY MARK]],FilteredPL!A:A,FilteredPL!B:B,0,0),0)</f>
        <v>0</v>
      </c>
      <c r="P627">
        <f>_xlfn.XLOOKUP(PartList[[#This Row],[ASSLY MARK]],MasterPL[SplitMarkNo],MasterPL[BILL WT.(KG)],0,0)</f>
        <v>0</v>
      </c>
      <c r="Q627" cm="1">
        <f t="array" ref="Q62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27" t="str">
        <v>6BE43</v>
      </c>
      <c r="AB627" s="42">
        <f>SUMIF(PartList[ASSLY MARK],AA627,PartList[Avail. Qty])</f>
        <v>0</v>
      </c>
    </row>
    <row r="628" spans="1:28" x14ac:dyDescent="0.25">
      <c r="A628">
        <v>94</v>
      </c>
      <c r="B628" t="s">
        <v>569</v>
      </c>
      <c r="C628" t="s">
        <v>547</v>
      </c>
      <c r="D628" t="s">
        <v>90</v>
      </c>
      <c r="E628" t="s">
        <v>5</v>
      </c>
      <c r="F628" t="str" cm="1">
        <f t="array" ref="F628">IF(SUM(IF(PartList[ASSLY MARK]=PartList[[#This Row],[ASSLY MARK]],1,0))&gt;1,"No","Yes")</f>
        <v>Yes</v>
      </c>
      <c r="G628" t="str" cm="1">
        <f t="array" ref="G628">_xlfn.TEXTJOIN("_",TRUE,TRIM(_xlfn.TEXTSPLIT(PartList[[#This Row],[GRID LOCATION]],{"PR01","/","-"})))</f>
        <v>12_13_A_B</v>
      </c>
      <c r="H628" t="str" cm="1">
        <f t="array" ref="H62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28" cm="1">
        <f t="array" ref="I62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28" t="str">
        <f>IF(IFERROR(SEARCH("&gt;",PartList[[#This Row],[ID]]),0),"O",IF(IFERROR(SEARCH("&lt;",PartList[[#This Row],[ID]]),0),"I",""))</f>
        <v/>
      </c>
      <c r="K628" t="str" cm="1">
        <f t="array" ref="K6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28" t="str" cm="1">
        <f t="array" ref="L6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28" t="str">
        <f>_xlfn.TEXTJOIN("#",TRUE,PartList[[#This Row],[ASSLY MARK]],PartList[[#This Row],[BOX NO]],PartList[[#This Row],[In/Out]],PartList[[#This Row],[O1-Grid]])</f>
        <v>1BE64#Box2#InB</v>
      </c>
      <c r="N628" t="str">
        <f>_xlfn.TEXTJOIN("#",TRUE,PartList[[#This Row],[ASSLY MARK]],PartList[[#This Row],[BOX NO]],PartList[[#This Row],[In/Out]],PartList[[#This Row],[O2-Grid]])</f>
        <v>1BE64#Box2#InB</v>
      </c>
      <c r="O628">
        <f>IF(PartList[[#This Row],[Unique]]="Yes",_xlfn.XLOOKUP(PartList[[#This Row],[ASSLY MARK]],FilteredPL!A:A,FilteredPL!B:B,0,0),0)</f>
        <v>0</v>
      </c>
      <c r="P628">
        <f>_xlfn.XLOOKUP(PartList[[#This Row],[ASSLY MARK]],MasterPL[SplitMarkNo],MasterPL[BILL WT.(KG)],0,0)</f>
        <v>0</v>
      </c>
      <c r="Q628" cm="1">
        <f t="array" ref="Q62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28" t="str">
        <v>6BE44</v>
      </c>
      <c r="AB628" s="42">
        <f>SUMIF(PartList[ASSLY MARK],AA628,PartList[Avail. Qty])</f>
        <v>0</v>
      </c>
    </row>
    <row r="629" spans="1:28" x14ac:dyDescent="0.25">
      <c r="A629">
        <v>95</v>
      </c>
      <c r="B629" t="s">
        <v>570</v>
      </c>
      <c r="C629" t="s">
        <v>561</v>
      </c>
      <c r="D629" t="s">
        <v>90</v>
      </c>
      <c r="E629" t="s">
        <v>5</v>
      </c>
      <c r="F629" t="str" cm="1">
        <f t="array" ref="F629">IF(SUM(IF(PartList[ASSLY MARK]=PartList[[#This Row],[ASSLY MARK]],1,0))&gt;1,"No","Yes")</f>
        <v>Yes</v>
      </c>
      <c r="G629" t="str" cm="1">
        <f t="array" ref="G629">_xlfn.TEXTJOIN("_",TRUE,TRIM(_xlfn.TEXTSPLIT(PartList[[#This Row],[GRID LOCATION]],{"PR01","/","-"})))</f>
        <v>12_13_B&gt;</v>
      </c>
      <c r="H629" t="str" cm="1">
        <f t="array" ref="H62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29" cm="1">
        <f t="array" ref="I62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29" t="str">
        <f>IF(IFERROR(SEARCH("&gt;",PartList[[#This Row],[ID]]),0),"O",IF(IFERROR(SEARCH("&lt;",PartList[[#This Row],[ID]]),0),"I",""))</f>
        <v>O</v>
      </c>
      <c r="K629" t="str" cm="1">
        <f t="array" ref="K6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629" t="str" cm="1">
        <f t="array" ref="L6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629" t="str">
        <f>_xlfn.TEXTJOIN("#",TRUE,PartList[[#This Row],[ASSLY MARK]],PartList[[#This Row],[BOX NO]],PartList[[#This Row],[In/Out]],PartList[[#This Row],[O1-Grid]])</f>
        <v>1BE65#Box2#O</v>
      </c>
      <c r="N629" t="str">
        <f>_xlfn.TEXTJOIN("#",TRUE,PartList[[#This Row],[ASSLY MARK]],PartList[[#This Row],[BOX NO]],PartList[[#This Row],[In/Out]],PartList[[#This Row],[O2-Grid]])</f>
        <v>1BE65#Box2#O</v>
      </c>
      <c r="O629">
        <f>IF(PartList[[#This Row],[Unique]]="Yes",_xlfn.XLOOKUP(PartList[[#This Row],[ASSLY MARK]],FilteredPL!A:A,FilteredPL!B:B,0,0),0)</f>
        <v>0</v>
      </c>
      <c r="P629">
        <f>_xlfn.XLOOKUP(PartList[[#This Row],[ASSLY MARK]],MasterPL[SplitMarkNo],MasterPL[BILL WT.(KG)],0,0)</f>
        <v>0</v>
      </c>
      <c r="Q629" cm="1">
        <f t="array" ref="Q62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29" t="str">
        <v>6BE45</v>
      </c>
      <c r="AB629" s="42">
        <f>SUMIF(PartList[ASSLY MARK],AA629,PartList[Avail. Qty])</f>
        <v>0</v>
      </c>
    </row>
    <row r="630" spans="1:28" x14ac:dyDescent="0.25">
      <c r="A630">
        <v>96</v>
      </c>
      <c r="B630" t="s">
        <v>571</v>
      </c>
      <c r="C630" t="s">
        <v>558</v>
      </c>
      <c r="D630" t="s">
        <v>90</v>
      </c>
      <c r="E630" t="s">
        <v>5</v>
      </c>
      <c r="F630" t="str" cm="1">
        <f t="array" ref="F630">IF(SUM(IF(PartList[ASSLY MARK]=PartList[[#This Row],[ASSLY MARK]],1,0))&gt;1,"No","Yes")</f>
        <v>Yes</v>
      </c>
      <c r="G630" t="str" cm="1">
        <f t="array" ref="G630">_xlfn.TEXTJOIN("_",TRUE,TRIM(_xlfn.TEXTSPLIT(PartList[[#This Row],[GRID LOCATION]],{"PR01","/","-"})))</f>
        <v>12_13_A'_A</v>
      </c>
      <c r="H630" t="str" cm="1">
        <f t="array" ref="H63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630" cm="1">
        <f t="array" ref="I63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30" t="str">
        <f>IF(IFERROR(SEARCH("&gt;",PartList[[#This Row],[ID]]),0),"O",IF(IFERROR(SEARCH("&lt;",PartList[[#This Row],[ID]]),0),"I",""))</f>
        <v/>
      </c>
      <c r="K630" t="str" cm="1">
        <f t="array" ref="K6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30" t="str" cm="1">
        <f t="array" ref="L6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30" t="str">
        <f>_xlfn.TEXTJOIN("#",TRUE,PartList[[#This Row],[ASSLY MARK]],PartList[[#This Row],[BOX NO]],PartList[[#This Row],[In/Out]],PartList[[#This Row],[O1-Grid]])</f>
        <v>1BE66#Box2_Box5#InBB</v>
      </c>
      <c r="N630" t="str">
        <f>_xlfn.TEXTJOIN("#",TRUE,PartList[[#This Row],[ASSLY MARK]],PartList[[#This Row],[BOX NO]],PartList[[#This Row],[In/Out]],PartList[[#This Row],[O2-Grid]])</f>
        <v>1BE66#Box2_Box5#InBB</v>
      </c>
      <c r="O630">
        <f>IF(PartList[[#This Row],[Unique]]="Yes",_xlfn.XLOOKUP(PartList[[#This Row],[ASSLY MARK]],FilteredPL!A:A,FilteredPL!B:B,0,0),0)</f>
        <v>0</v>
      </c>
      <c r="P630">
        <f>_xlfn.XLOOKUP(PartList[[#This Row],[ASSLY MARK]],MasterPL[SplitMarkNo],MasterPL[BILL WT.(KG)],0,0)</f>
        <v>0</v>
      </c>
      <c r="Q630" cm="1">
        <f t="array" ref="Q63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30" t="str">
        <v>6BE46</v>
      </c>
      <c r="AB630" s="42">
        <f>SUMIF(PartList[ASSLY MARK],AA630,PartList[Avail. Qty])</f>
        <v>0</v>
      </c>
    </row>
    <row r="631" spans="1:28" x14ac:dyDescent="0.25">
      <c r="A631">
        <v>97</v>
      </c>
      <c r="B631" t="s">
        <v>572</v>
      </c>
      <c r="C631" t="s">
        <v>554</v>
      </c>
      <c r="D631" t="s">
        <v>90</v>
      </c>
      <c r="E631" t="s">
        <v>5</v>
      </c>
      <c r="F631" t="str" cm="1">
        <f t="array" ref="F631">IF(SUM(IF(PartList[ASSLY MARK]=PartList[[#This Row],[ASSLY MARK]],1,0))&gt;1,"No","Yes")</f>
        <v>Yes</v>
      </c>
      <c r="G631" t="str" cm="1">
        <f t="array" ref="G631">_xlfn.TEXTJOIN("_",TRUE,TRIM(_xlfn.TEXTSPLIT(PartList[[#This Row],[GRID LOCATION]],{"PR01","/","-"})))</f>
        <v>12_13_A</v>
      </c>
      <c r="H631" t="str" cm="1">
        <f t="array" ref="H63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31" cm="1">
        <f t="array" ref="I63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31" t="str">
        <f>IF(IFERROR(SEARCH("&gt;",PartList[[#This Row],[ID]]),0),"O",IF(IFERROR(SEARCH("&lt;",PartList[[#This Row],[ID]]),0),"I",""))</f>
        <v/>
      </c>
      <c r="K631" t="str" cm="1">
        <f t="array" ref="K6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31" t="str" cm="1">
        <f t="array" ref="L6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631" t="str">
        <f>_xlfn.TEXTJOIN("#",TRUE,PartList[[#This Row],[ASSLY MARK]],PartList[[#This Row],[BOX NO]],PartList[[#This Row],[In/Out]],PartList[[#This Row],[O1-Grid]])</f>
        <v>1BE67#Box2#InB</v>
      </c>
      <c r="N631" t="str">
        <f>_xlfn.TEXTJOIN("#",TRUE,PartList[[#This Row],[ASSLY MARK]],PartList[[#This Row],[BOX NO]],PartList[[#This Row],[In/Out]],PartList[[#This Row],[O2-Grid]])</f>
        <v>1BE67#Box2#12_13_A</v>
      </c>
      <c r="O631">
        <f>IF(PartList[[#This Row],[Unique]]="Yes",_xlfn.XLOOKUP(PartList[[#This Row],[ASSLY MARK]],FilteredPL!A:A,FilteredPL!B:B,0,0),0)</f>
        <v>0</v>
      </c>
      <c r="P631">
        <f>_xlfn.XLOOKUP(PartList[[#This Row],[ASSLY MARK]],MasterPL[SplitMarkNo],MasterPL[BILL WT.(KG)],0,0)</f>
        <v>0</v>
      </c>
      <c r="Q631" cm="1">
        <f t="array" ref="Q63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31" t="str">
        <v>6BE47</v>
      </c>
      <c r="AB631" s="42">
        <f>SUMIF(PartList[ASSLY MARK],AA631,PartList[Avail. Qty])</f>
        <v>0</v>
      </c>
    </row>
    <row r="632" spans="1:28" x14ac:dyDescent="0.25">
      <c r="A632">
        <v>98</v>
      </c>
      <c r="B632" t="s">
        <v>573</v>
      </c>
      <c r="C632" t="s">
        <v>556</v>
      </c>
      <c r="D632" t="s">
        <v>90</v>
      </c>
      <c r="E632" t="s">
        <v>5</v>
      </c>
      <c r="F632" t="str" cm="1">
        <f t="array" ref="F632">IF(SUM(IF(PartList[ASSLY MARK]=PartList[[#This Row],[ASSLY MARK]],1,0))&gt;1,"No","Yes")</f>
        <v>Yes</v>
      </c>
      <c r="G632" t="str" cm="1">
        <f t="array" ref="G632">_xlfn.TEXTJOIN("_",TRUE,TRIM(_xlfn.TEXTSPLIT(PartList[[#This Row],[GRID LOCATION]],{"PR01","/","-"})))</f>
        <v>12_13_B</v>
      </c>
      <c r="H632" t="str" cm="1">
        <f t="array" ref="H63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32" cm="1">
        <f t="array" ref="I63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32" t="str">
        <f>IF(IFERROR(SEARCH("&gt;",PartList[[#This Row],[ID]]),0),"O",IF(IFERROR(SEARCH("&lt;",PartList[[#This Row],[ID]]),0),"I",""))</f>
        <v/>
      </c>
      <c r="K632" t="str" cm="1">
        <f t="array" ref="K6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32" t="str" cm="1">
        <f t="array" ref="L6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632" t="str">
        <f>_xlfn.TEXTJOIN("#",TRUE,PartList[[#This Row],[ASSLY MARK]],PartList[[#This Row],[BOX NO]],PartList[[#This Row],[In/Out]],PartList[[#This Row],[O1-Grid]])</f>
        <v>1BE68#Box2#InB</v>
      </c>
      <c r="N632" t="str">
        <f>_xlfn.TEXTJOIN("#",TRUE,PartList[[#This Row],[ASSLY MARK]],PartList[[#This Row],[BOX NO]],PartList[[#This Row],[In/Out]],PartList[[#This Row],[O2-Grid]])</f>
        <v>1BE68#Box2#12_13_B</v>
      </c>
      <c r="O632">
        <f>IF(PartList[[#This Row],[Unique]]="Yes",_xlfn.XLOOKUP(PartList[[#This Row],[ASSLY MARK]],FilteredPL!A:A,FilteredPL!B:B,0,0),0)</f>
        <v>0</v>
      </c>
      <c r="P632">
        <f>_xlfn.XLOOKUP(PartList[[#This Row],[ASSLY MARK]],MasterPL[SplitMarkNo],MasterPL[BILL WT.(KG)],0,0)</f>
        <v>0</v>
      </c>
      <c r="Q632" cm="1">
        <f t="array" ref="Q63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32" t="str">
        <v>6BE48</v>
      </c>
      <c r="AB632" s="42">
        <f>SUMIF(PartList[ASSLY MARK],AA632,PartList[Avail. Qty])</f>
        <v>0</v>
      </c>
    </row>
    <row r="633" spans="1:28" x14ac:dyDescent="0.25">
      <c r="A633">
        <v>99</v>
      </c>
      <c r="B633" t="s">
        <v>574</v>
      </c>
      <c r="C633" t="s">
        <v>561</v>
      </c>
      <c r="D633" t="s">
        <v>90</v>
      </c>
      <c r="E633" t="s">
        <v>5</v>
      </c>
      <c r="F633" t="str" cm="1">
        <f t="array" ref="F633">IF(SUM(IF(PartList[ASSLY MARK]=PartList[[#This Row],[ASSLY MARK]],1,0))&gt;1,"No","Yes")</f>
        <v>Yes</v>
      </c>
      <c r="G633" t="str" cm="1">
        <f t="array" ref="G633">_xlfn.TEXTJOIN("_",TRUE,TRIM(_xlfn.TEXTSPLIT(PartList[[#This Row],[GRID LOCATION]],{"PR01","/","-"})))</f>
        <v>12_13_B&gt;</v>
      </c>
      <c r="H633" t="str" cm="1">
        <f t="array" ref="H63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33" cm="1">
        <f t="array" ref="I63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33" t="str">
        <f>IF(IFERROR(SEARCH("&gt;",PartList[[#This Row],[ID]]),0),"O",IF(IFERROR(SEARCH("&lt;",PartList[[#This Row],[ID]]),0),"I",""))</f>
        <v>O</v>
      </c>
      <c r="K633" t="str" cm="1">
        <f t="array" ref="K6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633" t="str" cm="1">
        <f t="array" ref="L6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633" t="str">
        <f>_xlfn.TEXTJOIN("#",TRUE,PartList[[#This Row],[ASSLY MARK]],PartList[[#This Row],[BOX NO]],PartList[[#This Row],[In/Out]],PartList[[#This Row],[O1-Grid]])</f>
        <v>1BE69#Box2#O</v>
      </c>
      <c r="N633" t="str">
        <f>_xlfn.TEXTJOIN("#",TRUE,PartList[[#This Row],[ASSLY MARK]],PartList[[#This Row],[BOX NO]],PartList[[#This Row],[In/Out]],PartList[[#This Row],[O2-Grid]])</f>
        <v>1BE69#Box2#O</v>
      </c>
      <c r="O633">
        <f>IF(PartList[[#This Row],[Unique]]="Yes",_xlfn.XLOOKUP(PartList[[#This Row],[ASSLY MARK]],FilteredPL!A:A,FilteredPL!B:B,0,0),0)</f>
        <v>0</v>
      </c>
      <c r="P633">
        <f>_xlfn.XLOOKUP(PartList[[#This Row],[ASSLY MARK]],MasterPL[SplitMarkNo],MasterPL[BILL WT.(KG)],0,0)</f>
        <v>0</v>
      </c>
      <c r="Q633" cm="1">
        <f t="array" ref="Q63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33" t="str">
        <v>6BE49</v>
      </c>
      <c r="AB633" s="42">
        <f>SUMIF(PartList[ASSLY MARK],AA633,PartList[Avail. Qty])</f>
        <v>0</v>
      </c>
    </row>
    <row r="634" spans="1:28" x14ac:dyDescent="0.25">
      <c r="A634">
        <v>100</v>
      </c>
      <c r="B634" t="s">
        <v>575</v>
      </c>
      <c r="C634" t="s">
        <v>547</v>
      </c>
      <c r="D634" t="s">
        <v>90</v>
      </c>
      <c r="E634" t="s">
        <v>5</v>
      </c>
      <c r="F634" t="str" cm="1">
        <f t="array" ref="F634">IF(SUM(IF(PartList[ASSLY MARK]=PartList[[#This Row],[ASSLY MARK]],1,0))&gt;1,"No","Yes")</f>
        <v>No</v>
      </c>
      <c r="G634" t="str" cm="1">
        <f t="array" ref="G634">_xlfn.TEXTJOIN("_",TRUE,TRIM(_xlfn.TEXTSPLIT(PartList[[#This Row],[GRID LOCATION]],{"PR01","/","-"})))</f>
        <v>12_13_A_B</v>
      </c>
      <c r="H634" t="str" cm="1">
        <f t="array" ref="H63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34" cm="1">
        <f t="array" ref="I63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34" t="str">
        <f>IF(IFERROR(SEARCH("&gt;",PartList[[#This Row],[ID]]),0),"O",IF(IFERROR(SEARCH("&lt;",PartList[[#This Row],[ID]]),0),"I",""))</f>
        <v/>
      </c>
      <c r="K634" t="str" cm="1">
        <f t="array" ref="K6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34" t="str" cm="1">
        <f t="array" ref="L6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34" t="str">
        <f>_xlfn.TEXTJOIN("#",TRUE,PartList[[#This Row],[ASSLY MARK]],PartList[[#This Row],[BOX NO]],PartList[[#This Row],[In/Out]],PartList[[#This Row],[O1-Grid]])</f>
        <v>1BE70#Box2#InB</v>
      </c>
      <c r="N634" t="str">
        <f>_xlfn.TEXTJOIN("#",TRUE,PartList[[#This Row],[ASSLY MARK]],PartList[[#This Row],[BOX NO]],PartList[[#This Row],[In/Out]],PartList[[#This Row],[O2-Grid]])</f>
        <v>1BE70#Box2#InB</v>
      </c>
      <c r="O634">
        <f>IF(PartList[[#This Row],[Unique]]="Yes",_xlfn.XLOOKUP(PartList[[#This Row],[ASSLY MARK]],FilteredPL!A:A,FilteredPL!B:B,0,0),0)</f>
        <v>0</v>
      </c>
      <c r="P634">
        <f>_xlfn.XLOOKUP(PartList[[#This Row],[ASSLY MARK]],MasterPL[SplitMarkNo],MasterPL[BILL WT.(KG)],0,0)</f>
        <v>0</v>
      </c>
      <c r="Q634" cm="1">
        <f t="array" ref="Q63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34" t="str">
        <v>6BE50</v>
      </c>
      <c r="AB634" s="42">
        <f>SUMIF(PartList[ASSLY MARK],AA634,PartList[Avail. Qty])</f>
        <v>0</v>
      </c>
    </row>
    <row r="635" spans="1:28" x14ac:dyDescent="0.25">
      <c r="A635">
        <v>101</v>
      </c>
      <c r="B635" t="s">
        <v>575</v>
      </c>
      <c r="C635" t="s">
        <v>547</v>
      </c>
      <c r="D635" t="s">
        <v>90</v>
      </c>
      <c r="E635" t="s">
        <v>5</v>
      </c>
      <c r="F635" t="str" cm="1">
        <f t="array" ref="F635">IF(SUM(IF(PartList[ASSLY MARK]=PartList[[#This Row],[ASSLY MARK]],1,0))&gt;1,"No","Yes")</f>
        <v>No</v>
      </c>
      <c r="G635" t="str" cm="1">
        <f t="array" ref="G635">_xlfn.TEXTJOIN("_",TRUE,TRIM(_xlfn.TEXTSPLIT(PartList[[#This Row],[GRID LOCATION]],{"PR01","/","-"})))</f>
        <v>12_13_A_B</v>
      </c>
      <c r="H635" t="str" cm="1">
        <f t="array" ref="H63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35" cm="1">
        <f t="array" ref="I63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35" t="str">
        <f>IF(IFERROR(SEARCH("&gt;",PartList[[#This Row],[ID]]),0),"O",IF(IFERROR(SEARCH("&lt;",PartList[[#This Row],[ID]]),0),"I",""))</f>
        <v/>
      </c>
      <c r="K635" t="str" cm="1">
        <f t="array" ref="K6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35" t="str" cm="1">
        <f t="array" ref="L6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35" t="str">
        <f>_xlfn.TEXTJOIN("#",TRUE,PartList[[#This Row],[ASSLY MARK]],PartList[[#This Row],[BOX NO]],PartList[[#This Row],[In/Out]],PartList[[#This Row],[O1-Grid]])</f>
        <v>1BE70#Box2#InB</v>
      </c>
      <c r="N635" t="str">
        <f>_xlfn.TEXTJOIN("#",TRUE,PartList[[#This Row],[ASSLY MARK]],PartList[[#This Row],[BOX NO]],PartList[[#This Row],[In/Out]],PartList[[#This Row],[O2-Grid]])</f>
        <v>1BE70#Box2#InB</v>
      </c>
      <c r="O635">
        <f>IF(PartList[[#This Row],[Unique]]="Yes",_xlfn.XLOOKUP(PartList[[#This Row],[ASSLY MARK]],FilteredPL!A:A,FilteredPL!B:B,0,0),0)</f>
        <v>0</v>
      </c>
      <c r="P635">
        <f>_xlfn.XLOOKUP(PartList[[#This Row],[ASSLY MARK]],MasterPL[SplitMarkNo],MasterPL[BILL WT.(KG)],0,0)</f>
        <v>0</v>
      </c>
      <c r="Q635" cm="1">
        <f t="array" ref="Q63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35" t="str">
        <v>6BE51</v>
      </c>
      <c r="AB635" s="42">
        <f>SUMIF(PartList[ASSLY MARK],AA635,PartList[Avail. Qty])</f>
        <v>0</v>
      </c>
    </row>
    <row r="636" spans="1:28" x14ac:dyDescent="0.25">
      <c r="A636">
        <v>102</v>
      </c>
      <c r="B636" t="s">
        <v>575</v>
      </c>
      <c r="C636" t="s">
        <v>547</v>
      </c>
      <c r="D636" t="s">
        <v>90</v>
      </c>
      <c r="E636" t="s">
        <v>5</v>
      </c>
      <c r="F636" t="str" cm="1">
        <f t="array" ref="F636">IF(SUM(IF(PartList[ASSLY MARK]=PartList[[#This Row],[ASSLY MARK]],1,0))&gt;1,"No","Yes")</f>
        <v>No</v>
      </c>
      <c r="G636" t="str" cm="1">
        <f t="array" ref="G636">_xlfn.TEXTJOIN("_",TRUE,TRIM(_xlfn.TEXTSPLIT(PartList[[#This Row],[GRID LOCATION]],{"PR01","/","-"})))</f>
        <v>12_13_A_B</v>
      </c>
      <c r="H636" t="str" cm="1">
        <f t="array" ref="H63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36" cm="1">
        <f t="array" ref="I63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36" t="str">
        <f>IF(IFERROR(SEARCH("&gt;",PartList[[#This Row],[ID]]),0),"O",IF(IFERROR(SEARCH("&lt;",PartList[[#This Row],[ID]]),0),"I",""))</f>
        <v/>
      </c>
      <c r="K636" t="str" cm="1">
        <f t="array" ref="K6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36" t="str" cm="1">
        <f t="array" ref="L6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36" t="str">
        <f>_xlfn.TEXTJOIN("#",TRUE,PartList[[#This Row],[ASSLY MARK]],PartList[[#This Row],[BOX NO]],PartList[[#This Row],[In/Out]],PartList[[#This Row],[O1-Grid]])</f>
        <v>1BE70#Box2#InB</v>
      </c>
      <c r="N636" t="str">
        <f>_xlfn.TEXTJOIN("#",TRUE,PartList[[#This Row],[ASSLY MARK]],PartList[[#This Row],[BOX NO]],PartList[[#This Row],[In/Out]],PartList[[#This Row],[O2-Grid]])</f>
        <v>1BE70#Box2#InB</v>
      </c>
      <c r="O636">
        <f>IF(PartList[[#This Row],[Unique]]="Yes",_xlfn.XLOOKUP(PartList[[#This Row],[ASSLY MARK]],FilteredPL!A:A,FilteredPL!B:B,0,0),0)</f>
        <v>0</v>
      </c>
      <c r="P636">
        <f>_xlfn.XLOOKUP(PartList[[#This Row],[ASSLY MARK]],MasterPL[SplitMarkNo],MasterPL[BILL WT.(KG)],0,0)</f>
        <v>0</v>
      </c>
      <c r="Q636" cm="1">
        <f t="array" ref="Q63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36" t="str">
        <v>6BE54</v>
      </c>
      <c r="AB636" s="42">
        <f>SUMIF(PartList[ASSLY MARK],AA636,PartList[Avail. Qty])</f>
        <v>0</v>
      </c>
    </row>
    <row r="637" spans="1:28" x14ac:dyDescent="0.25">
      <c r="A637">
        <v>103</v>
      </c>
      <c r="B637" t="s">
        <v>575</v>
      </c>
      <c r="C637" t="s">
        <v>547</v>
      </c>
      <c r="D637" t="s">
        <v>90</v>
      </c>
      <c r="E637" t="s">
        <v>5</v>
      </c>
      <c r="F637" t="str" cm="1">
        <f t="array" ref="F637">IF(SUM(IF(PartList[ASSLY MARK]=PartList[[#This Row],[ASSLY MARK]],1,0))&gt;1,"No","Yes")</f>
        <v>No</v>
      </c>
      <c r="G637" t="str" cm="1">
        <f t="array" ref="G637">_xlfn.TEXTJOIN("_",TRUE,TRIM(_xlfn.TEXTSPLIT(PartList[[#This Row],[GRID LOCATION]],{"PR01","/","-"})))</f>
        <v>12_13_A_B</v>
      </c>
      <c r="H637" t="str" cm="1">
        <f t="array" ref="H63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37" cm="1">
        <f t="array" ref="I63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37" t="str">
        <f>IF(IFERROR(SEARCH("&gt;",PartList[[#This Row],[ID]]),0),"O",IF(IFERROR(SEARCH("&lt;",PartList[[#This Row],[ID]]),0),"I",""))</f>
        <v/>
      </c>
      <c r="K637" t="str" cm="1">
        <f t="array" ref="K6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37" t="str" cm="1">
        <f t="array" ref="L6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37" t="str">
        <f>_xlfn.TEXTJOIN("#",TRUE,PartList[[#This Row],[ASSLY MARK]],PartList[[#This Row],[BOX NO]],PartList[[#This Row],[In/Out]],PartList[[#This Row],[O1-Grid]])</f>
        <v>1BE70#Box2#InB</v>
      </c>
      <c r="N637" t="str">
        <f>_xlfn.TEXTJOIN("#",TRUE,PartList[[#This Row],[ASSLY MARK]],PartList[[#This Row],[BOX NO]],PartList[[#This Row],[In/Out]],PartList[[#This Row],[O2-Grid]])</f>
        <v>1BE70#Box2#InB</v>
      </c>
      <c r="O637">
        <f>IF(PartList[[#This Row],[Unique]]="Yes",_xlfn.XLOOKUP(PartList[[#This Row],[ASSLY MARK]],FilteredPL!A:A,FilteredPL!B:B,0,0),0)</f>
        <v>0</v>
      </c>
      <c r="P637">
        <f>_xlfn.XLOOKUP(PartList[[#This Row],[ASSLY MARK]],MasterPL[SplitMarkNo],MasterPL[BILL WT.(KG)],0,0)</f>
        <v>0</v>
      </c>
      <c r="Q637" cm="1">
        <f t="array" ref="Q63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37" t="str">
        <v>6BE56</v>
      </c>
      <c r="AB637" s="42">
        <f>SUMIF(PartList[ASSLY MARK],AA637,PartList[Avail. Qty])</f>
        <v>0</v>
      </c>
    </row>
    <row r="638" spans="1:28" x14ac:dyDescent="0.25">
      <c r="A638">
        <v>104</v>
      </c>
      <c r="B638" t="s">
        <v>575</v>
      </c>
      <c r="C638" t="s">
        <v>547</v>
      </c>
      <c r="D638" t="s">
        <v>90</v>
      </c>
      <c r="E638" t="s">
        <v>5</v>
      </c>
      <c r="F638" t="str" cm="1">
        <f t="array" ref="F638">IF(SUM(IF(PartList[ASSLY MARK]=PartList[[#This Row],[ASSLY MARK]],1,0))&gt;1,"No","Yes")</f>
        <v>No</v>
      </c>
      <c r="G638" t="str" cm="1">
        <f t="array" ref="G638">_xlfn.TEXTJOIN("_",TRUE,TRIM(_xlfn.TEXTSPLIT(PartList[[#This Row],[GRID LOCATION]],{"PR01","/","-"})))</f>
        <v>12_13_A_B</v>
      </c>
      <c r="H638" t="str" cm="1">
        <f t="array" ref="H63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38" cm="1">
        <f t="array" ref="I63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38" t="str">
        <f>IF(IFERROR(SEARCH("&gt;",PartList[[#This Row],[ID]]),0),"O",IF(IFERROR(SEARCH("&lt;",PartList[[#This Row],[ID]]),0),"I",""))</f>
        <v/>
      </c>
      <c r="K638" t="str" cm="1">
        <f t="array" ref="K6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38" t="str" cm="1">
        <f t="array" ref="L6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38" t="str">
        <f>_xlfn.TEXTJOIN("#",TRUE,PartList[[#This Row],[ASSLY MARK]],PartList[[#This Row],[BOX NO]],PartList[[#This Row],[In/Out]],PartList[[#This Row],[O1-Grid]])</f>
        <v>1BE70#Box2#InB</v>
      </c>
      <c r="N638" t="str">
        <f>_xlfn.TEXTJOIN("#",TRUE,PartList[[#This Row],[ASSLY MARK]],PartList[[#This Row],[BOX NO]],PartList[[#This Row],[In/Out]],PartList[[#This Row],[O2-Grid]])</f>
        <v>1BE70#Box2#InB</v>
      </c>
      <c r="O638">
        <f>IF(PartList[[#This Row],[Unique]]="Yes",_xlfn.XLOOKUP(PartList[[#This Row],[ASSLY MARK]],FilteredPL!A:A,FilteredPL!B:B,0,0),0)</f>
        <v>0</v>
      </c>
      <c r="P638">
        <f>_xlfn.XLOOKUP(PartList[[#This Row],[ASSLY MARK]],MasterPL[SplitMarkNo],MasterPL[BILL WT.(KG)],0,0)</f>
        <v>0</v>
      </c>
      <c r="Q638" cm="1">
        <f t="array" ref="Q63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38" t="str">
        <v>6BE57</v>
      </c>
      <c r="AB638" s="42">
        <f>SUMIF(PartList[ASSLY MARK],AA638,PartList[Avail. Qty])</f>
        <v>0</v>
      </c>
    </row>
    <row r="639" spans="1:28" x14ac:dyDescent="0.25">
      <c r="A639">
        <v>105</v>
      </c>
      <c r="B639" t="s">
        <v>575</v>
      </c>
      <c r="C639" t="s">
        <v>547</v>
      </c>
      <c r="D639" t="s">
        <v>90</v>
      </c>
      <c r="E639" t="s">
        <v>5</v>
      </c>
      <c r="F639" t="str" cm="1">
        <f t="array" ref="F639">IF(SUM(IF(PartList[ASSLY MARK]=PartList[[#This Row],[ASSLY MARK]],1,0))&gt;1,"No","Yes")</f>
        <v>No</v>
      </c>
      <c r="G639" t="str" cm="1">
        <f t="array" ref="G639">_xlfn.TEXTJOIN("_",TRUE,TRIM(_xlfn.TEXTSPLIT(PartList[[#This Row],[GRID LOCATION]],{"PR01","/","-"})))</f>
        <v>12_13_A_B</v>
      </c>
      <c r="H639" t="str" cm="1">
        <f t="array" ref="H63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39" cm="1">
        <f t="array" ref="I63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39" t="str">
        <f>IF(IFERROR(SEARCH("&gt;",PartList[[#This Row],[ID]]),0),"O",IF(IFERROR(SEARCH("&lt;",PartList[[#This Row],[ID]]),0),"I",""))</f>
        <v/>
      </c>
      <c r="K639" t="str" cm="1">
        <f t="array" ref="K6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39" t="str" cm="1">
        <f t="array" ref="L6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39" t="str">
        <f>_xlfn.TEXTJOIN("#",TRUE,PartList[[#This Row],[ASSLY MARK]],PartList[[#This Row],[BOX NO]],PartList[[#This Row],[In/Out]],PartList[[#This Row],[O1-Grid]])</f>
        <v>1BE70#Box2#InB</v>
      </c>
      <c r="N639" t="str">
        <f>_xlfn.TEXTJOIN("#",TRUE,PartList[[#This Row],[ASSLY MARK]],PartList[[#This Row],[BOX NO]],PartList[[#This Row],[In/Out]],PartList[[#This Row],[O2-Grid]])</f>
        <v>1BE70#Box2#InB</v>
      </c>
      <c r="O639">
        <f>IF(PartList[[#This Row],[Unique]]="Yes",_xlfn.XLOOKUP(PartList[[#This Row],[ASSLY MARK]],FilteredPL!A:A,FilteredPL!B:B,0,0),0)</f>
        <v>0</v>
      </c>
      <c r="P639">
        <f>_xlfn.XLOOKUP(PartList[[#This Row],[ASSLY MARK]],MasterPL[SplitMarkNo],MasterPL[BILL WT.(KG)],0,0)</f>
        <v>0</v>
      </c>
      <c r="Q639" cm="1">
        <f t="array" ref="Q63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39" t="str">
        <v>6BE58</v>
      </c>
      <c r="AB639" s="42">
        <f>SUMIF(PartList[ASSLY MARK],AA639,PartList[Avail. Qty])</f>
        <v>0</v>
      </c>
    </row>
    <row r="640" spans="1:28" x14ac:dyDescent="0.25">
      <c r="A640">
        <v>106</v>
      </c>
      <c r="B640" t="s">
        <v>576</v>
      </c>
      <c r="C640" t="s">
        <v>547</v>
      </c>
      <c r="D640" t="s">
        <v>90</v>
      </c>
      <c r="E640" t="s">
        <v>5</v>
      </c>
      <c r="F640" t="str" cm="1">
        <f t="array" ref="F640">IF(SUM(IF(PartList[ASSLY MARK]=PartList[[#This Row],[ASSLY MARK]],1,0))&gt;1,"No","Yes")</f>
        <v>Yes</v>
      </c>
      <c r="G640" t="str" cm="1">
        <f t="array" ref="G640">_xlfn.TEXTJOIN("_",TRUE,TRIM(_xlfn.TEXTSPLIT(PartList[[#This Row],[GRID LOCATION]],{"PR01","/","-"})))</f>
        <v>12_13_A_B</v>
      </c>
      <c r="H640" t="str" cm="1">
        <f t="array" ref="H64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40" cm="1">
        <f t="array" ref="I64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40" t="str">
        <f>IF(IFERROR(SEARCH("&gt;",PartList[[#This Row],[ID]]),0),"O",IF(IFERROR(SEARCH("&lt;",PartList[[#This Row],[ID]]),0),"I",""))</f>
        <v/>
      </c>
      <c r="K640" t="str" cm="1">
        <f t="array" ref="K6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40" t="str" cm="1">
        <f t="array" ref="L6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40" t="str">
        <f>_xlfn.TEXTJOIN("#",TRUE,PartList[[#This Row],[ASSLY MARK]],PartList[[#This Row],[BOX NO]],PartList[[#This Row],[In/Out]],PartList[[#This Row],[O1-Grid]])</f>
        <v>1BE71#Box2#InB</v>
      </c>
      <c r="N640" t="str">
        <f>_xlfn.TEXTJOIN("#",TRUE,PartList[[#This Row],[ASSLY MARK]],PartList[[#This Row],[BOX NO]],PartList[[#This Row],[In/Out]],PartList[[#This Row],[O2-Grid]])</f>
        <v>1BE71#Box2#InB</v>
      </c>
      <c r="O640">
        <f>IF(PartList[[#This Row],[Unique]]="Yes",_xlfn.XLOOKUP(PartList[[#This Row],[ASSLY MARK]],FilteredPL!A:A,FilteredPL!B:B,0,0),0)</f>
        <v>0</v>
      </c>
      <c r="P640">
        <f>_xlfn.XLOOKUP(PartList[[#This Row],[ASSLY MARK]],MasterPL[SplitMarkNo],MasterPL[BILL WT.(KG)],0,0)</f>
        <v>0</v>
      </c>
      <c r="Q640" cm="1">
        <f t="array" ref="Q64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40" t="str">
        <v>6BE59</v>
      </c>
      <c r="AB640" s="42">
        <f>SUMIF(PartList[ASSLY MARK],AA640,PartList[Avail. Qty])</f>
        <v>0</v>
      </c>
    </row>
    <row r="641" spans="1:28" x14ac:dyDescent="0.25">
      <c r="A641">
        <v>107</v>
      </c>
      <c r="B641" t="s">
        <v>577</v>
      </c>
      <c r="C641" t="s">
        <v>547</v>
      </c>
      <c r="D641" t="s">
        <v>90</v>
      </c>
      <c r="E641" t="s">
        <v>5</v>
      </c>
      <c r="F641" t="str" cm="1">
        <f t="array" ref="F641">IF(SUM(IF(PartList[ASSLY MARK]=PartList[[#This Row],[ASSLY MARK]],1,0))&gt;1,"No","Yes")</f>
        <v>Yes</v>
      </c>
      <c r="G641" t="str" cm="1">
        <f t="array" ref="G641">_xlfn.TEXTJOIN("_",TRUE,TRIM(_xlfn.TEXTSPLIT(PartList[[#This Row],[GRID LOCATION]],{"PR01","/","-"})))</f>
        <v>12_13_A_B</v>
      </c>
      <c r="H641" t="str" cm="1">
        <f t="array" ref="H64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41" cm="1">
        <f t="array" ref="I64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41" t="str">
        <f>IF(IFERROR(SEARCH("&gt;",PartList[[#This Row],[ID]]),0),"O",IF(IFERROR(SEARCH("&lt;",PartList[[#This Row],[ID]]),0),"I",""))</f>
        <v/>
      </c>
      <c r="K641" t="str" cm="1">
        <f t="array" ref="K6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41" t="str" cm="1">
        <f t="array" ref="L6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41" t="str">
        <f>_xlfn.TEXTJOIN("#",TRUE,PartList[[#This Row],[ASSLY MARK]],PartList[[#This Row],[BOX NO]],PartList[[#This Row],[In/Out]],PartList[[#This Row],[O1-Grid]])</f>
        <v>1BE72#Box2#InB</v>
      </c>
      <c r="N641" t="str">
        <f>_xlfn.TEXTJOIN("#",TRUE,PartList[[#This Row],[ASSLY MARK]],PartList[[#This Row],[BOX NO]],PartList[[#This Row],[In/Out]],PartList[[#This Row],[O2-Grid]])</f>
        <v>1BE72#Box2#InB</v>
      </c>
      <c r="O641">
        <f>IF(PartList[[#This Row],[Unique]]="Yes",_xlfn.XLOOKUP(PartList[[#This Row],[ASSLY MARK]],FilteredPL!A:A,FilteredPL!B:B,0,0),0)</f>
        <v>0</v>
      </c>
      <c r="P641">
        <f>_xlfn.XLOOKUP(PartList[[#This Row],[ASSLY MARK]],MasterPL[SplitMarkNo],MasterPL[BILL WT.(KG)],0,0)</f>
        <v>0</v>
      </c>
      <c r="Q641" cm="1">
        <f t="array" ref="Q64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41" t="str">
        <v>6BE60</v>
      </c>
      <c r="AB641" s="42">
        <f>SUMIF(PartList[ASSLY MARK],AA641,PartList[Avail. Qty])</f>
        <v>0</v>
      </c>
    </row>
    <row r="642" spans="1:28" x14ac:dyDescent="0.25">
      <c r="A642">
        <v>108</v>
      </c>
      <c r="B642" t="s">
        <v>578</v>
      </c>
      <c r="C642" t="s">
        <v>547</v>
      </c>
      <c r="D642" t="s">
        <v>90</v>
      </c>
      <c r="E642" t="s">
        <v>5</v>
      </c>
      <c r="F642" t="str" cm="1">
        <f t="array" ref="F642">IF(SUM(IF(PartList[ASSLY MARK]=PartList[[#This Row],[ASSLY MARK]],1,0))&gt;1,"No","Yes")</f>
        <v>Yes</v>
      </c>
      <c r="G642" t="str" cm="1">
        <f t="array" ref="G642">_xlfn.TEXTJOIN("_",TRUE,TRIM(_xlfn.TEXTSPLIT(PartList[[#This Row],[GRID LOCATION]],{"PR01","/","-"})))</f>
        <v>12_13_A_B</v>
      </c>
      <c r="H642" t="str" cm="1">
        <f t="array" ref="H64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42" cm="1">
        <f t="array" ref="I64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42" t="str">
        <f>IF(IFERROR(SEARCH("&gt;",PartList[[#This Row],[ID]]),0),"O",IF(IFERROR(SEARCH("&lt;",PartList[[#This Row],[ID]]),0),"I",""))</f>
        <v/>
      </c>
      <c r="K642" t="str" cm="1">
        <f t="array" ref="K6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42" t="str" cm="1">
        <f t="array" ref="L6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42" t="str">
        <f>_xlfn.TEXTJOIN("#",TRUE,PartList[[#This Row],[ASSLY MARK]],PartList[[#This Row],[BOX NO]],PartList[[#This Row],[In/Out]],PartList[[#This Row],[O1-Grid]])</f>
        <v>1BE73#Box2#InB</v>
      </c>
      <c r="N642" t="str">
        <f>_xlfn.TEXTJOIN("#",TRUE,PartList[[#This Row],[ASSLY MARK]],PartList[[#This Row],[BOX NO]],PartList[[#This Row],[In/Out]],PartList[[#This Row],[O2-Grid]])</f>
        <v>1BE73#Box2#InB</v>
      </c>
      <c r="O642">
        <f>IF(PartList[[#This Row],[Unique]]="Yes",_xlfn.XLOOKUP(PartList[[#This Row],[ASSLY MARK]],FilteredPL!A:A,FilteredPL!B:B,0,0),0)</f>
        <v>0</v>
      </c>
      <c r="P642">
        <f>_xlfn.XLOOKUP(PartList[[#This Row],[ASSLY MARK]],MasterPL[SplitMarkNo],MasterPL[BILL WT.(KG)],0,0)</f>
        <v>0</v>
      </c>
      <c r="Q642" cm="1">
        <f t="array" ref="Q64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42" t="str">
        <v>6BE61</v>
      </c>
      <c r="AB642" s="42">
        <f>SUMIF(PartList[ASSLY MARK],AA642,PartList[Avail. Qty])</f>
        <v>0</v>
      </c>
    </row>
    <row r="643" spans="1:28" x14ac:dyDescent="0.25">
      <c r="A643">
        <v>109</v>
      </c>
      <c r="B643" t="s">
        <v>579</v>
      </c>
      <c r="C643" t="s">
        <v>561</v>
      </c>
      <c r="D643" t="s">
        <v>90</v>
      </c>
      <c r="E643" t="s">
        <v>5</v>
      </c>
      <c r="F643" t="str" cm="1">
        <f t="array" ref="F643">IF(SUM(IF(PartList[ASSLY MARK]=PartList[[#This Row],[ASSLY MARK]],1,0))&gt;1,"No","Yes")</f>
        <v>Yes</v>
      </c>
      <c r="G643" t="str" cm="1">
        <f t="array" ref="G643">_xlfn.TEXTJOIN("_",TRUE,TRIM(_xlfn.TEXTSPLIT(PartList[[#This Row],[GRID LOCATION]],{"PR01","/","-"})))</f>
        <v>12_13_B&gt;</v>
      </c>
      <c r="H643" t="str" cm="1">
        <f t="array" ref="H64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43" cm="1">
        <f t="array" ref="I64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43" t="str">
        <f>IF(IFERROR(SEARCH("&gt;",PartList[[#This Row],[ID]]),0),"O",IF(IFERROR(SEARCH("&lt;",PartList[[#This Row],[ID]]),0),"I",""))</f>
        <v>O</v>
      </c>
      <c r="K643" t="str" cm="1">
        <f t="array" ref="K6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643" t="str" cm="1">
        <f t="array" ref="L6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643" t="str">
        <f>_xlfn.TEXTJOIN("#",TRUE,PartList[[#This Row],[ASSLY MARK]],PartList[[#This Row],[BOX NO]],PartList[[#This Row],[In/Out]],PartList[[#This Row],[O1-Grid]])</f>
        <v>1BE74#Box2#O</v>
      </c>
      <c r="N643" t="str">
        <f>_xlfn.TEXTJOIN("#",TRUE,PartList[[#This Row],[ASSLY MARK]],PartList[[#This Row],[BOX NO]],PartList[[#This Row],[In/Out]],PartList[[#This Row],[O2-Grid]])</f>
        <v>1BE74#Box2#O</v>
      </c>
      <c r="O643">
        <f>IF(PartList[[#This Row],[Unique]]="Yes",_xlfn.XLOOKUP(PartList[[#This Row],[ASSLY MARK]],FilteredPL!A:A,FilteredPL!B:B,0,0),0)</f>
        <v>0</v>
      </c>
      <c r="P643">
        <f>_xlfn.XLOOKUP(PartList[[#This Row],[ASSLY MARK]],MasterPL[SplitMarkNo],MasterPL[BILL WT.(KG)],0,0)</f>
        <v>0</v>
      </c>
      <c r="Q643" cm="1">
        <f t="array" ref="Q64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43" t="str">
        <v>6BE62</v>
      </c>
      <c r="AB643" s="42">
        <f>SUMIF(PartList[ASSLY MARK],AA643,PartList[Avail. Qty])</f>
        <v>0</v>
      </c>
    </row>
    <row r="644" spans="1:28" x14ac:dyDescent="0.25">
      <c r="A644">
        <v>110</v>
      </c>
      <c r="B644" t="s">
        <v>580</v>
      </c>
      <c r="C644" t="s">
        <v>547</v>
      </c>
      <c r="D644" t="s">
        <v>90</v>
      </c>
      <c r="E644" t="s">
        <v>5</v>
      </c>
      <c r="F644" t="str" cm="1">
        <f t="array" ref="F644">IF(SUM(IF(PartList[ASSLY MARK]=PartList[[#This Row],[ASSLY MARK]],1,0))&gt;1,"No","Yes")</f>
        <v>Yes</v>
      </c>
      <c r="G644" t="str" cm="1">
        <f t="array" ref="G644">_xlfn.TEXTJOIN("_",TRUE,TRIM(_xlfn.TEXTSPLIT(PartList[[#This Row],[GRID LOCATION]],{"PR01","/","-"})))</f>
        <v>12_13_A_B</v>
      </c>
      <c r="H644" t="str" cm="1">
        <f t="array" ref="H64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44" cm="1">
        <f t="array" ref="I64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44" t="str">
        <f>IF(IFERROR(SEARCH("&gt;",PartList[[#This Row],[ID]]),0),"O",IF(IFERROR(SEARCH("&lt;",PartList[[#This Row],[ID]]),0),"I",""))</f>
        <v/>
      </c>
      <c r="K644" t="str" cm="1">
        <f t="array" ref="K6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44" t="str" cm="1">
        <f t="array" ref="L6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44" t="str">
        <f>_xlfn.TEXTJOIN("#",TRUE,PartList[[#This Row],[ASSLY MARK]],PartList[[#This Row],[BOX NO]],PartList[[#This Row],[In/Out]],PartList[[#This Row],[O1-Grid]])</f>
        <v>1BE75#Box2#InB</v>
      </c>
      <c r="N644" t="str">
        <f>_xlfn.TEXTJOIN("#",TRUE,PartList[[#This Row],[ASSLY MARK]],PartList[[#This Row],[BOX NO]],PartList[[#This Row],[In/Out]],PartList[[#This Row],[O2-Grid]])</f>
        <v>1BE75#Box2#InB</v>
      </c>
      <c r="O644">
        <f>IF(PartList[[#This Row],[Unique]]="Yes",_xlfn.XLOOKUP(PartList[[#This Row],[ASSLY MARK]],FilteredPL!A:A,FilteredPL!B:B,0,0),0)</f>
        <v>0</v>
      </c>
      <c r="P644">
        <f>_xlfn.XLOOKUP(PartList[[#This Row],[ASSLY MARK]],MasterPL[SplitMarkNo],MasterPL[BILL WT.(KG)],0,0)</f>
        <v>0</v>
      </c>
      <c r="Q644" cm="1">
        <f t="array" ref="Q64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44" t="str">
        <v>6BE63</v>
      </c>
      <c r="AB644" s="42">
        <f>SUMIF(PartList[ASSLY MARK],AA644,PartList[Avail. Qty])</f>
        <v>0</v>
      </c>
    </row>
    <row r="645" spans="1:28" x14ac:dyDescent="0.25">
      <c r="A645">
        <v>111</v>
      </c>
      <c r="B645" t="s">
        <v>581</v>
      </c>
      <c r="C645" t="s">
        <v>582</v>
      </c>
      <c r="D645" t="s">
        <v>90</v>
      </c>
      <c r="E645" t="s">
        <v>5</v>
      </c>
      <c r="F645" t="str" cm="1">
        <f t="array" ref="F645">IF(SUM(IF(PartList[ASSLY MARK]=PartList[[#This Row],[ASSLY MARK]],1,0))&gt;1,"No","Yes")</f>
        <v>Yes</v>
      </c>
      <c r="G645" t="str" cm="1">
        <f t="array" ref="G645">_xlfn.TEXTJOIN("_",TRUE,TRIM(_xlfn.TEXTSPLIT(PartList[[#This Row],[GRID LOCATION]],{"PR01","/","-"})))</f>
        <v>12_13_A"_A</v>
      </c>
      <c r="H645" t="str" cm="1">
        <f t="array" ref="H64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645" cm="1">
        <f t="array" ref="I64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45" t="str">
        <f>IF(IFERROR(SEARCH("&gt;",PartList[[#This Row],[ID]]),0),"O",IF(IFERROR(SEARCH("&lt;",PartList[[#This Row],[ID]]),0),"I",""))</f>
        <v/>
      </c>
      <c r="K645" t="str" cm="1">
        <f t="array" ref="K6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45" t="str" cm="1">
        <f t="array" ref="L6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45" t="str">
        <f>_xlfn.TEXTJOIN("#",TRUE,PartList[[#This Row],[ASSLY MARK]],PartList[[#This Row],[BOX NO]],PartList[[#This Row],[In/Out]],PartList[[#This Row],[O1-Grid]])</f>
        <v>1BE76#Box2_Box5#InBB</v>
      </c>
      <c r="N645" t="str">
        <f>_xlfn.TEXTJOIN("#",TRUE,PartList[[#This Row],[ASSLY MARK]],PartList[[#This Row],[BOX NO]],PartList[[#This Row],[In/Out]],PartList[[#This Row],[O2-Grid]])</f>
        <v>1BE76#Box2_Box5#InBB</v>
      </c>
      <c r="O645">
        <f>IF(PartList[[#This Row],[Unique]]="Yes",_xlfn.XLOOKUP(PartList[[#This Row],[ASSLY MARK]],FilteredPL!A:A,FilteredPL!B:B,0,0),0)</f>
        <v>0</v>
      </c>
      <c r="P645">
        <f>_xlfn.XLOOKUP(PartList[[#This Row],[ASSLY MARK]],MasterPL[SplitMarkNo],MasterPL[BILL WT.(KG)],0,0)</f>
        <v>0</v>
      </c>
      <c r="Q645" cm="1">
        <f t="array" ref="Q64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45" t="str">
        <v>6BE64</v>
      </c>
      <c r="AB645" s="42">
        <f>SUMIF(PartList[ASSLY MARK],AA645,PartList[Avail. Qty])</f>
        <v>0</v>
      </c>
    </row>
    <row r="646" spans="1:28" x14ac:dyDescent="0.25">
      <c r="A646">
        <v>112</v>
      </c>
      <c r="B646" t="s">
        <v>583</v>
      </c>
      <c r="C646" t="s">
        <v>554</v>
      </c>
      <c r="D646" t="s">
        <v>519</v>
      </c>
      <c r="E646" t="s">
        <v>5</v>
      </c>
      <c r="F646" t="str" cm="1">
        <f t="array" ref="F646">IF(SUM(IF(PartList[ASSLY MARK]=PartList[[#This Row],[ASSLY MARK]],1,0))&gt;1,"No","Yes")</f>
        <v>Yes</v>
      </c>
      <c r="G646" t="str" cm="1">
        <f t="array" ref="G646">_xlfn.TEXTJOIN("_",TRUE,TRIM(_xlfn.TEXTSPLIT(PartList[[#This Row],[GRID LOCATION]],{"PR01","/","-"})))</f>
        <v>12_13_A</v>
      </c>
      <c r="H646" t="str" cm="1">
        <f t="array" ref="H64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46" cm="1">
        <f t="array" ref="I64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46" t="str">
        <f>IF(IFERROR(SEARCH("&gt;",PartList[[#This Row],[ID]]),0),"O",IF(IFERROR(SEARCH("&lt;",PartList[[#This Row],[ID]]),0),"I",""))</f>
        <v/>
      </c>
      <c r="K646" t="str" cm="1">
        <f t="array" ref="K6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46" t="str" cm="1">
        <f t="array" ref="L6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646" t="str">
        <f>_xlfn.TEXTJOIN("#",TRUE,PartList[[#This Row],[ASSLY MARK]],PartList[[#This Row],[BOX NO]],PartList[[#This Row],[In/Out]],PartList[[#This Row],[O1-Grid]])</f>
        <v>1BE77#Box2#InB</v>
      </c>
      <c r="N646" t="str">
        <f>_xlfn.TEXTJOIN("#",TRUE,PartList[[#This Row],[ASSLY MARK]],PartList[[#This Row],[BOX NO]],PartList[[#This Row],[In/Out]],PartList[[#This Row],[O2-Grid]])</f>
        <v>1BE77#Box2#12_13_A</v>
      </c>
      <c r="O646">
        <f>IF(PartList[[#This Row],[Unique]]="Yes",_xlfn.XLOOKUP(PartList[[#This Row],[ASSLY MARK]],FilteredPL!A:A,FilteredPL!B:B,0,0),0)</f>
        <v>0</v>
      </c>
      <c r="P646">
        <f>_xlfn.XLOOKUP(PartList[[#This Row],[ASSLY MARK]],MasterPL[SplitMarkNo],MasterPL[BILL WT.(KG)],0,0)</f>
        <v>0</v>
      </c>
      <c r="Q646" cm="1">
        <f t="array" ref="Q64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46" t="str">
        <v>6BE65</v>
      </c>
      <c r="AB646" s="42">
        <f>SUMIF(PartList[ASSLY MARK],AA646,PartList[Avail. Qty])</f>
        <v>0</v>
      </c>
    </row>
    <row r="647" spans="1:28" x14ac:dyDescent="0.25">
      <c r="A647">
        <v>113</v>
      </c>
      <c r="B647" t="s">
        <v>584</v>
      </c>
      <c r="C647" t="s">
        <v>556</v>
      </c>
      <c r="D647" t="s">
        <v>519</v>
      </c>
      <c r="E647" t="s">
        <v>5</v>
      </c>
      <c r="F647" t="str" cm="1">
        <f t="array" ref="F647">IF(SUM(IF(PartList[ASSLY MARK]=PartList[[#This Row],[ASSLY MARK]],1,0))&gt;1,"No","Yes")</f>
        <v>Yes</v>
      </c>
      <c r="G647" t="str" cm="1">
        <f t="array" ref="G647">_xlfn.TEXTJOIN("_",TRUE,TRIM(_xlfn.TEXTSPLIT(PartList[[#This Row],[GRID LOCATION]],{"PR01","/","-"})))</f>
        <v>12_13_B</v>
      </c>
      <c r="H647" t="str" cm="1">
        <f t="array" ref="H64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47" cm="1">
        <f t="array" ref="I64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47" t="str">
        <f>IF(IFERROR(SEARCH("&gt;",PartList[[#This Row],[ID]]),0),"O",IF(IFERROR(SEARCH("&lt;",PartList[[#This Row],[ID]]),0),"I",""))</f>
        <v/>
      </c>
      <c r="K647" t="str" cm="1">
        <f t="array" ref="K6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47" t="str" cm="1">
        <f t="array" ref="L6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647" t="str">
        <f>_xlfn.TEXTJOIN("#",TRUE,PartList[[#This Row],[ASSLY MARK]],PartList[[#This Row],[BOX NO]],PartList[[#This Row],[In/Out]],PartList[[#This Row],[O1-Grid]])</f>
        <v>1BE78#Box2#InB</v>
      </c>
      <c r="N647" t="str">
        <f>_xlfn.TEXTJOIN("#",TRUE,PartList[[#This Row],[ASSLY MARK]],PartList[[#This Row],[BOX NO]],PartList[[#This Row],[In/Out]],PartList[[#This Row],[O2-Grid]])</f>
        <v>1BE78#Box2#12_13_B</v>
      </c>
      <c r="O647">
        <f>IF(PartList[[#This Row],[Unique]]="Yes",_xlfn.XLOOKUP(PartList[[#This Row],[ASSLY MARK]],FilteredPL!A:A,FilteredPL!B:B,0,0),0)</f>
        <v>0</v>
      </c>
      <c r="P647">
        <f>_xlfn.XLOOKUP(PartList[[#This Row],[ASSLY MARK]],MasterPL[SplitMarkNo],MasterPL[BILL WT.(KG)],0,0)</f>
        <v>0</v>
      </c>
      <c r="Q647" cm="1">
        <f t="array" ref="Q64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47" t="str">
        <v>6BE66</v>
      </c>
      <c r="AB647" s="42">
        <f>SUMIF(PartList[ASSLY MARK],AA647,PartList[Avail. Qty])</f>
        <v>0</v>
      </c>
    </row>
    <row r="648" spans="1:28" x14ac:dyDescent="0.25">
      <c r="A648">
        <v>114</v>
      </c>
      <c r="B648" t="s">
        <v>585</v>
      </c>
      <c r="C648" t="s">
        <v>547</v>
      </c>
      <c r="D648" t="s">
        <v>90</v>
      </c>
      <c r="E648" t="s">
        <v>5</v>
      </c>
      <c r="F648" t="str" cm="1">
        <f t="array" ref="F648">IF(SUM(IF(PartList[ASSLY MARK]=PartList[[#This Row],[ASSLY MARK]],1,0))&gt;1,"No","Yes")</f>
        <v>No</v>
      </c>
      <c r="G648" t="str" cm="1">
        <f t="array" ref="G648">_xlfn.TEXTJOIN("_",TRUE,TRIM(_xlfn.TEXTSPLIT(PartList[[#This Row],[GRID LOCATION]],{"PR01","/","-"})))</f>
        <v>12_13_A_B</v>
      </c>
      <c r="H648" t="str" cm="1">
        <f t="array" ref="H64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48" cm="1">
        <f t="array" ref="I64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48" t="str">
        <f>IF(IFERROR(SEARCH("&gt;",PartList[[#This Row],[ID]]),0),"O",IF(IFERROR(SEARCH("&lt;",PartList[[#This Row],[ID]]),0),"I",""))</f>
        <v/>
      </c>
      <c r="K648" t="str" cm="1">
        <f t="array" ref="K6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48" t="str" cm="1">
        <f t="array" ref="L6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48" t="str">
        <f>_xlfn.TEXTJOIN("#",TRUE,PartList[[#This Row],[ASSLY MARK]],PartList[[#This Row],[BOX NO]],PartList[[#This Row],[In/Out]],PartList[[#This Row],[O1-Grid]])</f>
        <v>1BE79#Box2#InB</v>
      </c>
      <c r="N648" t="str">
        <f>_xlfn.TEXTJOIN("#",TRUE,PartList[[#This Row],[ASSLY MARK]],PartList[[#This Row],[BOX NO]],PartList[[#This Row],[In/Out]],PartList[[#This Row],[O2-Grid]])</f>
        <v>1BE79#Box2#InB</v>
      </c>
      <c r="O648">
        <f>IF(PartList[[#This Row],[Unique]]="Yes",_xlfn.XLOOKUP(PartList[[#This Row],[ASSLY MARK]],FilteredPL!A:A,FilteredPL!B:B,0,0),0)</f>
        <v>0</v>
      </c>
      <c r="P648">
        <f>_xlfn.XLOOKUP(PartList[[#This Row],[ASSLY MARK]],MasterPL[SplitMarkNo],MasterPL[BILL WT.(KG)],0,0)</f>
        <v>0</v>
      </c>
      <c r="Q648" cm="1">
        <f t="array" ref="Q64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48" t="str">
        <v>6BE67</v>
      </c>
      <c r="AB648" s="42">
        <f>SUMIF(PartList[ASSLY MARK],AA648,PartList[Avail. Qty])</f>
        <v>0</v>
      </c>
    </row>
    <row r="649" spans="1:28" x14ac:dyDescent="0.25">
      <c r="A649">
        <v>115</v>
      </c>
      <c r="B649" t="s">
        <v>585</v>
      </c>
      <c r="C649" t="s">
        <v>547</v>
      </c>
      <c r="D649" t="s">
        <v>90</v>
      </c>
      <c r="E649" t="s">
        <v>5</v>
      </c>
      <c r="F649" t="str" cm="1">
        <f t="array" ref="F649">IF(SUM(IF(PartList[ASSLY MARK]=PartList[[#This Row],[ASSLY MARK]],1,0))&gt;1,"No","Yes")</f>
        <v>No</v>
      </c>
      <c r="G649" t="str" cm="1">
        <f t="array" ref="G649">_xlfn.TEXTJOIN("_",TRUE,TRIM(_xlfn.TEXTSPLIT(PartList[[#This Row],[GRID LOCATION]],{"PR01","/","-"})))</f>
        <v>12_13_A_B</v>
      </c>
      <c r="H649" t="str" cm="1">
        <f t="array" ref="H64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49" cm="1">
        <f t="array" ref="I64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49" t="str">
        <f>IF(IFERROR(SEARCH("&gt;",PartList[[#This Row],[ID]]),0),"O",IF(IFERROR(SEARCH("&lt;",PartList[[#This Row],[ID]]),0),"I",""))</f>
        <v/>
      </c>
      <c r="K649" t="str" cm="1">
        <f t="array" ref="K6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49" t="str" cm="1">
        <f t="array" ref="L6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49" t="str">
        <f>_xlfn.TEXTJOIN("#",TRUE,PartList[[#This Row],[ASSLY MARK]],PartList[[#This Row],[BOX NO]],PartList[[#This Row],[In/Out]],PartList[[#This Row],[O1-Grid]])</f>
        <v>1BE79#Box2#InB</v>
      </c>
      <c r="N649" t="str">
        <f>_xlfn.TEXTJOIN("#",TRUE,PartList[[#This Row],[ASSLY MARK]],PartList[[#This Row],[BOX NO]],PartList[[#This Row],[In/Out]],PartList[[#This Row],[O2-Grid]])</f>
        <v>1BE79#Box2#InB</v>
      </c>
      <c r="O649">
        <f>IF(PartList[[#This Row],[Unique]]="Yes",_xlfn.XLOOKUP(PartList[[#This Row],[ASSLY MARK]],FilteredPL!A:A,FilteredPL!B:B,0,0),0)</f>
        <v>0</v>
      </c>
      <c r="P649">
        <f>_xlfn.XLOOKUP(PartList[[#This Row],[ASSLY MARK]],MasterPL[SplitMarkNo],MasterPL[BILL WT.(KG)],0,0)</f>
        <v>0</v>
      </c>
      <c r="Q649" cm="1">
        <f t="array" ref="Q64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49" t="str">
        <v>6BE68</v>
      </c>
      <c r="AB649" s="42">
        <f>SUMIF(PartList[ASSLY MARK],AA649,PartList[Avail. Qty])</f>
        <v>0</v>
      </c>
    </row>
    <row r="650" spans="1:28" x14ac:dyDescent="0.25">
      <c r="A650">
        <v>116</v>
      </c>
      <c r="B650" t="s">
        <v>585</v>
      </c>
      <c r="C650" t="s">
        <v>547</v>
      </c>
      <c r="D650" t="s">
        <v>90</v>
      </c>
      <c r="E650" t="s">
        <v>5</v>
      </c>
      <c r="F650" t="str" cm="1">
        <f t="array" ref="F650">IF(SUM(IF(PartList[ASSLY MARK]=PartList[[#This Row],[ASSLY MARK]],1,0))&gt;1,"No","Yes")</f>
        <v>No</v>
      </c>
      <c r="G650" t="str" cm="1">
        <f t="array" ref="G650">_xlfn.TEXTJOIN("_",TRUE,TRIM(_xlfn.TEXTSPLIT(PartList[[#This Row],[GRID LOCATION]],{"PR01","/","-"})))</f>
        <v>12_13_A_B</v>
      </c>
      <c r="H650" t="str" cm="1">
        <f t="array" ref="H65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50" cm="1">
        <f t="array" ref="I65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50" t="str">
        <f>IF(IFERROR(SEARCH("&gt;",PartList[[#This Row],[ID]]),0),"O",IF(IFERROR(SEARCH("&lt;",PartList[[#This Row],[ID]]),0),"I",""))</f>
        <v/>
      </c>
      <c r="K650" t="str" cm="1">
        <f t="array" ref="K6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50" t="str" cm="1">
        <f t="array" ref="L6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50" t="str">
        <f>_xlfn.TEXTJOIN("#",TRUE,PartList[[#This Row],[ASSLY MARK]],PartList[[#This Row],[BOX NO]],PartList[[#This Row],[In/Out]],PartList[[#This Row],[O1-Grid]])</f>
        <v>1BE79#Box2#InB</v>
      </c>
      <c r="N650" t="str">
        <f>_xlfn.TEXTJOIN("#",TRUE,PartList[[#This Row],[ASSLY MARK]],PartList[[#This Row],[BOX NO]],PartList[[#This Row],[In/Out]],PartList[[#This Row],[O2-Grid]])</f>
        <v>1BE79#Box2#InB</v>
      </c>
      <c r="O650">
        <f>IF(PartList[[#This Row],[Unique]]="Yes",_xlfn.XLOOKUP(PartList[[#This Row],[ASSLY MARK]],FilteredPL!A:A,FilteredPL!B:B,0,0),0)</f>
        <v>0</v>
      </c>
      <c r="P650">
        <f>_xlfn.XLOOKUP(PartList[[#This Row],[ASSLY MARK]],MasterPL[SplitMarkNo],MasterPL[BILL WT.(KG)],0,0)</f>
        <v>0</v>
      </c>
      <c r="Q650" cm="1">
        <f t="array" ref="Q65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50" t="str">
        <v>6BE69</v>
      </c>
      <c r="AB650" s="42">
        <f>SUMIF(PartList[ASSLY MARK],AA650,PartList[Avail. Qty])</f>
        <v>0</v>
      </c>
    </row>
    <row r="651" spans="1:28" x14ac:dyDescent="0.25">
      <c r="A651">
        <v>117</v>
      </c>
      <c r="B651" t="s">
        <v>586</v>
      </c>
      <c r="C651" t="s">
        <v>547</v>
      </c>
      <c r="D651" t="s">
        <v>519</v>
      </c>
      <c r="E651" t="s">
        <v>5</v>
      </c>
      <c r="F651" t="str" cm="1">
        <f t="array" ref="F651">IF(SUM(IF(PartList[ASSLY MARK]=PartList[[#This Row],[ASSLY MARK]],1,0))&gt;1,"No","Yes")</f>
        <v>Yes</v>
      </c>
      <c r="G651" t="str" cm="1">
        <f t="array" ref="G651">_xlfn.TEXTJOIN("_",TRUE,TRIM(_xlfn.TEXTSPLIT(PartList[[#This Row],[GRID LOCATION]],{"PR01","/","-"})))</f>
        <v>12_13_A_B</v>
      </c>
      <c r="H651" t="str" cm="1">
        <f t="array" ref="H65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51" cm="1">
        <f t="array" ref="I65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51" t="str">
        <f>IF(IFERROR(SEARCH("&gt;",PartList[[#This Row],[ID]]),0),"O",IF(IFERROR(SEARCH("&lt;",PartList[[#This Row],[ID]]),0),"I",""))</f>
        <v/>
      </c>
      <c r="K651" t="str" cm="1">
        <f t="array" ref="K6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51" t="str" cm="1">
        <f t="array" ref="L6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51" t="str">
        <f>_xlfn.TEXTJOIN("#",TRUE,PartList[[#This Row],[ASSLY MARK]],PartList[[#This Row],[BOX NO]],PartList[[#This Row],[In/Out]],PartList[[#This Row],[O1-Grid]])</f>
        <v>1BE80#Box2#InB</v>
      </c>
      <c r="N651" t="str">
        <f>_xlfn.TEXTJOIN("#",TRUE,PartList[[#This Row],[ASSLY MARK]],PartList[[#This Row],[BOX NO]],PartList[[#This Row],[In/Out]],PartList[[#This Row],[O2-Grid]])</f>
        <v>1BE80#Box2#InB</v>
      </c>
      <c r="O651">
        <f>IF(PartList[[#This Row],[Unique]]="Yes",_xlfn.XLOOKUP(PartList[[#This Row],[ASSLY MARK]],FilteredPL!A:A,FilteredPL!B:B,0,0),0)</f>
        <v>0</v>
      </c>
      <c r="P651">
        <f>_xlfn.XLOOKUP(PartList[[#This Row],[ASSLY MARK]],MasterPL[SplitMarkNo],MasterPL[BILL WT.(KG)],0,0)</f>
        <v>0</v>
      </c>
      <c r="Q651" cm="1">
        <f t="array" ref="Q65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51" t="str">
        <v>6BE72</v>
      </c>
      <c r="AB651" s="42">
        <f>SUMIF(PartList[ASSLY MARK],AA651,PartList[Avail. Qty])</f>
        <v>0</v>
      </c>
    </row>
    <row r="652" spans="1:28" x14ac:dyDescent="0.25">
      <c r="A652">
        <v>118</v>
      </c>
      <c r="B652" t="s">
        <v>587</v>
      </c>
      <c r="C652" t="s">
        <v>547</v>
      </c>
      <c r="D652" t="s">
        <v>519</v>
      </c>
      <c r="E652" t="s">
        <v>5</v>
      </c>
      <c r="F652" t="str" cm="1">
        <f t="array" ref="F652">IF(SUM(IF(PartList[ASSLY MARK]=PartList[[#This Row],[ASSLY MARK]],1,0))&gt;1,"No","Yes")</f>
        <v>No</v>
      </c>
      <c r="G652" t="str" cm="1">
        <f t="array" ref="G652">_xlfn.TEXTJOIN("_",TRUE,TRIM(_xlfn.TEXTSPLIT(PartList[[#This Row],[GRID LOCATION]],{"PR01","/","-"})))</f>
        <v>12_13_A_B</v>
      </c>
      <c r="H652" t="str" cm="1">
        <f t="array" ref="H65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52" cm="1">
        <f t="array" ref="I65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52" t="str">
        <f>IF(IFERROR(SEARCH("&gt;",PartList[[#This Row],[ID]]),0),"O",IF(IFERROR(SEARCH("&lt;",PartList[[#This Row],[ID]]),0),"I",""))</f>
        <v/>
      </c>
      <c r="K652" t="str" cm="1">
        <f t="array" ref="K6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52" t="str" cm="1">
        <f t="array" ref="L6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52" t="str">
        <f>_xlfn.TEXTJOIN("#",TRUE,PartList[[#This Row],[ASSLY MARK]],PartList[[#This Row],[BOX NO]],PartList[[#This Row],[In/Out]],PartList[[#This Row],[O1-Grid]])</f>
        <v>1BE81#Box2#InB</v>
      </c>
      <c r="N652" t="str">
        <f>_xlfn.TEXTJOIN("#",TRUE,PartList[[#This Row],[ASSLY MARK]],PartList[[#This Row],[BOX NO]],PartList[[#This Row],[In/Out]],PartList[[#This Row],[O2-Grid]])</f>
        <v>1BE81#Box2#InB</v>
      </c>
      <c r="O652">
        <f>IF(PartList[[#This Row],[Unique]]="Yes",_xlfn.XLOOKUP(PartList[[#This Row],[ASSLY MARK]],FilteredPL!A:A,FilteredPL!B:B,0,0),0)</f>
        <v>0</v>
      </c>
      <c r="P652">
        <f>_xlfn.XLOOKUP(PartList[[#This Row],[ASSLY MARK]],MasterPL[SplitMarkNo],MasterPL[BILL WT.(KG)],0,0)</f>
        <v>0</v>
      </c>
      <c r="Q652" cm="1">
        <f t="array" ref="Q65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52" t="str">
        <v>6BE73</v>
      </c>
      <c r="AB652" s="42">
        <f>SUMIF(PartList[ASSLY MARK],AA652,PartList[Avail. Qty])</f>
        <v>0</v>
      </c>
    </row>
    <row r="653" spans="1:28" x14ac:dyDescent="0.25">
      <c r="A653">
        <v>119</v>
      </c>
      <c r="B653" t="s">
        <v>587</v>
      </c>
      <c r="C653" t="s">
        <v>547</v>
      </c>
      <c r="D653" t="s">
        <v>519</v>
      </c>
      <c r="E653" t="s">
        <v>5</v>
      </c>
      <c r="F653" t="str" cm="1">
        <f t="array" ref="F653">IF(SUM(IF(PartList[ASSLY MARK]=PartList[[#This Row],[ASSLY MARK]],1,0))&gt;1,"No","Yes")</f>
        <v>No</v>
      </c>
      <c r="G653" t="str" cm="1">
        <f t="array" ref="G653">_xlfn.TEXTJOIN("_",TRUE,TRIM(_xlfn.TEXTSPLIT(PartList[[#This Row],[GRID LOCATION]],{"PR01","/","-"})))</f>
        <v>12_13_A_B</v>
      </c>
      <c r="H653" t="str" cm="1">
        <f t="array" ref="H65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53" cm="1">
        <f t="array" ref="I65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53" t="str">
        <f>IF(IFERROR(SEARCH("&gt;",PartList[[#This Row],[ID]]),0),"O",IF(IFERROR(SEARCH("&lt;",PartList[[#This Row],[ID]]),0),"I",""))</f>
        <v/>
      </c>
      <c r="K653" t="str" cm="1">
        <f t="array" ref="K6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53" t="str" cm="1">
        <f t="array" ref="L6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53" t="str">
        <f>_xlfn.TEXTJOIN("#",TRUE,PartList[[#This Row],[ASSLY MARK]],PartList[[#This Row],[BOX NO]],PartList[[#This Row],[In/Out]],PartList[[#This Row],[O1-Grid]])</f>
        <v>1BE81#Box2#InB</v>
      </c>
      <c r="N653" t="str">
        <f>_xlfn.TEXTJOIN("#",TRUE,PartList[[#This Row],[ASSLY MARK]],PartList[[#This Row],[BOX NO]],PartList[[#This Row],[In/Out]],PartList[[#This Row],[O2-Grid]])</f>
        <v>1BE81#Box2#InB</v>
      </c>
      <c r="O653">
        <f>IF(PartList[[#This Row],[Unique]]="Yes",_xlfn.XLOOKUP(PartList[[#This Row],[ASSLY MARK]],FilteredPL!A:A,FilteredPL!B:B,0,0),0)</f>
        <v>0</v>
      </c>
      <c r="P653">
        <f>_xlfn.XLOOKUP(PartList[[#This Row],[ASSLY MARK]],MasterPL[SplitMarkNo],MasterPL[BILL WT.(KG)],0,0)</f>
        <v>0</v>
      </c>
      <c r="Q653" cm="1">
        <f t="array" ref="Q65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53" t="str">
        <v>6BE74</v>
      </c>
      <c r="AB653" s="42">
        <f>SUMIF(PartList[ASSLY MARK],AA653,PartList[Avail. Qty])</f>
        <v>0</v>
      </c>
    </row>
    <row r="654" spans="1:28" x14ac:dyDescent="0.25">
      <c r="A654">
        <v>120</v>
      </c>
      <c r="B654" t="s">
        <v>587</v>
      </c>
      <c r="C654" t="s">
        <v>547</v>
      </c>
      <c r="D654" t="s">
        <v>519</v>
      </c>
      <c r="E654" t="s">
        <v>5</v>
      </c>
      <c r="F654" t="str" cm="1">
        <f t="array" ref="F654">IF(SUM(IF(PartList[ASSLY MARK]=PartList[[#This Row],[ASSLY MARK]],1,0))&gt;1,"No","Yes")</f>
        <v>No</v>
      </c>
      <c r="G654" t="str" cm="1">
        <f t="array" ref="G654">_xlfn.TEXTJOIN("_",TRUE,TRIM(_xlfn.TEXTSPLIT(PartList[[#This Row],[GRID LOCATION]],{"PR01","/","-"})))</f>
        <v>12_13_A_B</v>
      </c>
      <c r="H654" t="str" cm="1">
        <f t="array" ref="H65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54" cm="1">
        <f t="array" ref="I65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54" t="str">
        <f>IF(IFERROR(SEARCH("&gt;",PartList[[#This Row],[ID]]),0),"O",IF(IFERROR(SEARCH("&lt;",PartList[[#This Row],[ID]]),0),"I",""))</f>
        <v/>
      </c>
      <c r="K654" t="str" cm="1">
        <f t="array" ref="K6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54" t="str" cm="1">
        <f t="array" ref="L6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54" t="str">
        <f>_xlfn.TEXTJOIN("#",TRUE,PartList[[#This Row],[ASSLY MARK]],PartList[[#This Row],[BOX NO]],PartList[[#This Row],[In/Out]],PartList[[#This Row],[O1-Grid]])</f>
        <v>1BE81#Box2#InB</v>
      </c>
      <c r="N654" t="str">
        <f>_xlfn.TEXTJOIN("#",TRUE,PartList[[#This Row],[ASSLY MARK]],PartList[[#This Row],[BOX NO]],PartList[[#This Row],[In/Out]],PartList[[#This Row],[O2-Grid]])</f>
        <v>1BE81#Box2#InB</v>
      </c>
      <c r="O654">
        <f>IF(PartList[[#This Row],[Unique]]="Yes",_xlfn.XLOOKUP(PartList[[#This Row],[ASSLY MARK]],FilteredPL!A:A,FilteredPL!B:B,0,0),0)</f>
        <v>0</v>
      </c>
      <c r="P654">
        <f>_xlfn.XLOOKUP(PartList[[#This Row],[ASSLY MARK]],MasterPL[SplitMarkNo],MasterPL[BILL WT.(KG)],0,0)</f>
        <v>0</v>
      </c>
      <c r="Q654" cm="1">
        <f t="array" ref="Q65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54" t="str">
        <v>6BE75</v>
      </c>
      <c r="AB654" s="42">
        <f>SUMIF(PartList[ASSLY MARK],AA654,PartList[Avail. Qty])</f>
        <v>0</v>
      </c>
    </row>
    <row r="655" spans="1:28" x14ac:dyDescent="0.25">
      <c r="A655">
        <v>121</v>
      </c>
      <c r="B655" t="s">
        <v>587</v>
      </c>
      <c r="C655" t="s">
        <v>547</v>
      </c>
      <c r="D655" t="s">
        <v>519</v>
      </c>
      <c r="E655" t="s">
        <v>5</v>
      </c>
      <c r="F655" t="str" cm="1">
        <f t="array" ref="F655">IF(SUM(IF(PartList[ASSLY MARK]=PartList[[#This Row],[ASSLY MARK]],1,0))&gt;1,"No","Yes")</f>
        <v>No</v>
      </c>
      <c r="G655" t="str" cm="1">
        <f t="array" ref="G655">_xlfn.TEXTJOIN("_",TRUE,TRIM(_xlfn.TEXTSPLIT(PartList[[#This Row],[GRID LOCATION]],{"PR01","/","-"})))</f>
        <v>12_13_A_B</v>
      </c>
      <c r="H655" t="str" cm="1">
        <f t="array" ref="H65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55" cm="1">
        <f t="array" ref="I65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55" t="str">
        <f>IF(IFERROR(SEARCH("&gt;",PartList[[#This Row],[ID]]),0),"O",IF(IFERROR(SEARCH("&lt;",PartList[[#This Row],[ID]]),0),"I",""))</f>
        <v/>
      </c>
      <c r="K655" t="str" cm="1">
        <f t="array" ref="K6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55" t="str" cm="1">
        <f t="array" ref="L6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55" t="str">
        <f>_xlfn.TEXTJOIN("#",TRUE,PartList[[#This Row],[ASSLY MARK]],PartList[[#This Row],[BOX NO]],PartList[[#This Row],[In/Out]],PartList[[#This Row],[O1-Grid]])</f>
        <v>1BE81#Box2#InB</v>
      </c>
      <c r="N655" t="str">
        <f>_xlfn.TEXTJOIN("#",TRUE,PartList[[#This Row],[ASSLY MARK]],PartList[[#This Row],[BOX NO]],PartList[[#This Row],[In/Out]],PartList[[#This Row],[O2-Grid]])</f>
        <v>1BE81#Box2#InB</v>
      </c>
      <c r="O655">
        <f>IF(PartList[[#This Row],[Unique]]="Yes",_xlfn.XLOOKUP(PartList[[#This Row],[ASSLY MARK]],FilteredPL!A:A,FilteredPL!B:B,0,0),0)</f>
        <v>0</v>
      </c>
      <c r="P655">
        <f>_xlfn.XLOOKUP(PartList[[#This Row],[ASSLY MARK]],MasterPL[SplitMarkNo],MasterPL[BILL WT.(KG)],0,0)</f>
        <v>0</v>
      </c>
      <c r="Q655" cm="1">
        <f t="array" ref="Q65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55" t="str">
        <v>6BE76</v>
      </c>
      <c r="AB655" s="42">
        <f>SUMIF(PartList[ASSLY MARK],AA655,PartList[Avail. Qty])</f>
        <v>0</v>
      </c>
    </row>
    <row r="656" spans="1:28" x14ac:dyDescent="0.25">
      <c r="A656">
        <v>122</v>
      </c>
      <c r="B656" t="s">
        <v>588</v>
      </c>
      <c r="C656" t="s">
        <v>547</v>
      </c>
      <c r="D656" t="s">
        <v>519</v>
      </c>
      <c r="E656" t="s">
        <v>5</v>
      </c>
      <c r="F656" t="str" cm="1">
        <f t="array" ref="F656">IF(SUM(IF(PartList[ASSLY MARK]=PartList[[#This Row],[ASSLY MARK]],1,0))&gt;1,"No","Yes")</f>
        <v>Yes</v>
      </c>
      <c r="G656" t="str" cm="1">
        <f t="array" ref="G656">_xlfn.TEXTJOIN("_",TRUE,TRIM(_xlfn.TEXTSPLIT(PartList[[#This Row],[GRID LOCATION]],{"PR01","/","-"})))</f>
        <v>12_13_A_B</v>
      </c>
      <c r="H656" t="str" cm="1">
        <f t="array" ref="H65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56" cm="1">
        <f t="array" ref="I65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56" t="str">
        <f>IF(IFERROR(SEARCH("&gt;",PartList[[#This Row],[ID]]),0),"O",IF(IFERROR(SEARCH("&lt;",PartList[[#This Row],[ID]]),0),"I",""))</f>
        <v/>
      </c>
      <c r="K656" t="str" cm="1">
        <f t="array" ref="K6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56" t="str" cm="1">
        <f t="array" ref="L6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56" t="str">
        <f>_xlfn.TEXTJOIN("#",TRUE,PartList[[#This Row],[ASSLY MARK]],PartList[[#This Row],[BOX NO]],PartList[[#This Row],[In/Out]],PartList[[#This Row],[O1-Grid]])</f>
        <v>1BE82#Box2#InB</v>
      </c>
      <c r="N656" t="str">
        <f>_xlfn.TEXTJOIN("#",TRUE,PartList[[#This Row],[ASSLY MARK]],PartList[[#This Row],[BOX NO]],PartList[[#This Row],[In/Out]],PartList[[#This Row],[O2-Grid]])</f>
        <v>1BE82#Box2#InB</v>
      </c>
      <c r="O656">
        <f>IF(PartList[[#This Row],[Unique]]="Yes",_xlfn.XLOOKUP(PartList[[#This Row],[ASSLY MARK]],FilteredPL!A:A,FilteredPL!B:B,0,0),0)</f>
        <v>0</v>
      </c>
      <c r="P656">
        <f>_xlfn.XLOOKUP(PartList[[#This Row],[ASSLY MARK]],MasterPL[SplitMarkNo],MasterPL[BILL WT.(KG)],0,0)</f>
        <v>0</v>
      </c>
      <c r="Q656" cm="1">
        <f t="array" ref="Q65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56" t="str">
        <v>6BE77</v>
      </c>
      <c r="AB656" s="42">
        <f>SUMIF(PartList[ASSLY MARK],AA656,PartList[Avail. Qty])</f>
        <v>0</v>
      </c>
    </row>
    <row r="657" spans="1:28" x14ac:dyDescent="0.25">
      <c r="A657">
        <v>123</v>
      </c>
      <c r="B657" t="s">
        <v>589</v>
      </c>
      <c r="C657" t="s">
        <v>547</v>
      </c>
      <c r="D657" t="s">
        <v>519</v>
      </c>
      <c r="E657" t="s">
        <v>5</v>
      </c>
      <c r="F657" t="str" cm="1">
        <f t="array" ref="F657">IF(SUM(IF(PartList[ASSLY MARK]=PartList[[#This Row],[ASSLY MARK]],1,0))&gt;1,"No","Yes")</f>
        <v>Yes</v>
      </c>
      <c r="G657" t="str" cm="1">
        <f t="array" ref="G657">_xlfn.TEXTJOIN("_",TRUE,TRIM(_xlfn.TEXTSPLIT(PartList[[#This Row],[GRID LOCATION]],{"PR01","/","-"})))</f>
        <v>12_13_A_B</v>
      </c>
      <c r="H657" t="str" cm="1">
        <f t="array" ref="H65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57" cm="1">
        <f t="array" ref="I65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57" t="str">
        <f>IF(IFERROR(SEARCH("&gt;",PartList[[#This Row],[ID]]),0),"O",IF(IFERROR(SEARCH("&lt;",PartList[[#This Row],[ID]]),0),"I",""))</f>
        <v/>
      </c>
      <c r="K657" t="str" cm="1">
        <f t="array" ref="K6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57" t="str" cm="1">
        <f t="array" ref="L6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57" t="str">
        <f>_xlfn.TEXTJOIN("#",TRUE,PartList[[#This Row],[ASSLY MARK]],PartList[[#This Row],[BOX NO]],PartList[[#This Row],[In/Out]],PartList[[#This Row],[O1-Grid]])</f>
        <v>1BE83#Box2#InB</v>
      </c>
      <c r="N657" t="str">
        <f>_xlfn.TEXTJOIN("#",TRUE,PartList[[#This Row],[ASSLY MARK]],PartList[[#This Row],[BOX NO]],PartList[[#This Row],[In/Out]],PartList[[#This Row],[O2-Grid]])</f>
        <v>1BE83#Box2#InB</v>
      </c>
      <c r="O657">
        <f>IF(PartList[[#This Row],[Unique]]="Yes",_xlfn.XLOOKUP(PartList[[#This Row],[ASSLY MARK]],FilteredPL!A:A,FilteredPL!B:B,0,0),0)</f>
        <v>0</v>
      </c>
      <c r="P657">
        <f>_xlfn.XLOOKUP(PartList[[#This Row],[ASSLY MARK]],MasterPL[SplitMarkNo],MasterPL[BILL WT.(KG)],0,0)</f>
        <v>0</v>
      </c>
      <c r="Q657" cm="1">
        <f t="array" ref="Q65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57" t="str">
        <v>6BE78</v>
      </c>
      <c r="AB657" s="42">
        <f>SUMIF(PartList[ASSLY MARK],AA657,PartList[Avail. Qty])</f>
        <v>0</v>
      </c>
    </row>
    <row r="658" spans="1:28" x14ac:dyDescent="0.25">
      <c r="A658">
        <v>125</v>
      </c>
      <c r="B658" t="s">
        <v>592</v>
      </c>
      <c r="C658" t="s">
        <v>593</v>
      </c>
      <c r="D658" t="s">
        <v>90</v>
      </c>
      <c r="E658" t="s">
        <v>5</v>
      </c>
      <c r="F658" t="str" cm="1">
        <f t="array" ref="F658">IF(SUM(IF(PartList[ASSLY MARK]=PartList[[#This Row],[ASSLY MARK]],1,0))&gt;1,"No","Yes")</f>
        <v>Yes</v>
      </c>
      <c r="G658" t="str" cm="1">
        <f t="array" ref="G658">_xlfn.TEXTJOIN("_",TRUE,TRIM(_xlfn.TEXTSPLIT(PartList[[#This Row],[GRID LOCATION]],{"PR01","/","-"})))</f>
        <v>13_A"_A</v>
      </c>
      <c r="H658" t="str" cm="1">
        <f t="array" ref="H65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658" cm="1">
        <f t="array" ref="I65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58" t="str">
        <f>IF(IFERROR(SEARCH("&gt;",PartList[[#This Row],[ID]]),0),"O",IF(IFERROR(SEARCH("&lt;",PartList[[#This Row],[ID]]),0),"I",""))</f>
        <v/>
      </c>
      <c r="K658" t="str" cm="1">
        <f t="array" ref="K6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58" t="str" cm="1">
        <f t="array" ref="L6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58" t="str">
        <f>_xlfn.TEXTJOIN("#",TRUE,PartList[[#This Row],[ASSLY MARK]],PartList[[#This Row],[BOX NO]],PartList[[#This Row],[In/Out]],PartList[[#This Row],[O1-Grid]])</f>
        <v>1BE85#Box2_Box5#InBB</v>
      </c>
      <c r="N658" t="str">
        <f>_xlfn.TEXTJOIN("#",TRUE,PartList[[#This Row],[ASSLY MARK]],PartList[[#This Row],[BOX NO]],PartList[[#This Row],[In/Out]],PartList[[#This Row],[O2-Grid]])</f>
        <v>1BE85#Box2_Box5#InBB</v>
      </c>
      <c r="O658">
        <f>IF(PartList[[#This Row],[Unique]]="Yes",_xlfn.XLOOKUP(PartList[[#This Row],[ASSLY MARK]],FilteredPL!A:A,FilteredPL!B:B,0,0),0)</f>
        <v>0</v>
      </c>
      <c r="P658">
        <f>_xlfn.XLOOKUP(PartList[[#This Row],[ASSLY MARK]],MasterPL[SplitMarkNo],MasterPL[BILL WT.(KG)],0,0)</f>
        <v>0</v>
      </c>
      <c r="Q658" cm="1">
        <f t="array" ref="Q65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58" t="str">
        <v>6BE79</v>
      </c>
      <c r="AB658" s="42">
        <f>SUMIF(PartList[ASSLY MARK],AA658,PartList[Avail. Qty])</f>
        <v>0</v>
      </c>
    </row>
    <row r="659" spans="1:28" x14ac:dyDescent="0.25">
      <c r="A659">
        <v>126</v>
      </c>
      <c r="B659" t="s">
        <v>594</v>
      </c>
      <c r="C659" t="s">
        <v>593</v>
      </c>
      <c r="D659" t="s">
        <v>595</v>
      </c>
      <c r="E659" t="s">
        <v>5</v>
      </c>
      <c r="F659" t="str" cm="1">
        <f t="array" ref="F659">IF(SUM(IF(PartList[ASSLY MARK]=PartList[[#This Row],[ASSLY MARK]],1,0))&gt;1,"No","Yes")</f>
        <v>Yes</v>
      </c>
      <c r="G659" t="str" cm="1">
        <f t="array" ref="G659">_xlfn.TEXTJOIN("_",TRUE,TRIM(_xlfn.TEXTSPLIT(PartList[[#This Row],[GRID LOCATION]],{"PR01","/","-"})))</f>
        <v>13_A"_A</v>
      </c>
      <c r="H659" t="str" cm="1">
        <f t="array" ref="H65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659" cm="1">
        <f t="array" ref="I65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59" t="str">
        <f>IF(IFERROR(SEARCH("&gt;",PartList[[#This Row],[ID]]),0),"O",IF(IFERROR(SEARCH("&lt;",PartList[[#This Row],[ID]]),0),"I",""))</f>
        <v/>
      </c>
      <c r="K659" t="str" cm="1">
        <f t="array" ref="K6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59" t="str" cm="1">
        <f t="array" ref="L6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59" t="str">
        <f>_xlfn.TEXTJOIN("#",TRUE,PartList[[#This Row],[ASSLY MARK]],PartList[[#This Row],[BOX NO]],PartList[[#This Row],[In/Out]],PartList[[#This Row],[O1-Grid]])</f>
        <v>1BE86#Box2_Box5#InBB</v>
      </c>
      <c r="N659" t="str">
        <f>_xlfn.TEXTJOIN("#",TRUE,PartList[[#This Row],[ASSLY MARK]],PartList[[#This Row],[BOX NO]],PartList[[#This Row],[In/Out]],PartList[[#This Row],[O2-Grid]])</f>
        <v>1BE86#Box2_Box5#InBB</v>
      </c>
      <c r="O659">
        <f>IF(PartList[[#This Row],[Unique]]="Yes",_xlfn.XLOOKUP(PartList[[#This Row],[ASSLY MARK]],FilteredPL!A:A,FilteredPL!B:B,0,0),0)</f>
        <v>0</v>
      </c>
      <c r="P659">
        <f>_xlfn.XLOOKUP(PartList[[#This Row],[ASSLY MARK]],MasterPL[SplitMarkNo],MasterPL[BILL WT.(KG)],0,0)</f>
        <v>0</v>
      </c>
      <c r="Q659" cm="1">
        <f t="array" ref="Q65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59" t="str">
        <v>6BE80</v>
      </c>
      <c r="AB659" s="42">
        <f>SUMIF(PartList[ASSLY MARK],AA659,PartList[Avail. Qty])</f>
        <v>0</v>
      </c>
    </row>
    <row r="660" spans="1:28" x14ac:dyDescent="0.25">
      <c r="A660">
        <v>127</v>
      </c>
      <c r="B660" t="s">
        <v>596</v>
      </c>
      <c r="C660" t="s">
        <v>520</v>
      </c>
      <c r="D660" t="s">
        <v>90</v>
      </c>
      <c r="E660" t="s">
        <v>5</v>
      </c>
      <c r="F660" t="str" cm="1">
        <f t="array" ref="F660">IF(SUM(IF(PartList[ASSLY MARK]=PartList[[#This Row],[ASSLY MARK]],1,0))&gt;1,"No","Yes")</f>
        <v>Yes</v>
      </c>
      <c r="G660" t="str" cm="1">
        <f t="array" ref="G660">_xlfn.TEXTJOIN("_",TRUE,TRIM(_xlfn.TEXTSPLIT(PartList[[#This Row],[GRID LOCATION]],{"PR01","/","-"})))</f>
        <v>13_A_B</v>
      </c>
      <c r="H660" t="str" cm="1">
        <f t="array" ref="H66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60" cm="1">
        <f t="array" ref="I66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60" t="str">
        <f>IF(IFERROR(SEARCH("&gt;",PartList[[#This Row],[ID]]),0),"O",IF(IFERROR(SEARCH("&lt;",PartList[[#This Row],[ID]]),0),"I",""))</f>
        <v/>
      </c>
      <c r="K660" t="str" cm="1">
        <f t="array" ref="K6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13_A_B</v>
      </c>
      <c r="L660" t="str" cm="1">
        <f t="array" ref="L6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60" t="str">
        <f>_xlfn.TEXTJOIN("#",TRUE,PartList[[#This Row],[ASSLY MARK]],PartList[[#This Row],[BOX NO]],PartList[[#This Row],[In/Out]],PartList[[#This Row],[O1-Grid]])</f>
        <v>1BE87#Box2#13_A_B</v>
      </c>
      <c r="N660" t="str">
        <f>_xlfn.TEXTJOIN("#",TRUE,PartList[[#This Row],[ASSLY MARK]],PartList[[#This Row],[BOX NO]],PartList[[#This Row],[In/Out]],PartList[[#This Row],[O2-Grid]])</f>
        <v>1BE87#Box2#InB</v>
      </c>
      <c r="O660">
        <f>IF(PartList[[#This Row],[Unique]]="Yes",_xlfn.XLOOKUP(PartList[[#This Row],[ASSLY MARK]],FilteredPL!A:A,FilteredPL!B:B,0,0),0)</f>
        <v>0</v>
      </c>
      <c r="P660">
        <f>_xlfn.XLOOKUP(PartList[[#This Row],[ASSLY MARK]],MasterPL[SplitMarkNo],MasterPL[BILL WT.(KG)],0,0)</f>
        <v>0</v>
      </c>
      <c r="Q660" cm="1">
        <f t="array" ref="Q66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60" t="str">
        <v>6BE81</v>
      </c>
      <c r="AB660" s="42">
        <f>SUMIF(PartList[ASSLY MARK],AA660,PartList[Avail. Qty])</f>
        <v>0</v>
      </c>
    </row>
    <row r="661" spans="1:28" x14ac:dyDescent="0.25">
      <c r="A661">
        <v>128</v>
      </c>
      <c r="B661" t="s">
        <v>597</v>
      </c>
      <c r="C661" t="s">
        <v>598</v>
      </c>
      <c r="D661" t="s">
        <v>90</v>
      </c>
      <c r="E661" t="s">
        <v>5</v>
      </c>
      <c r="F661" t="str" cm="1">
        <f t="array" ref="F661">IF(SUM(IF(PartList[ASSLY MARK]=PartList[[#This Row],[ASSLY MARK]],1,0))&gt;1,"No","Yes")</f>
        <v>Yes</v>
      </c>
      <c r="G661" t="str" cm="1">
        <f t="array" ref="G661">_xlfn.TEXTJOIN("_",TRUE,TRIM(_xlfn.TEXTSPLIT(PartList[[#This Row],[GRID LOCATION]],{"PR01","/","-"})))</f>
        <v>13_B&gt;</v>
      </c>
      <c r="H661" t="str" cm="1">
        <f t="array" ref="H66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61" cm="1">
        <f t="array" ref="I66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61" t="str">
        <f>IF(IFERROR(SEARCH("&gt;",PartList[[#This Row],[ID]]),0),"O",IF(IFERROR(SEARCH("&lt;",PartList[[#This Row],[ID]]),0),"I",""))</f>
        <v>O</v>
      </c>
      <c r="K661" t="str" cm="1">
        <f t="array" ref="K6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661" t="str" cm="1">
        <f t="array" ref="L6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661" t="str">
        <f>_xlfn.TEXTJOIN("#",TRUE,PartList[[#This Row],[ASSLY MARK]],PartList[[#This Row],[BOX NO]],PartList[[#This Row],[In/Out]],PartList[[#This Row],[O1-Grid]])</f>
        <v>1BE88#Box2#O</v>
      </c>
      <c r="N661" t="str">
        <f>_xlfn.TEXTJOIN("#",TRUE,PartList[[#This Row],[ASSLY MARK]],PartList[[#This Row],[BOX NO]],PartList[[#This Row],[In/Out]],PartList[[#This Row],[O2-Grid]])</f>
        <v>1BE88#Box2#O</v>
      </c>
      <c r="O661">
        <f>IF(PartList[[#This Row],[Unique]]="Yes",_xlfn.XLOOKUP(PartList[[#This Row],[ASSLY MARK]],FilteredPL!A:A,FilteredPL!B:B,0,0),0)</f>
        <v>0</v>
      </c>
      <c r="P661">
        <f>_xlfn.XLOOKUP(PartList[[#This Row],[ASSLY MARK]],MasterPL[SplitMarkNo],MasterPL[BILL WT.(KG)],0,0)</f>
        <v>0</v>
      </c>
      <c r="Q661" cm="1">
        <f t="array" ref="Q66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61" t="str">
        <v>6BE82</v>
      </c>
      <c r="AB661" s="42">
        <f>SUMIF(PartList[ASSLY MARK],AA661,PartList[Avail. Qty])</f>
        <v>0</v>
      </c>
    </row>
    <row r="662" spans="1:28" x14ac:dyDescent="0.25">
      <c r="A662">
        <v>129</v>
      </c>
      <c r="B662" t="s">
        <v>599</v>
      </c>
      <c r="C662" t="s">
        <v>600</v>
      </c>
      <c r="D662" t="s">
        <v>90</v>
      </c>
      <c r="E662" t="s">
        <v>5</v>
      </c>
      <c r="F662" t="str" cm="1">
        <f t="array" ref="F662">IF(SUM(IF(PartList[ASSLY MARK]=PartList[[#This Row],[ASSLY MARK]],1,0))&gt;1,"No","Yes")</f>
        <v>Yes</v>
      </c>
      <c r="G662" t="str" cm="1">
        <f t="array" ref="G662">_xlfn.TEXTJOIN("_",TRUE,TRIM(_xlfn.TEXTSPLIT(PartList[[#This Row],[GRID LOCATION]],{"PR01","/","-"})))</f>
        <v>13_14_A"_A</v>
      </c>
      <c r="H662" t="str" cm="1">
        <f t="array" ref="H66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662" cm="1">
        <f t="array" ref="I66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62" t="str">
        <f>IF(IFERROR(SEARCH("&gt;",PartList[[#This Row],[ID]]),0),"O",IF(IFERROR(SEARCH("&lt;",PartList[[#This Row],[ID]]),0),"I",""))</f>
        <v/>
      </c>
      <c r="K662" t="str" cm="1">
        <f t="array" ref="K6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62" t="str" cm="1">
        <f t="array" ref="L6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62" t="str">
        <f>_xlfn.TEXTJOIN("#",TRUE,PartList[[#This Row],[ASSLY MARK]],PartList[[#This Row],[BOX NO]],PartList[[#This Row],[In/Out]],PartList[[#This Row],[O1-Grid]])</f>
        <v>1BE89#Box2_Box5_Box6#InBB</v>
      </c>
      <c r="N662" t="str">
        <f>_xlfn.TEXTJOIN("#",TRUE,PartList[[#This Row],[ASSLY MARK]],PartList[[#This Row],[BOX NO]],PartList[[#This Row],[In/Out]],PartList[[#This Row],[O2-Grid]])</f>
        <v>1BE89#Box2_Box5_Box6#InBB</v>
      </c>
      <c r="O662">
        <f>IF(PartList[[#This Row],[Unique]]="Yes",_xlfn.XLOOKUP(PartList[[#This Row],[ASSLY MARK]],FilteredPL!A:A,FilteredPL!B:B,0,0),0)</f>
        <v>0</v>
      </c>
      <c r="P662">
        <f>_xlfn.XLOOKUP(PartList[[#This Row],[ASSLY MARK]],MasterPL[SplitMarkNo],MasterPL[BILL WT.(KG)],0,0)</f>
        <v>0</v>
      </c>
      <c r="Q662" cm="1">
        <f t="array" ref="Q66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62" t="str">
        <v>6HB18</v>
      </c>
      <c r="AB662" s="42">
        <f>SUMIF(PartList[ASSLY MARK],AA662,PartList[Avail. Qty])</f>
        <v>0</v>
      </c>
    </row>
    <row r="663" spans="1:28" x14ac:dyDescent="0.25">
      <c r="A663">
        <v>130</v>
      </c>
      <c r="B663" t="s">
        <v>601</v>
      </c>
      <c r="C663" t="s">
        <v>602</v>
      </c>
      <c r="D663" t="s">
        <v>88</v>
      </c>
      <c r="E663" t="s">
        <v>5</v>
      </c>
      <c r="F663" t="str" cm="1">
        <f t="array" ref="F663">IF(SUM(IF(PartList[ASSLY MARK]=PartList[[#This Row],[ASSLY MARK]],1,0))&gt;1,"No","Yes")</f>
        <v>No</v>
      </c>
      <c r="G663" t="str" cm="1">
        <f t="array" ref="G663">_xlfn.TEXTJOIN("_",TRUE,TRIM(_xlfn.TEXTSPLIT(PartList[[#This Row],[GRID LOCATION]],{"PR01","/","-"})))</f>
        <v>13_14_A_B</v>
      </c>
      <c r="H663" t="str" cm="1">
        <f t="array" ref="H66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63" cm="1">
        <f t="array" ref="I66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63" t="str">
        <f>IF(IFERROR(SEARCH("&gt;",PartList[[#This Row],[ID]]),0),"O",IF(IFERROR(SEARCH("&lt;",PartList[[#This Row],[ID]]),0),"I",""))</f>
        <v/>
      </c>
      <c r="K663" t="str" cm="1">
        <f t="array" ref="K6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63" t="str" cm="1">
        <f t="array" ref="L6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63" t="str">
        <f>_xlfn.TEXTJOIN("#",TRUE,PartList[[#This Row],[ASSLY MARK]],PartList[[#This Row],[BOX NO]],PartList[[#This Row],[In/Out]],PartList[[#This Row],[O1-Grid]])</f>
        <v>1BE90#Box2#InB</v>
      </c>
      <c r="N663" t="str">
        <f>_xlfn.TEXTJOIN("#",TRUE,PartList[[#This Row],[ASSLY MARK]],PartList[[#This Row],[BOX NO]],PartList[[#This Row],[In/Out]],PartList[[#This Row],[O2-Grid]])</f>
        <v>1BE90#Box2#InB</v>
      </c>
      <c r="O663">
        <f>IF(PartList[[#This Row],[Unique]]="Yes",_xlfn.XLOOKUP(PartList[[#This Row],[ASSLY MARK]],FilteredPL!A:A,FilteredPL!B:B,0,0),0)</f>
        <v>0</v>
      </c>
      <c r="P663">
        <f>_xlfn.XLOOKUP(PartList[[#This Row],[ASSLY MARK]],MasterPL[SplitMarkNo],MasterPL[BILL WT.(KG)],0,0)</f>
        <v>0</v>
      </c>
      <c r="Q663" cm="1">
        <f t="array" ref="Q66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63" t="str">
        <v>6HB19</v>
      </c>
      <c r="AB663" s="42">
        <f>SUMIF(PartList[ASSLY MARK],AA663,PartList[Avail. Qty])</f>
        <v>0</v>
      </c>
    </row>
    <row r="664" spans="1:28" x14ac:dyDescent="0.25">
      <c r="A664">
        <v>131</v>
      </c>
      <c r="B664" t="s">
        <v>601</v>
      </c>
      <c r="C664" t="s">
        <v>602</v>
      </c>
      <c r="D664" t="s">
        <v>88</v>
      </c>
      <c r="E664" t="s">
        <v>5</v>
      </c>
      <c r="F664" t="str" cm="1">
        <f t="array" ref="F664">IF(SUM(IF(PartList[ASSLY MARK]=PartList[[#This Row],[ASSLY MARK]],1,0))&gt;1,"No","Yes")</f>
        <v>No</v>
      </c>
      <c r="G664" t="str" cm="1">
        <f t="array" ref="G664">_xlfn.TEXTJOIN("_",TRUE,TRIM(_xlfn.TEXTSPLIT(PartList[[#This Row],[GRID LOCATION]],{"PR01","/","-"})))</f>
        <v>13_14_A_B</v>
      </c>
      <c r="H664" t="str" cm="1">
        <f t="array" ref="H66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64" cm="1">
        <f t="array" ref="I66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64" t="str">
        <f>IF(IFERROR(SEARCH("&gt;",PartList[[#This Row],[ID]]),0),"O",IF(IFERROR(SEARCH("&lt;",PartList[[#This Row],[ID]]),0),"I",""))</f>
        <v/>
      </c>
      <c r="K664" t="str" cm="1">
        <f t="array" ref="K6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64" t="str" cm="1">
        <f t="array" ref="L6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64" t="str">
        <f>_xlfn.TEXTJOIN("#",TRUE,PartList[[#This Row],[ASSLY MARK]],PartList[[#This Row],[BOX NO]],PartList[[#This Row],[In/Out]],PartList[[#This Row],[O1-Grid]])</f>
        <v>1BE90#Box2#InB</v>
      </c>
      <c r="N664" t="str">
        <f>_xlfn.TEXTJOIN("#",TRUE,PartList[[#This Row],[ASSLY MARK]],PartList[[#This Row],[BOX NO]],PartList[[#This Row],[In/Out]],PartList[[#This Row],[O2-Grid]])</f>
        <v>1BE90#Box2#InB</v>
      </c>
      <c r="O664">
        <f>IF(PartList[[#This Row],[Unique]]="Yes",_xlfn.XLOOKUP(PartList[[#This Row],[ASSLY MARK]],FilteredPL!A:A,FilteredPL!B:B,0,0),0)</f>
        <v>0</v>
      </c>
      <c r="P664">
        <f>_xlfn.XLOOKUP(PartList[[#This Row],[ASSLY MARK]],MasterPL[SplitMarkNo],MasterPL[BILL WT.(KG)],0,0)</f>
        <v>0</v>
      </c>
      <c r="Q664" cm="1">
        <f t="array" ref="Q66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64" t="str">
        <v>6HB20</v>
      </c>
      <c r="AB664" s="42">
        <f>SUMIF(PartList[ASSLY MARK],AA664,PartList[Avail. Qty])</f>
        <v>0</v>
      </c>
    </row>
    <row r="665" spans="1:28" x14ac:dyDescent="0.25">
      <c r="A665">
        <v>135</v>
      </c>
      <c r="B665" t="s">
        <v>608</v>
      </c>
      <c r="C665" t="s">
        <v>609</v>
      </c>
      <c r="D665" t="s">
        <v>606</v>
      </c>
      <c r="E665" t="s">
        <v>5</v>
      </c>
      <c r="F665" t="str" cm="1">
        <f t="array" ref="F665">IF(SUM(IF(PartList[ASSLY MARK]=PartList[[#This Row],[ASSLY MARK]],1,0))&gt;1,"No","Yes")</f>
        <v>Yes</v>
      </c>
      <c r="G665" t="str" cm="1">
        <f t="array" ref="G665">_xlfn.TEXTJOIN("_",TRUE,TRIM(_xlfn.TEXTSPLIT(PartList[[#This Row],[GRID LOCATION]],{"PR01","/","-"})))</f>
        <v>13_14_A</v>
      </c>
      <c r="H665" t="str" cm="1">
        <f t="array" ref="H66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65" cm="1">
        <f t="array" ref="I66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65" t="str">
        <f>IF(IFERROR(SEARCH("&gt;",PartList[[#This Row],[ID]]),0),"O",IF(IFERROR(SEARCH("&lt;",PartList[[#This Row],[ID]]),0),"I",""))</f>
        <v/>
      </c>
      <c r="K665" t="str" cm="1">
        <f t="array" ref="K6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65" t="str" cm="1">
        <f t="array" ref="L6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13_14_A</v>
      </c>
      <c r="M665" t="str">
        <f>_xlfn.TEXTJOIN("#",TRUE,PartList[[#This Row],[ASSLY MARK]],PartList[[#This Row],[BOX NO]],PartList[[#This Row],[In/Out]],PartList[[#This Row],[O1-Grid]])</f>
        <v>1BE94#Box2#InB</v>
      </c>
      <c r="N665" t="str">
        <f>_xlfn.TEXTJOIN("#",TRUE,PartList[[#This Row],[ASSLY MARK]],PartList[[#This Row],[BOX NO]],PartList[[#This Row],[In/Out]],PartList[[#This Row],[O2-Grid]])</f>
        <v>1BE94#Box2#13_14_A</v>
      </c>
      <c r="O665">
        <f>IF(PartList[[#This Row],[Unique]]="Yes",_xlfn.XLOOKUP(PartList[[#This Row],[ASSLY MARK]],FilteredPL!A:A,FilteredPL!B:B,0,0),0)</f>
        <v>0</v>
      </c>
      <c r="P665">
        <f>_xlfn.XLOOKUP(PartList[[#This Row],[ASSLY MARK]],MasterPL[SplitMarkNo],MasterPL[BILL WT.(KG)],0,0)</f>
        <v>0</v>
      </c>
      <c r="Q665" cm="1">
        <f t="array" ref="Q66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65" t="str">
        <v>6HB21</v>
      </c>
      <c r="AB665" s="42">
        <f>SUMIF(PartList[ASSLY MARK],AA665,PartList[Avail. Qty])</f>
        <v>0</v>
      </c>
    </row>
    <row r="666" spans="1:28" x14ac:dyDescent="0.25">
      <c r="A666">
        <v>136</v>
      </c>
      <c r="B666" t="s">
        <v>610</v>
      </c>
      <c r="C666" t="s">
        <v>609</v>
      </c>
      <c r="D666" t="s">
        <v>90</v>
      </c>
      <c r="E666" t="s">
        <v>5</v>
      </c>
      <c r="F666" t="str" cm="1">
        <f t="array" ref="F666">IF(SUM(IF(PartList[ASSLY MARK]=PartList[[#This Row],[ASSLY MARK]],1,0))&gt;1,"No","Yes")</f>
        <v>Yes</v>
      </c>
      <c r="G666" t="str" cm="1">
        <f t="array" ref="G666">_xlfn.TEXTJOIN("_",TRUE,TRIM(_xlfn.TEXTSPLIT(PartList[[#This Row],[GRID LOCATION]],{"PR01","/","-"})))</f>
        <v>13_14_A</v>
      </c>
      <c r="H666" t="str" cm="1">
        <f t="array" ref="H66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66" cm="1">
        <f t="array" ref="I66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66" t="str">
        <f>IF(IFERROR(SEARCH("&gt;",PartList[[#This Row],[ID]]),0),"O",IF(IFERROR(SEARCH("&lt;",PartList[[#This Row],[ID]]),0),"I",""))</f>
        <v/>
      </c>
      <c r="K666" t="str" cm="1">
        <f t="array" ref="K6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66" t="str" cm="1">
        <f t="array" ref="L6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13_14_A</v>
      </c>
      <c r="M666" t="str">
        <f>_xlfn.TEXTJOIN("#",TRUE,PartList[[#This Row],[ASSLY MARK]],PartList[[#This Row],[BOX NO]],PartList[[#This Row],[In/Out]],PartList[[#This Row],[O1-Grid]])</f>
        <v>1BE95#Box2#InB</v>
      </c>
      <c r="N666" t="str">
        <f>_xlfn.TEXTJOIN("#",TRUE,PartList[[#This Row],[ASSLY MARK]],PartList[[#This Row],[BOX NO]],PartList[[#This Row],[In/Out]],PartList[[#This Row],[O2-Grid]])</f>
        <v>1BE95#Box2#13_14_A</v>
      </c>
      <c r="O666">
        <f>IF(PartList[[#This Row],[Unique]]="Yes",_xlfn.XLOOKUP(PartList[[#This Row],[ASSLY MARK]],FilteredPL!A:A,FilteredPL!B:B,0,0),0)</f>
        <v>0</v>
      </c>
      <c r="P666">
        <f>_xlfn.XLOOKUP(PartList[[#This Row],[ASSLY MARK]],MasterPL[SplitMarkNo],MasterPL[BILL WT.(KG)],0,0)</f>
        <v>0</v>
      </c>
      <c r="Q666" cm="1">
        <f t="array" ref="Q66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66" t="str">
        <v>6HB22</v>
      </c>
      <c r="AB666" s="42">
        <f>SUMIF(PartList[ASSLY MARK],AA666,PartList[Avail. Qty])</f>
        <v>0</v>
      </c>
    </row>
    <row r="667" spans="1:28" x14ac:dyDescent="0.25">
      <c r="A667">
        <v>137</v>
      </c>
      <c r="B667" t="s">
        <v>611</v>
      </c>
      <c r="C667" t="s">
        <v>602</v>
      </c>
      <c r="D667" t="s">
        <v>90</v>
      </c>
      <c r="E667" t="s">
        <v>5</v>
      </c>
      <c r="F667" t="str" cm="1">
        <f t="array" ref="F667">IF(SUM(IF(PartList[ASSLY MARK]=PartList[[#This Row],[ASSLY MARK]],1,0))&gt;1,"No","Yes")</f>
        <v>Yes</v>
      </c>
      <c r="G667" t="str" cm="1">
        <f t="array" ref="G667">_xlfn.TEXTJOIN("_",TRUE,TRIM(_xlfn.TEXTSPLIT(PartList[[#This Row],[GRID LOCATION]],{"PR01","/","-"})))</f>
        <v>13_14_A_B</v>
      </c>
      <c r="H667" t="str" cm="1">
        <f t="array" ref="H66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67" cm="1">
        <f t="array" ref="I66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67" t="str">
        <f>IF(IFERROR(SEARCH("&gt;",PartList[[#This Row],[ID]]),0),"O",IF(IFERROR(SEARCH("&lt;",PartList[[#This Row],[ID]]),0),"I",""))</f>
        <v/>
      </c>
      <c r="K667" t="str" cm="1">
        <f t="array" ref="K6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67" t="str" cm="1">
        <f t="array" ref="L6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67" t="str">
        <f>_xlfn.TEXTJOIN("#",TRUE,PartList[[#This Row],[ASSLY MARK]],PartList[[#This Row],[BOX NO]],PartList[[#This Row],[In/Out]],PartList[[#This Row],[O1-Grid]])</f>
        <v>1BE96#Box2#InB</v>
      </c>
      <c r="N667" t="str">
        <f>_xlfn.TEXTJOIN("#",TRUE,PartList[[#This Row],[ASSLY MARK]],PartList[[#This Row],[BOX NO]],PartList[[#This Row],[In/Out]],PartList[[#This Row],[O2-Grid]])</f>
        <v>1BE96#Box2#InB</v>
      </c>
      <c r="O667">
        <f>IF(PartList[[#This Row],[Unique]]="Yes",_xlfn.XLOOKUP(PartList[[#This Row],[ASSLY MARK]],FilteredPL!A:A,FilteredPL!B:B,0,0),0)</f>
        <v>0</v>
      </c>
      <c r="P667">
        <f>_xlfn.XLOOKUP(PartList[[#This Row],[ASSLY MARK]],MasterPL[SplitMarkNo],MasterPL[BILL WT.(KG)],0,0)</f>
        <v>0</v>
      </c>
      <c r="Q667" cm="1">
        <f t="array" ref="Q66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67" t="str">
        <v>6HB23</v>
      </c>
      <c r="AB667" s="42">
        <f>SUMIF(PartList[ASSLY MARK],AA667,PartList[Avail. Qty])</f>
        <v>0</v>
      </c>
    </row>
    <row r="668" spans="1:28" x14ac:dyDescent="0.25">
      <c r="A668">
        <v>138</v>
      </c>
      <c r="B668" t="s">
        <v>612</v>
      </c>
      <c r="C668" t="s">
        <v>613</v>
      </c>
      <c r="D668" t="s">
        <v>90</v>
      </c>
      <c r="E668" t="s">
        <v>5</v>
      </c>
      <c r="F668" t="str" cm="1">
        <f t="array" ref="F668">IF(SUM(IF(PartList[ASSLY MARK]=PartList[[#This Row],[ASSLY MARK]],1,0))&gt;1,"No","Yes")</f>
        <v>Yes</v>
      </c>
      <c r="G668" t="str" cm="1">
        <f t="array" ref="G668">_xlfn.TEXTJOIN("_",TRUE,TRIM(_xlfn.TEXTSPLIT(PartList[[#This Row],[GRID LOCATION]],{"PR01","/","-"})))</f>
        <v>13_14_B</v>
      </c>
      <c r="H668" t="str" cm="1">
        <f t="array" ref="H66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68" cm="1">
        <f t="array" ref="I66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68" t="str">
        <f>IF(IFERROR(SEARCH("&gt;",PartList[[#This Row],[ID]]),0),"O",IF(IFERROR(SEARCH("&lt;",PartList[[#This Row],[ID]]),0),"I",""))</f>
        <v/>
      </c>
      <c r="K668" t="str" cm="1">
        <f t="array" ref="K6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68" t="str" cm="1">
        <f t="array" ref="L6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13_14_B</v>
      </c>
      <c r="M668" t="str">
        <f>_xlfn.TEXTJOIN("#",TRUE,PartList[[#This Row],[ASSLY MARK]],PartList[[#This Row],[BOX NO]],PartList[[#This Row],[In/Out]],PartList[[#This Row],[O1-Grid]])</f>
        <v>1BE97#Box2#InB</v>
      </c>
      <c r="N668" t="str">
        <f>_xlfn.TEXTJOIN("#",TRUE,PartList[[#This Row],[ASSLY MARK]],PartList[[#This Row],[BOX NO]],PartList[[#This Row],[In/Out]],PartList[[#This Row],[O2-Grid]])</f>
        <v>1BE97#Box2#13_14_B</v>
      </c>
      <c r="O668">
        <f>IF(PartList[[#This Row],[Unique]]="Yes",_xlfn.XLOOKUP(PartList[[#This Row],[ASSLY MARK]],FilteredPL!A:A,FilteredPL!B:B,0,0),0)</f>
        <v>0</v>
      </c>
      <c r="P668">
        <f>_xlfn.XLOOKUP(PartList[[#This Row],[ASSLY MARK]],MasterPL[SplitMarkNo],MasterPL[BILL WT.(KG)],0,0)</f>
        <v>0</v>
      </c>
      <c r="Q668" cm="1">
        <f t="array" ref="Q66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68" t="str">
        <v>6HB24</v>
      </c>
      <c r="AB668" s="42">
        <f>SUMIF(PartList[ASSLY MARK],AA668,PartList[Avail. Qty])</f>
        <v>0</v>
      </c>
    </row>
    <row r="669" spans="1:28" x14ac:dyDescent="0.25">
      <c r="A669">
        <v>146</v>
      </c>
      <c r="B669" t="s">
        <v>624</v>
      </c>
      <c r="C669" t="s">
        <v>547</v>
      </c>
      <c r="D669" t="s">
        <v>519</v>
      </c>
      <c r="E669" t="s">
        <v>128</v>
      </c>
      <c r="F669" t="str" cm="1">
        <f t="array" ref="F669">IF(SUM(IF(PartList[ASSLY MARK]=PartList[[#This Row],[ASSLY MARK]],1,0))&gt;1,"No","Yes")</f>
        <v>Yes</v>
      </c>
      <c r="G669" t="str" cm="1">
        <f t="array" ref="G669">_xlfn.TEXTJOIN("_",TRUE,TRIM(_xlfn.TEXTSPLIT(PartList[[#This Row],[GRID LOCATION]],{"PR01","/","-"})))</f>
        <v>12_13_A_B</v>
      </c>
      <c r="H669" t="str" cm="1">
        <f t="array" ref="H66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69" cm="1">
        <f t="array" ref="I66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69" t="str">
        <f>IF(IFERROR(SEARCH("&gt;",PartList[[#This Row],[ID]]),0),"O",IF(IFERROR(SEARCH("&lt;",PartList[[#This Row],[ID]]),0),"I",""))</f>
        <v/>
      </c>
      <c r="K669" t="str" cm="1">
        <f t="array" ref="K6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69" t="str" cm="1">
        <f t="array" ref="L6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69" t="str">
        <f>_xlfn.TEXTJOIN("#",TRUE,PartList[[#This Row],[ASSLY MARK]],PartList[[#This Row],[BOX NO]],PartList[[#This Row],[In/Out]],PartList[[#This Row],[O1-Grid]])</f>
        <v>1FR03#Box2#InB</v>
      </c>
      <c r="N669" t="str">
        <f>_xlfn.TEXTJOIN("#",TRUE,PartList[[#This Row],[ASSLY MARK]],PartList[[#This Row],[BOX NO]],PartList[[#This Row],[In/Out]],PartList[[#This Row],[O2-Grid]])</f>
        <v>1FR03#Box2#InB</v>
      </c>
      <c r="O669">
        <f>IF(PartList[[#This Row],[Unique]]="Yes",_xlfn.XLOOKUP(PartList[[#This Row],[ASSLY MARK]],FilteredPL!A:A,FilteredPL!B:B,0,0),0)</f>
        <v>0</v>
      </c>
      <c r="P669">
        <f>_xlfn.XLOOKUP(PartList[[#This Row],[ASSLY MARK]],MasterPL[SplitMarkNo],MasterPL[BILL WT.(KG)],0,0)</f>
        <v>0</v>
      </c>
      <c r="Q669" cm="1">
        <f t="array" ref="Q66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69" t="str">
        <v>6HB25</v>
      </c>
      <c r="AB669" s="42">
        <f>SUMIF(PartList[ASSLY MARK],AA669,PartList[Avail. Qty])</f>
        <v>0</v>
      </c>
    </row>
    <row r="670" spans="1:28" x14ac:dyDescent="0.25">
      <c r="A670">
        <v>147</v>
      </c>
      <c r="B670" t="s">
        <v>625</v>
      </c>
      <c r="C670" t="s">
        <v>547</v>
      </c>
      <c r="D670" t="s">
        <v>519</v>
      </c>
      <c r="E670" t="s">
        <v>128</v>
      </c>
      <c r="F670" t="str" cm="1">
        <f t="array" ref="F670">IF(SUM(IF(PartList[ASSLY MARK]=PartList[[#This Row],[ASSLY MARK]],1,0))&gt;1,"No","Yes")</f>
        <v>Yes</v>
      </c>
      <c r="G670" t="str" cm="1">
        <f t="array" ref="G670">_xlfn.TEXTJOIN("_",TRUE,TRIM(_xlfn.TEXTSPLIT(PartList[[#This Row],[GRID LOCATION]],{"PR01","/","-"})))</f>
        <v>12_13_A_B</v>
      </c>
      <c r="H670" t="str" cm="1">
        <f t="array" ref="H67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70" cm="1">
        <f t="array" ref="I67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70" t="str">
        <f>IF(IFERROR(SEARCH("&gt;",PartList[[#This Row],[ID]]),0),"O",IF(IFERROR(SEARCH("&lt;",PartList[[#This Row],[ID]]),0),"I",""))</f>
        <v/>
      </c>
      <c r="K670" t="str" cm="1">
        <f t="array" ref="K6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70" t="str" cm="1">
        <f t="array" ref="L6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70" t="str">
        <f>_xlfn.TEXTJOIN("#",TRUE,PartList[[#This Row],[ASSLY MARK]],PartList[[#This Row],[BOX NO]],PartList[[#This Row],[In/Out]],PartList[[#This Row],[O1-Grid]])</f>
        <v>1FR04#Box2#InB</v>
      </c>
      <c r="N670" t="str">
        <f>_xlfn.TEXTJOIN("#",TRUE,PartList[[#This Row],[ASSLY MARK]],PartList[[#This Row],[BOX NO]],PartList[[#This Row],[In/Out]],PartList[[#This Row],[O2-Grid]])</f>
        <v>1FR04#Box2#InB</v>
      </c>
      <c r="O670">
        <f>IF(PartList[[#This Row],[Unique]]="Yes",_xlfn.XLOOKUP(PartList[[#This Row],[ASSLY MARK]],FilteredPL!A:A,FilteredPL!B:B,0,0),0)</f>
        <v>0</v>
      </c>
      <c r="P670">
        <f>_xlfn.XLOOKUP(PartList[[#This Row],[ASSLY MARK]],MasterPL[SplitMarkNo],MasterPL[BILL WT.(KG)],0,0)</f>
        <v>0</v>
      </c>
      <c r="Q670" cm="1">
        <f t="array" ref="Q67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70" t="str">
        <v>6HB26</v>
      </c>
      <c r="AB670" s="42">
        <f>SUMIF(PartList[ASSLY MARK],AA670,PartList[Avail. Qty])</f>
        <v>0</v>
      </c>
    </row>
    <row r="671" spans="1:28" x14ac:dyDescent="0.25">
      <c r="A671">
        <v>148</v>
      </c>
      <c r="B671" t="s">
        <v>130</v>
      </c>
      <c r="C671" t="s">
        <v>558</v>
      </c>
      <c r="D671" t="s">
        <v>539</v>
      </c>
      <c r="E671" t="s">
        <v>8</v>
      </c>
      <c r="F671" t="str" cm="1">
        <f t="array" ref="F671">IF(SUM(IF(PartList[ASSLY MARK]=PartList[[#This Row],[ASSLY MARK]],1,0))&gt;1,"No","Yes")</f>
        <v>Yes</v>
      </c>
      <c r="G671" t="str" cm="1">
        <f t="array" ref="G671">_xlfn.TEXTJOIN("_",TRUE,TRIM(_xlfn.TEXTSPLIT(PartList[[#This Row],[GRID LOCATION]],{"PR01","/","-"})))</f>
        <v>12_13_A'_A</v>
      </c>
      <c r="H671" t="str" cm="1">
        <f t="array" ref="H67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671" cm="1">
        <f t="array" ref="I67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71" t="str">
        <f>IF(IFERROR(SEARCH("&gt;",PartList[[#This Row],[ID]]),0),"O",IF(IFERROR(SEARCH("&lt;",PartList[[#This Row],[ID]]),0),"I",""))</f>
        <v/>
      </c>
      <c r="K671" t="str" cm="1">
        <f t="array" ref="K6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71" t="str" cm="1">
        <f t="array" ref="L6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71" t="str">
        <f>_xlfn.TEXTJOIN("#",TRUE,PartList[[#This Row],[ASSLY MARK]],PartList[[#This Row],[BOX NO]],PartList[[#This Row],[In/Out]],PartList[[#This Row],[O1-Grid]])</f>
        <v>1HA01#Box2_Box5#InBB</v>
      </c>
      <c r="N671" t="str">
        <f>_xlfn.TEXTJOIN("#",TRUE,PartList[[#This Row],[ASSLY MARK]],PartList[[#This Row],[BOX NO]],PartList[[#This Row],[In/Out]],PartList[[#This Row],[O2-Grid]])</f>
        <v>1HA01#Box2_Box5#InBB</v>
      </c>
      <c r="O671">
        <f>IF(PartList[[#This Row],[Unique]]="Yes",_xlfn.XLOOKUP(PartList[[#This Row],[ASSLY MARK]],FilteredPL!A:A,FilteredPL!B:B,0,0),0)</f>
        <v>0</v>
      </c>
      <c r="P671">
        <f>_xlfn.XLOOKUP(PartList[[#This Row],[ASSLY MARK]],MasterPL[SplitMarkNo],MasterPL[BILL WT.(KG)],0,0)</f>
        <v>0</v>
      </c>
      <c r="Q671" cm="1">
        <f t="array" ref="Q67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71" t="str">
        <v>6HB27</v>
      </c>
      <c r="AB671" s="42">
        <f>SUMIF(PartList[ASSLY MARK],AA671,PartList[Avail. Qty])</f>
        <v>0</v>
      </c>
    </row>
    <row r="672" spans="1:28" x14ac:dyDescent="0.25">
      <c r="A672">
        <v>160</v>
      </c>
      <c r="B672" t="s">
        <v>136</v>
      </c>
      <c r="C672" t="s">
        <v>558</v>
      </c>
      <c r="D672" t="s">
        <v>135</v>
      </c>
      <c r="E672" t="s">
        <v>6</v>
      </c>
      <c r="F672" t="str" cm="1">
        <f t="array" ref="F672">IF(SUM(IF(PartList[ASSLY MARK]=PartList[[#This Row],[ASSLY MARK]],1,0))&gt;1,"No","Yes")</f>
        <v>No</v>
      </c>
      <c r="G672" t="str" cm="1">
        <f t="array" ref="G672">_xlfn.TEXTJOIN("_",TRUE,TRIM(_xlfn.TEXTSPLIT(PartList[[#This Row],[GRID LOCATION]],{"PR01","/","-"})))</f>
        <v>12_13_A'_A</v>
      </c>
      <c r="H672" t="str" cm="1">
        <f t="array" ref="H67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672" cm="1">
        <f t="array" ref="I67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72" t="str">
        <f>IF(IFERROR(SEARCH("&gt;",PartList[[#This Row],[ID]]),0),"O",IF(IFERROR(SEARCH("&lt;",PartList[[#This Row],[ID]]),0),"I",""))</f>
        <v/>
      </c>
      <c r="K672" t="str" cm="1">
        <f t="array" ref="K6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72" t="str" cm="1">
        <f t="array" ref="L6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72" t="str">
        <f>_xlfn.TEXTJOIN("#",TRUE,PartList[[#This Row],[ASSLY MARK]],PartList[[#This Row],[BOX NO]],PartList[[#This Row],[In/Out]],PartList[[#This Row],[O1-Grid]])</f>
        <v>1HB05#Box2_Box5#InBB</v>
      </c>
      <c r="N672" t="str">
        <f>_xlfn.TEXTJOIN("#",TRUE,PartList[[#This Row],[ASSLY MARK]],PartList[[#This Row],[BOX NO]],PartList[[#This Row],[In/Out]],PartList[[#This Row],[O2-Grid]])</f>
        <v>1HB05#Box2_Box5#InBB</v>
      </c>
      <c r="O672">
        <f>IF(PartList[[#This Row],[Unique]]="Yes",_xlfn.XLOOKUP(PartList[[#This Row],[ASSLY MARK]],FilteredPL!A:A,FilteredPL!B:B,0,0),0)</f>
        <v>0</v>
      </c>
      <c r="P672">
        <f>_xlfn.XLOOKUP(PartList[[#This Row],[ASSLY MARK]],MasterPL[SplitMarkNo],MasterPL[BILL WT.(KG)],0,0)</f>
        <v>0</v>
      </c>
      <c r="Q672" cm="1">
        <f t="array" ref="Q67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72" t="str">
        <v>6HB28</v>
      </c>
      <c r="AB672" s="42">
        <f>SUMIF(PartList[ASSLY MARK],AA672,PartList[Avail. Qty])</f>
        <v>0</v>
      </c>
    </row>
    <row r="673" spans="1:28" x14ac:dyDescent="0.25">
      <c r="A673">
        <v>161</v>
      </c>
      <c r="B673" t="s">
        <v>136</v>
      </c>
      <c r="C673" t="s">
        <v>558</v>
      </c>
      <c r="D673" t="s">
        <v>135</v>
      </c>
      <c r="E673" t="s">
        <v>6</v>
      </c>
      <c r="F673" t="str" cm="1">
        <f t="array" ref="F673">IF(SUM(IF(PartList[ASSLY MARK]=PartList[[#This Row],[ASSLY MARK]],1,0))&gt;1,"No","Yes")</f>
        <v>No</v>
      </c>
      <c r="G673" t="str" cm="1">
        <f t="array" ref="G673">_xlfn.TEXTJOIN("_",TRUE,TRIM(_xlfn.TEXTSPLIT(PartList[[#This Row],[GRID LOCATION]],{"PR01","/","-"})))</f>
        <v>12_13_A'_A</v>
      </c>
      <c r="H673" t="str" cm="1">
        <f t="array" ref="H67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673" cm="1">
        <f t="array" ref="I67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73" t="str">
        <f>IF(IFERROR(SEARCH("&gt;",PartList[[#This Row],[ID]]),0),"O",IF(IFERROR(SEARCH("&lt;",PartList[[#This Row],[ID]]),0),"I",""))</f>
        <v/>
      </c>
      <c r="K673" t="str" cm="1">
        <f t="array" ref="K6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73" t="str" cm="1">
        <f t="array" ref="L6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73" t="str">
        <f>_xlfn.TEXTJOIN("#",TRUE,PartList[[#This Row],[ASSLY MARK]],PartList[[#This Row],[BOX NO]],PartList[[#This Row],[In/Out]],PartList[[#This Row],[O1-Grid]])</f>
        <v>1HB05#Box2_Box5#InBB</v>
      </c>
      <c r="N673" t="str">
        <f>_xlfn.TEXTJOIN("#",TRUE,PartList[[#This Row],[ASSLY MARK]],PartList[[#This Row],[BOX NO]],PartList[[#This Row],[In/Out]],PartList[[#This Row],[O2-Grid]])</f>
        <v>1HB05#Box2_Box5#InBB</v>
      </c>
      <c r="O673">
        <f>IF(PartList[[#This Row],[Unique]]="Yes",_xlfn.XLOOKUP(PartList[[#This Row],[ASSLY MARK]],FilteredPL!A:A,FilteredPL!B:B,0,0),0)</f>
        <v>0</v>
      </c>
      <c r="P673">
        <f>_xlfn.XLOOKUP(PartList[[#This Row],[ASSLY MARK]],MasterPL[SplitMarkNo],MasterPL[BILL WT.(KG)],0,0)</f>
        <v>0</v>
      </c>
      <c r="Q673" cm="1">
        <f t="array" ref="Q67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73" t="str">
        <v>6HB29</v>
      </c>
      <c r="AB673" s="42">
        <f>SUMIF(PartList[ASSLY MARK],AA673,PartList[Avail. Qty])</f>
        <v>0</v>
      </c>
    </row>
    <row r="674" spans="1:28" x14ac:dyDescent="0.25">
      <c r="A674">
        <v>168</v>
      </c>
      <c r="B674" t="s">
        <v>143</v>
      </c>
      <c r="C674" t="s">
        <v>561</v>
      </c>
      <c r="D674" t="s">
        <v>135</v>
      </c>
      <c r="E674" t="s">
        <v>6</v>
      </c>
      <c r="F674" t="str" cm="1">
        <f t="array" ref="F674">IF(SUM(IF(PartList[ASSLY MARK]=PartList[[#This Row],[ASSLY MARK]],1,0))&gt;1,"No","Yes")</f>
        <v>Yes</v>
      </c>
      <c r="G674" t="str" cm="1">
        <f t="array" ref="G674">_xlfn.TEXTJOIN("_",TRUE,TRIM(_xlfn.TEXTSPLIT(PartList[[#This Row],[GRID LOCATION]],{"PR01","/","-"})))</f>
        <v>12_13_B&gt;</v>
      </c>
      <c r="H674" t="str" cm="1">
        <f t="array" ref="H67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74" cm="1">
        <f t="array" ref="I67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74" t="str">
        <f>IF(IFERROR(SEARCH("&gt;",PartList[[#This Row],[ID]]),0),"O",IF(IFERROR(SEARCH("&lt;",PartList[[#This Row],[ID]]),0),"I",""))</f>
        <v>O</v>
      </c>
      <c r="K674" t="str" cm="1">
        <f t="array" ref="K6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674" t="str" cm="1">
        <f t="array" ref="L6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674" t="str">
        <f>_xlfn.TEXTJOIN("#",TRUE,PartList[[#This Row],[ASSLY MARK]],PartList[[#This Row],[BOX NO]],PartList[[#This Row],[In/Out]],PartList[[#This Row],[O1-Grid]])</f>
        <v>1HB12#Box2#O</v>
      </c>
      <c r="N674" t="str">
        <f>_xlfn.TEXTJOIN("#",TRUE,PartList[[#This Row],[ASSLY MARK]],PartList[[#This Row],[BOX NO]],PartList[[#This Row],[In/Out]],PartList[[#This Row],[O2-Grid]])</f>
        <v>1HB12#Box2#O</v>
      </c>
      <c r="O674">
        <f>IF(PartList[[#This Row],[Unique]]="Yes",_xlfn.XLOOKUP(PartList[[#This Row],[ASSLY MARK]],FilteredPL!A:A,FilteredPL!B:B,0,0),0)</f>
        <v>0</v>
      </c>
      <c r="P674">
        <f>_xlfn.XLOOKUP(PartList[[#This Row],[ASSLY MARK]],MasterPL[SplitMarkNo],MasterPL[BILL WT.(KG)],0,0)</f>
        <v>0</v>
      </c>
      <c r="Q674" cm="1">
        <f t="array" ref="Q67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74" t="str">
        <v>6HB30</v>
      </c>
      <c r="AB674" s="42">
        <f>SUMIF(PartList[ASSLY MARK],AA674,PartList[Avail. Qty])</f>
        <v>0</v>
      </c>
    </row>
    <row r="675" spans="1:28" x14ac:dyDescent="0.25">
      <c r="A675">
        <v>169</v>
      </c>
      <c r="B675" t="s">
        <v>631</v>
      </c>
      <c r="C675" t="s">
        <v>547</v>
      </c>
      <c r="D675" t="s">
        <v>632</v>
      </c>
      <c r="E675" t="s">
        <v>6</v>
      </c>
      <c r="F675" t="str" cm="1">
        <f t="array" ref="F675">IF(SUM(IF(PartList[ASSLY MARK]=PartList[[#This Row],[ASSLY MARK]],1,0))&gt;1,"No","Yes")</f>
        <v>Yes</v>
      </c>
      <c r="G675" t="str" cm="1">
        <f t="array" ref="G675">_xlfn.TEXTJOIN("_",TRUE,TRIM(_xlfn.TEXTSPLIT(PartList[[#This Row],[GRID LOCATION]],{"PR01","/","-"})))</f>
        <v>12_13_A_B</v>
      </c>
      <c r="H675" t="str" cm="1">
        <f t="array" ref="H67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75" cm="1">
        <f t="array" ref="I67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75" t="str">
        <f>IF(IFERROR(SEARCH("&gt;",PartList[[#This Row],[ID]]),0),"O",IF(IFERROR(SEARCH("&lt;",PartList[[#This Row],[ID]]),0),"I",""))</f>
        <v/>
      </c>
      <c r="K675" t="str" cm="1">
        <f t="array" ref="K6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75" t="str" cm="1">
        <f t="array" ref="L6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75" t="str">
        <f>_xlfn.TEXTJOIN("#",TRUE,PartList[[#This Row],[ASSLY MARK]],PartList[[#This Row],[BOX NO]],PartList[[#This Row],[In/Out]],PartList[[#This Row],[O1-Grid]])</f>
        <v>1HB13#Box2#InB</v>
      </c>
      <c r="N675" t="str">
        <f>_xlfn.TEXTJOIN("#",TRUE,PartList[[#This Row],[ASSLY MARK]],PartList[[#This Row],[BOX NO]],PartList[[#This Row],[In/Out]],PartList[[#This Row],[O2-Grid]])</f>
        <v>1HB13#Box2#InB</v>
      </c>
      <c r="O675">
        <f>IF(PartList[[#This Row],[Unique]]="Yes",_xlfn.XLOOKUP(PartList[[#This Row],[ASSLY MARK]],FilteredPL!A:A,FilteredPL!B:B,0,0),0)</f>
        <v>0</v>
      </c>
      <c r="P675">
        <f>_xlfn.XLOOKUP(PartList[[#This Row],[ASSLY MARK]],MasterPL[SplitMarkNo],MasterPL[BILL WT.(KG)],0,0)</f>
        <v>0</v>
      </c>
      <c r="Q675" cm="1">
        <f t="array" ref="Q67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75" t="str">
        <v>6HB31</v>
      </c>
      <c r="AB675" s="42">
        <f>SUMIF(PartList[ASSLY MARK],AA675,PartList[Avail. Qty])</f>
        <v>0</v>
      </c>
    </row>
    <row r="676" spans="1:28" x14ac:dyDescent="0.25">
      <c r="A676">
        <v>170</v>
      </c>
      <c r="B676" t="s">
        <v>633</v>
      </c>
      <c r="C676" t="s">
        <v>547</v>
      </c>
      <c r="D676" t="s">
        <v>632</v>
      </c>
      <c r="E676" t="s">
        <v>6</v>
      </c>
      <c r="F676" t="str" cm="1">
        <f t="array" ref="F676">IF(SUM(IF(PartList[ASSLY MARK]=PartList[[#This Row],[ASSLY MARK]],1,0))&gt;1,"No","Yes")</f>
        <v>Yes</v>
      </c>
      <c r="G676" t="str" cm="1">
        <f t="array" ref="G676">_xlfn.TEXTJOIN("_",TRUE,TRIM(_xlfn.TEXTSPLIT(PartList[[#This Row],[GRID LOCATION]],{"PR01","/","-"})))</f>
        <v>12_13_A_B</v>
      </c>
      <c r="H676" t="str" cm="1">
        <f t="array" ref="H67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76" cm="1">
        <f t="array" ref="I67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76" t="str">
        <f>IF(IFERROR(SEARCH("&gt;",PartList[[#This Row],[ID]]),0),"O",IF(IFERROR(SEARCH("&lt;",PartList[[#This Row],[ID]]),0),"I",""))</f>
        <v/>
      </c>
      <c r="K676" t="str" cm="1">
        <f t="array" ref="K6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76" t="str" cm="1">
        <f t="array" ref="L6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76" t="str">
        <f>_xlfn.TEXTJOIN("#",TRUE,PartList[[#This Row],[ASSLY MARK]],PartList[[#This Row],[BOX NO]],PartList[[#This Row],[In/Out]],PartList[[#This Row],[O1-Grid]])</f>
        <v>1HB14#Box2#InB</v>
      </c>
      <c r="N676" t="str">
        <f>_xlfn.TEXTJOIN("#",TRUE,PartList[[#This Row],[ASSLY MARK]],PartList[[#This Row],[BOX NO]],PartList[[#This Row],[In/Out]],PartList[[#This Row],[O2-Grid]])</f>
        <v>1HB14#Box2#InB</v>
      </c>
      <c r="O676">
        <f>IF(PartList[[#This Row],[Unique]]="Yes",_xlfn.XLOOKUP(PartList[[#This Row],[ASSLY MARK]],FilteredPL!A:A,FilteredPL!B:B,0,0),0)</f>
        <v>0</v>
      </c>
      <c r="P676">
        <f>_xlfn.XLOOKUP(PartList[[#This Row],[ASSLY MARK]],MasterPL[SplitMarkNo],MasterPL[BILL WT.(KG)],0,0)</f>
        <v>0</v>
      </c>
      <c r="Q676" cm="1">
        <f t="array" ref="Q67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76" t="str">
        <v>6HB32</v>
      </c>
      <c r="AB676" s="42">
        <f>SUMIF(PartList[ASSLY MARK],AA676,PartList[Avail. Qty])</f>
        <v>0</v>
      </c>
    </row>
    <row r="677" spans="1:28" x14ac:dyDescent="0.25">
      <c r="A677">
        <v>171</v>
      </c>
      <c r="B677" t="s">
        <v>634</v>
      </c>
      <c r="C677" t="s">
        <v>547</v>
      </c>
      <c r="D677" t="s">
        <v>632</v>
      </c>
      <c r="E677" t="s">
        <v>6</v>
      </c>
      <c r="F677" t="str" cm="1">
        <f t="array" ref="F677">IF(SUM(IF(PartList[ASSLY MARK]=PartList[[#This Row],[ASSLY MARK]],1,0))&gt;1,"No","Yes")</f>
        <v>Yes</v>
      </c>
      <c r="G677" t="str" cm="1">
        <f t="array" ref="G677">_xlfn.TEXTJOIN("_",TRUE,TRIM(_xlfn.TEXTSPLIT(PartList[[#This Row],[GRID LOCATION]],{"PR01","/","-"})))</f>
        <v>12_13_A_B</v>
      </c>
      <c r="H677" t="str" cm="1">
        <f t="array" ref="H67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77" cm="1">
        <f t="array" ref="I67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77" t="str">
        <f>IF(IFERROR(SEARCH("&gt;",PartList[[#This Row],[ID]]),0),"O",IF(IFERROR(SEARCH("&lt;",PartList[[#This Row],[ID]]),0),"I",""))</f>
        <v/>
      </c>
      <c r="K677" t="str" cm="1">
        <f t="array" ref="K6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77" t="str" cm="1">
        <f t="array" ref="L6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77" t="str">
        <f>_xlfn.TEXTJOIN("#",TRUE,PartList[[#This Row],[ASSLY MARK]],PartList[[#This Row],[BOX NO]],PartList[[#This Row],[In/Out]],PartList[[#This Row],[O1-Grid]])</f>
        <v>1HB15#Box2#InB</v>
      </c>
      <c r="N677" t="str">
        <f>_xlfn.TEXTJOIN("#",TRUE,PartList[[#This Row],[ASSLY MARK]],PartList[[#This Row],[BOX NO]],PartList[[#This Row],[In/Out]],PartList[[#This Row],[O2-Grid]])</f>
        <v>1HB15#Box2#InB</v>
      </c>
      <c r="O677">
        <f>IF(PartList[[#This Row],[Unique]]="Yes",_xlfn.XLOOKUP(PartList[[#This Row],[ASSLY MARK]],FilteredPL!A:A,FilteredPL!B:B,0,0),0)</f>
        <v>0</v>
      </c>
      <c r="P677">
        <f>_xlfn.XLOOKUP(PartList[[#This Row],[ASSLY MARK]],MasterPL[SplitMarkNo],MasterPL[BILL WT.(KG)],0,0)</f>
        <v>0</v>
      </c>
      <c r="Q677" cm="1">
        <f t="array" ref="Q67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77" t="str">
        <v>6HB33</v>
      </c>
      <c r="AB677" s="42">
        <f>SUMIF(PartList[ASSLY MARK],AA677,PartList[Avail. Qty])</f>
        <v>0</v>
      </c>
    </row>
    <row r="678" spans="1:28" x14ac:dyDescent="0.25">
      <c r="A678">
        <v>172</v>
      </c>
      <c r="B678" t="s">
        <v>635</v>
      </c>
      <c r="C678" t="s">
        <v>547</v>
      </c>
      <c r="D678" t="s">
        <v>632</v>
      </c>
      <c r="E678" t="s">
        <v>6</v>
      </c>
      <c r="F678" t="str" cm="1">
        <f t="array" ref="F678">IF(SUM(IF(PartList[ASSLY MARK]=PartList[[#This Row],[ASSLY MARK]],1,0))&gt;1,"No","Yes")</f>
        <v>Yes</v>
      </c>
      <c r="G678" t="str" cm="1">
        <f t="array" ref="G678">_xlfn.TEXTJOIN("_",TRUE,TRIM(_xlfn.TEXTSPLIT(PartList[[#This Row],[GRID LOCATION]],{"PR01","/","-"})))</f>
        <v>12_13_A_B</v>
      </c>
      <c r="H678" t="str" cm="1">
        <f t="array" ref="H67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78" cm="1">
        <f t="array" ref="I67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78" t="str">
        <f>IF(IFERROR(SEARCH("&gt;",PartList[[#This Row],[ID]]),0),"O",IF(IFERROR(SEARCH("&lt;",PartList[[#This Row],[ID]]),0),"I",""))</f>
        <v/>
      </c>
      <c r="K678" t="str" cm="1">
        <f t="array" ref="K6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78" t="str" cm="1">
        <f t="array" ref="L6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78" t="str">
        <f>_xlfn.TEXTJOIN("#",TRUE,PartList[[#This Row],[ASSLY MARK]],PartList[[#This Row],[BOX NO]],PartList[[#This Row],[In/Out]],PartList[[#This Row],[O1-Grid]])</f>
        <v>1HB16#Box2#InB</v>
      </c>
      <c r="N678" t="str">
        <f>_xlfn.TEXTJOIN("#",TRUE,PartList[[#This Row],[ASSLY MARK]],PartList[[#This Row],[BOX NO]],PartList[[#This Row],[In/Out]],PartList[[#This Row],[O2-Grid]])</f>
        <v>1HB16#Box2#InB</v>
      </c>
      <c r="O678">
        <f>IF(PartList[[#This Row],[Unique]]="Yes",_xlfn.XLOOKUP(PartList[[#This Row],[ASSLY MARK]],FilteredPL!A:A,FilteredPL!B:B,0,0),0)</f>
        <v>0</v>
      </c>
      <c r="P678">
        <f>_xlfn.XLOOKUP(PartList[[#This Row],[ASSLY MARK]],MasterPL[SplitMarkNo],MasterPL[BILL WT.(KG)],0,0)</f>
        <v>0</v>
      </c>
      <c r="Q678" cm="1">
        <f t="array" ref="Q67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78" t="str">
        <v>6HB34</v>
      </c>
      <c r="AB678" s="42">
        <f>SUMIF(PartList[ASSLY MARK],AA678,PartList[Avail. Qty])</f>
        <v>0</v>
      </c>
    </row>
    <row r="679" spans="1:28" x14ac:dyDescent="0.25">
      <c r="A679">
        <v>173</v>
      </c>
      <c r="B679" t="s">
        <v>636</v>
      </c>
      <c r="C679" t="s">
        <v>561</v>
      </c>
      <c r="D679" t="s">
        <v>135</v>
      </c>
      <c r="E679" t="s">
        <v>6</v>
      </c>
      <c r="F679" t="str" cm="1">
        <f t="array" ref="F679">IF(SUM(IF(PartList[ASSLY MARK]=PartList[[#This Row],[ASSLY MARK]],1,0))&gt;1,"No","Yes")</f>
        <v>Yes</v>
      </c>
      <c r="G679" t="str" cm="1">
        <f t="array" ref="G679">_xlfn.TEXTJOIN("_",TRUE,TRIM(_xlfn.TEXTSPLIT(PartList[[#This Row],[GRID LOCATION]],{"PR01","/","-"})))</f>
        <v>12_13_B&gt;</v>
      </c>
      <c r="H679" t="str" cm="1">
        <f t="array" ref="H67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79" cm="1">
        <f t="array" ref="I67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79" t="str">
        <f>IF(IFERROR(SEARCH("&gt;",PartList[[#This Row],[ID]]),0),"O",IF(IFERROR(SEARCH("&lt;",PartList[[#This Row],[ID]]),0),"I",""))</f>
        <v>O</v>
      </c>
      <c r="K679" t="str" cm="1">
        <f t="array" ref="K6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679" t="str" cm="1">
        <f t="array" ref="L6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679" t="str">
        <f>_xlfn.TEXTJOIN("#",TRUE,PartList[[#This Row],[ASSLY MARK]],PartList[[#This Row],[BOX NO]],PartList[[#This Row],[In/Out]],PartList[[#This Row],[O1-Grid]])</f>
        <v>1HB17#Box2#O</v>
      </c>
      <c r="N679" t="str">
        <f>_xlfn.TEXTJOIN("#",TRUE,PartList[[#This Row],[ASSLY MARK]],PartList[[#This Row],[BOX NO]],PartList[[#This Row],[In/Out]],PartList[[#This Row],[O2-Grid]])</f>
        <v>1HB17#Box2#O</v>
      </c>
      <c r="O679">
        <f>IF(PartList[[#This Row],[Unique]]="Yes",_xlfn.XLOOKUP(PartList[[#This Row],[ASSLY MARK]],FilteredPL!A:A,FilteredPL!B:B,0,0),0)</f>
        <v>0</v>
      </c>
      <c r="P679">
        <f>_xlfn.XLOOKUP(PartList[[#This Row],[ASSLY MARK]],MasterPL[SplitMarkNo],MasterPL[BILL WT.(KG)],0,0)</f>
        <v>0</v>
      </c>
      <c r="Q679" cm="1">
        <f t="array" ref="Q67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79" t="str">
        <v>6HB35</v>
      </c>
      <c r="AB679" s="42">
        <f>SUMIF(PartList[ASSLY MARK],AA679,PartList[Avail. Qty])</f>
        <v>0</v>
      </c>
    </row>
    <row r="680" spans="1:28" x14ac:dyDescent="0.25">
      <c r="A680">
        <v>174</v>
      </c>
      <c r="B680" t="s">
        <v>637</v>
      </c>
      <c r="C680" t="s">
        <v>638</v>
      </c>
      <c r="D680" t="s">
        <v>135</v>
      </c>
      <c r="E680" t="s">
        <v>6</v>
      </c>
      <c r="F680" t="str" cm="1">
        <f t="array" ref="F680">IF(SUM(IF(PartList[ASSLY MARK]=PartList[[#This Row],[ASSLY MARK]],1,0))&gt;1,"No","Yes")</f>
        <v>Yes</v>
      </c>
      <c r="G680" t="str" cm="1">
        <f t="array" ref="G680">_xlfn.TEXTJOIN("_",TRUE,TRIM(_xlfn.TEXTSPLIT(PartList[[#This Row],[GRID LOCATION]],{"PR01","/","-"})))</f>
        <v>13_14_A'_A</v>
      </c>
      <c r="H680" t="str" cm="1">
        <f t="array" ref="H68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680" cm="1">
        <f t="array" ref="I68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80" t="str">
        <f>IF(IFERROR(SEARCH("&gt;",PartList[[#This Row],[ID]]),0),"O",IF(IFERROR(SEARCH("&lt;",PartList[[#This Row],[ID]]),0),"I",""))</f>
        <v/>
      </c>
      <c r="K680" t="str" cm="1">
        <f t="array" ref="K6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80" t="str" cm="1">
        <f t="array" ref="L6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80" t="str">
        <f>_xlfn.TEXTJOIN("#",TRUE,PartList[[#This Row],[ASSLY MARK]],PartList[[#This Row],[BOX NO]],PartList[[#This Row],[In/Out]],PartList[[#This Row],[O1-Grid]])</f>
        <v>1HB18#Box2_Box5_Box6#InBB</v>
      </c>
      <c r="N680" t="str">
        <f>_xlfn.TEXTJOIN("#",TRUE,PartList[[#This Row],[ASSLY MARK]],PartList[[#This Row],[BOX NO]],PartList[[#This Row],[In/Out]],PartList[[#This Row],[O2-Grid]])</f>
        <v>1HB18#Box2_Box5_Box6#InBB</v>
      </c>
      <c r="O680">
        <f>IF(PartList[[#This Row],[Unique]]="Yes",_xlfn.XLOOKUP(PartList[[#This Row],[ASSLY MARK]],FilteredPL!A:A,FilteredPL!B:B,0,0),0)</f>
        <v>0</v>
      </c>
      <c r="P680">
        <f>_xlfn.XLOOKUP(PartList[[#This Row],[ASSLY MARK]],MasterPL[SplitMarkNo],MasterPL[BILL WT.(KG)],0,0)</f>
        <v>0</v>
      </c>
      <c r="Q680" cm="1">
        <f t="array" ref="Q68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80" t="str">
        <v>6HB36</v>
      </c>
      <c r="AB680" s="42">
        <f>SUMIF(PartList[ASSLY MARK],AA680,PartList[Avail. Qty])</f>
        <v>0</v>
      </c>
    </row>
    <row r="681" spans="1:28" x14ac:dyDescent="0.25">
      <c r="A681">
        <v>175</v>
      </c>
      <c r="B681" t="s">
        <v>639</v>
      </c>
      <c r="C681" t="s">
        <v>638</v>
      </c>
      <c r="D681" t="s">
        <v>135</v>
      </c>
      <c r="E681" t="s">
        <v>6</v>
      </c>
      <c r="F681" t="str" cm="1">
        <f t="array" ref="F681">IF(SUM(IF(PartList[ASSLY MARK]=PartList[[#This Row],[ASSLY MARK]],1,0))&gt;1,"No","Yes")</f>
        <v>Yes</v>
      </c>
      <c r="G681" t="str" cm="1">
        <f t="array" ref="G681">_xlfn.TEXTJOIN("_",TRUE,TRIM(_xlfn.TEXTSPLIT(PartList[[#This Row],[GRID LOCATION]],{"PR01","/","-"})))</f>
        <v>13_14_A'_A</v>
      </c>
      <c r="H681" t="str" cm="1">
        <f t="array" ref="H68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681" cm="1">
        <f t="array" ref="I68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81" t="str">
        <f>IF(IFERROR(SEARCH("&gt;",PartList[[#This Row],[ID]]),0),"O",IF(IFERROR(SEARCH("&lt;",PartList[[#This Row],[ID]]),0),"I",""))</f>
        <v/>
      </c>
      <c r="K681" t="str" cm="1">
        <f t="array" ref="K6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81" t="str" cm="1">
        <f t="array" ref="L6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81" t="str">
        <f>_xlfn.TEXTJOIN("#",TRUE,PartList[[#This Row],[ASSLY MARK]],PartList[[#This Row],[BOX NO]],PartList[[#This Row],[In/Out]],PartList[[#This Row],[O1-Grid]])</f>
        <v>1HB19#Box2_Box5_Box6#InBB</v>
      </c>
      <c r="N681" t="str">
        <f>_xlfn.TEXTJOIN("#",TRUE,PartList[[#This Row],[ASSLY MARK]],PartList[[#This Row],[BOX NO]],PartList[[#This Row],[In/Out]],PartList[[#This Row],[O2-Grid]])</f>
        <v>1HB19#Box2_Box5_Box6#InBB</v>
      </c>
      <c r="O681">
        <f>IF(PartList[[#This Row],[Unique]]="Yes",_xlfn.XLOOKUP(PartList[[#This Row],[ASSLY MARK]],FilteredPL!A:A,FilteredPL!B:B,0,0),0)</f>
        <v>0</v>
      </c>
      <c r="P681">
        <f>_xlfn.XLOOKUP(PartList[[#This Row],[ASSLY MARK]],MasterPL[SplitMarkNo],MasterPL[BILL WT.(KG)],0,0)</f>
        <v>0</v>
      </c>
      <c r="Q681" cm="1">
        <f t="array" ref="Q68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81" t="str">
        <v>6HB37</v>
      </c>
      <c r="AB681" s="42">
        <f>SUMIF(PartList[ASSLY MARK],AA681,PartList[Avail. Qty])</f>
        <v>0</v>
      </c>
    </row>
    <row r="682" spans="1:28" x14ac:dyDescent="0.25">
      <c r="A682">
        <v>176</v>
      </c>
      <c r="B682" t="s">
        <v>640</v>
      </c>
      <c r="C682" t="s">
        <v>638</v>
      </c>
      <c r="D682" t="s">
        <v>135</v>
      </c>
      <c r="E682" t="s">
        <v>6</v>
      </c>
      <c r="F682" t="str" cm="1">
        <f t="array" ref="F682">IF(SUM(IF(PartList[ASSLY MARK]=PartList[[#This Row],[ASSLY MARK]],1,0))&gt;1,"No","Yes")</f>
        <v>Yes</v>
      </c>
      <c r="G682" t="str" cm="1">
        <f t="array" ref="G682">_xlfn.TEXTJOIN("_",TRUE,TRIM(_xlfn.TEXTSPLIT(PartList[[#This Row],[GRID LOCATION]],{"PR01","/","-"})))</f>
        <v>13_14_A'_A</v>
      </c>
      <c r="H682" t="str" cm="1">
        <f t="array" ref="H68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682" cm="1">
        <f t="array" ref="I68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82" t="str">
        <f>IF(IFERROR(SEARCH("&gt;",PartList[[#This Row],[ID]]),0),"O",IF(IFERROR(SEARCH("&lt;",PartList[[#This Row],[ID]]),0),"I",""))</f>
        <v/>
      </c>
      <c r="K682" t="str" cm="1">
        <f t="array" ref="K6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82" t="str" cm="1">
        <f t="array" ref="L6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82" t="str">
        <f>_xlfn.TEXTJOIN("#",TRUE,PartList[[#This Row],[ASSLY MARK]],PartList[[#This Row],[BOX NO]],PartList[[#This Row],[In/Out]],PartList[[#This Row],[O1-Grid]])</f>
        <v>1HB20#Box2_Box5_Box6#InBB</v>
      </c>
      <c r="N682" t="str">
        <f>_xlfn.TEXTJOIN("#",TRUE,PartList[[#This Row],[ASSLY MARK]],PartList[[#This Row],[BOX NO]],PartList[[#This Row],[In/Out]],PartList[[#This Row],[O2-Grid]])</f>
        <v>1HB20#Box2_Box5_Box6#InBB</v>
      </c>
      <c r="O682">
        <f>IF(PartList[[#This Row],[Unique]]="Yes",_xlfn.XLOOKUP(PartList[[#This Row],[ASSLY MARK]],FilteredPL!A:A,FilteredPL!B:B,0,0),0)</f>
        <v>0</v>
      </c>
      <c r="P682">
        <f>_xlfn.XLOOKUP(PartList[[#This Row],[ASSLY MARK]],MasterPL[SplitMarkNo],MasterPL[BILL WT.(KG)],0,0)</f>
        <v>0</v>
      </c>
      <c r="Q682" cm="1">
        <f t="array" ref="Q68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82" t="str">
        <v>6HB38</v>
      </c>
      <c r="AB682" s="42">
        <f>SUMIF(PartList[ASSLY MARK],AA682,PartList[Avail. Qty])</f>
        <v>0</v>
      </c>
    </row>
    <row r="683" spans="1:28" x14ac:dyDescent="0.25">
      <c r="A683">
        <v>177</v>
      </c>
      <c r="B683" t="s">
        <v>641</v>
      </c>
      <c r="C683" t="s">
        <v>602</v>
      </c>
      <c r="D683" t="s">
        <v>88</v>
      </c>
      <c r="E683" t="s">
        <v>6</v>
      </c>
      <c r="F683" t="str" cm="1">
        <f t="array" ref="F683">IF(SUM(IF(PartList[ASSLY MARK]=PartList[[#This Row],[ASSLY MARK]],1,0))&gt;1,"No","Yes")</f>
        <v>Yes</v>
      </c>
      <c r="G683" t="str" cm="1">
        <f t="array" ref="G683">_xlfn.TEXTJOIN("_",TRUE,TRIM(_xlfn.TEXTSPLIT(PartList[[#This Row],[GRID LOCATION]],{"PR01","/","-"})))</f>
        <v>13_14_A_B</v>
      </c>
      <c r="H683" t="str" cm="1">
        <f t="array" ref="H68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83" cm="1">
        <f t="array" ref="I68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83" t="str">
        <f>IF(IFERROR(SEARCH("&gt;",PartList[[#This Row],[ID]]),0),"O",IF(IFERROR(SEARCH("&lt;",PartList[[#This Row],[ID]]),0),"I",""))</f>
        <v/>
      </c>
      <c r="K683" t="str" cm="1">
        <f t="array" ref="K6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83" t="str" cm="1">
        <f t="array" ref="L6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83" t="str">
        <f>_xlfn.TEXTJOIN("#",TRUE,PartList[[#This Row],[ASSLY MARK]],PartList[[#This Row],[BOX NO]],PartList[[#This Row],[In/Out]],PartList[[#This Row],[O1-Grid]])</f>
        <v>1HB21#Box2#InB</v>
      </c>
      <c r="N683" t="str">
        <f>_xlfn.TEXTJOIN("#",TRUE,PartList[[#This Row],[ASSLY MARK]],PartList[[#This Row],[BOX NO]],PartList[[#This Row],[In/Out]],PartList[[#This Row],[O2-Grid]])</f>
        <v>1HB21#Box2#InB</v>
      </c>
      <c r="O683">
        <f>IF(PartList[[#This Row],[Unique]]="Yes",_xlfn.XLOOKUP(PartList[[#This Row],[ASSLY MARK]],FilteredPL!A:A,FilteredPL!B:B,0,0),0)</f>
        <v>0</v>
      </c>
      <c r="P683">
        <f>_xlfn.XLOOKUP(PartList[[#This Row],[ASSLY MARK]],MasterPL[SplitMarkNo],MasterPL[BILL WT.(KG)],0,0)</f>
        <v>0</v>
      </c>
      <c r="Q683" cm="1">
        <f t="array" ref="Q68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83" t="str">
        <v>6HB39</v>
      </c>
      <c r="AB683" s="42">
        <f>SUMIF(PartList[ASSLY MARK],AA683,PartList[Avail. Qty])</f>
        <v>0</v>
      </c>
    </row>
    <row r="684" spans="1:28" x14ac:dyDescent="0.25">
      <c r="A684">
        <v>178</v>
      </c>
      <c r="B684" t="s">
        <v>642</v>
      </c>
      <c r="C684" t="s">
        <v>602</v>
      </c>
      <c r="D684" t="s">
        <v>88</v>
      </c>
      <c r="E684" t="s">
        <v>6</v>
      </c>
      <c r="F684" t="str" cm="1">
        <f t="array" ref="F684">IF(SUM(IF(PartList[ASSLY MARK]=PartList[[#This Row],[ASSLY MARK]],1,0))&gt;1,"No","Yes")</f>
        <v>Yes</v>
      </c>
      <c r="G684" t="str" cm="1">
        <f t="array" ref="G684">_xlfn.TEXTJOIN("_",TRUE,TRIM(_xlfn.TEXTSPLIT(PartList[[#This Row],[GRID LOCATION]],{"PR01","/","-"})))</f>
        <v>13_14_A_B</v>
      </c>
      <c r="H684" t="str" cm="1">
        <f t="array" ref="H68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84" cm="1">
        <f t="array" ref="I68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84" t="str">
        <f>IF(IFERROR(SEARCH("&gt;",PartList[[#This Row],[ID]]),0),"O",IF(IFERROR(SEARCH("&lt;",PartList[[#This Row],[ID]]),0),"I",""))</f>
        <v/>
      </c>
      <c r="K684" t="str" cm="1">
        <f t="array" ref="K6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84" t="str" cm="1">
        <f t="array" ref="L6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84" t="str">
        <f>_xlfn.TEXTJOIN("#",TRUE,PartList[[#This Row],[ASSLY MARK]],PartList[[#This Row],[BOX NO]],PartList[[#This Row],[In/Out]],PartList[[#This Row],[O1-Grid]])</f>
        <v>1HB22#Box2#InB</v>
      </c>
      <c r="N684" t="str">
        <f>_xlfn.TEXTJOIN("#",TRUE,PartList[[#This Row],[ASSLY MARK]],PartList[[#This Row],[BOX NO]],PartList[[#This Row],[In/Out]],PartList[[#This Row],[O2-Grid]])</f>
        <v>1HB22#Box2#InB</v>
      </c>
      <c r="O684">
        <f>IF(PartList[[#This Row],[Unique]]="Yes",_xlfn.XLOOKUP(PartList[[#This Row],[ASSLY MARK]],FilteredPL!A:A,FilteredPL!B:B,0,0),0)</f>
        <v>0</v>
      </c>
      <c r="P684">
        <f>_xlfn.XLOOKUP(PartList[[#This Row],[ASSLY MARK]],MasterPL[SplitMarkNo],MasterPL[BILL WT.(KG)],0,0)</f>
        <v>0</v>
      </c>
      <c r="Q684" cm="1">
        <f t="array" ref="Q68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84" t="str">
        <v>6HB40</v>
      </c>
      <c r="AB684" s="42">
        <f>SUMIF(PartList[ASSLY MARK],AA684,PartList[Avail. Qty])</f>
        <v>0</v>
      </c>
    </row>
    <row r="685" spans="1:28" x14ac:dyDescent="0.25">
      <c r="A685">
        <v>187</v>
      </c>
      <c r="B685" t="s">
        <v>652</v>
      </c>
      <c r="C685" t="s">
        <v>538</v>
      </c>
      <c r="D685" t="s">
        <v>653</v>
      </c>
      <c r="E685" t="s">
        <v>645</v>
      </c>
      <c r="F685" t="str" cm="1">
        <f t="array" ref="F685">IF(SUM(IF(PartList[ASSLY MARK]=PartList[[#This Row],[ASSLY MARK]],1,0))&gt;1,"No","Yes")</f>
        <v>Yes</v>
      </c>
      <c r="G685" t="str" cm="1">
        <f t="array" ref="G685">_xlfn.TEXTJOIN("_",TRUE,TRIM(_xlfn.TEXTSPLIT(PartList[[#This Row],[GRID LOCATION]],{"PR01","/","-"})))</f>
        <v>12_A'_A</v>
      </c>
      <c r="H685" t="str" cm="1">
        <f t="array" ref="H68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685" cm="1">
        <f t="array" ref="I68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85" t="str">
        <f>IF(IFERROR(SEARCH("&gt;",PartList[[#This Row],[ID]]),0),"O",IF(IFERROR(SEARCH("&lt;",PartList[[#This Row],[ID]]),0),"I",""))</f>
        <v/>
      </c>
      <c r="K685" t="str" cm="1">
        <f t="array" ref="K6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85" t="str" cm="1">
        <f t="array" ref="L6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85" t="str">
        <f>_xlfn.TEXTJOIN("#",TRUE,PartList[[#This Row],[ASSLY MARK]],PartList[[#This Row],[BOX NO]],PartList[[#This Row],[In/Out]],PartList[[#This Row],[O1-Grid]])</f>
        <v>1SC07#Box2_Box5#InBB</v>
      </c>
      <c r="N685" t="str">
        <f>_xlfn.TEXTJOIN("#",TRUE,PartList[[#This Row],[ASSLY MARK]],PartList[[#This Row],[BOX NO]],PartList[[#This Row],[In/Out]],PartList[[#This Row],[O2-Grid]])</f>
        <v>1SC07#Box2_Box5#InBB</v>
      </c>
      <c r="O685">
        <f>IF(PartList[[#This Row],[Unique]]="Yes",_xlfn.XLOOKUP(PartList[[#This Row],[ASSLY MARK]],FilteredPL!A:A,FilteredPL!B:B,0,0),0)</f>
        <v>0</v>
      </c>
      <c r="P685">
        <f>_xlfn.XLOOKUP(PartList[[#This Row],[ASSLY MARK]],MasterPL[SplitMarkNo],MasterPL[BILL WT.(KG)],0,0)</f>
        <v>0</v>
      </c>
      <c r="Q685" cm="1">
        <f t="array" ref="Q68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85" t="str">
        <v>6HB41</v>
      </c>
      <c r="AB685" s="42">
        <f>SUMIF(PartList[ASSLY MARK],AA685,PartList[Avail. Qty])</f>
        <v>0</v>
      </c>
    </row>
    <row r="686" spans="1:28" x14ac:dyDescent="0.25">
      <c r="A686">
        <v>188</v>
      </c>
      <c r="B686" t="s">
        <v>654</v>
      </c>
      <c r="C686" t="s">
        <v>538</v>
      </c>
      <c r="D686" t="s">
        <v>655</v>
      </c>
      <c r="E686" t="s">
        <v>645</v>
      </c>
      <c r="F686" t="str" cm="1">
        <f t="array" ref="F686">IF(SUM(IF(PartList[ASSLY MARK]=PartList[[#This Row],[ASSLY MARK]],1,0))&gt;1,"No","Yes")</f>
        <v>Yes</v>
      </c>
      <c r="G686" t="str" cm="1">
        <f t="array" ref="G686">_xlfn.TEXTJOIN("_",TRUE,TRIM(_xlfn.TEXTSPLIT(PartList[[#This Row],[GRID LOCATION]],{"PR01","/","-"})))</f>
        <v>12_A'_A</v>
      </c>
      <c r="H686" t="str" cm="1">
        <f t="array" ref="H68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686" cm="1">
        <f t="array" ref="I68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86" t="str">
        <f>IF(IFERROR(SEARCH("&gt;",PartList[[#This Row],[ID]]),0),"O",IF(IFERROR(SEARCH("&lt;",PartList[[#This Row],[ID]]),0),"I",""))</f>
        <v/>
      </c>
      <c r="K686" t="str" cm="1">
        <f t="array" ref="K6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686" t="str" cm="1">
        <f t="array" ref="L6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686" t="str">
        <f>_xlfn.TEXTJOIN("#",TRUE,PartList[[#This Row],[ASSLY MARK]],PartList[[#This Row],[BOX NO]],PartList[[#This Row],[In/Out]],PartList[[#This Row],[O1-Grid]])</f>
        <v>1SC08#Box2_Box5#InBB</v>
      </c>
      <c r="N686" t="str">
        <f>_xlfn.TEXTJOIN("#",TRUE,PartList[[#This Row],[ASSLY MARK]],PartList[[#This Row],[BOX NO]],PartList[[#This Row],[In/Out]],PartList[[#This Row],[O2-Grid]])</f>
        <v>1SC08#Box2_Box5#InBB</v>
      </c>
      <c r="O686">
        <f>IF(PartList[[#This Row],[Unique]]="Yes",_xlfn.XLOOKUP(PartList[[#This Row],[ASSLY MARK]],FilteredPL!A:A,FilteredPL!B:B,0,0),0)</f>
        <v>0</v>
      </c>
      <c r="P686">
        <f>_xlfn.XLOOKUP(PartList[[#This Row],[ASSLY MARK]],MasterPL[SplitMarkNo],MasterPL[BILL WT.(KG)],0,0)</f>
        <v>0</v>
      </c>
      <c r="Q686" cm="1">
        <f t="array" ref="Q68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86" t="str">
        <v>6HB42</v>
      </c>
      <c r="AB686" s="42">
        <f>SUMIF(PartList[ASSLY MARK],AA686,PartList[Avail. Qty])</f>
        <v>0</v>
      </c>
    </row>
    <row r="687" spans="1:28" x14ac:dyDescent="0.25">
      <c r="A687">
        <v>189</v>
      </c>
      <c r="B687" t="s">
        <v>656</v>
      </c>
      <c r="C687" t="s">
        <v>518</v>
      </c>
      <c r="D687" t="s">
        <v>519</v>
      </c>
      <c r="E687" t="s">
        <v>645</v>
      </c>
      <c r="F687" t="str" cm="1">
        <f t="array" ref="F687">IF(SUM(IF(PartList[ASSLY MARK]=PartList[[#This Row],[ASSLY MARK]],1,0))&gt;1,"No","Yes")</f>
        <v>Yes</v>
      </c>
      <c r="G687" t="str" cm="1">
        <f t="array" ref="G687">_xlfn.TEXTJOIN("_",TRUE,TRIM(_xlfn.TEXTSPLIT(PartList[[#This Row],[GRID LOCATION]],{"PR01","/","-"})))</f>
        <v>12_A_B</v>
      </c>
      <c r="H687" t="str" cm="1">
        <f t="array" ref="H68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87" cm="1">
        <f t="array" ref="I68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87" t="str">
        <f>IF(IFERROR(SEARCH("&gt;",PartList[[#This Row],[ID]]),0),"O",IF(IFERROR(SEARCH("&lt;",PartList[[#This Row],[ID]]),0),"I",""))</f>
        <v/>
      </c>
      <c r="K687" t="str" cm="1">
        <f t="array" ref="K6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12_A_B</v>
      </c>
      <c r="L687" t="str" cm="1">
        <f t="array" ref="L6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87" t="str">
        <f>_xlfn.TEXTJOIN("#",TRUE,PartList[[#This Row],[ASSLY MARK]],PartList[[#This Row],[BOX NO]],PartList[[#This Row],[In/Out]],PartList[[#This Row],[O1-Grid]])</f>
        <v>1SC09#Box2#12_A_B</v>
      </c>
      <c r="N687" t="str">
        <f>_xlfn.TEXTJOIN("#",TRUE,PartList[[#This Row],[ASSLY MARK]],PartList[[#This Row],[BOX NO]],PartList[[#This Row],[In/Out]],PartList[[#This Row],[O2-Grid]])</f>
        <v>1SC09#Box2#InB</v>
      </c>
      <c r="O687">
        <f>IF(PartList[[#This Row],[Unique]]="Yes",_xlfn.XLOOKUP(PartList[[#This Row],[ASSLY MARK]],FilteredPL!A:A,FilteredPL!B:B,0,0),0)</f>
        <v>0</v>
      </c>
      <c r="P687">
        <f>_xlfn.XLOOKUP(PartList[[#This Row],[ASSLY MARK]],MasterPL[SplitMarkNo],MasterPL[BILL WT.(KG)],0,0)</f>
        <v>0</v>
      </c>
      <c r="Q687" cm="1">
        <f t="array" ref="Q68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87" t="str">
        <v>6HB43</v>
      </c>
      <c r="AB687" s="42">
        <f>SUMIF(PartList[ASSLY MARK],AA687,PartList[Avail. Qty])</f>
        <v>0</v>
      </c>
    </row>
    <row r="688" spans="1:28" x14ac:dyDescent="0.25">
      <c r="A688">
        <v>190</v>
      </c>
      <c r="B688" t="s">
        <v>657</v>
      </c>
      <c r="C688" t="s">
        <v>518</v>
      </c>
      <c r="D688" t="s">
        <v>519</v>
      </c>
      <c r="E688" t="s">
        <v>645</v>
      </c>
      <c r="F688" t="str" cm="1">
        <f t="array" ref="F688">IF(SUM(IF(PartList[ASSLY MARK]=PartList[[#This Row],[ASSLY MARK]],1,0))&gt;1,"No","Yes")</f>
        <v>Yes</v>
      </c>
      <c r="G688" t="str" cm="1">
        <f t="array" ref="G688">_xlfn.TEXTJOIN("_",TRUE,TRIM(_xlfn.TEXTSPLIT(PartList[[#This Row],[GRID LOCATION]],{"PR01","/","-"})))</f>
        <v>12_A_B</v>
      </c>
      <c r="H688" t="str" cm="1">
        <f t="array" ref="H68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88" cm="1">
        <f t="array" ref="I68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88" t="str">
        <f>IF(IFERROR(SEARCH("&gt;",PartList[[#This Row],[ID]]),0),"O",IF(IFERROR(SEARCH("&lt;",PartList[[#This Row],[ID]]),0),"I",""))</f>
        <v/>
      </c>
      <c r="K688" t="str" cm="1">
        <f t="array" ref="K6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12_A_B</v>
      </c>
      <c r="L688" t="str" cm="1">
        <f t="array" ref="L6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88" t="str">
        <f>_xlfn.TEXTJOIN("#",TRUE,PartList[[#This Row],[ASSLY MARK]],PartList[[#This Row],[BOX NO]],PartList[[#This Row],[In/Out]],PartList[[#This Row],[O1-Grid]])</f>
        <v>1SC10#Box2#12_A_B</v>
      </c>
      <c r="N688" t="str">
        <f>_xlfn.TEXTJOIN("#",TRUE,PartList[[#This Row],[ASSLY MARK]],PartList[[#This Row],[BOX NO]],PartList[[#This Row],[In/Out]],PartList[[#This Row],[O2-Grid]])</f>
        <v>1SC10#Box2#InB</v>
      </c>
      <c r="O688">
        <f>IF(PartList[[#This Row],[Unique]]="Yes",_xlfn.XLOOKUP(PartList[[#This Row],[ASSLY MARK]],FilteredPL!A:A,FilteredPL!B:B,0,0),0)</f>
        <v>0</v>
      </c>
      <c r="P688">
        <f>_xlfn.XLOOKUP(PartList[[#This Row],[ASSLY MARK]],MasterPL[SplitMarkNo],MasterPL[BILL WT.(KG)],0,0)</f>
        <v>0</v>
      </c>
      <c r="Q688" cm="1">
        <f t="array" ref="Q68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88" t="str">
        <v>6HB44</v>
      </c>
      <c r="AB688" s="42">
        <f>SUMIF(PartList[ASSLY MARK],AA688,PartList[Avail. Qty])</f>
        <v>0</v>
      </c>
    </row>
    <row r="689" spans="1:28" x14ac:dyDescent="0.25">
      <c r="A689">
        <v>191</v>
      </c>
      <c r="B689" t="s">
        <v>658</v>
      </c>
      <c r="C689" t="s">
        <v>518</v>
      </c>
      <c r="D689" t="s">
        <v>519</v>
      </c>
      <c r="E689" t="s">
        <v>645</v>
      </c>
      <c r="F689" t="str" cm="1">
        <f t="array" ref="F689">IF(SUM(IF(PartList[ASSLY MARK]=PartList[[#This Row],[ASSLY MARK]],1,0))&gt;1,"No","Yes")</f>
        <v>Yes</v>
      </c>
      <c r="G689" t="str" cm="1">
        <f t="array" ref="G689">_xlfn.TEXTJOIN("_",TRUE,TRIM(_xlfn.TEXTSPLIT(PartList[[#This Row],[GRID LOCATION]],{"PR01","/","-"})))</f>
        <v>12_A_B</v>
      </c>
      <c r="H689" t="str" cm="1">
        <f t="array" ref="H68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89" cm="1">
        <f t="array" ref="I68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89" t="str">
        <f>IF(IFERROR(SEARCH("&gt;",PartList[[#This Row],[ID]]),0),"O",IF(IFERROR(SEARCH("&lt;",PartList[[#This Row],[ID]]),0),"I",""))</f>
        <v/>
      </c>
      <c r="K689" t="str" cm="1">
        <f t="array" ref="K6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12_A_B</v>
      </c>
      <c r="L689" t="str" cm="1">
        <f t="array" ref="L6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89" t="str">
        <f>_xlfn.TEXTJOIN("#",TRUE,PartList[[#This Row],[ASSLY MARK]],PartList[[#This Row],[BOX NO]],PartList[[#This Row],[In/Out]],PartList[[#This Row],[O1-Grid]])</f>
        <v>1SC11#Box2#12_A_B</v>
      </c>
      <c r="N689" t="str">
        <f>_xlfn.TEXTJOIN("#",TRUE,PartList[[#This Row],[ASSLY MARK]],PartList[[#This Row],[BOX NO]],PartList[[#This Row],[In/Out]],PartList[[#This Row],[O2-Grid]])</f>
        <v>1SC11#Box2#InB</v>
      </c>
      <c r="O689">
        <f>IF(PartList[[#This Row],[Unique]]="Yes",_xlfn.XLOOKUP(PartList[[#This Row],[ASSLY MARK]],FilteredPL!A:A,FilteredPL!B:B,0,0),0)</f>
        <v>0</v>
      </c>
      <c r="P689">
        <f>_xlfn.XLOOKUP(PartList[[#This Row],[ASSLY MARK]],MasterPL[SplitMarkNo],MasterPL[BILL WT.(KG)],0,0)</f>
        <v>0</v>
      </c>
      <c r="Q689" cm="1">
        <f t="array" ref="Q68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89" t="str">
        <v>6SC01</v>
      </c>
      <c r="AB689" s="42">
        <f>SUMIF(PartList[ASSLY MARK],AA689,PartList[Avail. Qty])</f>
        <v>0</v>
      </c>
    </row>
    <row r="690" spans="1:28" x14ac:dyDescent="0.25">
      <c r="A690">
        <v>192</v>
      </c>
      <c r="B690" t="s">
        <v>659</v>
      </c>
      <c r="C690" t="s">
        <v>545</v>
      </c>
      <c r="D690" t="s">
        <v>660</v>
      </c>
      <c r="E690" t="s">
        <v>645</v>
      </c>
      <c r="F690" t="str" cm="1">
        <f t="array" ref="F690">IF(SUM(IF(PartList[ASSLY MARK]=PartList[[#This Row],[ASSLY MARK]],1,0))&gt;1,"No","Yes")</f>
        <v>Yes</v>
      </c>
      <c r="G690" t="str" cm="1">
        <f t="array" ref="G690">_xlfn.TEXTJOIN("_",TRUE,TRIM(_xlfn.TEXTSPLIT(PartList[[#This Row],[GRID LOCATION]],{"PR01","/","-"})))</f>
        <v>12_B&gt;</v>
      </c>
      <c r="H690" t="str" cm="1">
        <f t="array" ref="H69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90" cm="1">
        <f t="array" ref="I69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90" t="str">
        <f>IF(IFERROR(SEARCH("&gt;",PartList[[#This Row],[ID]]),0),"O",IF(IFERROR(SEARCH("&lt;",PartList[[#This Row],[ID]]),0),"I",""))</f>
        <v>O</v>
      </c>
      <c r="K690" t="str" cm="1">
        <f t="array" ref="K6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690" t="str" cm="1">
        <f t="array" ref="L6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690" t="str">
        <f>_xlfn.TEXTJOIN("#",TRUE,PartList[[#This Row],[ASSLY MARK]],PartList[[#This Row],[BOX NO]],PartList[[#This Row],[In/Out]],PartList[[#This Row],[O1-Grid]])</f>
        <v>1SC12#Box2#O</v>
      </c>
      <c r="N690" t="str">
        <f>_xlfn.TEXTJOIN("#",TRUE,PartList[[#This Row],[ASSLY MARK]],PartList[[#This Row],[BOX NO]],PartList[[#This Row],[In/Out]],PartList[[#This Row],[O2-Grid]])</f>
        <v>1SC12#Box2#O</v>
      </c>
      <c r="O690">
        <f>IF(PartList[[#This Row],[Unique]]="Yes",_xlfn.XLOOKUP(PartList[[#This Row],[ASSLY MARK]],FilteredPL!A:A,FilteredPL!B:B,0,0),0)</f>
        <v>0</v>
      </c>
      <c r="P690">
        <f>_xlfn.XLOOKUP(PartList[[#This Row],[ASSLY MARK]],MasterPL[SplitMarkNo],MasterPL[BILL WT.(KG)],0,0)</f>
        <v>0</v>
      </c>
      <c r="Q690" cm="1">
        <f t="array" ref="Q69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90" t="str">
        <v>6SC02</v>
      </c>
      <c r="AB690" s="42">
        <f>SUMIF(PartList[ASSLY MARK],AA690,PartList[Avail. Qty])</f>
        <v>0</v>
      </c>
    </row>
    <row r="691" spans="1:28" x14ac:dyDescent="0.25">
      <c r="A691">
        <v>193</v>
      </c>
      <c r="B691" t="s">
        <v>661</v>
      </c>
      <c r="C691" t="s">
        <v>520</v>
      </c>
      <c r="D691" t="s">
        <v>519</v>
      </c>
      <c r="E691" t="s">
        <v>645</v>
      </c>
      <c r="F691" t="str" cm="1">
        <f t="array" ref="F691">IF(SUM(IF(PartList[ASSLY MARK]=PartList[[#This Row],[ASSLY MARK]],1,0))&gt;1,"No","Yes")</f>
        <v>No</v>
      </c>
      <c r="G691" t="str" cm="1">
        <f t="array" ref="G691">_xlfn.TEXTJOIN("_",TRUE,TRIM(_xlfn.TEXTSPLIT(PartList[[#This Row],[GRID LOCATION]],{"PR01","/","-"})))</f>
        <v>13_A_B</v>
      </c>
      <c r="H691" t="str" cm="1">
        <f t="array" ref="H69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91" cm="1">
        <f t="array" ref="I69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91" t="str">
        <f>IF(IFERROR(SEARCH("&gt;",PartList[[#This Row],[ID]]),0),"O",IF(IFERROR(SEARCH("&lt;",PartList[[#This Row],[ID]]),0),"I",""))</f>
        <v/>
      </c>
      <c r="K691" t="str" cm="1">
        <f t="array" ref="K6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13_A_B</v>
      </c>
      <c r="L691" t="str" cm="1">
        <f t="array" ref="L6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91" t="str">
        <f>_xlfn.TEXTJOIN("#",TRUE,PartList[[#This Row],[ASSLY MARK]],PartList[[#This Row],[BOX NO]],PartList[[#This Row],[In/Out]],PartList[[#This Row],[O1-Grid]])</f>
        <v>1SC13#Box2#13_A_B</v>
      </c>
      <c r="N691" t="str">
        <f>_xlfn.TEXTJOIN("#",TRUE,PartList[[#This Row],[ASSLY MARK]],PartList[[#This Row],[BOX NO]],PartList[[#This Row],[In/Out]],PartList[[#This Row],[O2-Grid]])</f>
        <v>1SC13#Box2#InB</v>
      </c>
      <c r="O691">
        <f>IF(PartList[[#This Row],[Unique]]="Yes",_xlfn.XLOOKUP(PartList[[#This Row],[ASSLY MARK]],FilteredPL!A:A,FilteredPL!B:B,0,0),0)</f>
        <v>0</v>
      </c>
      <c r="P691">
        <f>_xlfn.XLOOKUP(PartList[[#This Row],[ASSLY MARK]],MasterPL[SplitMarkNo],MasterPL[BILL WT.(KG)],0,0)</f>
        <v>0</v>
      </c>
      <c r="Q691" cm="1">
        <f t="array" ref="Q69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91" t="str">
        <v>C18</v>
      </c>
      <c r="AB691" s="42">
        <f>SUMIF(PartList[ASSLY MARK],AA691,PartList[Avail. Qty])</f>
        <v>0</v>
      </c>
    </row>
    <row r="692" spans="1:28" x14ac:dyDescent="0.25">
      <c r="A692">
        <v>194</v>
      </c>
      <c r="B692" t="s">
        <v>661</v>
      </c>
      <c r="C692" t="s">
        <v>520</v>
      </c>
      <c r="D692" t="s">
        <v>519</v>
      </c>
      <c r="E692" t="s">
        <v>645</v>
      </c>
      <c r="F692" t="str" cm="1">
        <f t="array" ref="F692">IF(SUM(IF(PartList[ASSLY MARK]=PartList[[#This Row],[ASSLY MARK]],1,0))&gt;1,"No","Yes")</f>
        <v>No</v>
      </c>
      <c r="G692" t="str" cm="1">
        <f t="array" ref="G692">_xlfn.TEXTJOIN("_",TRUE,TRIM(_xlfn.TEXTSPLIT(PartList[[#This Row],[GRID LOCATION]],{"PR01","/","-"})))</f>
        <v>13_A_B</v>
      </c>
      <c r="H692" t="str" cm="1">
        <f t="array" ref="H69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92" cm="1">
        <f t="array" ref="I69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92" t="str">
        <f>IF(IFERROR(SEARCH("&gt;",PartList[[#This Row],[ID]]),0),"O",IF(IFERROR(SEARCH("&lt;",PartList[[#This Row],[ID]]),0),"I",""))</f>
        <v/>
      </c>
      <c r="K692" t="str" cm="1">
        <f t="array" ref="K6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13_A_B</v>
      </c>
      <c r="L692" t="str" cm="1">
        <f t="array" ref="L6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92" t="str">
        <f>_xlfn.TEXTJOIN("#",TRUE,PartList[[#This Row],[ASSLY MARK]],PartList[[#This Row],[BOX NO]],PartList[[#This Row],[In/Out]],PartList[[#This Row],[O1-Grid]])</f>
        <v>1SC13#Box2#13_A_B</v>
      </c>
      <c r="N692" t="str">
        <f>_xlfn.TEXTJOIN("#",TRUE,PartList[[#This Row],[ASSLY MARK]],PartList[[#This Row],[BOX NO]],PartList[[#This Row],[In/Out]],PartList[[#This Row],[O2-Grid]])</f>
        <v>1SC13#Box2#InB</v>
      </c>
      <c r="O692">
        <f>IF(PartList[[#This Row],[Unique]]="Yes",_xlfn.XLOOKUP(PartList[[#This Row],[ASSLY MARK]],FilteredPL!A:A,FilteredPL!B:B,0,0),0)</f>
        <v>0</v>
      </c>
      <c r="P692">
        <f>_xlfn.XLOOKUP(PartList[[#This Row],[ASSLY MARK]],MasterPL[SplitMarkNo],MasterPL[BILL WT.(KG)],0,0)</f>
        <v>0</v>
      </c>
      <c r="Q692" cm="1">
        <f t="array" ref="Q69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92" t="str">
        <v>C19</v>
      </c>
      <c r="AB692" s="42">
        <f>SUMIF(PartList[ASSLY MARK],AA692,PartList[Avail. Qty])</f>
        <v>0</v>
      </c>
    </row>
    <row r="693" spans="1:28" x14ac:dyDescent="0.25">
      <c r="A693">
        <v>195</v>
      </c>
      <c r="B693" t="s">
        <v>661</v>
      </c>
      <c r="C693" t="s">
        <v>520</v>
      </c>
      <c r="D693" t="s">
        <v>519</v>
      </c>
      <c r="E693" t="s">
        <v>645</v>
      </c>
      <c r="F693" t="str" cm="1">
        <f t="array" ref="F693">IF(SUM(IF(PartList[ASSLY MARK]=PartList[[#This Row],[ASSLY MARK]],1,0))&gt;1,"No","Yes")</f>
        <v>No</v>
      </c>
      <c r="G693" t="str" cm="1">
        <f t="array" ref="G693">_xlfn.TEXTJOIN("_",TRUE,TRIM(_xlfn.TEXTSPLIT(PartList[[#This Row],[GRID LOCATION]],{"PR01","/","-"})))</f>
        <v>13_A_B</v>
      </c>
      <c r="H693" t="str" cm="1">
        <f t="array" ref="H69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93" cm="1">
        <f t="array" ref="I69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93" t="str">
        <f>IF(IFERROR(SEARCH("&gt;",PartList[[#This Row],[ID]]),0),"O",IF(IFERROR(SEARCH("&lt;",PartList[[#This Row],[ID]]),0),"I",""))</f>
        <v/>
      </c>
      <c r="K693" t="str" cm="1">
        <f t="array" ref="K6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13_A_B</v>
      </c>
      <c r="L693" t="str" cm="1">
        <f t="array" ref="L6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93" t="str">
        <f>_xlfn.TEXTJOIN("#",TRUE,PartList[[#This Row],[ASSLY MARK]],PartList[[#This Row],[BOX NO]],PartList[[#This Row],[In/Out]],PartList[[#This Row],[O1-Grid]])</f>
        <v>1SC13#Box2#13_A_B</v>
      </c>
      <c r="N693" t="str">
        <f>_xlfn.TEXTJOIN("#",TRUE,PartList[[#This Row],[ASSLY MARK]],PartList[[#This Row],[BOX NO]],PartList[[#This Row],[In/Out]],PartList[[#This Row],[O2-Grid]])</f>
        <v>1SC13#Box2#InB</v>
      </c>
      <c r="O693">
        <f>IF(PartList[[#This Row],[Unique]]="Yes",_xlfn.XLOOKUP(PartList[[#This Row],[ASSLY MARK]],FilteredPL!A:A,FilteredPL!B:B,0,0),0)</f>
        <v>0</v>
      </c>
      <c r="P693">
        <f>_xlfn.XLOOKUP(PartList[[#This Row],[ASSLY MARK]],MasterPL[SplitMarkNo],MasterPL[BILL WT.(KG)],0,0)</f>
        <v>0</v>
      </c>
      <c r="Q693" cm="1">
        <f t="array" ref="Q69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93" t="str">
        <v>C20</v>
      </c>
      <c r="AB693" s="42">
        <f>SUMIF(PartList[ASSLY MARK],AA693,PartList[Avail. Qty])</f>
        <v>0</v>
      </c>
    </row>
    <row r="694" spans="1:28" x14ac:dyDescent="0.25">
      <c r="A694">
        <v>196</v>
      </c>
      <c r="B694" t="s">
        <v>662</v>
      </c>
      <c r="C694" t="s">
        <v>598</v>
      </c>
      <c r="D694" t="s">
        <v>663</v>
      </c>
      <c r="E694" t="s">
        <v>645</v>
      </c>
      <c r="F694" t="str" cm="1">
        <f t="array" ref="F694">IF(SUM(IF(PartList[ASSLY MARK]=PartList[[#This Row],[ASSLY MARK]],1,0))&gt;1,"No","Yes")</f>
        <v>Yes</v>
      </c>
      <c r="G694" t="str" cm="1">
        <f t="array" ref="G694">_xlfn.TEXTJOIN("_",TRUE,TRIM(_xlfn.TEXTSPLIT(PartList[[#This Row],[GRID LOCATION]],{"PR01","/","-"})))</f>
        <v>13_B&gt;</v>
      </c>
      <c r="H694" t="str" cm="1">
        <f t="array" ref="H69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94" cm="1">
        <f t="array" ref="I69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94" t="str">
        <f>IF(IFERROR(SEARCH("&gt;",PartList[[#This Row],[ID]]),0),"O",IF(IFERROR(SEARCH("&lt;",PartList[[#This Row],[ID]]),0),"I",""))</f>
        <v>O</v>
      </c>
      <c r="K694" t="str" cm="1">
        <f t="array" ref="K6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694" t="str" cm="1">
        <f t="array" ref="L6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694" t="str">
        <f>_xlfn.TEXTJOIN("#",TRUE,PartList[[#This Row],[ASSLY MARK]],PartList[[#This Row],[BOX NO]],PartList[[#This Row],[In/Out]],PartList[[#This Row],[O1-Grid]])</f>
        <v>1SC14#Box2#O</v>
      </c>
      <c r="N694" t="str">
        <f>_xlfn.TEXTJOIN("#",TRUE,PartList[[#This Row],[ASSLY MARK]],PartList[[#This Row],[BOX NO]],PartList[[#This Row],[In/Out]],PartList[[#This Row],[O2-Grid]])</f>
        <v>1SC14#Box2#O</v>
      </c>
      <c r="O694">
        <f>IF(PartList[[#This Row],[Unique]]="Yes",_xlfn.XLOOKUP(PartList[[#This Row],[ASSLY MARK]],FilteredPL!A:A,FilteredPL!B:B,0,0),0)</f>
        <v>0</v>
      </c>
      <c r="P694">
        <f>_xlfn.XLOOKUP(PartList[[#This Row],[ASSLY MARK]],MasterPL[SplitMarkNo],MasterPL[BILL WT.(KG)],0,0)</f>
        <v>0</v>
      </c>
      <c r="Q694" cm="1">
        <f t="array" ref="Q69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94" t="str">
        <v>C22</v>
      </c>
      <c r="AB694" s="42">
        <f>SUMIF(PartList[ASSLY MARK],AA694,PartList[Avail. Qty])</f>
        <v>0</v>
      </c>
    </row>
    <row r="695" spans="1:28" x14ac:dyDescent="0.25">
      <c r="A695">
        <v>209</v>
      </c>
      <c r="B695" t="s">
        <v>161</v>
      </c>
      <c r="C695" t="s">
        <v>547</v>
      </c>
      <c r="D695" t="s">
        <v>649</v>
      </c>
      <c r="E695" t="s">
        <v>5</v>
      </c>
      <c r="F695" t="str" cm="1">
        <f t="array" ref="F695">IF(SUM(IF(PartList[ASSLY MARK]=PartList[[#This Row],[ASSLY MARK]],1,0))&gt;1,"No","Yes")</f>
        <v>No</v>
      </c>
      <c r="G695" t="str" cm="1">
        <f t="array" ref="G695">_xlfn.TEXTJOIN("_",TRUE,TRIM(_xlfn.TEXTSPLIT(PartList[[#This Row],[GRID LOCATION]],{"PR01","/","-"})))</f>
        <v>12_13_A_B</v>
      </c>
      <c r="H695" t="str" cm="1">
        <f t="array" ref="H69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95" cm="1">
        <f t="array" ref="I69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95" t="str">
        <f>IF(IFERROR(SEARCH("&gt;",PartList[[#This Row],[ID]]),0),"O",IF(IFERROR(SEARCH("&lt;",PartList[[#This Row],[ID]]),0),"I",""))</f>
        <v/>
      </c>
      <c r="K695" t="str" cm="1">
        <f t="array" ref="K6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95" t="str" cm="1">
        <f t="array" ref="L6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95" t="str">
        <f>_xlfn.TEXTJOIN("#",TRUE,PartList[[#This Row],[ASSLY MARK]],PartList[[#This Row],[BOX NO]],PartList[[#This Row],[In/Out]],PartList[[#This Row],[O1-Grid]])</f>
        <v>2BE13#Box2#InB</v>
      </c>
      <c r="N695" t="str">
        <f>_xlfn.TEXTJOIN("#",TRUE,PartList[[#This Row],[ASSLY MARK]],PartList[[#This Row],[BOX NO]],PartList[[#This Row],[In/Out]],PartList[[#This Row],[O2-Grid]])</f>
        <v>2BE13#Box2#InB</v>
      </c>
      <c r="O695">
        <f>IF(PartList[[#This Row],[Unique]]="Yes",_xlfn.XLOOKUP(PartList[[#This Row],[ASSLY MARK]],FilteredPL!A:A,FilteredPL!B:B,0,0),0)</f>
        <v>0</v>
      </c>
      <c r="P695">
        <f>_xlfn.XLOOKUP(PartList[[#This Row],[ASSLY MARK]],MasterPL[SplitMarkNo],MasterPL[BILL WT.(KG)],0,0)</f>
        <v>0</v>
      </c>
      <c r="Q695" cm="1">
        <f t="array" ref="Q69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95" t="str">
        <v>C23</v>
      </c>
      <c r="AB695" s="42">
        <f>SUMIF(PartList[ASSLY MARK],AA695,PartList[Avail. Qty])</f>
        <v>0</v>
      </c>
    </row>
    <row r="696" spans="1:28" x14ac:dyDescent="0.25">
      <c r="A696">
        <v>210</v>
      </c>
      <c r="B696" t="s">
        <v>161</v>
      </c>
      <c r="C696" t="s">
        <v>547</v>
      </c>
      <c r="D696" t="s">
        <v>649</v>
      </c>
      <c r="E696" t="s">
        <v>5</v>
      </c>
      <c r="F696" t="str" cm="1">
        <f t="array" ref="F696">IF(SUM(IF(PartList[ASSLY MARK]=PartList[[#This Row],[ASSLY MARK]],1,0))&gt;1,"No","Yes")</f>
        <v>No</v>
      </c>
      <c r="G696" t="str" cm="1">
        <f t="array" ref="G696">_xlfn.TEXTJOIN("_",TRUE,TRIM(_xlfn.TEXTSPLIT(PartList[[#This Row],[GRID LOCATION]],{"PR01","/","-"})))</f>
        <v>12_13_A_B</v>
      </c>
      <c r="H696" t="str" cm="1">
        <f t="array" ref="H69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96" cm="1">
        <f t="array" ref="I69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96" t="str">
        <f>IF(IFERROR(SEARCH("&gt;",PartList[[#This Row],[ID]]),0),"O",IF(IFERROR(SEARCH("&lt;",PartList[[#This Row],[ID]]),0),"I",""))</f>
        <v/>
      </c>
      <c r="K696" t="str" cm="1">
        <f t="array" ref="K6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96" t="str" cm="1">
        <f t="array" ref="L6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96" t="str">
        <f>_xlfn.TEXTJOIN("#",TRUE,PartList[[#This Row],[ASSLY MARK]],PartList[[#This Row],[BOX NO]],PartList[[#This Row],[In/Out]],PartList[[#This Row],[O1-Grid]])</f>
        <v>2BE13#Box2#InB</v>
      </c>
      <c r="N696" t="str">
        <f>_xlfn.TEXTJOIN("#",TRUE,PartList[[#This Row],[ASSLY MARK]],PartList[[#This Row],[BOX NO]],PartList[[#This Row],[In/Out]],PartList[[#This Row],[O2-Grid]])</f>
        <v>2BE13#Box2#InB</v>
      </c>
      <c r="O696">
        <f>IF(PartList[[#This Row],[Unique]]="Yes",_xlfn.XLOOKUP(PartList[[#This Row],[ASSLY MARK]],FilteredPL!A:A,FilteredPL!B:B,0,0),0)</f>
        <v>0</v>
      </c>
      <c r="P696">
        <f>_xlfn.XLOOKUP(PartList[[#This Row],[ASSLY MARK]],MasterPL[SplitMarkNo],MasterPL[BILL WT.(KG)],0,0)</f>
        <v>0</v>
      </c>
      <c r="Q696" cm="1">
        <f t="array" ref="Q69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96" t="str">
        <v>C29</v>
      </c>
      <c r="AB696" s="42">
        <f>SUMIF(PartList[ASSLY MARK],AA696,PartList[Avail. Qty])</f>
        <v>0</v>
      </c>
    </row>
    <row r="697" spans="1:28" x14ac:dyDescent="0.25">
      <c r="A697">
        <v>211</v>
      </c>
      <c r="B697" t="s">
        <v>161</v>
      </c>
      <c r="C697" t="s">
        <v>547</v>
      </c>
      <c r="D697" t="s">
        <v>649</v>
      </c>
      <c r="E697" t="s">
        <v>5</v>
      </c>
      <c r="F697" t="str" cm="1">
        <f t="array" ref="F697">IF(SUM(IF(PartList[ASSLY MARK]=PartList[[#This Row],[ASSLY MARK]],1,0))&gt;1,"No","Yes")</f>
        <v>No</v>
      </c>
      <c r="G697" t="str" cm="1">
        <f t="array" ref="G697">_xlfn.TEXTJOIN("_",TRUE,TRIM(_xlfn.TEXTSPLIT(PartList[[#This Row],[GRID LOCATION]],{"PR01","/","-"})))</f>
        <v>12_13_A_B</v>
      </c>
      <c r="H697" t="str" cm="1">
        <f t="array" ref="H69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97" cm="1">
        <f t="array" ref="I69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97" t="str">
        <f>IF(IFERROR(SEARCH("&gt;",PartList[[#This Row],[ID]]),0),"O",IF(IFERROR(SEARCH("&lt;",PartList[[#This Row],[ID]]),0),"I",""))</f>
        <v/>
      </c>
      <c r="K697" t="str" cm="1">
        <f t="array" ref="K6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97" t="str" cm="1">
        <f t="array" ref="L6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97" t="str">
        <f>_xlfn.TEXTJOIN("#",TRUE,PartList[[#This Row],[ASSLY MARK]],PartList[[#This Row],[BOX NO]],PartList[[#This Row],[In/Out]],PartList[[#This Row],[O1-Grid]])</f>
        <v>2BE13#Box2#InB</v>
      </c>
      <c r="N697" t="str">
        <f>_xlfn.TEXTJOIN("#",TRUE,PartList[[#This Row],[ASSLY MARK]],PartList[[#This Row],[BOX NO]],PartList[[#This Row],[In/Out]],PartList[[#This Row],[O2-Grid]])</f>
        <v>2BE13#Box2#InB</v>
      </c>
      <c r="O697">
        <f>IF(PartList[[#This Row],[Unique]]="Yes",_xlfn.XLOOKUP(PartList[[#This Row],[ASSLY MARK]],FilteredPL!A:A,FilteredPL!B:B,0,0),0)</f>
        <v>0</v>
      </c>
      <c r="P697">
        <f>_xlfn.XLOOKUP(PartList[[#This Row],[ASSLY MARK]],MasterPL[SplitMarkNo],MasterPL[BILL WT.(KG)],0,0)</f>
        <v>0</v>
      </c>
      <c r="Q697" cm="1">
        <f t="array" ref="Q69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97" t="str">
        <v>C30</v>
      </c>
      <c r="AB697" s="42">
        <f>SUMIF(PartList[ASSLY MARK],AA697,PartList[Avail. Qty])</f>
        <v>0</v>
      </c>
    </row>
    <row r="698" spans="1:28" x14ac:dyDescent="0.25">
      <c r="A698">
        <v>212</v>
      </c>
      <c r="B698" t="s">
        <v>161</v>
      </c>
      <c r="C698" t="s">
        <v>547</v>
      </c>
      <c r="D698" t="s">
        <v>649</v>
      </c>
      <c r="E698" t="s">
        <v>5</v>
      </c>
      <c r="F698" t="str" cm="1">
        <f t="array" ref="F698">IF(SUM(IF(PartList[ASSLY MARK]=PartList[[#This Row],[ASSLY MARK]],1,0))&gt;1,"No","Yes")</f>
        <v>No</v>
      </c>
      <c r="G698" t="str" cm="1">
        <f t="array" ref="G698">_xlfn.TEXTJOIN("_",TRUE,TRIM(_xlfn.TEXTSPLIT(PartList[[#This Row],[GRID LOCATION]],{"PR01","/","-"})))</f>
        <v>12_13_A_B</v>
      </c>
      <c r="H698" t="str" cm="1">
        <f t="array" ref="H69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98" cm="1">
        <f t="array" ref="I69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98" t="str">
        <f>IF(IFERROR(SEARCH("&gt;",PartList[[#This Row],[ID]]),0),"O",IF(IFERROR(SEARCH("&lt;",PartList[[#This Row],[ID]]),0),"I",""))</f>
        <v/>
      </c>
      <c r="K698" t="str" cm="1">
        <f t="array" ref="K6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98" t="str" cm="1">
        <f t="array" ref="L6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98" t="str">
        <f>_xlfn.TEXTJOIN("#",TRUE,PartList[[#This Row],[ASSLY MARK]],PartList[[#This Row],[BOX NO]],PartList[[#This Row],[In/Out]],PartList[[#This Row],[O1-Grid]])</f>
        <v>2BE13#Box2#InB</v>
      </c>
      <c r="N698" t="str">
        <f>_xlfn.TEXTJOIN("#",TRUE,PartList[[#This Row],[ASSLY MARK]],PartList[[#This Row],[BOX NO]],PartList[[#This Row],[In/Out]],PartList[[#This Row],[O2-Grid]])</f>
        <v>2BE13#Box2#InB</v>
      </c>
      <c r="O698">
        <f>IF(PartList[[#This Row],[Unique]]="Yes",_xlfn.XLOOKUP(PartList[[#This Row],[ASSLY MARK]],FilteredPL!A:A,FilteredPL!B:B,0,0),0)</f>
        <v>0</v>
      </c>
      <c r="P698">
        <f>_xlfn.XLOOKUP(PartList[[#This Row],[ASSLY MARK]],MasterPL[SplitMarkNo],MasterPL[BILL WT.(KG)],0,0)</f>
        <v>0</v>
      </c>
      <c r="Q698" cm="1">
        <f t="array" ref="Q69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98" t="str">
        <v>C32</v>
      </c>
      <c r="AB698" s="42">
        <f>SUMIF(PartList[ASSLY MARK],AA698,PartList[Avail. Qty])</f>
        <v>0</v>
      </c>
    </row>
    <row r="699" spans="1:28" x14ac:dyDescent="0.25">
      <c r="A699">
        <v>213</v>
      </c>
      <c r="B699" t="s">
        <v>161</v>
      </c>
      <c r="C699" t="s">
        <v>547</v>
      </c>
      <c r="D699" t="s">
        <v>649</v>
      </c>
      <c r="E699" t="s">
        <v>5</v>
      </c>
      <c r="F699" t="str" cm="1">
        <f t="array" ref="F699">IF(SUM(IF(PartList[ASSLY MARK]=PartList[[#This Row],[ASSLY MARK]],1,0))&gt;1,"No","Yes")</f>
        <v>No</v>
      </c>
      <c r="G699" t="str" cm="1">
        <f t="array" ref="G699">_xlfn.TEXTJOIN("_",TRUE,TRIM(_xlfn.TEXTSPLIT(PartList[[#This Row],[GRID LOCATION]],{"PR01","/","-"})))</f>
        <v>12_13_A_B</v>
      </c>
      <c r="H699" t="str" cm="1">
        <f t="array" ref="H69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699" cm="1">
        <f t="array" ref="I69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699" t="str">
        <f>IF(IFERROR(SEARCH("&gt;",PartList[[#This Row],[ID]]),0),"O",IF(IFERROR(SEARCH("&lt;",PartList[[#This Row],[ID]]),0),"I",""))</f>
        <v/>
      </c>
      <c r="K699" t="str" cm="1">
        <f t="array" ref="K6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699" t="str" cm="1">
        <f t="array" ref="L6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699" t="str">
        <f>_xlfn.TEXTJOIN("#",TRUE,PartList[[#This Row],[ASSLY MARK]],PartList[[#This Row],[BOX NO]],PartList[[#This Row],[In/Out]],PartList[[#This Row],[O1-Grid]])</f>
        <v>2BE13#Box2#InB</v>
      </c>
      <c r="N699" t="str">
        <f>_xlfn.TEXTJOIN("#",TRUE,PartList[[#This Row],[ASSLY MARK]],PartList[[#This Row],[BOX NO]],PartList[[#This Row],[In/Out]],PartList[[#This Row],[O2-Grid]])</f>
        <v>2BE13#Box2#InB</v>
      </c>
      <c r="O699">
        <f>IF(PartList[[#This Row],[Unique]]="Yes",_xlfn.XLOOKUP(PartList[[#This Row],[ASSLY MARK]],FilteredPL!A:A,FilteredPL!B:B,0,0),0)</f>
        <v>0</v>
      </c>
      <c r="P699">
        <f>_xlfn.XLOOKUP(PartList[[#This Row],[ASSLY MARK]],MasterPL[SplitMarkNo],MasterPL[BILL WT.(KG)],0,0)</f>
        <v>0</v>
      </c>
      <c r="Q699" cm="1">
        <f t="array" ref="Q69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699" t="str">
        <v>C33</v>
      </c>
      <c r="AB699" s="42">
        <f>SUMIF(PartList[ASSLY MARK],AA699,PartList[Avail. Qty])</f>
        <v>0</v>
      </c>
    </row>
    <row r="700" spans="1:28" x14ac:dyDescent="0.25">
      <c r="A700">
        <v>214</v>
      </c>
      <c r="B700" t="s">
        <v>161</v>
      </c>
      <c r="C700" t="s">
        <v>547</v>
      </c>
      <c r="D700" t="s">
        <v>649</v>
      </c>
      <c r="E700" t="s">
        <v>5</v>
      </c>
      <c r="F700" t="str" cm="1">
        <f t="array" ref="F700">IF(SUM(IF(PartList[ASSLY MARK]=PartList[[#This Row],[ASSLY MARK]],1,0))&gt;1,"No","Yes")</f>
        <v>No</v>
      </c>
      <c r="G700" t="str" cm="1">
        <f t="array" ref="G700">_xlfn.TEXTJOIN("_",TRUE,TRIM(_xlfn.TEXTSPLIT(PartList[[#This Row],[GRID LOCATION]],{"PR01","/","-"})))</f>
        <v>12_13_A_B</v>
      </c>
      <c r="H700" t="str" cm="1">
        <f t="array" ref="H70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00" cm="1">
        <f t="array" ref="I70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00" t="str">
        <f>IF(IFERROR(SEARCH("&gt;",PartList[[#This Row],[ID]]),0),"O",IF(IFERROR(SEARCH("&lt;",PartList[[#This Row],[ID]]),0),"I",""))</f>
        <v/>
      </c>
      <c r="K700" t="str" cm="1">
        <f t="array" ref="K7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00" t="str" cm="1">
        <f t="array" ref="L7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00" t="str">
        <f>_xlfn.TEXTJOIN("#",TRUE,PartList[[#This Row],[ASSLY MARK]],PartList[[#This Row],[BOX NO]],PartList[[#This Row],[In/Out]],PartList[[#This Row],[O1-Grid]])</f>
        <v>2BE13#Box2#InB</v>
      </c>
      <c r="N700" t="str">
        <f>_xlfn.TEXTJOIN("#",TRUE,PartList[[#This Row],[ASSLY MARK]],PartList[[#This Row],[BOX NO]],PartList[[#This Row],[In/Out]],PartList[[#This Row],[O2-Grid]])</f>
        <v>2BE13#Box2#InB</v>
      </c>
      <c r="O700">
        <f>IF(PartList[[#This Row],[Unique]]="Yes",_xlfn.XLOOKUP(PartList[[#This Row],[ASSLY MARK]],FilteredPL!A:A,FilteredPL!B:B,0,0),0)</f>
        <v>0</v>
      </c>
      <c r="P700">
        <f>_xlfn.XLOOKUP(PartList[[#This Row],[ASSLY MARK]],MasterPL[SplitMarkNo],MasterPL[BILL WT.(KG)],0,0)</f>
        <v>0</v>
      </c>
      <c r="Q700" cm="1">
        <f t="array" ref="Q70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00" t="str">
        <v>C35</v>
      </c>
      <c r="AB700" s="42">
        <f>SUMIF(PartList[ASSLY MARK],AA700,PartList[Avail. Qty])</f>
        <v>1</v>
      </c>
    </row>
    <row r="701" spans="1:28" x14ac:dyDescent="0.25">
      <c r="A701">
        <v>215</v>
      </c>
      <c r="B701" t="s">
        <v>161</v>
      </c>
      <c r="C701" t="s">
        <v>547</v>
      </c>
      <c r="D701" t="s">
        <v>649</v>
      </c>
      <c r="E701" t="s">
        <v>5</v>
      </c>
      <c r="F701" t="str" cm="1">
        <f t="array" ref="F701">IF(SUM(IF(PartList[ASSLY MARK]=PartList[[#This Row],[ASSLY MARK]],1,0))&gt;1,"No","Yes")</f>
        <v>No</v>
      </c>
      <c r="G701" t="str" cm="1">
        <f t="array" ref="G701">_xlfn.TEXTJOIN("_",TRUE,TRIM(_xlfn.TEXTSPLIT(PartList[[#This Row],[GRID LOCATION]],{"PR01","/","-"})))</f>
        <v>12_13_A_B</v>
      </c>
      <c r="H701" t="str" cm="1">
        <f t="array" ref="H70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01" cm="1">
        <f t="array" ref="I70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01" t="str">
        <f>IF(IFERROR(SEARCH("&gt;",PartList[[#This Row],[ID]]),0),"O",IF(IFERROR(SEARCH("&lt;",PartList[[#This Row],[ID]]),0),"I",""))</f>
        <v/>
      </c>
      <c r="K701" t="str" cm="1">
        <f t="array" ref="K7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01" t="str" cm="1">
        <f t="array" ref="L7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01" t="str">
        <f>_xlfn.TEXTJOIN("#",TRUE,PartList[[#This Row],[ASSLY MARK]],PartList[[#This Row],[BOX NO]],PartList[[#This Row],[In/Out]],PartList[[#This Row],[O1-Grid]])</f>
        <v>2BE13#Box2#InB</v>
      </c>
      <c r="N701" t="str">
        <f>_xlfn.TEXTJOIN("#",TRUE,PartList[[#This Row],[ASSLY MARK]],PartList[[#This Row],[BOX NO]],PartList[[#This Row],[In/Out]],PartList[[#This Row],[O2-Grid]])</f>
        <v>2BE13#Box2#InB</v>
      </c>
      <c r="O701">
        <f>IF(PartList[[#This Row],[Unique]]="Yes",_xlfn.XLOOKUP(PartList[[#This Row],[ASSLY MARK]],FilteredPL!A:A,FilteredPL!B:B,0,0),0)</f>
        <v>0</v>
      </c>
      <c r="P701">
        <f>_xlfn.XLOOKUP(PartList[[#This Row],[ASSLY MARK]],MasterPL[SplitMarkNo],MasterPL[BILL WT.(KG)],0,0)</f>
        <v>0</v>
      </c>
      <c r="Q701" cm="1">
        <f t="array" ref="Q70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01" t="str">
        <v>SF07</v>
      </c>
      <c r="AB701" s="42">
        <f>SUMIF(PartList[ASSLY MARK],AA701,PartList[Avail. Qty])</f>
        <v>8</v>
      </c>
    </row>
    <row r="702" spans="1:28" x14ac:dyDescent="0.25">
      <c r="A702">
        <v>225</v>
      </c>
      <c r="B702" t="s">
        <v>170</v>
      </c>
      <c r="C702" t="s">
        <v>561</v>
      </c>
      <c r="D702" t="s">
        <v>649</v>
      </c>
      <c r="E702" t="s">
        <v>5</v>
      </c>
      <c r="F702" t="str" cm="1">
        <f t="array" ref="F702">IF(SUM(IF(PartList[ASSLY MARK]=PartList[[#This Row],[ASSLY MARK]],1,0))&gt;1,"No","Yes")</f>
        <v>Yes</v>
      </c>
      <c r="G702" t="str" cm="1">
        <f t="array" ref="G702">_xlfn.TEXTJOIN("_",TRUE,TRIM(_xlfn.TEXTSPLIT(PartList[[#This Row],[GRID LOCATION]],{"PR01","/","-"})))</f>
        <v>12_13_B&gt;</v>
      </c>
      <c r="H702" t="str" cm="1">
        <f t="array" ref="H70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02" cm="1">
        <f t="array" ref="I70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02" t="str">
        <f>IF(IFERROR(SEARCH("&gt;",PartList[[#This Row],[ID]]),0),"O",IF(IFERROR(SEARCH("&lt;",PartList[[#This Row],[ID]]),0),"I",""))</f>
        <v>O</v>
      </c>
      <c r="K702" t="str" cm="1">
        <f t="array" ref="K7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02" t="str" cm="1">
        <f t="array" ref="L7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02" t="str">
        <f>_xlfn.TEXTJOIN("#",TRUE,PartList[[#This Row],[ASSLY MARK]],PartList[[#This Row],[BOX NO]],PartList[[#This Row],[In/Out]],PartList[[#This Row],[O1-Grid]])</f>
        <v>2BE22#Box2#O</v>
      </c>
      <c r="N702" t="str">
        <f>_xlfn.TEXTJOIN("#",TRUE,PartList[[#This Row],[ASSLY MARK]],PartList[[#This Row],[BOX NO]],PartList[[#This Row],[In/Out]],PartList[[#This Row],[O2-Grid]])</f>
        <v>2BE22#Box2#O</v>
      </c>
      <c r="O702">
        <f>IF(PartList[[#This Row],[Unique]]="Yes",_xlfn.XLOOKUP(PartList[[#This Row],[ASSLY MARK]],FilteredPL!A:A,FilteredPL!B:B,0,0),0)</f>
        <v>0</v>
      </c>
      <c r="P702">
        <f>_xlfn.XLOOKUP(PartList[[#This Row],[ASSLY MARK]],MasterPL[SplitMarkNo],MasterPL[BILL WT.(KG)],0,0)</f>
        <v>0</v>
      </c>
      <c r="Q702" cm="1">
        <f t="array" ref="Q70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02" t="str">
        <v>SF08</v>
      </c>
      <c r="AB702" s="42">
        <f>SUMIF(PartList[ASSLY MARK],AA702,PartList[Avail. Qty])</f>
        <v>4</v>
      </c>
    </row>
    <row r="703" spans="1:28" x14ac:dyDescent="0.25">
      <c r="A703">
        <v>227</v>
      </c>
      <c r="B703" t="s">
        <v>172</v>
      </c>
      <c r="C703" t="s">
        <v>538</v>
      </c>
      <c r="D703" t="s">
        <v>649</v>
      </c>
      <c r="E703" t="s">
        <v>5</v>
      </c>
      <c r="F703" t="str" cm="1">
        <f t="array" ref="F703">IF(SUM(IF(PartList[ASSLY MARK]=PartList[[#This Row],[ASSLY MARK]],1,0))&gt;1,"No","Yes")</f>
        <v>Yes</v>
      </c>
      <c r="G703" t="str" cm="1">
        <f t="array" ref="G703">_xlfn.TEXTJOIN("_",TRUE,TRIM(_xlfn.TEXTSPLIT(PartList[[#This Row],[GRID LOCATION]],{"PR01","/","-"})))</f>
        <v>12_A'_A</v>
      </c>
      <c r="H703" t="str" cm="1">
        <f t="array" ref="H70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703" cm="1">
        <f t="array" ref="I70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03" t="str">
        <f>IF(IFERROR(SEARCH("&gt;",PartList[[#This Row],[ID]]),0),"O",IF(IFERROR(SEARCH("&lt;",PartList[[#This Row],[ID]]),0),"I",""))</f>
        <v/>
      </c>
      <c r="K703" t="str" cm="1">
        <f t="array" ref="K7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03" t="str" cm="1">
        <f t="array" ref="L7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03" t="str">
        <f>_xlfn.TEXTJOIN("#",TRUE,PartList[[#This Row],[ASSLY MARK]],PartList[[#This Row],[BOX NO]],PartList[[#This Row],[In/Out]],PartList[[#This Row],[O1-Grid]])</f>
        <v>2BE24#Box2_Box5#InBB</v>
      </c>
      <c r="N703" t="str">
        <f>_xlfn.TEXTJOIN("#",TRUE,PartList[[#This Row],[ASSLY MARK]],PartList[[#This Row],[BOX NO]],PartList[[#This Row],[In/Out]],PartList[[#This Row],[O2-Grid]])</f>
        <v>2BE24#Box2_Box5#InBB</v>
      </c>
      <c r="O703">
        <f>IF(PartList[[#This Row],[Unique]]="Yes",_xlfn.XLOOKUP(PartList[[#This Row],[ASSLY MARK]],FilteredPL!A:A,FilteredPL!B:B,0,0),0)</f>
        <v>0</v>
      </c>
      <c r="P703">
        <f>_xlfn.XLOOKUP(PartList[[#This Row],[ASSLY MARK]],MasterPL[SplitMarkNo],MasterPL[BILL WT.(KG)],0,0)</f>
        <v>0</v>
      </c>
      <c r="Q703" cm="1">
        <f t="array" ref="Q70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03" t="str">
        <v>VB06</v>
      </c>
      <c r="AB703" s="42">
        <f>SUMIF(PartList[ASSLY MARK],AA703,PartList[Avail. Qty])</f>
        <v>0</v>
      </c>
    </row>
    <row r="704" spans="1:28" x14ac:dyDescent="0.25">
      <c r="A704">
        <v>228</v>
      </c>
      <c r="B704" t="s">
        <v>173</v>
      </c>
      <c r="C704" t="s">
        <v>518</v>
      </c>
      <c r="D704" t="s">
        <v>150</v>
      </c>
      <c r="E704" t="s">
        <v>5</v>
      </c>
      <c r="F704" t="str" cm="1">
        <f t="array" ref="F704">IF(SUM(IF(PartList[ASSLY MARK]=PartList[[#This Row],[ASSLY MARK]],1,0))&gt;1,"No","Yes")</f>
        <v>Yes</v>
      </c>
      <c r="G704" t="str" cm="1">
        <f t="array" ref="G704">_xlfn.TEXTJOIN("_",TRUE,TRIM(_xlfn.TEXTSPLIT(PartList[[#This Row],[GRID LOCATION]],{"PR01","/","-"})))</f>
        <v>12_A_B</v>
      </c>
      <c r="H704" t="str" cm="1">
        <f t="array" ref="H70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04" cm="1">
        <f t="array" ref="I70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04" t="str">
        <f>IF(IFERROR(SEARCH("&gt;",PartList[[#This Row],[ID]]),0),"O",IF(IFERROR(SEARCH("&lt;",PartList[[#This Row],[ID]]),0),"I",""))</f>
        <v/>
      </c>
      <c r="K704" t="str" cm="1">
        <f t="array" ref="K7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12_A_B</v>
      </c>
      <c r="L704" t="str" cm="1">
        <f t="array" ref="L7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04" t="str">
        <f>_xlfn.TEXTJOIN("#",TRUE,PartList[[#This Row],[ASSLY MARK]],PartList[[#This Row],[BOX NO]],PartList[[#This Row],[In/Out]],PartList[[#This Row],[O1-Grid]])</f>
        <v>2BE25#Box2#12_A_B</v>
      </c>
      <c r="N704" t="str">
        <f>_xlfn.TEXTJOIN("#",TRUE,PartList[[#This Row],[ASSLY MARK]],PartList[[#This Row],[BOX NO]],PartList[[#This Row],[In/Out]],PartList[[#This Row],[O2-Grid]])</f>
        <v>2BE25#Box2#InB</v>
      </c>
      <c r="O704">
        <f>IF(PartList[[#This Row],[Unique]]="Yes",_xlfn.XLOOKUP(PartList[[#This Row],[ASSLY MARK]],FilteredPL!A:A,FilteredPL!B:B,0,0),0)</f>
        <v>0</v>
      </c>
      <c r="P704">
        <f>_xlfn.XLOOKUP(PartList[[#This Row],[ASSLY MARK]],MasterPL[SplitMarkNo],MasterPL[BILL WT.(KG)],0,0)</f>
        <v>0</v>
      </c>
      <c r="Q704" cm="1">
        <f t="array" ref="Q70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04" t="str">
        <v>VB22</v>
      </c>
      <c r="AB704" s="42">
        <f>SUMIF(PartList[ASSLY MARK],AA704,PartList[Avail. Qty])</f>
        <v>0</v>
      </c>
    </row>
    <row r="705" spans="1:28" x14ac:dyDescent="0.25">
      <c r="A705">
        <v>229</v>
      </c>
      <c r="B705" t="s">
        <v>174</v>
      </c>
      <c r="C705" t="s">
        <v>545</v>
      </c>
      <c r="D705" t="s">
        <v>649</v>
      </c>
      <c r="E705" t="s">
        <v>5</v>
      </c>
      <c r="F705" t="str" cm="1">
        <f t="array" ref="F705">IF(SUM(IF(PartList[ASSLY MARK]=PartList[[#This Row],[ASSLY MARK]],1,0))&gt;1,"No","Yes")</f>
        <v>Yes</v>
      </c>
      <c r="G705" t="str" cm="1">
        <f t="array" ref="G705">_xlfn.TEXTJOIN("_",TRUE,TRIM(_xlfn.TEXTSPLIT(PartList[[#This Row],[GRID LOCATION]],{"PR01","/","-"})))</f>
        <v>12_B&gt;</v>
      </c>
      <c r="H705" t="str" cm="1">
        <f t="array" ref="H70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05" cm="1">
        <f t="array" ref="I70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05" t="str">
        <f>IF(IFERROR(SEARCH("&gt;",PartList[[#This Row],[ID]]),0),"O",IF(IFERROR(SEARCH("&lt;",PartList[[#This Row],[ID]]),0),"I",""))</f>
        <v>O</v>
      </c>
      <c r="K705" t="str" cm="1">
        <f t="array" ref="K7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05" t="str" cm="1">
        <f t="array" ref="L7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05" t="str">
        <f>_xlfn.TEXTJOIN("#",TRUE,PartList[[#This Row],[ASSLY MARK]],PartList[[#This Row],[BOX NO]],PartList[[#This Row],[In/Out]],PartList[[#This Row],[O1-Grid]])</f>
        <v>2BE26#Box2#O</v>
      </c>
      <c r="N705" t="str">
        <f>_xlfn.TEXTJOIN("#",TRUE,PartList[[#This Row],[ASSLY MARK]],PartList[[#This Row],[BOX NO]],PartList[[#This Row],[In/Out]],PartList[[#This Row],[O2-Grid]])</f>
        <v>2BE26#Box2#O</v>
      </c>
      <c r="O705">
        <f>IF(PartList[[#This Row],[Unique]]="Yes",_xlfn.XLOOKUP(PartList[[#This Row],[ASSLY MARK]],FilteredPL!A:A,FilteredPL!B:B,0,0),0)</f>
        <v>0</v>
      </c>
      <c r="P705">
        <f>_xlfn.XLOOKUP(PartList[[#This Row],[ASSLY MARK]],MasterPL[SplitMarkNo],MasterPL[BILL WT.(KG)],0,0)</f>
        <v>0</v>
      </c>
      <c r="Q705" cm="1">
        <f t="array" ref="Q70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05" t="str">
        <v>VB43</v>
      </c>
      <c r="AB705" s="42">
        <f>SUMIF(PartList[ASSLY MARK],AA705,PartList[Avail. Qty])</f>
        <v>0</v>
      </c>
    </row>
    <row r="706" spans="1:28" x14ac:dyDescent="0.25">
      <c r="A706">
        <v>230</v>
      </c>
      <c r="B706" t="s">
        <v>175</v>
      </c>
      <c r="C706" t="s">
        <v>547</v>
      </c>
      <c r="D706" t="s">
        <v>649</v>
      </c>
      <c r="E706" t="s">
        <v>5</v>
      </c>
      <c r="F706" t="str" cm="1">
        <f t="array" ref="F706">IF(SUM(IF(PartList[ASSLY MARK]=PartList[[#This Row],[ASSLY MARK]],1,0))&gt;1,"No","Yes")</f>
        <v>Yes</v>
      </c>
      <c r="G706" t="str" cm="1">
        <f t="array" ref="G706">_xlfn.TEXTJOIN("_",TRUE,TRIM(_xlfn.TEXTSPLIT(PartList[[#This Row],[GRID LOCATION]],{"PR01","/","-"})))</f>
        <v>12_13_A_B</v>
      </c>
      <c r="H706" t="str" cm="1">
        <f t="array" ref="H70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06" cm="1">
        <f t="array" ref="I70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06" t="str">
        <f>IF(IFERROR(SEARCH("&gt;",PartList[[#This Row],[ID]]),0),"O",IF(IFERROR(SEARCH("&lt;",PartList[[#This Row],[ID]]),0),"I",""))</f>
        <v/>
      </c>
      <c r="K706" t="str" cm="1">
        <f t="array" ref="K7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06" t="str" cm="1">
        <f t="array" ref="L7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06" t="str">
        <f>_xlfn.TEXTJOIN("#",TRUE,PartList[[#This Row],[ASSLY MARK]],PartList[[#This Row],[BOX NO]],PartList[[#This Row],[In/Out]],PartList[[#This Row],[O1-Grid]])</f>
        <v>2BE27#Box2#InB</v>
      </c>
      <c r="N706" t="str">
        <f>_xlfn.TEXTJOIN("#",TRUE,PartList[[#This Row],[ASSLY MARK]],PartList[[#This Row],[BOX NO]],PartList[[#This Row],[In/Out]],PartList[[#This Row],[O2-Grid]])</f>
        <v>2BE27#Box2#InB</v>
      </c>
      <c r="O706">
        <f>IF(PartList[[#This Row],[Unique]]="Yes",_xlfn.XLOOKUP(PartList[[#This Row],[ASSLY MARK]],FilteredPL!A:A,FilteredPL!B:B,0,0),0)</f>
        <v>0</v>
      </c>
      <c r="P706">
        <f>_xlfn.XLOOKUP(PartList[[#This Row],[ASSLY MARK]],MasterPL[SplitMarkNo],MasterPL[BILL WT.(KG)],0,0)</f>
        <v>0</v>
      </c>
      <c r="Q706" cm="1">
        <f t="array" ref="Q70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06" t="str">
        <v>VB44</v>
      </c>
      <c r="AB706" s="42">
        <f>SUMIF(PartList[ASSLY MARK],AA706,PartList[Avail. Qty])</f>
        <v>0</v>
      </c>
    </row>
    <row r="707" spans="1:28" x14ac:dyDescent="0.25">
      <c r="A707">
        <v>231</v>
      </c>
      <c r="B707" t="s">
        <v>176</v>
      </c>
      <c r="C707" t="s">
        <v>558</v>
      </c>
      <c r="D707" t="s">
        <v>649</v>
      </c>
      <c r="E707" t="s">
        <v>5</v>
      </c>
      <c r="F707" t="str" cm="1">
        <f t="array" ref="F707">IF(SUM(IF(PartList[ASSLY MARK]=PartList[[#This Row],[ASSLY MARK]],1,0))&gt;1,"No","Yes")</f>
        <v>No</v>
      </c>
      <c r="G707" t="str" cm="1">
        <f t="array" ref="G707">_xlfn.TEXTJOIN("_",TRUE,TRIM(_xlfn.TEXTSPLIT(PartList[[#This Row],[GRID LOCATION]],{"PR01","/","-"})))</f>
        <v>12_13_A'_A</v>
      </c>
      <c r="H707" t="str" cm="1">
        <f t="array" ref="H70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707" cm="1">
        <f t="array" ref="I70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07" t="str">
        <f>IF(IFERROR(SEARCH("&gt;",PartList[[#This Row],[ID]]),0),"O",IF(IFERROR(SEARCH("&lt;",PartList[[#This Row],[ID]]),0),"I",""))</f>
        <v/>
      </c>
      <c r="K707" t="str" cm="1">
        <f t="array" ref="K7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07" t="str" cm="1">
        <f t="array" ref="L7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07" t="str">
        <f>_xlfn.TEXTJOIN("#",TRUE,PartList[[#This Row],[ASSLY MARK]],PartList[[#This Row],[BOX NO]],PartList[[#This Row],[In/Out]],PartList[[#This Row],[O1-Grid]])</f>
        <v>2BE28#Box2_Box5#InBB</v>
      </c>
      <c r="N707" t="str">
        <f>_xlfn.TEXTJOIN("#",TRUE,PartList[[#This Row],[ASSLY MARK]],PartList[[#This Row],[BOX NO]],PartList[[#This Row],[In/Out]],PartList[[#This Row],[O2-Grid]])</f>
        <v>2BE28#Box2_Box5#InBB</v>
      </c>
      <c r="O707">
        <f>IF(PartList[[#This Row],[Unique]]="Yes",_xlfn.XLOOKUP(PartList[[#This Row],[ASSLY MARK]],FilteredPL!A:A,FilteredPL!B:B,0,0),0)</f>
        <v>0</v>
      </c>
      <c r="P707">
        <f>_xlfn.XLOOKUP(PartList[[#This Row],[ASSLY MARK]],MasterPL[SplitMarkNo],MasterPL[BILL WT.(KG)],0,0)</f>
        <v>0</v>
      </c>
      <c r="Q707" cm="1">
        <f t="array" ref="Q70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07" t="str">
        <v>VB46</v>
      </c>
      <c r="AB707" s="42">
        <f>SUMIF(PartList[ASSLY MARK],AA707,PartList[Avail. Qty])</f>
        <v>0</v>
      </c>
    </row>
    <row r="708" spans="1:28" x14ac:dyDescent="0.25">
      <c r="A708">
        <v>232</v>
      </c>
      <c r="B708" t="s">
        <v>176</v>
      </c>
      <c r="C708" t="s">
        <v>558</v>
      </c>
      <c r="D708" t="s">
        <v>649</v>
      </c>
      <c r="E708" t="s">
        <v>5</v>
      </c>
      <c r="F708" t="str" cm="1">
        <f t="array" ref="F708">IF(SUM(IF(PartList[ASSLY MARK]=PartList[[#This Row],[ASSLY MARK]],1,0))&gt;1,"No","Yes")</f>
        <v>No</v>
      </c>
      <c r="G708" t="str" cm="1">
        <f t="array" ref="G708">_xlfn.TEXTJOIN("_",TRUE,TRIM(_xlfn.TEXTSPLIT(PartList[[#This Row],[GRID LOCATION]],{"PR01","/","-"})))</f>
        <v>12_13_A'_A</v>
      </c>
      <c r="H708" t="str" cm="1">
        <f t="array" ref="H70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708" cm="1">
        <f t="array" ref="I70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08" t="str">
        <f>IF(IFERROR(SEARCH("&gt;",PartList[[#This Row],[ID]]),0),"O",IF(IFERROR(SEARCH("&lt;",PartList[[#This Row],[ID]]),0),"I",""))</f>
        <v/>
      </c>
      <c r="K708" t="str" cm="1">
        <f t="array" ref="K7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08" t="str" cm="1">
        <f t="array" ref="L7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08" t="str">
        <f>_xlfn.TEXTJOIN("#",TRUE,PartList[[#This Row],[ASSLY MARK]],PartList[[#This Row],[BOX NO]],PartList[[#This Row],[In/Out]],PartList[[#This Row],[O1-Grid]])</f>
        <v>2BE28#Box2_Box5#InBB</v>
      </c>
      <c r="N708" t="str">
        <f>_xlfn.TEXTJOIN("#",TRUE,PartList[[#This Row],[ASSLY MARK]],PartList[[#This Row],[BOX NO]],PartList[[#This Row],[In/Out]],PartList[[#This Row],[O2-Grid]])</f>
        <v>2BE28#Box2_Box5#InBB</v>
      </c>
      <c r="O708">
        <f>IF(PartList[[#This Row],[Unique]]="Yes",_xlfn.XLOOKUP(PartList[[#This Row],[ASSLY MARK]],FilteredPL!A:A,FilteredPL!B:B,0,0),0)</f>
        <v>0</v>
      </c>
      <c r="P708">
        <f>_xlfn.XLOOKUP(PartList[[#This Row],[ASSLY MARK]],MasterPL[SplitMarkNo],MasterPL[BILL WT.(KG)],0,0)</f>
        <v>0</v>
      </c>
      <c r="Q708" cm="1">
        <f t="array" ref="Q70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08" t="str">
        <v>VB49</v>
      </c>
      <c r="AB708" s="42">
        <f>SUMIF(PartList[ASSLY MARK],AA708,PartList[Avail. Qty])</f>
        <v>0</v>
      </c>
    </row>
    <row r="709" spans="1:28" x14ac:dyDescent="0.25">
      <c r="A709">
        <v>233</v>
      </c>
      <c r="B709" t="s">
        <v>176</v>
      </c>
      <c r="C709" t="s">
        <v>558</v>
      </c>
      <c r="D709" t="s">
        <v>649</v>
      </c>
      <c r="E709" t="s">
        <v>5</v>
      </c>
      <c r="F709" t="str" cm="1">
        <f t="array" ref="F709">IF(SUM(IF(PartList[ASSLY MARK]=PartList[[#This Row],[ASSLY MARK]],1,0))&gt;1,"No","Yes")</f>
        <v>No</v>
      </c>
      <c r="G709" t="str" cm="1">
        <f t="array" ref="G709">_xlfn.TEXTJOIN("_",TRUE,TRIM(_xlfn.TEXTSPLIT(PartList[[#This Row],[GRID LOCATION]],{"PR01","/","-"})))</f>
        <v>12_13_A'_A</v>
      </c>
      <c r="H709" t="str" cm="1">
        <f t="array" ref="H70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709" cm="1">
        <f t="array" ref="I70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09" t="str">
        <f>IF(IFERROR(SEARCH("&gt;",PartList[[#This Row],[ID]]),0),"O",IF(IFERROR(SEARCH("&lt;",PartList[[#This Row],[ID]]),0),"I",""))</f>
        <v/>
      </c>
      <c r="K709" t="str" cm="1">
        <f t="array" ref="K7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09" t="str" cm="1">
        <f t="array" ref="L7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09" t="str">
        <f>_xlfn.TEXTJOIN("#",TRUE,PartList[[#This Row],[ASSLY MARK]],PartList[[#This Row],[BOX NO]],PartList[[#This Row],[In/Out]],PartList[[#This Row],[O1-Grid]])</f>
        <v>2BE28#Box2_Box5#InBB</v>
      </c>
      <c r="N709" t="str">
        <f>_xlfn.TEXTJOIN("#",TRUE,PartList[[#This Row],[ASSLY MARK]],PartList[[#This Row],[BOX NO]],PartList[[#This Row],[In/Out]],PartList[[#This Row],[O2-Grid]])</f>
        <v>2BE28#Box2_Box5#InBB</v>
      </c>
      <c r="O709">
        <f>IF(PartList[[#This Row],[Unique]]="Yes",_xlfn.XLOOKUP(PartList[[#This Row],[ASSLY MARK]],FilteredPL!A:A,FilteredPL!B:B,0,0),0)</f>
        <v>0</v>
      </c>
      <c r="P709">
        <f>_xlfn.XLOOKUP(PartList[[#This Row],[ASSLY MARK]],MasterPL[SplitMarkNo],MasterPL[BILL WT.(KG)],0,0)</f>
        <v>0</v>
      </c>
      <c r="Q709" cm="1">
        <f t="array" ref="Q70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09" t="str">
        <v>VB50</v>
      </c>
      <c r="AB709" s="42">
        <f>SUMIF(PartList[ASSLY MARK],AA709,PartList[Avail. Qty])</f>
        <v>0</v>
      </c>
    </row>
    <row r="710" spans="1:28" x14ac:dyDescent="0.25">
      <c r="A710">
        <v>234</v>
      </c>
      <c r="B710" t="s">
        <v>176</v>
      </c>
      <c r="C710" t="s">
        <v>558</v>
      </c>
      <c r="D710" t="s">
        <v>649</v>
      </c>
      <c r="E710" t="s">
        <v>5</v>
      </c>
      <c r="F710" t="str" cm="1">
        <f t="array" ref="F710">IF(SUM(IF(PartList[ASSLY MARK]=PartList[[#This Row],[ASSLY MARK]],1,0))&gt;1,"No","Yes")</f>
        <v>No</v>
      </c>
      <c r="G710" t="str" cm="1">
        <f t="array" ref="G710">_xlfn.TEXTJOIN("_",TRUE,TRIM(_xlfn.TEXTSPLIT(PartList[[#This Row],[GRID LOCATION]],{"PR01","/","-"})))</f>
        <v>12_13_A'_A</v>
      </c>
      <c r="H710" t="str" cm="1">
        <f t="array" ref="H71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710" cm="1">
        <f t="array" ref="I71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10" t="str">
        <f>IF(IFERROR(SEARCH("&gt;",PartList[[#This Row],[ID]]),0),"O",IF(IFERROR(SEARCH("&lt;",PartList[[#This Row],[ID]]),0),"I",""))</f>
        <v/>
      </c>
      <c r="K710" t="str" cm="1">
        <f t="array" ref="K7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10" t="str" cm="1">
        <f t="array" ref="L7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10" t="str">
        <f>_xlfn.TEXTJOIN("#",TRUE,PartList[[#This Row],[ASSLY MARK]],PartList[[#This Row],[BOX NO]],PartList[[#This Row],[In/Out]],PartList[[#This Row],[O1-Grid]])</f>
        <v>2BE28#Box2_Box5#InBB</v>
      </c>
      <c r="N710" t="str">
        <f>_xlfn.TEXTJOIN("#",TRUE,PartList[[#This Row],[ASSLY MARK]],PartList[[#This Row],[BOX NO]],PartList[[#This Row],[In/Out]],PartList[[#This Row],[O2-Grid]])</f>
        <v>2BE28#Box2_Box5#InBB</v>
      </c>
      <c r="O710">
        <f>IF(PartList[[#This Row],[Unique]]="Yes",_xlfn.XLOOKUP(PartList[[#This Row],[ASSLY MARK]],FilteredPL!A:A,FilteredPL!B:B,0,0),0)</f>
        <v>0</v>
      </c>
      <c r="P710">
        <f>_xlfn.XLOOKUP(PartList[[#This Row],[ASSLY MARK]],MasterPL[SplitMarkNo],MasterPL[BILL WT.(KG)],0,0)</f>
        <v>0</v>
      </c>
      <c r="Q710" cm="1">
        <f t="array" ref="Q71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10" t="str">
        <v>VB51</v>
      </c>
      <c r="AB710" s="42">
        <f>SUMIF(PartList[ASSLY MARK],AA710,PartList[Avail. Qty])</f>
        <v>0</v>
      </c>
    </row>
    <row r="711" spans="1:28" x14ac:dyDescent="0.25">
      <c r="A711">
        <v>235</v>
      </c>
      <c r="B711" t="s">
        <v>176</v>
      </c>
      <c r="C711" t="s">
        <v>558</v>
      </c>
      <c r="D711" t="s">
        <v>649</v>
      </c>
      <c r="E711" t="s">
        <v>5</v>
      </c>
      <c r="F711" t="str" cm="1">
        <f t="array" ref="F711">IF(SUM(IF(PartList[ASSLY MARK]=PartList[[#This Row],[ASSLY MARK]],1,0))&gt;1,"No","Yes")</f>
        <v>No</v>
      </c>
      <c r="G711" t="str" cm="1">
        <f t="array" ref="G711">_xlfn.TEXTJOIN("_",TRUE,TRIM(_xlfn.TEXTSPLIT(PartList[[#This Row],[GRID LOCATION]],{"PR01","/","-"})))</f>
        <v>12_13_A'_A</v>
      </c>
      <c r="H711" t="str" cm="1">
        <f t="array" ref="H71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711" cm="1">
        <f t="array" ref="I71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11" t="str">
        <f>IF(IFERROR(SEARCH("&gt;",PartList[[#This Row],[ID]]),0),"O",IF(IFERROR(SEARCH("&lt;",PartList[[#This Row],[ID]]),0),"I",""))</f>
        <v/>
      </c>
      <c r="K711" t="str" cm="1">
        <f t="array" ref="K7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11" t="str" cm="1">
        <f t="array" ref="L7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11" t="str">
        <f>_xlfn.TEXTJOIN("#",TRUE,PartList[[#This Row],[ASSLY MARK]],PartList[[#This Row],[BOX NO]],PartList[[#This Row],[In/Out]],PartList[[#This Row],[O1-Grid]])</f>
        <v>2BE28#Box2_Box5#InBB</v>
      </c>
      <c r="N711" t="str">
        <f>_xlfn.TEXTJOIN("#",TRUE,PartList[[#This Row],[ASSLY MARK]],PartList[[#This Row],[BOX NO]],PartList[[#This Row],[In/Out]],PartList[[#This Row],[O2-Grid]])</f>
        <v>2BE28#Box2_Box5#InBB</v>
      </c>
      <c r="O711">
        <f>IF(PartList[[#This Row],[Unique]]="Yes",_xlfn.XLOOKUP(PartList[[#This Row],[ASSLY MARK]],FilteredPL!A:A,FilteredPL!B:B,0,0),0)</f>
        <v>0</v>
      </c>
      <c r="P711">
        <f>_xlfn.XLOOKUP(PartList[[#This Row],[ASSLY MARK]],MasterPL[SplitMarkNo],MasterPL[BILL WT.(KG)],0,0)</f>
        <v>0</v>
      </c>
      <c r="Q711" cm="1">
        <f t="array" ref="Q71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11" t="str">
        <v>VB53</v>
      </c>
      <c r="AB711" s="42">
        <f>SUMIF(PartList[ASSLY MARK],AA711,PartList[Avail. Qty])</f>
        <v>0</v>
      </c>
    </row>
    <row r="712" spans="1:28" x14ac:dyDescent="0.25">
      <c r="A712">
        <v>236</v>
      </c>
      <c r="B712" t="s">
        <v>177</v>
      </c>
      <c r="C712" t="s">
        <v>561</v>
      </c>
      <c r="D712" t="s">
        <v>649</v>
      </c>
      <c r="E712" t="s">
        <v>5</v>
      </c>
      <c r="F712" t="str" cm="1">
        <f t="array" ref="F712">IF(SUM(IF(PartList[ASSLY MARK]=PartList[[#This Row],[ASSLY MARK]],1,0))&gt;1,"No","Yes")</f>
        <v>No</v>
      </c>
      <c r="G712" t="str" cm="1">
        <f t="array" ref="G712">_xlfn.TEXTJOIN("_",TRUE,TRIM(_xlfn.TEXTSPLIT(PartList[[#This Row],[GRID LOCATION]],{"PR01","/","-"})))</f>
        <v>12_13_B&gt;</v>
      </c>
      <c r="H712" t="str" cm="1">
        <f t="array" ref="H71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12" cm="1">
        <f t="array" ref="I71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12" t="str">
        <f>IF(IFERROR(SEARCH("&gt;",PartList[[#This Row],[ID]]),0),"O",IF(IFERROR(SEARCH("&lt;",PartList[[#This Row],[ID]]),0),"I",""))</f>
        <v>O</v>
      </c>
      <c r="K712" t="str" cm="1">
        <f t="array" ref="K7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12" t="str" cm="1">
        <f t="array" ref="L7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12" t="str">
        <f>_xlfn.TEXTJOIN("#",TRUE,PartList[[#This Row],[ASSLY MARK]],PartList[[#This Row],[BOX NO]],PartList[[#This Row],[In/Out]],PartList[[#This Row],[O1-Grid]])</f>
        <v>2BE29#Box2#O</v>
      </c>
      <c r="N712" t="str">
        <f>_xlfn.TEXTJOIN("#",TRUE,PartList[[#This Row],[ASSLY MARK]],PartList[[#This Row],[BOX NO]],PartList[[#This Row],[In/Out]],PartList[[#This Row],[O2-Grid]])</f>
        <v>2BE29#Box2#O</v>
      </c>
      <c r="O712">
        <f>IF(PartList[[#This Row],[Unique]]="Yes",_xlfn.XLOOKUP(PartList[[#This Row],[ASSLY MARK]],FilteredPL!A:A,FilteredPL!B:B,0,0),0)</f>
        <v>0</v>
      </c>
      <c r="P712">
        <f>_xlfn.XLOOKUP(PartList[[#This Row],[ASSLY MARK]],MasterPL[SplitMarkNo],MasterPL[BILL WT.(KG)],0,0)</f>
        <v>0</v>
      </c>
      <c r="Q712" cm="1">
        <f t="array" ref="Q71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12" t="str">
        <v>VB54</v>
      </c>
      <c r="AB712" s="42">
        <f>SUMIF(PartList[ASSLY MARK],AA712,PartList[Avail. Qty])</f>
        <v>0</v>
      </c>
    </row>
    <row r="713" spans="1:28" x14ac:dyDescent="0.25">
      <c r="A713">
        <v>237</v>
      </c>
      <c r="B713" t="s">
        <v>177</v>
      </c>
      <c r="C713" t="s">
        <v>561</v>
      </c>
      <c r="D713" t="s">
        <v>649</v>
      </c>
      <c r="E713" t="s">
        <v>5</v>
      </c>
      <c r="F713" t="str" cm="1">
        <f t="array" ref="F713">IF(SUM(IF(PartList[ASSLY MARK]=PartList[[#This Row],[ASSLY MARK]],1,0))&gt;1,"No","Yes")</f>
        <v>No</v>
      </c>
      <c r="G713" t="str" cm="1">
        <f t="array" ref="G713">_xlfn.TEXTJOIN("_",TRUE,TRIM(_xlfn.TEXTSPLIT(PartList[[#This Row],[GRID LOCATION]],{"PR01","/","-"})))</f>
        <v>12_13_B&gt;</v>
      </c>
      <c r="H713" t="str" cm="1">
        <f t="array" ref="H71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13" cm="1">
        <f t="array" ref="I71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13" t="str">
        <f>IF(IFERROR(SEARCH("&gt;",PartList[[#This Row],[ID]]),0),"O",IF(IFERROR(SEARCH("&lt;",PartList[[#This Row],[ID]]),0),"I",""))</f>
        <v>O</v>
      </c>
      <c r="K713" t="str" cm="1">
        <f t="array" ref="K7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13" t="str" cm="1">
        <f t="array" ref="L7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13" t="str">
        <f>_xlfn.TEXTJOIN("#",TRUE,PartList[[#This Row],[ASSLY MARK]],PartList[[#This Row],[BOX NO]],PartList[[#This Row],[In/Out]],PartList[[#This Row],[O1-Grid]])</f>
        <v>2BE29#Box2#O</v>
      </c>
      <c r="N713" t="str">
        <f>_xlfn.TEXTJOIN("#",TRUE,PartList[[#This Row],[ASSLY MARK]],PartList[[#This Row],[BOX NO]],PartList[[#This Row],[In/Out]],PartList[[#This Row],[O2-Grid]])</f>
        <v>2BE29#Box2#O</v>
      </c>
      <c r="O713">
        <f>IF(PartList[[#This Row],[Unique]]="Yes",_xlfn.XLOOKUP(PartList[[#This Row],[ASSLY MARK]],FilteredPL!A:A,FilteredPL!B:B,0,0),0)</f>
        <v>0</v>
      </c>
      <c r="P713">
        <f>_xlfn.XLOOKUP(PartList[[#This Row],[ASSLY MARK]],MasterPL[SplitMarkNo],MasterPL[BILL WT.(KG)],0,0)</f>
        <v>0</v>
      </c>
      <c r="Q713" cm="1">
        <f t="array" ref="Q71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13" t="str">
        <v>VB55</v>
      </c>
      <c r="AB713" s="42">
        <f>SUMIF(PartList[ASSLY MARK],AA713,PartList[Avail. Qty])</f>
        <v>0</v>
      </c>
    </row>
    <row r="714" spans="1:28" x14ac:dyDescent="0.25">
      <c r="A714">
        <v>238</v>
      </c>
      <c r="B714" t="s">
        <v>177</v>
      </c>
      <c r="C714" t="s">
        <v>561</v>
      </c>
      <c r="D714" t="s">
        <v>649</v>
      </c>
      <c r="E714" t="s">
        <v>5</v>
      </c>
      <c r="F714" t="str" cm="1">
        <f t="array" ref="F714">IF(SUM(IF(PartList[ASSLY MARK]=PartList[[#This Row],[ASSLY MARK]],1,0))&gt;1,"No","Yes")</f>
        <v>No</v>
      </c>
      <c r="G714" t="str" cm="1">
        <f t="array" ref="G714">_xlfn.TEXTJOIN("_",TRUE,TRIM(_xlfn.TEXTSPLIT(PartList[[#This Row],[GRID LOCATION]],{"PR01","/","-"})))</f>
        <v>12_13_B&gt;</v>
      </c>
      <c r="H714" t="str" cm="1">
        <f t="array" ref="H71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14" cm="1">
        <f t="array" ref="I71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14" t="str">
        <f>IF(IFERROR(SEARCH("&gt;",PartList[[#This Row],[ID]]),0),"O",IF(IFERROR(SEARCH("&lt;",PartList[[#This Row],[ID]]),0),"I",""))</f>
        <v>O</v>
      </c>
      <c r="K714" t="str" cm="1">
        <f t="array" ref="K7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14" t="str" cm="1">
        <f t="array" ref="L7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14" t="str">
        <f>_xlfn.TEXTJOIN("#",TRUE,PartList[[#This Row],[ASSLY MARK]],PartList[[#This Row],[BOX NO]],PartList[[#This Row],[In/Out]],PartList[[#This Row],[O1-Grid]])</f>
        <v>2BE29#Box2#O</v>
      </c>
      <c r="N714" t="str">
        <f>_xlfn.TEXTJOIN("#",TRUE,PartList[[#This Row],[ASSLY MARK]],PartList[[#This Row],[BOX NO]],PartList[[#This Row],[In/Out]],PartList[[#This Row],[O2-Grid]])</f>
        <v>2BE29#Box2#O</v>
      </c>
      <c r="O714">
        <f>IF(PartList[[#This Row],[Unique]]="Yes",_xlfn.XLOOKUP(PartList[[#This Row],[ASSLY MARK]],FilteredPL!A:A,FilteredPL!B:B,0,0),0)</f>
        <v>0</v>
      </c>
      <c r="P714">
        <f>_xlfn.XLOOKUP(PartList[[#This Row],[ASSLY MARK]],MasterPL[SplitMarkNo],MasterPL[BILL WT.(KG)],0,0)</f>
        <v>0</v>
      </c>
      <c r="Q714" cm="1">
        <f t="array" ref="Q71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14" t="str">
        <v>VB56</v>
      </c>
      <c r="AB714" s="42">
        <f>SUMIF(PartList[ASSLY MARK],AA714,PartList[Avail. Qty])</f>
        <v>0</v>
      </c>
    </row>
    <row r="715" spans="1:28" x14ac:dyDescent="0.25">
      <c r="A715">
        <v>239</v>
      </c>
      <c r="B715" t="s">
        <v>177</v>
      </c>
      <c r="C715" t="s">
        <v>561</v>
      </c>
      <c r="D715" t="s">
        <v>649</v>
      </c>
      <c r="E715" t="s">
        <v>5</v>
      </c>
      <c r="F715" t="str" cm="1">
        <f t="array" ref="F715">IF(SUM(IF(PartList[ASSLY MARK]=PartList[[#This Row],[ASSLY MARK]],1,0))&gt;1,"No","Yes")</f>
        <v>No</v>
      </c>
      <c r="G715" t="str" cm="1">
        <f t="array" ref="G715">_xlfn.TEXTJOIN("_",TRUE,TRIM(_xlfn.TEXTSPLIT(PartList[[#This Row],[GRID LOCATION]],{"PR01","/","-"})))</f>
        <v>12_13_B&gt;</v>
      </c>
      <c r="H715" t="str" cm="1">
        <f t="array" ref="H71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15" cm="1">
        <f t="array" ref="I71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15" t="str">
        <f>IF(IFERROR(SEARCH("&gt;",PartList[[#This Row],[ID]]),0),"O",IF(IFERROR(SEARCH("&lt;",PartList[[#This Row],[ID]]),0),"I",""))</f>
        <v>O</v>
      </c>
      <c r="K715" t="str" cm="1">
        <f t="array" ref="K7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15" t="str" cm="1">
        <f t="array" ref="L7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15" t="str">
        <f>_xlfn.TEXTJOIN("#",TRUE,PartList[[#This Row],[ASSLY MARK]],PartList[[#This Row],[BOX NO]],PartList[[#This Row],[In/Out]],PartList[[#This Row],[O1-Grid]])</f>
        <v>2BE29#Box2#O</v>
      </c>
      <c r="N715" t="str">
        <f>_xlfn.TEXTJOIN("#",TRUE,PartList[[#This Row],[ASSLY MARK]],PartList[[#This Row],[BOX NO]],PartList[[#This Row],[In/Out]],PartList[[#This Row],[O2-Grid]])</f>
        <v>2BE29#Box2#O</v>
      </c>
      <c r="O715">
        <f>IF(PartList[[#This Row],[Unique]]="Yes",_xlfn.XLOOKUP(PartList[[#This Row],[ASSLY MARK]],FilteredPL!A:A,FilteredPL!B:B,0,0),0)</f>
        <v>0</v>
      </c>
      <c r="P715">
        <f>_xlfn.XLOOKUP(PartList[[#This Row],[ASSLY MARK]],MasterPL[SplitMarkNo],MasterPL[BILL WT.(KG)],0,0)</f>
        <v>0</v>
      </c>
      <c r="Q715" cm="1">
        <f t="array" ref="Q71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15" t="str">
        <v>VB57</v>
      </c>
      <c r="AB715" s="42">
        <f>SUMIF(PartList[ASSLY MARK],AA715,PartList[Avail. Qty])</f>
        <v>0</v>
      </c>
    </row>
    <row r="716" spans="1:28" x14ac:dyDescent="0.25">
      <c r="A716">
        <v>240</v>
      </c>
      <c r="B716" t="s">
        <v>177</v>
      </c>
      <c r="C716" t="s">
        <v>561</v>
      </c>
      <c r="D716" t="s">
        <v>649</v>
      </c>
      <c r="E716" t="s">
        <v>5</v>
      </c>
      <c r="F716" t="str" cm="1">
        <f t="array" ref="F716">IF(SUM(IF(PartList[ASSLY MARK]=PartList[[#This Row],[ASSLY MARK]],1,0))&gt;1,"No","Yes")</f>
        <v>No</v>
      </c>
      <c r="G716" t="str" cm="1">
        <f t="array" ref="G716">_xlfn.TEXTJOIN("_",TRUE,TRIM(_xlfn.TEXTSPLIT(PartList[[#This Row],[GRID LOCATION]],{"PR01","/","-"})))</f>
        <v>12_13_B&gt;</v>
      </c>
      <c r="H716" t="str" cm="1">
        <f t="array" ref="H71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16" cm="1">
        <f t="array" ref="I71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16" t="str">
        <f>IF(IFERROR(SEARCH("&gt;",PartList[[#This Row],[ID]]),0),"O",IF(IFERROR(SEARCH("&lt;",PartList[[#This Row],[ID]]),0),"I",""))</f>
        <v>O</v>
      </c>
      <c r="K716" t="str" cm="1">
        <f t="array" ref="K7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16" t="str" cm="1">
        <f t="array" ref="L7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16" t="str">
        <f>_xlfn.TEXTJOIN("#",TRUE,PartList[[#This Row],[ASSLY MARK]],PartList[[#This Row],[BOX NO]],PartList[[#This Row],[In/Out]],PartList[[#This Row],[O1-Grid]])</f>
        <v>2BE29#Box2#O</v>
      </c>
      <c r="N716" t="str">
        <f>_xlfn.TEXTJOIN("#",TRUE,PartList[[#This Row],[ASSLY MARK]],PartList[[#This Row],[BOX NO]],PartList[[#This Row],[In/Out]],PartList[[#This Row],[O2-Grid]])</f>
        <v>2BE29#Box2#O</v>
      </c>
      <c r="O716">
        <f>IF(PartList[[#This Row],[Unique]]="Yes",_xlfn.XLOOKUP(PartList[[#This Row],[ASSLY MARK]],FilteredPL!A:A,FilteredPL!B:B,0,0),0)</f>
        <v>0</v>
      </c>
      <c r="P716">
        <f>_xlfn.XLOOKUP(PartList[[#This Row],[ASSLY MARK]],MasterPL[SplitMarkNo],MasterPL[BILL WT.(KG)],0,0)</f>
        <v>0</v>
      </c>
      <c r="Q716" cm="1">
        <f t="array" ref="Q71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16" t="str">
        <v>VB58</v>
      </c>
      <c r="AB716" s="42">
        <f>SUMIF(PartList[ASSLY MARK],AA716,PartList[Avail. Qty])</f>
        <v>0</v>
      </c>
    </row>
    <row r="717" spans="1:28" x14ac:dyDescent="0.25">
      <c r="A717">
        <v>241</v>
      </c>
      <c r="B717" t="s">
        <v>178</v>
      </c>
      <c r="C717" t="s">
        <v>547</v>
      </c>
      <c r="D717" t="s">
        <v>649</v>
      </c>
      <c r="E717" t="s">
        <v>5</v>
      </c>
      <c r="F717" t="str" cm="1">
        <f t="array" ref="F717">IF(SUM(IF(PartList[ASSLY MARK]=PartList[[#This Row],[ASSLY MARK]],1,0))&gt;1,"No","Yes")</f>
        <v>Yes</v>
      </c>
      <c r="G717" t="str" cm="1">
        <f t="array" ref="G717">_xlfn.TEXTJOIN("_",TRUE,TRIM(_xlfn.TEXTSPLIT(PartList[[#This Row],[GRID LOCATION]],{"PR01","/","-"})))</f>
        <v>12_13_A_B</v>
      </c>
      <c r="H717" t="str" cm="1">
        <f t="array" ref="H71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17" cm="1">
        <f t="array" ref="I71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17" t="str">
        <f>IF(IFERROR(SEARCH("&gt;",PartList[[#This Row],[ID]]),0),"O",IF(IFERROR(SEARCH("&lt;",PartList[[#This Row],[ID]]),0),"I",""))</f>
        <v/>
      </c>
      <c r="K717" t="str" cm="1">
        <f t="array" ref="K7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17" t="str" cm="1">
        <f t="array" ref="L7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17" t="str">
        <f>_xlfn.TEXTJOIN("#",TRUE,PartList[[#This Row],[ASSLY MARK]],PartList[[#This Row],[BOX NO]],PartList[[#This Row],[In/Out]],PartList[[#This Row],[O1-Grid]])</f>
        <v>2BE30#Box2#InB</v>
      </c>
      <c r="N717" t="str">
        <f>_xlfn.TEXTJOIN("#",TRUE,PartList[[#This Row],[ASSLY MARK]],PartList[[#This Row],[BOX NO]],PartList[[#This Row],[In/Out]],PartList[[#This Row],[O2-Grid]])</f>
        <v>2BE30#Box2#InB</v>
      </c>
      <c r="O717">
        <f>IF(PartList[[#This Row],[Unique]]="Yes",_xlfn.XLOOKUP(PartList[[#This Row],[ASSLY MARK]],FilteredPL!A:A,FilteredPL!B:B,0,0),0)</f>
        <v>0</v>
      </c>
      <c r="P717">
        <f>_xlfn.XLOOKUP(PartList[[#This Row],[ASSLY MARK]],MasterPL[SplitMarkNo],MasterPL[BILL WT.(KG)],0,0)</f>
        <v>0</v>
      </c>
      <c r="Q717" cm="1">
        <f t="array" ref="Q71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17" t="str">
        <v>VB91</v>
      </c>
      <c r="AB717" s="42">
        <f>SUMIF(PartList[ASSLY MARK],AA717,PartList[Avail. Qty])</f>
        <v>0</v>
      </c>
    </row>
    <row r="718" spans="1:28" x14ac:dyDescent="0.25">
      <c r="A718">
        <v>242</v>
      </c>
      <c r="B718" t="s">
        <v>179</v>
      </c>
      <c r="C718" t="s">
        <v>561</v>
      </c>
      <c r="D718" t="s">
        <v>649</v>
      </c>
      <c r="E718" t="s">
        <v>5</v>
      </c>
      <c r="F718" t="str" cm="1">
        <f t="array" ref="F718">IF(SUM(IF(PartList[ASSLY MARK]=PartList[[#This Row],[ASSLY MARK]],1,0))&gt;1,"No","Yes")</f>
        <v>Yes</v>
      </c>
      <c r="G718" t="str" cm="1">
        <f t="array" ref="G718">_xlfn.TEXTJOIN("_",TRUE,TRIM(_xlfn.TEXTSPLIT(PartList[[#This Row],[GRID LOCATION]],{"PR01","/","-"})))</f>
        <v>12_13_B&gt;</v>
      </c>
      <c r="H718" t="str" cm="1">
        <f t="array" ref="H71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18" cm="1">
        <f t="array" ref="I71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18" t="str">
        <f>IF(IFERROR(SEARCH("&gt;",PartList[[#This Row],[ID]]),0),"O",IF(IFERROR(SEARCH("&lt;",PartList[[#This Row],[ID]]),0),"I",""))</f>
        <v>O</v>
      </c>
      <c r="K718" t="str" cm="1">
        <f t="array" ref="K7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18" t="str" cm="1">
        <f t="array" ref="L7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18" t="str">
        <f>_xlfn.TEXTJOIN("#",TRUE,PartList[[#This Row],[ASSLY MARK]],PartList[[#This Row],[BOX NO]],PartList[[#This Row],[In/Out]],PartList[[#This Row],[O1-Grid]])</f>
        <v>2BE31#Box2#O</v>
      </c>
      <c r="N718" t="str">
        <f>_xlfn.TEXTJOIN("#",TRUE,PartList[[#This Row],[ASSLY MARK]],PartList[[#This Row],[BOX NO]],PartList[[#This Row],[In/Out]],PartList[[#This Row],[O2-Grid]])</f>
        <v>2BE31#Box2#O</v>
      </c>
      <c r="O718">
        <f>IF(PartList[[#This Row],[Unique]]="Yes",_xlfn.XLOOKUP(PartList[[#This Row],[ASSLY MARK]],FilteredPL!A:A,FilteredPL!B:B,0,0),0)</f>
        <v>0</v>
      </c>
      <c r="P718">
        <f>_xlfn.XLOOKUP(PartList[[#This Row],[ASSLY MARK]],MasterPL[SplitMarkNo],MasterPL[BILL WT.(KG)],0,0)</f>
        <v>0</v>
      </c>
      <c r="Q718" cm="1">
        <f t="array" ref="Q71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18" t="str">
        <v>VB94</v>
      </c>
      <c r="AB718" s="42">
        <f>SUMIF(PartList[ASSLY MARK],AA718,PartList[Avail. Qty])</f>
        <v>0</v>
      </c>
    </row>
    <row r="719" spans="1:28" x14ac:dyDescent="0.25">
      <c r="A719">
        <v>243</v>
      </c>
      <c r="B719" t="s">
        <v>180</v>
      </c>
      <c r="C719" t="s">
        <v>547</v>
      </c>
      <c r="D719" t="s">
        <v>649</v>
      </c>
      <c r="E719" t="s">
        <v>5</v>
      </c>
      <c r="F719" t="str" cm="1">
        <f t="array" ref="F719">IF(SUM(IF(PartList[ASSLY MARK]=PartList[[#This Row],[ASSLY MARK]],1,0))&gt;1,"No","Yes")</f>
        <v>Yes</v>
      </c>
      <c r="G719" t="str" cm="1">
        <f t="array" ref="G719">_xlfn.TEXTJOIN("_",TRUE,TRIM(_xlfn.TEXTSPLIT(PartList[[#This Row],[GRID LOCATION]],{"PR01","/","-"})))</f>
        <v>12_13_A_B</v>
      </c>
      <c r="H719" t="str" cm="1">
        <f t="array" ref="H71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19" cm="1">
        <f t="array" ref="I71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19" t="str">
        <f>IF(IFERROR(SEARCH("&gt;",PartList[[#This Row],[ID]]),0),"O",IF(IFERROR(SEARCH("&lt;",PartList[[#This Row],[ID]]),0),"I",""))</f>
        <v/>
      </c>
      <c r="K719" t="str" cm="1">
        <f t="array" ref="K7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19" t="str" cm="1">
        <f t="array" ref="L7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19" t="str">
        <f>_xlfn.TEXTJOIN("#",TRUE,PartList[[#This Row],[ASSLY MARK]],PartList[[#This Row],[BOX NO]],PartList[[#This Row],[In/Out]],PartList[[#This Row],[O1-Grid]])</f>
        <v>2BE32#Box2#InB</v>
      </c>
      <c r="N719" t="str">
        <f>_xlfn.TEXTJOIN("#",TRUE,PartList[[#This Row],[ASSLY MARK]],PartList[[#This Row],[BOX NO]],PartList[[#This Row],[In/Out]],PartList[[#This Row],[O2-Grid]])</f>
        <v>2BE32#Box2#InB</v>
      </c>
      <c r="O719">
        <f>IF(PartList[[#This Row],[Unique]]="Yes",_xlfn.XLOOKUP(PartList[[#This Row],[ASSLY MARK]],FilteredPL!A:A,FilteredPL!B:B,0,0),0)</f>
        <v>0</v>
      </c>
      <c r="P719">
        <f>_xlfn.XLOOKUP(PartList[[#This Row],[ASSLY MARK]],MasterPL[SplitMarkNo],MasterPL[BILL WT.(KG)],0,0)</f>
        <v>0</v>
      </c>
      <c r="Q719" cm="1">
        <f t="array" ref="Q71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19" t="str">
        <v>VB100</v>
      </c>
      <c r="AB719" s="42">
        <f>SUMIF(PartList[ASSLY MARK],AA719,PartList[Avail. Qty])</f>
        <v>0</v>
      </c>
    </row>
    <row r="720" spans="1:28" x14ac:dyDescent="0.25">
      <c r="A720">
        <v>244</v>
      </c>
      <c r="B720" t="s">
        <v>181</v>
      </c>
      <c r="C720" t="s">
        <v>547</v>
      </c>
      <c r="D720" t="s">
        <v>649</v>
      </c>
      <c r="E720" t="s">
        <v>5</v>
      </c>
      <c r="F720" t="str" cm="1">
        <f t="array" ref="F720">IF(SUM(IF(PartList[ASSLY MARK]=PartList[[#This Row],[ASSLY MARK]],1,0))&gt;1,"No","Yes")</f>
        <v>Yes</v>
      </c>
      <c r="G720" t="str" cm="1">
        <f t="array" ref="G720">_xlfn.TEXTJOIN("_",TRUE,TRIM(_xlfn.TEXTSPLIT(PartList[[#This Row],[GRID LOCATION]],{"PR01","/","-"})))</f>
        <v>12_13_A_B</v>
      </c>
      <c r="H720" t="str" cm="1">
        <f t="array" ref="H72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20" cm="1">
        <f t="array" ref="I72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20" t="str">
        <f>IF(IFERROR(SEARCH("&gt;",PartList[[#This Row],[ID]]),0),"O",IF(IFERROR(SEARCH("&lt;",PartList[[#This Row],[ID]]),0),"I",""))</f>
        <v/>
      </c>
      <c r="K720" t="str" cm="1">
        <f t="array" ref="K7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20" t="str" cm="1">
        <f t="array" ref="L7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20" t="str">
        <f>_xlfn.TEXTJOIN("#",TRUE,PartList[[#This Row],[ASSLY MARK]],PartList[[#This Row],[BOX NO]],PartList[[#This Row],[In/Out]],PartList[[#This Row],[O1-Grid]])</f>
        <v>2BE33#Box2#InB</v>
      </c>
      <c r="N720" t="str">
        <f>_xlfn.TEXTJOIN("#",TRUE,PartList[[#This Row],[ASSLY MARK]],PartList[[#This Row],[BOX NO]],PartList[[#This Row],[In/Out]],PartList[[#This Row],[O2-Grid]])</f>
        <v>2BE33#Box2#InB</v>
      </c>
      <c r="O720">
        <f>IF(PartList[[#This Row],[Unique]]="Yes",_xlfn.XLOOKUP(PartList[[#This Row],[ASSLY MARK]],FilteredPL!A:A,FilteredPL!B:B,0,0),0)</f>
        <v>0</v>
      </c>
      <c r="P720">
        <f>_xlfn.XLOOKUP(PartList[[#This Row],[ASSLY MARK]],MasterPL[SplitMarkNo],MasterPL[BILL WT.(KG)],0,0)</f>
        <v>0</v>
      </c>
      <c r="Q720" cm="1">
        <f t="array" ref="Q72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20" t="str">
        <v>VB101</v>
      </c>
      <c r="AB720" s="42">
        <f>SUMIF(PartList[ASSLY MARK],AA720,PartList[Avail. Qty])</f>
        <v>0</v>
      </c>
    </row>
    <row r="721" spans="1:28" x14ac:dyDescent="0.25">
      <c r="A721">
        <v>245</v>
      </c>
      <c r="B721" t="s">
        <v>182</v>
      </c>
      <c r="C721" t="s">
        <v>554</v>
      </c>
      <c r="D721" t="s">
        <v>649</v>
      </c>
      <c r="E721" t="s">
        <v>5</v>
      </c>
      <c r="F721" t="str" cm="1">
        <f t="array" ref="F721">IF(SUM(IF(PartList[ASSLY MARK]=PartList[[#This Row],[ASSLY MARK]],1,0))&gt;1,"No","Yes")</f>
        <v>Yes</v>
      </c>
      <c r="G721" t="str" cm="1">
        <f t="array" ref="G721">_xlfn.TEXTJOIN("_",TRUE,TRIM(_xlfn.TEXTSPLIT(PartList[[#This Row],[GRID LOCATION]],{"PR01","/","-"})))</f>
        <v>12_13_A</v>
      </c>
      <c r="H721" t="str" cm="1">
        <f t="array" ref="H72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21" cm="1">
        <f t="array" ref="I72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21" t="str">
        <f>IF(IFERROR(SEARCH("&gt;",PartList[[#This Row],[ID]]),0),"O",IF(IFERROR(SEARCH("&lt;",PartList[[#This Row],[ID]]),0),"I",""))</f>
        <v/>
      </c>
      <c r="K721" t="str" cm="1">
        <f t="array" ref="K7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21" t="str" cm="1">
        <f t="array" ref="L7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721" t="str">
        <f>_xlfn.TEXTJOIN("#",TRUE,PartList[[#This Row],[ASSLY MARK]],PartList[[#This Row],[BOX NO]],PartList[[#This Row],[In/Out]],PartList[[#This Row],[O1-Grid]])</f>
        <v>2BE34#Box2#InB</v>
      </c>
      <c r="N721" t="str">
        <f>_xlfn.TEXTJOIN("#",TRUE,PartList[[#This Row],[ASSLY MARK]],PartList[[#This Row],[BOX NO]],PartList[[#This Row],[In/Out]],PartList[[#This Row],[O2-Grid]])</f>
        <v>2BE34#Box2#12_13_A</v>
      </c>
      <c r="O721">
        <f>IF(PartList[[#This Row],[Unique]]="Yes",_xlfn.XLOOKUP(PartList[[#This Row],[ASSLY MARK]],FilteredPL!A:A,FilteredPL!B:B,0,0),0)</f>
        <v>0</v>
      </c>
      <c r="P721">
        <f>_xlfn.XLOOKUP(PartList[[#This Row],[ASSLY MARK]],MasterPL[SplitMarkNo],MasterPL[BILL WT.(KG)],0,0)</f>
        <v>0</v>
      </c>
      <c r="Q721" cm="1">
        <f t="array" ref="Q72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21" t="str">
        <v>VB102</v>
      </c>
      <c r="AB721" s="42">
        <f>SUMIF(PartList[ASSLY MARK],AA721,PartList[Avail. Qty])</f>
        <v>0</v>
      </c>
    </row>
    <row r="722" spans="1:28" x14ac:dyDescent="0.25">
      <c r="A722">
        <v>246</v>
      </c>
      <c r="B722" t="s">
        <v>183</v>
      </c>
      <c r="C722" t="s">
        <v>556</v>
      </c>
      <c r="D722" t="s">
        <v>649</v>
      </c>
      <c r="E722" t="s">
        <v>5</v>
      </c>
      <c r="F722" t="str" cm="1">
        <f t="array" ref="F722">IF(SUM(IF(PartList[ASSLY MARK]=PartList[[#This Row],[ASSLY MARK]],1,0))&gt;1,"No","Yes")</f>
        <v>Yes</v>
      </c>
      <c r="G722" t="str" cm="1">
        <f t="array" ref="G722">_xlfn.TEXTJOIN("_",TRUE,TRIM(_xlfn.TEXTSPLIT(PartList[[#This Row],[GRID LOCATION]],{"PR01","/","-"})))</f>
        <v>12_13_B</v>
      </c>
      <c r="H722" t="str" cm="1">
        <f t="array" ref="H72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22" cm="1">
        <f t="array" ref="I72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22" t="str">
        <f>IF(IFERROR(SEARCH("&gt;",PartList[[#This Row],[ID]]),0),"O",IF(IFERROR(SEARCH("&lt;",PartList[[#This Row],[ID]]),0),"I",""))</f>
        <v/>
      </c>
      <c r="K722" t="str" cm="1">
        <f t="array" ref="K7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22" t="str" cm="1">
        <f t="array" ref="L7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722" t="str">
        <f>_xlfn.TEXTJOIN("#",TRUE,PartList[[#This Row],[ASSLY MARK]],PartList[[#This Row],[BOX NO]],PartList[[#This Row],[In/Out]],PartList[[#This Row],[O1-Grid]])</f>
        <v>2BE35#Box2#InB</v>
      </c>
      <c r="N722" t="str">
        <f>_xlfn.TEXTJOIN("#",TRUE,PartList[[#This Row],[ASSLY MARK]],PartList[[#This Row],[BOX NO]],PartList[[#This Row],[In/Out]],PartList[[#This Row],[O2-Grid]])</f>
        <v>2BE35#Box2#12_13_B</v>
      </c>
      <c r="O722">
        <f>IF(PartList[[#This Row],[Unique]]="Yes",_xlfn.XLOOKUP(PartList[[#This Row],[ASSLY MARK]],FilteredPL!A:A,FilteredPL!B:B,0,0),0)</f>
        <v>0</v>
      </c>
      <c r="P722">
        <f>_xlfn.XLOOKUP(PartList[[#This Row],[ASSLY MARK]],MasterPL[SplitMarkNo],MasterPL[BILL WT.(KG)],0,0)</f>
        <v>0</v>
      </c>
      <c r="Q722" cm="1">
        <f t="array" ref="Q72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22" t="str">
        <v>1BE20</v>
      </c>
      <c r="AB722" s="42">
        <f>SUMIF(PartList[ASSLY MARK],AA722,PartList[Avail. Qty])</f>
        <v>0</v>
      </c>
    </row>
    <row r="723" spans="1:28" x14ac:dyDescent="0.25">
      <c r="A723">
        <v>247</v>
      </c>
      <c r="B723" t="s">
        <v>666</v>
      </c>
      <c r="C723" t="s">
        <v>561</v>
      </c>
      <c r="D723" t="s">
        <v>649</v>
      </c>
      <c r="E723" t="s">
        <v>5</v>
      </c>
      <c r="F723" t="str" cm="1">
        <f t="array" ref="F723">IF(SUM(IF(PartList[ASSLY MARK]=PartList[[#This Row],[ASSLY MARK]],1,0))&gt;1,"No","Yes")</f>
        <v>Yes</v>
      </c>
      <c r="G723" t="str" cm="1">
        <f t="array" ref="G723">_xlfn.TEXTJOIN("_",TRUE,TRIM(_xlfn.TEXTSPLIT(PartList[[#This Row],[GRID LOCATION]],{"PR01","/","-"})))</f>
        <v>12_13_B&gt;</v>
      </c>
      <c r="H723" t="str" cm="1">
        <f t="array" ref="H72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23" cm="1">
        <f t="array" ref="I72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23" t="str">
        <f>IF(IFERROR(SEARCH("&gt;",PartList[[#This Row],[ID]]),0),"O",IF(IFERROR(SEARCH("&lt;",PartList[[#This Row],[ID]]),0),"I",""))</f>
        <v>O</v>
      </c>
      <c r="K723" t="str" cm="1">
        <f t="array" ref="K7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23" t="str" cm="1">
        <f t="array" ref="L7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23" t="str">
        <f>_xlfn.TEXTJOIN("#",TRUE,PartList[[#This Row],[ASSLY MARK]],PartList[[#This Row],[BOX NO]],PartList[[#This Row],[In/Out]],PartList[[#This Row],[O1-Grid]])</f>
        <v>2BE36#Box2#O</v>
      </c>
      <c r="N723" t="str">
        <f>_xlfn.TEXTJOIN("#",TRUE,PartList[[#This Row],[ASSLY MARK]],PartList[[#This Row],[BOX NO]],PartList[[#This Row],[In/Out]],PartList[[#This Row],[O2-Grid]])</f>
        <v>2BE36#Box2#O</v>
      </c>
      <c r="O723">
        <f>IF(PartList[[#This Row],[Unique]]="Yes",_xlfn.XLOOKUP(PartList[[#This Row],[ASSLY MARK]],FilteredPL!A:A,FilteredPL!B:B,0,0),0)</f>
        <v>0</v>
      </c>
      <c r="P723">
        <f>_xlfn.XLOOKUP(PartList[[#This Row],[ASSLY MARK]],MasterPL[SplitMarkNo],MasterPL[BILL WT.(KG)],0,0)</f>
        <v>0</v>
      </c>
      <c r="Q723" cm="1">
        <f t="array" ref="Q72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23" t="str">
        <v>1BE21</v>
      </c>
      <c r="AB723" s="42">
        <f>SUMIF(PartList[ASSLY MARK],AA723,PartList[Avail. Qty])</f>
        <v>0</v>
      </c>
    </row>
    <row r="724" spans="1:28" x14ac:dyDescent="0.25">
      <c r="A724">
        <v>248</v>
      </c>
      <c r="B724" t="s">
        <v>667</v>
      </c>
      <c r="C724" t="s">
        <v>558</v>
      </c>
      <c r="D724" t="s">
        <v>649</v>
      </c>
      <c r="E724" t="s">
        <v>5</v>
      </c>
      <c r="F724" t="str" cm="1">
        <f t="array" ref="F724">IF(SUM(IF(PartList[ASSLY MARK]=PartList[[#This Row],[ASSLY MARK]],1,0))&gt;1,"No","Yes")</f>
        <v>Yes</v>
      </c>
      <c r="G724" t="str" cm="1">
        <f t="array" ref="G724">_xlfn.TEXTJOIN("_",TRUE,TRIM(_xlfn.TEXTSPLIT(PartList[[#This Row],[GRID LOCATION]],{"PR01","/","-"})))</f>
        <v>12_13_A'_A</v>
      </c>
      <c r="H724" t="str" cm="1">
        <f t="array" ref="H72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724" cm="1">
        <f t="array" ref="I72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24" t="str">
        <f>IF(IFERROR(SEARCH("&gt;",PartList[[#This Row],[ID]]),0),"O",IF(IFERROR(SEARCH("&lt;",PartList[[#This Row],[ID]]),0),"I",""))</f>
        <v/>
      </c>
      <c r="K724" t="str" cm="1">
        <f t="array" ref="K7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24" t="str" cm="1">
        <f t="array" ref="L7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24" t="str">
        <f>_xlfn.TEXTJOIN("#",TRUE,PartList[[#This Row],[ASSLY MARK]],PartList[[#This Row],[BOX NO]],PartList[[#This Row],[In/Out]],PartList[[#This Row],[O1-Grid]])</f>
        <v>2BE37#Box2_Box5#InBB</v>
      </c>
      <c r="N724" t="str">
        <f>_xlfn.TEXTJOIN("#",TRUE,PartList[[#This Row],[ASSLY MARK]],PartList[[#This Row],[BOX NO]],PartList[[#This Row],[In/Out]],PartList[[#This Row],[O2-Grid]])</f>
        <v>2BE37#Box2_Box5#InBB</v>
      </c>
      <c r="O724">
        <f>IF(PartList[[#This Row],[Unique]]="Yes",_xlfn.XLOOKUP(PartList[[#This Row],[ASSLY MARK]],FilteredPL!A:A,FilteredPL!B:B,0,0),0)</f>
        <v>0</v>
      </c>
      <c r="P724">
        <f>_xlfn.XLOOKUP(PartList[[#This Row],[ASSLY MARK]],MasterPL[SplitMarkNo],MasterPL[BILL WT.(KG)],0,0)</f>
        <v>0</v>
      </c>
      <c r="Q724" cm="1">
        <f t="array" ref="Q72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24" t="str">
        <v>1BE22</v>
      </c>
      <c r="AB724" s="42">
        <f>SUMIF(PartList[ASSLY MARK],AA724,PartList[Avail. Qty])</f>
        <v>0</v>
      </c>
    </row>
    <row r="725" spans="1:28" x14ac:dyDescent="0.25">
      <c r="A725">
        <v>249</v>
      </c>
      <c r="B725" t="s">
        <v>668</v>
      </c>
      <c r="C725" t="s">
        <v>547</v>
      </c>
      <c r="D725" t="s">
        <v>649</v>
      </c>
      <c r="E725" t="s">
        <v>5</v>
      </c>
      <c r="F725" t="str" cm="1">
        <f t="array" ref="F725">IF(SUM(IF(PartList[ASSLY MARK]=PartList[[#This Row],[ASSLY MARK]],1,0))&gt;1,"No","Yes")</f>
        <v>Yes</v>
      </c>
      <c r="G725" t="str" cm="1">
        <f t="array" ref="G725">_xlfn.TEXTJOIN("_",TRUE,TRIM(_xlfn.TEXTSPLIT(PartList[[#This Row],[GRID LOCATION]],{"PR01","/","-"})))</f>
        <v>12_13_A_B</v>
      </c>
      <c r="H725" t="str" cm="1">
        <f t="array" ref="H72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25" cm="1">
        <f t="array" ref="I72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25" t="str">
        <f>IF(IFERROR(SEARCH("&gt;",PartList[[#This Row],[ID]]),0),"O",IF(IFERROR(SEARCH("&lt;",PartList[[#This Row],[ID]]),0),"I",""))</f>
        <v/>
      </c>
      <c r="K725" t="str" cm="1">
        <f t="array" ref="K7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25" t="str" cm="1">
        <f t="array" ref="L7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25" t="str">
        <f>_xlfn.TEXTJOIN("#",TRUE,PartList[[#This Row],[ASSLY MARK]],PartList[[#This Row],[BOX NO]],PartList[[#This Row],[In/Out]],PartList[[#This Row],[O1-Grid]])</f>
        <v>2BE38#Box2#InB</v>
      </c>
      <c r="N725" t="str">
        <f>_xlfn.TEXTJOIN("#",TRUE,PartList[[#This Row],[ASSLY MARK]],PartList[[#This Row],[BOX NO]],PartList[[#This Row],[In/Out]],PartList[[#This Row],[O2-Grid]])</f>
        <v>2BE38#Box2#InB</v>
      </c>
      <c r="O725">
        <f>IF(PartList[[#This Row],[Unique]]="Yes",_xlfn.XLOOKUP(PartList[[#This Row],[ASSLY MARK]],FilteredPL!A:A,FilteredPL!B:B,0,0),0)</f>
        <v>0</v>
      </c>
      <c r="P725">
        <f>_xlfn.XLOOKUP(PartList[[#This Row],[ASSLY MARK]],MasterPL[SplitMarkNo],MasterPL[BILL WT.(KG)],0,0)</f>
        <v>0</v>
      </c>
      <c r="Q725" cm="1">
        <f t="array" ref="Q72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25" t="str">
        <v>1BE23</v>
      </c>
      <c r="AB725" s="42">
        <f>SUMIF(PartList[ASSLY MARK],AA725,PartList[Avail. Qty])</f>
        <v>0</v>
      </c>
    </row>
    <row r="726" spans="1:28" x14ac:dyDescent="0.25">
      <c r="A726">
        <v>250</v>
      </c>
      <c r="B726" t="s">
        <v>669</v>
      </c>
      <c r="C726" t="s">
        <v>561</v>
      </c>
      <c r="D726" t="s">
        <v>649</v>
      </c>
      <c r="E726" t="s">
        <v>5</v>
      </c>
      <c r="F726" t="str" cm="1">
        <f t="array" ref="F726">IF(SUM(IF(PartList[ASSLY MARK]=PartList[[#This Row],[ASSLY MARK]],1,0))&gt;1,"No","Yes")</f>
        <v>Yes</v>
      </c>
      <c r="G726" t="str" cm="1">
        <f t="array" ref="G726">_xlfn.TEXTJOIN("_",TRUE,TRIM(_xlfn.TEXTSPLIT(PartList[[#This Row],[GRID LOCATION]],{"PR01","/","-"})))</f>
        <v>12_13_B&gt;</v>
      </c>
      <c r="H726" t="str" cm="1">
        <f t="array" ref="H72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26" cm="1">
        <f t="array" ref="I72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26" t="str">
        <f>IF(IFERROR(SEARCH("&gt;",PartList[[#This Row],[ID]]),0),"O",IF(IFERROR(SEARCH("&lt;",PartList[[#This Row],[ID]]),0),"I",""))</f>
        <v>O</v>
      </c>
      <c r="K726" t="str" cm="1">
        <f t="array" ref="K7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26" t="str" cm="1">
        <f t="array" ref="L7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26" t="str">
        <f>_xlfn.TEXTJOIN("#",TRUE,PartList[[#This Row],[ASSLY MARK]],PartList[[#This Row],[BOX NO]],PartList[[#This Row],[In/Out]],PartList[[#This Row],[O1-Grid]])</f>
        <v>2BE39#Box2#O</v>
      </c>
      <c r="N726" t="str">
        <f>_xlfn.TEXTJOIN("#",TRUE,PartList[[#This Row],[ASSLY MARK]],PartList[[#This Row],[BOX NO]],PartList[[#This Row],[In/Out]],PartList[[#This Row],[O2-Grid]])</f>
        <v>2BE39#Box2#O</v>
      </c>
      <c r="O726">
        <f>IF(PartList[[#This Row],[Unique]]="Yes",_xlfn.XLOOKUP(PartList[[#This Row],[ASSLY MARK]],FilteredPL!A:A,FilteredPL!B:B,0,0),0)</f>
        <v>0</v>
      </c>
      <c r="P726">
        <f>_xlfn.XLOOKUP(PartList[[#This Row],[ASSLY MARK]],MasterPL[SplitMarkNo],MasterPL[BILL WT.(KG)],0,0)</f>
        <v>0</v>
      </c>
      <c r="Q726" cm="1">
        <f t="array" ref="Q72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26" t="str">
        <v>1BE24</v>
      </c>
      <c r="AB726" s="42">
        <f>SUMIF(PartList[ASSLY MARK],AA726,PartList[Avail. Qty])</f>
        <v>0</v>
      </c>
    </row>
    <row r="727" spans="1:28" x14ac:dyDescent="0.25">
      <c r="A727">
        <v>251</v>
      </c>
      <c r="B727" t="s">
        <v>670</v>
      </c>
      <c r="C727" t="s">
        <v>547</v>
      </c>
      <c r="D727" t="s">
        <v>649</v>
      </c>
      <c r="E727" t="s">
        <v>5</v>
      </c>
      <c r="F727" t="str" cm="1">
        <f t="array" ref="F727">IF(SUM(IF(PartList[ASSLY MARK]=PartList[[#This Row],[ASSLY MARK]],1,0))&gt;1,"No","Yes")</f>
        <v>No</v>
      </c>
      <c r="G727" t="str" cm="1">
        <f t="array" ref="G727">_xlfn.TEXTJOIN("_",TRUE,TRIM(_xlfn.TEXTSPLIT(PartList[[#This Row],[GRID LOCATION]],{"PR01","/","-"})))</f>
        <v>12_13_A_B</v>
      </c>
      <c r="H727" t="str" cm="1">
        <f t="array" ref="H72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27" cm="1">
        <f t="array" ref="I72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27" t="str">
        <f>IF(IFERROR(SEARCH("&gt;",PartList[[#This Row],[ID]]),0),"O",IF(IFERROR(SEARCH("&lt;",PartList[[#This Row],[ID]]),0),"I",""))</f>
        <v/>
      </c>
      <c r="K727" t="str" cm="1">
        <f t="array" ref="K7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27" t="str" cm="1">
        <f t="array" ref="L7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27" t="str">
        <f>_xlfn.TEXTJOIN("#",TRUE,PartList[[#This Row],[ASSLY MARK]],PartList[[#This Row],[BOX NO]],PartList[[#This Row],[In/Out]],PartList[[#This Row],[O1-Grid]])</f>
        <v>2BE40#Box2#InB</v>
      </c>
      <c r="N727" t="str">
        <f>_xlfn.TEXTJOIN("#",TRUE,PartList[[#This Row],[ASSLY MARK]],PartList[[#This Row],[BOX NO]],PartList[[#This Row],[In/Out]],PartList[[#This Row],[O2-Grid]])</f>
        <v>2BE40#Box2#InB</v>
      </c>
      <c r="O727">
        <f>IF(PartList[[#This Row],[Unique]]="Yes",_xlfn.XLOOKUP(PartList[[#This Row],[ASSLY MARK]],FilteredPL!A:A,FilteredPL!B:B,0,0),0)</f>
        <v>0</v>
      </c>
      <c r="P727">
        <f>_xlfn.XLOOKUP(PartList[[#This Row],[ASSLY MARK]],MasterPL[SplitMarkNo],MasterPL[BILL WT.(KG)],0,0)</f>
        <v>0</v>
      </c>
      <c r="Q727" cm="1">
        <f t="array" ref="Q72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27" t="str">
        <v>1BE25</v>
      </c>
      <c r="AB727" s="42">
        <f>SUMIF(PartList[ASSLY MARK],AA727,PartList[Avail. Qty])</f>
        <v>0</v>
      </c>
    </row>
    <row r="728" spans="1:28" x14ac:dyDescent="0.25">
      <c r="A728">
        <v>252</v>
      </c>
      <c r="B728" t="s">
        <v>670</v>
      </c>
      <c r="C728" t="s">
        <v>547</v>
      </c>
      <c r="D728" t="s">
        <v>649</v>
      </c>
      <c r="E728" t="s">
        <v>5</v>
      </c>
      <c r="F728" t="str" cm="1">
        <f t="array" ref="F728">IF(SUM(IF(PartList[ASSLY MARK]=PartList[[#This Row],[ASSLY MARK]],1,0))&gt;1,"No","Yes")</f>
        <v>No</v>
      </c>
      <c r="G728" t="str" cm="1">
        <f t="array" ref="G728">_xlfn.TEXTJOIN("_",TRUE,TRIM(_xlfn.TEXTSPLIT(PartList[[#This Row],[GRID LOCATION]],{"PR01","/","-"})))</f>
        <v>12_13_A_B</v>
      </c>
      <c r="H728" t="str" cm="1">
        <f t="array" ref="H72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28" cm="1">
        <f t="array" ref="I72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28" t="str">
        <f>IF(IFERROR(SEARCH("&gt;",PartList[[#This Row],[ID]]),0),"O",IF(IFERROR(SEARCH("&lt;",PartList[[#This Row],[ID]]),0),"I",""))</f>
        <v/>
      </c>
      <c r="K728" t="str" cm="1">
        <f t="array" ref="K7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28" t="str" cm="1">
        <f t="array" ref="L7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28" t="str">
        <f>_xlfn.TEXTJOIN("#",TRUE,PartList[[#This Row],[ASSLY MARK]],PartList[[#This Row],[BOX NO]],PartList[[#This Row],[In/Out]],PartList[[#This Row],[O1-Grid]])</f>
        <v>2BE40#Box2#InB</v>
      </c>
      <c r="N728" t="str">
        <f>_xlfn.TEXTJOIN("#",TRUE,PartList[[#This Row],[ASSLY MARK]],PartList[[#This Row],[BOX NO]],PartList[[#This Row],[In/Out]],PartList[[#This Row],[O2-Grid]])</f>
        <v>2BE40#Box2#InB</v>
      </c>
      <c r="O728">
        <f>IF(PartList[[#This Row],[Unique]]="Yes",_xlfn.XLOOKUP(PartList[[#This Row],[ASSLY MARK]],FilteredPL!A:A,FilteredPL!B:B,0,0),0)</f>
        <v>0</v>
      </c>
      <c r="P728">
        <f>_xlfn.XLOOKUP(PartList[[#This Row],[ASSLY MARK]],MasterPL[SplitMarkNo],MasterPL[BILL WT.(KG)],0,0)</f>
        <v>0</v>
      </c>
      <c r="Q728" cm="1">
        <f t="array" ref="Q72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28" t="str">
        <v>1BE60</v>
      </c>
      <c r="AB728" s="42">
        <f>SUMIF(PartList[ASSLY MARK],AA728,PartList[Avail. Qty])</f>
        <v>0</v>
      </c>
    </row>
    <row r="729" spans="1:28" x14ac:dyDescent="0.25">
      <c r="A729">
        <v>253</v>
      </c>
      <c r="B729" t="s">
        <v>670</v>
      </c>
      <c r="C729" t="s">
        <v>547</v>
      </c>
      <c r="D729" t="s">
        <v>649</v>
      </c>
      <c r="E729" t="s">
        <v>5</v>
      </c>
      <c r="F729" t="str" cm="1">
        <f t="array" ref="F729">IF(SUM(IF(PartList[ASSLY MARK]=PartList[[#This Row],[ASSLY MARK]],1,0))&gt;1,"No","Yes")</f>
        <v>No</v>
      </c>
      <c r="G729" t="str" cm="1">
        <f t="array" ref="G729">_xlfn.TEXTJOIN("_",TRUE,TRIM(_xlfn.TEXTSPLIT(PartList[[#This Row],[GRID LOCATION]],{"PR01","/","-"})))</f>
        <v>12_13_A_B</v>
      </c>
      <c r="H729" t="str" cm="1">
        <f t="array" ref="H72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29" cm="1">
        <f t="array" ref="I72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29" t="str">
        <f>IF(IFERROR(SEARCH("&gt;",PartList[[#This Row],[ID]]),0),"O",IF(IFERROR(SEARCH("&lt;",PartList[[#This Row],[ID]]),0),"I",""))</f>
        <v/>
      </c>
      <c r="K729" t="str" cm="1">
        <f t="array" ref="K7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29" t="str" cm="1">
        <f t="array" ref="L7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29" t="str">
        <f>_xlfn.TEXTJOIN("#",TRUE,PartList[[#This Row],[ASSLY MARK]],PartList[[#This Row],[BOX NO]],PartList[[#This Row],[In/Out]],PartList[[#This Row],[O1-Grid]])</f>
        <v>2BE40#Box2#InB</v>
      </c>
      <c r="N729" t="str">
        <f>_xlfn.TEXTJOIN("#",TRUE,PartList[[#This Row],[ASSLY MARK]],PartList[[#This Row],[BOX NO]],PartList[[#This Row],[In/Out]],PartList[[#This Row],[O2-Grid]])</f>
        <v>2BE40#Box2#InB</v>
      </c>
      <c r="O729">
        <f>IF(PartList[[#This Row],[Unique]]="Yes",_xlfn.XLOOKUP(PartList[[#This Row],[ASSLY MARK]],FilteredPL!A:A,FilteredPL!B:B,0,0),0)</f>
        <v>0</v>
      </c>
      <c r="P729">
        <f>_xlfn.XLOOKUP(PartList[[#This Row],[ASSLY MARK]],MasterPL[SplitMarkNo],MasterPL[BILL WT.(KG)],0,0)</f>
        <v>0</v>
      </c>
      <c r="Q729" cm="1">
        <f t="array" ref="Q72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29" t="str">
        <v>1BE101</v>
      </c>
      <c r="AB729" s="42">
        <f>SUMIF(PartList[ASSLY MARK],AA729,PartList[Avail. Qty])</f>
        <v>0</v>
      </c>
    </row>
    <row r="730" spans="1:28" x14ac:dyDescent="0.25">
      <c r="A730">
        <v>254</v>
      </c>
      <c r="B730" t="s">
        <v>670</v>
      </c>
      <c r="C730" t="s">
        <v>547</v>
      </c>
      <c r="D730" t="s">
        <v>649</v>
      </c>
      <c r="E730" t="s">
        <v>5</v>
      </c>
      <c r="F730" t="str" cm="1">
        <f t="array" ref="F730">IF(SUM(IF(PartList[ASSLY MARK]=PartList[[#This Row],[ASSLY MARK]],1,0))&gt;1,"No","Yes")</f>
        <v>No</v>
      </c>
      <c r="G730" t="str" cm="1">
        <f t="array" ref="G730">_xlfn.TEXTJOIN("_",TRUE,TRIM(_xlfn.TEXTSPLIT(PartList[[#This Row],[GRID LOCATION]],{"PR01","/","-"})))</f>
        <v>12_13_A_B</v>
      </c>
      <c r="H730" t="str" cm="1">
        <f t="array" ref="H73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30" cm="1">
        <f t="array" ref="I73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30" t="str">
        <f>IF(IFERROR(SEARCH("&gt;",PartList[[#This Row],[ID]]),0),"O",IF(IFERROR(SEARCH("&lt;",PartList[[#This Row],[ID]]),0),"I",""))</f>
        <v/>
      </c>
      <c r="K730" t="str" cm="1">
        <f t="array" ref="K7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30" t="str" cm="1">
        <f t="array" ref="L7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30" t="str">
        <f>_xlfn.TEXTJOIN("#",TRUE,PartList[[#This Row],[ASSLY MARK]],PartList[[#This Row],[BOX NO]],PartList[[#This Row],[In/Out]],PartList[[#This Row],[O1-Grid]])</f>
        <v>2BE40#Box2#InB</v>
      </c>
      <c r="N730" t="str">
        <f>_xlfn.TEXTJOIN("#",TRUE,PartList[[#This Row],[ASSLY MARK]],PartList[[#This Row],[BOX NO]],PartList[[#This Row],[In/Out]],PartList[[#This Row],[O2-Grid]])</f>
        <v>2BE40#Box2#InB</v>
      </c>
      <c r="O730">
        <f>IF(PartList[[#This Row],[Unique]]="Yes",_xlfn.XLOOKUP(PartList[[#This Row],[ASSLY MARK]],FilteredPL!A:A,FilteredPL!B:B,0,0),0)</f>
        <v>0</v>
      </c>
      <c r="P730">
        <f>_xlfn.XLOOKUP(PartList[[#This Row],[ASSLY MARK]],MasterPL[SplitMarkNo],MasterPL[BILL WT.(KG)],0,0)</f>
        <v>0</v>
      </c>
      <c r="Q730" cm="1">
        <f t="array" ref="Q73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30" t="str">
        <v>1BE102</v>
      </c>
      <c r="AB730" s="42">
        <f>SUMIF(PartList[ASSLY MARK],AA730,PartList[Avail. Qty])</f>
        <v>0</v>
      </c>
    </row>
    <row r="731" spans="1:28" x14ac:dyDescent="0.25">
      <c r="A731">
        <v>255</v>
      </c>
      <c r="B731" t="s">
        <v>670</v>
      </c>
      <c r="C731" t="s">
        <v>547</v>
      </c>
      <c r="D731" t="s">
        <v>649</v>
      </c>
      <c r="E731" t="s">
        <v>5</v>
      </c>
      <c r="F731" t="str" cm="1">
        <f t="array" ref="F731">IF(SUM(IF(PartList[ASSLY MARK]=PartList[[#This Row],[ASSLY MARK]],1,0))&gt;1,"No","Yes")</f>
        <v>No</v>
      </c>
      <c r="G731" t="str" cm="1">
        <f t="array" ref="G731">_xlfn.TEXTJOIN("_",TRUE,TRIM(_xlfn.TEXTSPLIT(PartList[[#This Row],[GRID LOCATION]],{"PR01","/","-"})))</f>
        <v>12_13_A_B</v>
      </c>
      <c r="H731" t="str" cm="1">
        <f t="array" ref="H73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31" cm="1">
        <f t="array" ref="I73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31" t="str">
        <f>IF(IFERROR(SEARCH("&gt;",PartList[[#This Row],[ID]]),0),"O",IF(IFERROR(SEARCH("&lt;",PartList[[#This Row],[ID]]),0),"I",""))</f>
        <v/>
      </c>
      <c r="K731" t="str" cm="1">
        <f t="array" ref="K7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31" t="str" cm="1">
        <f t="array" ref="L7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31" t="str">
        <f>_xlfn.TEXTJOIN("#",TRUE,PartList[[#This Row],[ASSLY MARK]],PartList[[#This Row],[BOX NO]],PartList[[#This Row],[In/Out]],PartList[[#This Row],[O1-Grid]])</f>
        <v>2BE40#Box2#InB</v>
      </c>
      <c r="N731" t="str">
        <f>_xlfn.TEXTJOIN("#",TRUE,PartList[[#This Row],[ASSLY MARK]],PartList[[#This Row],[BOX NO]],PartList[[#This Row],[In/Out]],PartList[[#This Row],[O2-Grid]])</f>
        <v>2BE40#Box2#InB</v>
      </c>
      <c r="O731">
        <f>IF(PartList[[#This Row],[Unique]]="Yes",_xlfn.XLOOKUP(PartList[[#This Row],[ASSLY MARK]],FilteredPL!A:A,FilteredPL!B:B,0,0),0)</f>
        <v>0</v>
      </c>
      <c r="P731">
        <f>_xlfn.XLOOKUP(PartList[[#This Row],[ASSLY MARK]],MasterPL[SplitMarkNo],MasterPL[BILL WT.(KG)],0,0)</f>
        <v>0</v>
      </c>
      <c r="Q731" cm="1">
        <f t="array" ref="Q73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31" t="str">
        <v>1HB23</v>
      </c>
      <c r="AB731" s="42">
        <f>SUMIF(PartList[ASSLY MARK],AA731,PartList[Avail. Qty])</f>
        <v>0</v>
      </c>
    </row>
    <row r="732" spans="1:28" x14ac:dyDescent="0.25">
      <c r="A732">
        <v>256</v>
      </c>
      <c r="B732" t="s">
        <v>670</v>
      </c>
      <c r="C732" t="s">
        <v>547</v>
      </c>
      <c r="D732" t="s">
        <v>649</v>
      </c>
      <c r="E732" t="s">
        <v>5</v>
      </c>
      <c r="F732" t="str" cm="1">
        <f t="array" ref="F732">IF(SUM(IF(PartList[ASSLY MARK]=PartList[[#This Row],[ASSLY MARK]],1,0))&gt;1,"No","Yes")</f>
        <v>No</v>
      </c>
      <c r="G732" t="str" cm="1">
        <f t="array" ref="G732">_xlfn.TEXTJOIN("_",TRUE,TRIM(_xlfn.TEXTSPLIT(PartList[[#This Row],[GRID LOCATION]],{"PR01","/","-"})))</f>
        <v>12_13_A_B</v>
      </c>
      <c r="H732" t="str" cm="1">
        <f t="array" ref="H73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32" cm="1">
        <f t="array" ref="I73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32" t="str">
        <f>IF(IFERROR(SEARCH("&gt;",PartList[[#This Row],[ID]]),0),"O",IF(IFERROR(SEARCH("&lt;",PartList[[#This Row],[ID]]),0),"I",""))</f>
        <v/>
      </c>
      <c r="K732" t="str" cm="1">
        <f t="array" ref="K7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32" t="str" cm="1">
        <f t="array" ref="L7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32" t="str">
        <f>_xlfn.TEXTJOIN("#",TRUE,PartList[[#This Row],[ASSLY MARK]],PartList[[#This Row],[BOX NO]],PartList[[#This Row],[In/Out]],PartList[[#This Row],[O1-Grid]])</f>
        <v>2BE40#Box2#InB</v>
      </c>
      <c r="N732" t="str">
        <f>_xlfn.TEXTJOIN("#",TRUE,PartList[[#This Row],[ASSLY MARK]],PartList[[#This Row],[BOX NO]],PartList[[#This Row],[In/Out]],PartList[[#This Row],[O2-Grid]])</f>
        <v>2BE40#Box2#InB</v>
      </c>
      <c r="O732">
        <f>IF(PartList[[#This Row],[Unique]]="Yes",_xlfn.XLOOKUP(PartList[[#This Row],[ASSLY MARK]],FilteredPL!A:A,FilteredPL!B:B,0,0),0)</f>
        <v>0</v>
      </c>
      <c r="P732">
        <f>_xlfn.XLOOKUP(PartList[[#This Row],[ASSLY MARK]],MasterPL[SplitMarkNo],MasterPL[BILL WT.(KG)],0,0)</f>
        <v>0</v>
      </c>
      <c r="Q732" cm="1">
        <f t="array" ref="Q73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32" t="str">
        <v>1HB24</v>
      </c>
      <c r="AB732" s="42">
        <f>SUMIF(PartList[ASSLY MARK],AA732,PartList[Avail. Qty])</f>
        <v>0</v>
      </c>
    </row>
    <row r="733" spans="1:28" x14ac:dyDescent="0.25">
      <c r="A733">
        <v>257</v>
      </c>
      <c r="B733" t="s">
        <v>670</v>
      </c>
      <c r="C733" t="s">
        <v>547</v>
      </c>
      <c r="D733" t="s">
        <v>649</v>
      </c>
      <c r="E733" t="s">
        <v>5</v>
      </c>
      <c r="F733" t="str" cm="1">
        <f t="array" ref="F733">IF(SUM(IF(PartList[ASSLY MARK]=PartList[[#This Row],[ASSLY MARK]],1,0))&gt;1,"No","Yes")</f>
        <v>No</v>
      </c>
      <c r="G733" t="str" cm="1">
        <f t="array" ref="G733">_xlfn.TEXTJOIN("_",TRUE,TRIM(_xlfn.TEXTSPLIT(PartList[[#This Row],[GRID LOCATION]],{"PR01","/","-"})))</f>
        <v>12_13_A_B</v>
      </c>
      <c r="H733" t="str" cm="1">
        <f t="array" ref="H73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33" cm="1">
        <f t="array" ref="I73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33" t="str">
        <f>IF(IFERROR(SEARCH("&gt;",PartList[[#This Row],[ID]]),0),"O",IF(IFERROR(SEARCH("&lt;",PartList[[#This Row],[ID]]),0),"I",""))</f>
        <v/>
      </c>
      <c r="K733" t="str" cm="1">
        <f t="array" ref="K7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33" t="str" cm="1">
        <f t="array" ref="L7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33" t="str">
        <f>_xlfn.TEXTJOIN("#",TRUE,PartList[[#This Row],[ASSLY MARK]],PartList[[#This Row],[BOX NO]],PartList[[#This Row],[In/Out]],PartList[[#This Row],[O1-Grid]])</f>
        <v>2BE40#Box2#InB</v>
      </c>
      <c r="N733" t="str">
        <f>_xlfn.TEXTJOIN("#",TRUE,PartList[[#This Row],[ASSLY MARK]],PartList[[#This Row],[BOX NO]],PartList[[#This Row],[In/Out]],PartList[[#This Row],[O2-Grid]])</f>
        <v>2BE40#Box2#InB</v>
      </c>
      <c r="O733">
        <f>IF(PartList[[#This Row],[Unique]]="Yes",_xlfn.XLOOKUP(PartList[[#This Row],[ASSLY MARK]],FilteredPL!A:A,FilteredPL!B:B,0,0),0)</f>
        <v>0</v>
      </c>
      <c r="P733">
        <f>_xlfn.XLOOKUP(PartList[[#This Row],[ASSLY MARK]],MasterPL[SplitMarkNo],MasterPL[BILL WT.(KG)],0,0)</f>
        <v>0</v>
      </c>
      <c r="Q733" cm="1">
        <f t="array" ref="Q73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33" t="str">
        <v>2BE03</v>
      </c>
      <c r="AB733" s="42">
        <f>SUMIF(PartList[ASSLY MARK],AA733,PartList[Avail. Qty])</f>
        <v>0</v>
      </c>
    </row>
    <row r="734" spans="1:28" x14ac:dyDescent="0.25">
      <c r="A734">
        <v>258</v>
      </c>
      <c r="B734" t="s">
        <v>671</v>
      </c>
      <c r="C734" t="s">
        <v>547</v>
      </c>
      <c r="D734" t="s">
        <v>649</v>
      </c>
      <c r="E734" t="s">
        <v>5</v>
      </c>
      <c r="F734" t="str" cm="1">
        <f t="array" ref="F734">IF(SUM(IF(PartList[ASSLY MARK]=PartList[[#This Row],[ASSLY MARK]],1,0))&gt;1,"No","Yes")</f>
        <v>Yes</v>
      </c>
      <c r="G734" t="str" cm="1">
        <f t="array" ref="G734">_xlfn.TEXTJOIN("_",TRUE,TRIM(_xlfn.TEXTSPLIT(PartList[[#This Row],[GRID LOCATION]],{"PR01","/","-"})))</f>
        <v>12_13_A_B</v>
      </c>
      <c r="H734" t="str" cm="1">
        <f t="array" ref="H73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34" cm="1">
        <f t="array" ref="I73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34" t="str">
        <f>IF(IFERROR(SEARCH("&gt;",PartList[[#This Row],[ID]]),0),"O",IF(IFERROR(SEARCH("&lt;",PartList[[#This Row],[ID]]),0),"I",""))</f>
        <v/>
      </c>
      <c r="K734" t="str" cm="1">
        <f t="array" ref="K7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34" t="str" cm="1">
        <f t="array" ref="L7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34" t="str">
        <f>_xlfn.TEXTJOIN("#",TRUE,PartList[[#This Row],[ASSLY MARK]],PartList[[#This Row],[BOX NO]],PartList[[#This Row],[In/Out]],PartList[[#This Row],[O1-Grid]])</f>
        <v>2BE41#Box2#InB</v>
      </c>
      <c r="N734" t="str">
        <f>_xlfn.TEXTJOIN("#",TRUE,PartList[[#This Row],[ASSLY MARK]],PartList[[#This Row],[BOX NO]],PartList[[#This Row],[In/Out]],PartList[[#This Row],[O2-Grid]])</f>
        <v>2BE41#Box2#InB</v>
      </c>
      <c r="O734">
        <f>IF(PartList[[#This Row],[Unique]]="Yes",_xlfn.XLOOKUP(PartList[[#This Row],[ASSLY MARK]],FilteredPL!A:A,FilteredPL!B:B,0,0),0)</f>
        <v>0</v>
      </c>
      <c r="P734">
        <f>_xlfn.XLOOKUP(PartList[[#This Row],[ASSLY MARK]],MasterPL[SplitMarkNo],MasterPL[BILL WT.(KG)],0,0)</f>
        <v>0</v>
      </c>
      <c r="Q734" cm="1">
        <f t="array" ref="Q73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34" t="str">
        <v>2BE61</v>
      </c>
      <c r="AB734" s="42">
        <f>SUMIF(PartList[ASSLY MARK],AA734,PartList[Avail. Qty])</f>
        <v>0</v>
      </c>
    </row>
    <row r="735" spans="1:28" x14ac:dyDescent="0.25">
      <c r="A735">
        <v>259</v>
      </c>
      <c r="B735" t="s">
        <v>672</v>
      </c>
      <c r="C735" t="s">
        <v>593</v>
      </c>
      <c r="D735" t="s">
        <v>649</v>
      </c>
      <c r="E735" t="s">
        <v>5</v>
      </c>
      <c r="F735" t="str" cm="1">
        <f t="array" ref="F735">IF(SUM(IF(PartList[ASSLY MARK]=PartList[[#This Row],[ASSLY MARK]],1,0))&gt;1,"No","Yes")</f>
        <v>Yes</v>
      </c>
      <c r="G735" t="str" cm="1">
        <f t="array" ref="G735">_xlfn.TEXTJOIN("_",TRUE,TRIM(_xlfn.TEXTSPLIT(PartList[[#This Row],[GRID LOCATION]],{"PR01","/","-"})))</f>
        <v>13_A"_A</v>
      </c>
      <c r="H735" t="str" cm="1">
        <f t="array" ref="H73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735" cm="1">
        <f t="array" ref="I73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35" t="str">
        <f>IF(IFERROR(SEARCH("&gt;",PartList[[#This Row],[ID]]),0),"O",IF(IFERROR(SEARCH("&lt;",PartList[[#This Row],[ID]]),0),"I",""))</f>
        <v/>
      </c>
      <c r="K735" t="str" cm="1">
        <f t="array" ref="K7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35" t="str" cm="1">
        <f t="array" ref="L7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35" t="str">
        <f>_xlfn.TEXTJOIN("#",TRUE,PartList[[#This Row],[ASSLY MARK]],PartList[[#This Row],[BOX NO]],PartList[[#This Row],[In/Out]],PartList[[#This Row],[O1-Grid]])</f>
        <v>2BE42#Box2_Box5#InBB</v>
      </c>
      <c r="N735" t="str">
        <f>_xlfn.TEXTJOIN("#",TRUE,PartList[[#This Row],[ASSLY MARK]],PartList[[#This Row],[BOX NO]],PartList[[#This Row],[In/Out]],PartList[[#This Row],[O2-Grid]])</f>
        <v>2BE42#Box2_Box5#InBB</v>
      </c>
      <c r="O735">
        <f>IF(PartList[[#This Row],[Unique]]="Yes",_xlfn.XLOOKUP(PartList[[#This Row],[ASSLY MARK]],FilteredPL!A:A,FilteredPL!B:B,0,0),0)</f>
        <v>0</v>
      </c>
      <c r="P735">
        <f>_xlfn.XLOOKUP(PartList[[#This Row],[ASSLY MARK]],MasterPL[SplitMarkNo],MasterPL[BILL WT.(KG)],0,0)</f>
        <v>0</v>
      </c>
      <c r="Q735" cm="1">
        <f t="array" ref="Q73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35" t="str">
        <v>2BE62</v>
      </c>
      <c r="AB735" s="42">
        <f>SUMIF(PartList[ASSLY MARK],AA735,PartList[Avail. Qty])</f>
        <v>0</v>
      </c>
    </row>
    <row r="736" spans="1:28" x14ac:dyDescent="0.25">
      <c r="A736">
        <v>260</v>
      </c>
      <c r="B736" t="s">
        <v>673</v>
      </c>
      <c r="C736" t="s">
        <v>520</v>
      </c>
      <c r="D736" t="s">
        <v>150</v>
      </c>
      <c r="E736" t="s">
        <v>5</v>
      </c>
      <c r="F736" t="str" cm="1">
        <f t="array" ref="F736">IF(SUM(IF(PartList[ASSLY MARK]=PartList[[#This Row],[ASSLY MARK]],1,0))&gt;1,"No","Yes")</f>
        <v>Yes</v>
      </c>
      <c r="G736" t="str" cm="1">
        <f t="array" ref="G736">_xlfn.TEXTJOIN("_",TRUE,TRIM(_xlfn.TEXTSPLIT(PartList[[#This Row],[GRID LOCATION]],{"PR01","/","-"})))</f>
        <v>13_A_B</v>
      </c>
      <c r="H736" t="str" cm="1">
        <f t="array" ref="H73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36" cm="1">
        <f t="array" ref="I73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36" t="str">
        <f>IF(IFERROR(SEARCH("&gt;",PartList[[#This Row],[ID]]),0),"O",IF(IFERROR(SEARCH("&lt;",PartList[[#This Row],[ID]]),0),"I",""))</f>
        <v/>
      </c>
      <c r="K736" t="str" cm="1">
        <f t="array" ref="K7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13_A_B</v>
      </c>
      <c r="L736" t="str" cm="1">
        <f t="array" ref="L7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36" t="str">
        <f>_xlfn.TEXTJOIN("#",TRUE,PartList[[#This Row],[ASSLY MARK]],PartList[[#This Row],[BOX NO]],PartList[[#This Row],[In/Out]],PartList[[#This Row],[O1-Grid]])</f>
        <v>2BE43#Box2#13_A_B</v>
      </c>
      <c r="N736" t="str">
        <f>_xlfn.TEXTJOIN("#",TRUE,PartList[[#This Row],[ASSLY MARK]],PartList[[#This Row],[BOX NO]],PartList[[#This Row],[In/Out]],PartList[[#This Row],[O2-Grid]])</f>
        <v>2BE43#Box2#InB</v>
      </c>
      <c r="O736">
        <f>IF(PartList[[#This Row],[Unique]]="Yes",_xlfn.XLOOKUP(PartList[[#This Row],[ASSLY MARK]],FilteredPL!A:A,FilteredPL!B:B,0,0),0)</f>
        <v>0</v>
      </c>
      <c r="P736">
        <f>_xlfn.XLOOKUP(PartList[[#This Row],[ASSLY MARK]],MasterPL[SplitMarkNo],MasterPL[BILL WT.(KG)],0,0)</f>
        <v>0</v>
      </c>
      <c r="Q736" cm="1">
        <f t="array" ref="Q73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36" t="str">
        <v>2BE63</v>
      </c>
      <c r="AB736" s="42">
        <f>SUMIF(PartList[ASSLY MARK],AA736,PartList[Avail. Qty])</f>
        <v>0</v>
      </c>
    </row>
    <row r="737" spans="1:28" x14ac:dyDescent="0.25">
      <c r="A737">
        <v>261</v>
      </c>
      <c r="B737" t="s">
        <v>674</v>
      </c>
      <c r="C737" t="s">
        <v>598</v>
      </c>
      <c r="D737" t="s">
        <v>675</v>
      </c>
      <c r="E737" t="s">
        <v>5</v>
      </c>
      <c r="F737" t="str" cm="1">
        <f t="array" ref="F737">IF(SUM(IF(PartList[ASSLY MARK]=PartList[[#This Row],[ASSLY MARK]],1,0))&gt;1,"No","Yes")</f>
        <v>Yes</v>
      </c>
      <c r="G737" t="str" cm="1">
        <f t="array" ref="G737">_xlfn.TEXTJOIN("_",TRUE,TRIM(_xlfn.TEXTSPLIT(PartList[[#This Row],[GRID LOCATION]],{"PR01","/","-"})))</f>
        <v>13_B&gt;</v>
      </c>
      <c r="H737" t="str" cm="1">
        <f t="array" ref="H73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37" cm="1">
        <f t="array" ref="I73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37" t="str">
        <f>IF(IFERROR(SEARCH("&gt;",PartList[[#This Row],[ID]]),0),"O",IF(IFERROR(SEARCH("&lt;",PartList[[#This Row],[ID]]),0),"I",""))</f>
        <v>O</v>
      </c>
      <c r="K737" t="str" cm="1">
        <f t="array" ref="K7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37" t="str" cm="1">
        <f t="array" ref="L7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37" t="str">
        <f>_xlfn.TEXTJOIN("#",TRUE,PartList[[#This Row],[ASSLY MARK]],PartList[[#This Row],[BOX NO]],PartList[[#This Row],[In/Out]],PartList[[#This Row],[O1-Grid]])</f>
        <v>2BE44#Box2#O</v>
      </c>
      <c r="N737" t="str">
        <f>_xlfn.TEXTJOIN("#",TRUE,PartList[[#This Row],[ASSLY MARK]],PartList[[#This Row],[BOX NO]],PartList[[#This Row],[In/Out]],PartList[[#This Row],[O2-Grid]])</f>
        <v>2BE44#Box2#O</v>
      </c>
      <c r="O737">
        <f>IF(PartList[[#This Row],[Unique]]="Yes",_xlfn.XLOOKUP(PartList[[#This Row],[ASSLY MARK]],FilteredPL!A:A,FilteredPL!B:B,0,0),0)</f>
        <v>0</v>
      </c>
      <c r="P737">
        <f>_xlfn.XLOOKUP(PartList[[#This Row],[ASSLY MARK]],MasterPL[SplitMarkNo],MasterPL[BILL WT.(KG)],0,0)</f>
        <v>0</v>
      </c>
      <c r="Q737" cm="1">
        <f t="array" ref="Q73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37" t="str">
        <v>2BE64</v>
      </c>
      <c r="AB737" s="42">
        <f>SUMIF(PartList[ASSLY MARK],AA737,PartList[Avail. Qty])</f>
        <v>0</v>
      </c>
    </row>
    <row r="738" spans="1:28" x14ac:dyDescent="0.25">
      <c r="A738">
        <v>262</v>
      </c>
      <c r="B738" t="s">
        <v>676</v>
      </c>
      <c r="C738" t="s">
        <v>598</v>
      </c>
      <c r="D738" t="s">
        <v>649</v>
      </c>
      <c r="E738" t="s">
        <v>5</v>
      </c>
      <c r="F738" t="str" cm="1">
        <f t="array" ref="F738">IF(SUM(IF(PartList[ASSLY MARK]=PartList[[#This Row],[ASSLY MARK]],1,0))&gt;1,"No","Yes")</f>
        <v>Yes</v>
      </c>
      <c r="G738" t="str" cm="1">
        <f t="array" ref="G738">_xlfn.TEXTJOIN("_",TRUE,TRIM(_xlfn.TEXTSPLIT(PartList[[#This Row],[GRID LOCATION]],{"PR01","/","-"})))</f>
        <v>13_B&gt;</v>
      </c>
      <c r="H738" t="str" cm="1">
        <f t="array" ref="H73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38" cm="1">
        <f t="array" ref="I73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38" t="str">
        <f>IF(IFERROR(SEARCH("&gt;",PartList[[#This Row],[ID]]),0),"O",IF(IFERROR(SEARCH("&lt;",PartList[[#This Row],[ID]]),0),"I",""))</f>
        <v>O</v>
      </c>
      <c r="K738" t="str" cm="1">
        <f t="array" ref="K7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38" t="str" cm="1">
        <f t="array" ref="L7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38" t="str">
        <f>_xlfn.TEXTJOIN("#",TRUE,PartList[[#This Row],[ASSLY MARK]],PartList[[#This Row],[BOX NO]],PartList[[#This Row],[In/Out]],PartList[[#This Row],[O1-Grid]])</f>
        <v>2BE45#Box2#O</v>
      </c>
      <c r="N738" t="str">
        <f>_xlfn.TEXTJOIN("#",TRUE,PartList[[#This Row],[ASSLY MARK]],PartList[[#This Row],[BOX NO]],PartList[[#This Row],[In/Out]],PartList[[#This Row],[O2-Grid]])</f>
        <v>2BE45#Box2#O</v>
      </c>
      <c r="O738">
        <f>IF(PartList[[#This Row],[Unique]]="Yes",_xlfn.XLOOKUP(PartList[[#This Row],[ASSLY MARK]],FilteredPL!A:A,FilteredPL!B:B,0,0),0)</f>
        <v>0</v>
      </c>
      <c r="P738">
        <f>_xlfn.XLOOKUP(PartList[[#This Row],[ASSLY MARK]],MasterPL[SplitMarkNo],MasterPL[BILL WT.(KG)],0,0)</f>
        <v>0</v>
      </c>
      <c r="Q738" cm="1">
        <f t="array" ref="Q73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38" t="str">
        <v>2BE65</v>
      </c>
      <c r="AB738" s="42">
        <f>SUMIF(PartList[ASSLY MARK],AA738,PartList[Avail. Qty])</f>
        <v>0</v>
      </c>
    </row>
    <row r="739" spans="1:28" x14ac:dyDescent="0.25">
      <c r="A739">
        <v>263</v>
      </c>
      <c r="B739" t="s">
        <v>677</v>
      </c>
      <c r="C739" t="s">
        <v>600</v>
      </c>
      <c r="D739" t="s">
        <v>649</v>
      </c>
      <c r="E739" t="s">
        <v>5</v>
      </c>
      <c r="F739" t="str" cm="1">
        <f t="array" ref="F739">IF(SUM(IF(PartList[ASSLY MARK]=PartList[[#This Row],[ASSLY MARK]],1,0))&gt;1,"No","Yes")</f>
        <v>Yes</v>
      </c>
      <c r="G739" t="str" cm="1">
        <f t="array" ref="G739">_xlfn.TEXTJOIN("_",TRUE,TRIM(_xlfn.TEXTSPLIT(PartList[[#This Row],[GRID LOCATION]],{"PR01","/","-"})))</f>
        <v>13_14_A"_A</v>
      </c>
      <c r="H739" t="str" cm="1">
        <f t="array" ref="H73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739" cm="1">
        <f t="array" ref="I73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39" t="str">
        <f>IF(IFERROR(SEARCH("&gt;",PartList[[#This Row],[ID]]),0),"O",IF(IFERROR(SEARCH("&lt;",PartList[[#This Row],[ID]]),0),"I",""))</f>
        <v/>
      </c>
      <c r="K739" t="str" cm="1">
        <f t="array" ref="K7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39" t="str" cm="1">
        <f t="array" ref="L7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39" t="str">
        <f>_xlfn.TEXTJOIN("#",TRUE,PartList[[#This Row],[ASSLY MARK]],PartList[[#This Row],[BOX NO]],PartList[[#This Row],[In/Out]],PartList[[#This Row],[O1-Grid]])</f>
        <v>2BE46#Box2_Box5_Box6#InBB</v>
      </c>
      <c r="N739" t="str">
        <f>_xlfn.TEXTJOIN("#",TRUE,PartList[[#This Row],[ASSLY MARK]],PartList[[#This Row],[BOX NO]],PartList[[#This Row],[In/Out]],PartList[[#This Row],[O2-Grid]])</f>
        <v>2BE46#Box2_Box5_Box6#InBB</v>
      </c>
      <c r="O739">
        <f>IF(PartList[[#This Row],[Unique]]="Yes",_xlfn.XLOOKUP(PartList[[#This Row],[ASSLY MARK]],FilteredPL!A:A,FilteredPL!B:B,0,0),0)</f>
        <v>0</v>
      </c>
      <c r="P739">
        <f>_xlfn.XLOOKUP(PartList[[#This Row],[ASSLY MARK]],MasterPL[SplitMarkNo],MasterPL[BILL WT.(KG)],0,0)</f>
        <v>0</v>
      </c>
      <c r="Q739" cm="1">
        <f t="array" ref="Q73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39" t="str">
        <v>2BE66</v>
      </c>
      <c r="AB739" s="42">
        <f>SUMIF(PartList[ASSLY MARK],AA739,PartList[Avail. Qty])</f>
        <v>0</v>
      </c>
    </row>
    <row r="740" spans="1:28" x14ac:dyDescent="0.25">
      <c r="A740">
        <v>264</v>
      </c>
      <c r="B740" t="s">
        <v>678</v>
      </c>
      <c r="C740" t="s">
        <v>602</v>
      </c>
      <c r="D740" t="s">
        <v>148</v>
      </c>
      <c r="E740" t="s">
        <v>5</v>
      </c>
      <c r="F740" t="str" cm="1">
        <f t="array" ref="F740">IF(SUM(IF(PartList[ASSLY MARK]=PartList[[#This Row],[ASSLY MARK]],1,0))&gt;1,"No","Yes")</f>
        <v>No</v>
      </c>
      <c r="G740" t="str" cm="1">
        <f t="array" ref="G740">_xlfn.TEXTJOIN("_",TRUE,TRIM(_xlfn.TEXTSPLIT(PartList[[#This Row],[GRID LOCATION]],{"PR01","/","-"})))</f>
        <v>13_14_A_B</v>
      </c>
      <c r="H740" t="str" cm="1">
        <f t="array" ref="H74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40" cm="1">
        <f t="array" ref="I74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40" t="str">
        <f>IF(IFERROR(SEARCH("&gt;",PartList[[#This Row],[ID]]),0),"O",IF(IFERROR(SEARCH("&lt;",PartList[[#This Row],[ID]]),0),"I",""))</f>
        <v/>
      </c>
      <c r="K740" t="str" cm="1">
        <f t="array" ref="K7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40" t="str" cm="1">
        <f t="array" ref="L7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40" t="str">
        <f>_xlfn.TEXTJOIN("#",TRUE,PartList[[#This Row],[ASSLY MARK]],PartList[[#This Row],[BOX NO]],PartList[[#This Row],[In/Out]],PartList[[#This Row],[O1-Grid]])</f>
        <v>2BE47#Box2#InB</v>
      </c>
      <c r="N740" t="str">
        <f>_xlfn.TEXTJOIN("#",TRUE,PartList[[#This Row],[ASSLY MARK]],PartList[[#This Row],[BOX NO]],PartList[[#This Row],[In/Out]],PartList[[#This Row],[O2-Grid]])</f>
        <v>2BE47#Box2#InB</v>
      </c>
      <c r="O740">
        <f>IF(PartList[[#This Row],[Unique]]="Yes",_xlfn.XLOOKUP(PartList[[#This Row],[ASSLY MARK]],FilteredPL!A:A,FilteredPL!B:B,0,0),0)</f>
        <v>0</v>
      </c>
      <c r="P740">
        <f>_xlfn.XLOOKUP(PartList[[#This Row],[ASSLY MARK]],MasterPL[SplitMarkNo],MasterPL[BILL WT.(KG)],0,0)</f>
        <v>0</v>
      </c>
      <c r="Q740" cm="1">
        <f t="array" ref="Q74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40" t="str">
        <v>2BE70</v>
      </c>
      <c r="AB740" s="42">
        <f>SUMIF(PartList[ASSLY MARK],AA740,PartList[Avail. Qty])</f>
        <v>0</v>
      </c>
    </row>
    <row r="741" spans="1:28" x14ac:dyDescent="0.25">
      <c r="A741">
        <v>265</v>
      </c>
      <c r="B741" t="s">
        <v>678</v>
      </c>
      <c r="C741" t="s">
        <v>602</v>
      </c>
      <c r="D741" t="s">
        <v>148</v>
      </c>
      <c r="E741" t="s">
        <v>5</v>
      </c>
      <c r="F741" t="str" cm="1">
        <f t="array" ref="F741">IF(SUM(IF(PartList[ASSLY MARK]=PartList[[#This Row],[ASSLY MARK]],1,0))&gt;1,"No","Yes")</f>
        <v>No</v>
      </c>
      <c r="G741" t="str" cm="1">
        <f t="array" ref="G741">_xlfn.TEXTJOIN("_",TRUE,TRIM(_xlfn.TEXTSPLIT(PartList[[#This Row],[GRID LOCATION]],{"PR01","/","-"})))</f>
        <v>13_14_A_B</v>
      </c>
      <c r="H741" t="str" cm="1">
        <f t="array" ref="H74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41" cm="1">
        <f t="array" ref="I74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41" t="str">
        <f>IF(IFERROR(SEARCH("&gt;",PartList[[#This Row],[ID]]),0),"O",IF(IFERROR(SEARCH("&lt;",PartList[[#This Row],[ID]]),0),"I",""))</f>
        <v/>
      </c>
      <c r="K741" t="str" cm="1">
        <f t="array" ref="K7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41" t="str" cm="1">
        <f t="array" ref="L7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41" t="str">
        <f>_xlfn.TEXTJOIN("#",TRUE,PartList[[#This Row],[ASSLY MARK]],PartList[[#This Row],[BOX NO]],PartList[[#This Row],[In/Out]],PartList[[#This Row],[O1-Grid]])</f>
        <v>2BE47#Box2#InB</v>
      </c>
      <c r="N741" t="str">
        <f>_xlfn.TEXTJOIN("#",TRUE,PartList[[#This Row],[ASSLY MARK]],PartList[[#This Row],[BOX NO]],PartList[[#This Row],[In/Out]],PartList[[#This Row],[O2-Grid]])</f>
        <v>2BE47#Box2#InB</v>
      </c>
      <c r="O741">
        <f>IF(PartList[[#This Row],[Unique]]="Yes",_xlfn.XLOOKUP(PartList[[#This Row],[ASSLY MARK]],FilteredPL!A:A,FilteredPL!B:B,0,0),0)</f>
        <v>0</v>
      </c>
      <c r="P741">
        <f>_xlfn.XLOOKUP(PartList[[#This Row],[ASSLY MARK]],MasterPL[SplitMarkNo],MasterPL[BILL WT.(KG)],0,0)</f>
        <v>0</v>
      </c>
      <c r="Q741" cm="1">
        <f t="array" ref="Q74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41" t="str">
        <v>2HB26</v>
      </c>
      <c r="AB741" s="42">
        <f>SUMIF(PartList[ASSLY MARK],AA741,PartList[Avail. Qty])</f>
        <v>0</v>
      </c>
    </row>
    <row r="742" spans="1:28" x14ac:dyDescent="0.25">
      <c r="A742">
        <v>268</v>
      </c>
      <c r="B742" t="s">
        <v>682</v>
      </c>
      <c r="C742" t="s">
        <v>602</v>
      </c>
      <c r="D742" t="s">
        <v>683</v>
      </c>
      <c r="E742" t="s">
        <v>5</v>
      </c>
      <c r="F742" t="str" cm="1">
        <f t="array" ref="F742">IF(SUM(IF(PartList[ASSLY MARK]=PartList[[#This Row],[ASSLY MARK]],1,0))&gt;1,"No","Yes")</f>
        <v>Yes</v>
      </c>
      <c r="G742" t="str" cm="1">
        <f t="array" ref="G742">_xlfn.TEXTJOIN("_",TRUE,TRIM(_xlfn.TEXTSPLIT(PartList[[#This Row],[GRID LOCATION]],{"PR01","/","-"})))</f>
        <v>13_14_A_B</v>
      </c>
      <c r="H742" t="str" cm="1">
        <f t="array" ref="H74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42" cm="1">
        <f t="array" ref="I74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42" t="str">
        <f>IF(IFERROR(SEARCH("&gt;",PartList[[#This Row],[ID]]),0),"O",IF(IFERROR(SEARCH("&lt;",PartList[[#This Row],[ID]]),0),"I",""))</f>
        <v/>
      </c>
      <c r="K742" t="str" cm="1">
        <f t="array" ref="K7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42" t="str" cm="1">
        <f t="array" ref="L7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42" t="str">
        <f>_xlfn.TEXTJOIN("#",TRUE,PartList[[#This Row],[ASSLY MARK]],PartList[[#This Row],[BOX NO]],PartList[[#This Row],[In/Out]],PartList[[#This Row],[O1-Grid]])</f>
        <v>2BE50#Box2#InB</v>
      </c>
      <c r="N742" t="str">
        <f>_xlfn.TEXTJOIN("#",TRUE,PartList[[#This Row],[ASSLY MARK]],PartList[[#This Row],[BOX NO]],PartList[[#This Row],[In/Out]],PartList[[#This Row],[O2-Grid]])</f>
        <v>2BE50#Box2#InB</v>
      </c>
      <c r="O742">
        <f>IF(PartList[[#This Row],[Unique]]="Yes",_xlfn.XLOOKUP(PartList[[#This Row],[ASSLY MARK]],FilteredPL!A:A,FilteredPL!B:B,0,0),0)</f>
        <v>0</v>
      </c>
      <c r="P742">
        <f>_xlfn.XLOOKUP(PartList[[#This Row],[ASSLY MARK]],MasterPL[SplitMarkNo],MasterPL[BILL WT.(KG)],0,0)</f>
        <v>0</v>
      </c>
      <c r="Q742" cm="1">
        <f t="array" ref="Q74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42" t="str">
        <v>2HB28</v>
      </c>
      <c r="AB742" s="42">
        <f>SUMIF(PartList[ASSLY MARK],AA742,PartList[Avail. Qty])</f>
        <v>0</v>
      </c>
    </row>
    <row r="743" spans="1:28" x14ac:dyDescent="0.25">
      <c r="A743">
        <v>269</v>
      </c>
      <c r="B743" t="s">
        <v>684</v>
      </c>
      <c r="C743" t="s">
        <v>602</v>
      </c>
      <c r="D743" t="s">
        <v>150</v>
      </c>
      <c r="E743" t="s">
        <v>5</v>
      </c>
      <c r="F743" t="str" cm="1">
        <f t="array" ref="F743">IF(SUM(IF(PartList[ASSLY MARK]=PartList[[#This Row],[ASSLY MARK]],1,0))&gt;1,"No","Yes")</f>
        <v>Yes</v>
      </c>
      <c r="G743" t="str" cm="1">
        <f t="array" ref="G743">_xlfn.TEXTJOIN("_",TRUE,TRIM(_xlfn.TEXTSPLIT(PartList[[#This Row],[GRID LOCATION]],{"PR01","/","-"})))</f>
        <v>13_14_A_B</v>
      </c>
      <c r="H743" t="str" cm="1">
        <f t="array" ref="H74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43" cm="1">
        <f t="array" ref="I74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43" t="str">
        <f>IF(IFERROR(SEARCH("&gt;",PartList[[#This Row],[ID]]),0),"O",IF(IFERROR(SEARCH("&lt;",PartList[[#This Row],[ID]]),0),"I",""))</f>
        <v/>
      </c>
      <c r="K743" t="str" cm="1">
        <f t="array" ref="K7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43" t="str" cm="1">
        <f t="array" ref="L7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43" t="str">
        <f>_xlfn.TEXTJOIN("#",TRUE,PartList[[#This Row],[ASSLY MARK]],PartList[[#This Row],[BOX NO]],PartList[[#This Row],[In/Out]],PartList[[#This Row],[O1-Grid]])</f>
        <v>2BE51#Box2#InB</v>
      </c>
      <c r="N743" t="str">
        <f>_xlfn.TEXTJOIN("#",TRUE,PartList[[#This Row],[ASSLY MARK]],PartList[[#This Row],[BOX NO]],PartList[[#This Row],[In/Out]],PartList[[#This Row],[O2-Grid]])</f>
        <v>2BE51#Box2#InB</v>
      </c>
      <c r="O743">
        <f>IF(PartList[[#This Row],[Unique]]="Yes",_xlfn.XLOOKUP(PartList[[#This Row],[ASSLY MARK]],FilteredPL!A:A,FilteredPL!B:B,0,0),0)</f>
        <v>0</v>
      </c>
      <c r="P743">
        <f>_xlfn.XLOOKUP(PartList[[#This Row],[ASSLY MARK]],MasterPL[SplitMarkNo],MasterPL[BILL WT.(KG)],0,0)</f>
        <v>0</v>
      </c>
      <c r="Q743" cm="1">
        <f t="array" ref="Q74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43" t="str">
        <v>2HB31</v>
      </c>
      <c r="AB743" s="42">
        <f>SUMIF(PartList[ASSLY MARK],AA743,PartList[Avail. Qty])</f>
        <v>0</v>
      </c>
    </row>
    <row r="744" spans="1:28" x14ac:dyDescent="0.25">
      <c r="A744">
        <v>270</v>
      </c>
      <c r="B744" t="s">
        <v>685</v>
      </c>
      <c r="C744" t="s">
        <v>686</v>
      </c>
      <c r="D744" t="s">
        <v>675</v>
      </c>
      <c r="E744" t="s">
        <v>5</v>
      </c>
      <c r="F744" t="str" cm="1">
        <f t="array" ref="F744">IF(SUM(IF(PartList[ASSLY MARK]=PartList[[#This Row],[ASSLY MARK]],1,0))&gt;1,"No","Yes")</f>
        <v>Yes</v>
      </c>
      <c r="G744" t="str" cm="1">
        <f t="array" ref="G744">_xlfn.TEXTJOIN("_",TRUE,TRIM(_xlfn.TEXTSPLIT(PartList[[#This Row],[GRID LOCATION]],{"PR01","/","-"})))</f>
        <v>13_14_B&gt;</v>
      </c>
      <c r="H744" t="str" cm="1">
        <f t="array" ref="H74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44" cm="1">
        <f t="array" ref="I74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44" t="str">
        <f>IF(IFERROR(SEARCH("&gt;",PartList[[#This Row],[ID]]),0),"O",IF(IFERROR(SEARCH("&lt;",PartList[[#This Row],[ID]]),0),"I",""))</f>
        <v>O</v>
      </c>
      <c r="K744" t="str" cm="1">
        <f t="array" ref="K7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44" t="str" cm="1">
        <f t="array" ref="L7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44" t="str">
        <f>_xlfn.TEXTJOIN("#",TRUE,PartList[[#This Row],[ASSLY MARK]],PartList[[#This Row],[BOX NO]],PartList[[#This Row],[In/Out]],PartList[[#This Row],[O1-Grid]])</f>
        <v>2BE52#Box2#O</v>
      </c>
      <c r="N744" t="str">
        <f>_xlfn.TEXTJOIN("#",TRUE,PartList[[#This Row],[ASSLY MARK]],PartList[[#This Row],[BOX NO]],PartList[[#This Row],[In/Out]],PartList[[#This Row],[O2-Grid]])</f>
        <v>2BE52#Box2#O</v>
      </c>
      <c r="O744">
        <f>IF(PartList[[#This Row],[Unique]]="Yes",_xlfn.XLOOKUP(PartList[[#This Row],[ASSLY MARK]],FilteredPL!A:A,FilteredPL!B:B,0,0),0)</f>
        <v>0</v>
      </c>
      <c r="P744">
        <f>_xlfn.XLOOKUP(PartList[[#This Row],[ASSLY MARK]],MasterPL[SplitMarkNo],MasterPL[BILL WT.(KG)],0,0)</f>
        <v>0</v>
      </c>
      <c r="Q744" cm="1">
        <f t="array" ref="Q74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44" t="str">
        <v>2SC05</v>
      </c>
      <c r="AB744" s="42">
        <f>SUMIF(PartList[ASSLY MARK],AA744,PartList[Avail. Qty])</f>
        <v>0</v>
      </c>
    </row>
    <row r="745" spans="1:28" x14ac:dyDescent="0.25">
      <c r="A745">
        <v>271</v>
      </c>
      <c r="B745" t="s">
        <v>687</v>
      </c>
      <c r="C745" t="s">
        <v>686</v>
      </c>
      <c r="D745" t="s">
        <v>675</v>
      </c>
      <c r="E745" t="s">
        <v>5</v>
      </c>
      <c r="F745" t="str" cm="1">
        <f t="array" ref="F745">IF(SUM(IF(PartList[ASSLY MARK]=PartList[[#This Row],[ASSLY MARK]],1,0))&gt;1,"No","Yes")</f>
        <v>Yes</v>
      </c>
      <c r="G745" t="str" cm="1">
        <f t="array" ref="G745">_xlfn.TEXTJOIN("_",TRUE,TRIM(_xlfn.TEXTSPLIT(PartList[[#This Row],[GRID LOCATION]],{"PR01","/","-"})))</f>
        <v>13_14_B&gt;</v>
      </c>
      <c r="H745" t="str" cm="1">
        <f t="array" ref="H74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45" cm="1">
        <f t="array" ref="I74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45" t="str">
        <f>IF(IFERROR(SEARCH("&gt;",PartList[[#This Row],[ID]]),0),"O",IF(IFERROR(SEARCH("&lt;",PartList[[#This Row],[ID]]),0),"I",""))</f>
        <v>O</v>
      </c>
      <c r="K745" t="str" cm="1">
        <f t="array" ref="K7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45" t="str" cm="1">
        <f t="array" ref="L7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45" t="str">
        <f>_xlfn.TEXTJOIN("#",TRUE,PartList[[#This Row],[ASSLY MARK]],PartList[[#This Row],[BOX NO]],PartList[[#This Row],[In/Out]],PartList[[#This Row],[O1-Grid]])</f>
        <v>2BE53#Box2#O</v>
      </c>
      <c r="N745" t="str">
        <f>_xlfn.TEXTJOIN("#",TRUE,PartList[[#This Row],[ASSLY MARK]],PartList[[#This Row],[BOX NO]],PartList[[#This Row],[In/Out]],PartList[[#This Row],[O2-Grid]])</f>
        <v>2BE53#Box2#O</v>
      </c>
      <c r="O745">
        <f>IF(PartList[[#This Row],[Unique]]="Yes",_xlfn.XLOOKUP(PartList[[#This Row],[ASSLY MARK]],FilteredPL!A:A,FilteredPL!B:B,0,0),0)</f>
        <v>0</v>
      </c>
      <c r="P745">
        <f>_xlfn.XLOOKUP(PartList[[#This Row],[ASSLY MARK]],MasterPL[SplitMarkNo],MasterPL[BILL WT.(KG)],0,0)</f>
        <v>0</v>
      </c>
      <c r="Q745" cm="1">
        <f t="array" ref="Q74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45" t="str">
        <v>3BE11</v>
      </c>
      <c r="AB745" s="42">
        <f>SUMIF(PartList[ASSLY MARK],AA745,PartList[Avail. Qty])</f>
        <v>0</v>
      </c>
    </row>
    <row r="746" spans="1:28" x14ac:dyDescent="0.25">
      <c r="A746">
        <v>272</v>
      </c>
      <c r="B746" t="s">
        <v>688</v>
      </c>
      <c r="C746" t="s">
        <v>609</v>
      </c>
      <c r="D746" t="s">
        <v>150</v>
      </c>
      <c r="E746" t="s">
        <v>5</v>
      </c>
      <c r="F746" t="str" cm="1">
        <f t="array" ref="F746">IF(SUM(IF(PartList[ASSLY MARK]=PartList[[#This Row],[ASSLY MARK]],1,0))&gt;1,"No","Yes")</f>
        <v>Yes</v>
      </c>
      <c r="G746" t="str" cm="1">
        <f t="array" ref="G746">_xlfn.TEXTJOIN("_",TRUE,TRIM(_xlfn.TEXTSPLIT(PartList[[#This Row],[GRID LOCATION]],{"PR01","/","-"})))</f>
        <v>13_14_A</v>
      </c>
      <c r="H746" t="str" cm="1">
        <f t="array" ref="H74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46" cm="1">
        <f t="array" ref="I74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46" t="str">
        <f>IF(IFERROR(SEARCH("&gt;",PartList[[#This Row],[ID]]),0),"O",IF(IFERROR(SEARCH("&lt;",PartList[[#This Row],[ID]]),0),"I",""))</f>
        <v/>
      </c>
      <c r="K746" t="str" cm="1">
        <f t="array" ref="K7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46" t="str" cm="1">
        <f t="array" ref="L7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13_14_A</v>
      </c>
      <c r="M746" t="str">
        <f>_xlfn.TEXTJOIN("#",TRUE,PartList[[#This Row],[ASSLY MARK]],PartList[[#This Row],[BOX NO]],PartList[[#This Row],[In/Out]],PartList[[#This Row],[O1-Grid]])</f>
        <v>2BE54#Box2#InB</v>
      </c>
      <c r="N746" t="str">
        <f>_xlfn.TEXTJOIN("#",TRUE,PartList[[#This Row],[ASSLY MARK]],PartList[[#This Row],[BOX NO]],PartList[[#This Row],[In/Out]],PartList[[#This Row],[O2-Grid]])</f>
        <v>2BE54#Box2#13_14_A</v>
      </c>
      <c r="O746">
        <f>IF(PartList[[#This Row],[Unique]]="Yes",_xlfn.XLOOKUP(PartList[[#This Row],[ASSLY MARK]],FilteredPL!A:A,FilteredPL!B:B,0,0),0)</f>
        <v>0</v>
      </c>
      <c r="P746">
        <f>_xlfn.XLOOKUP(PartList[[#This Row],[ASSLY MARK]],MasterPL[SplitMarkNo],MasterPL[BILL WT.(KG)],0,0)</f>
        <v>0</v>
      </c>
      <c r="Q746" cm="1">
        <f t="array" ref="Q74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46" t="str">
        <v>3BE45</v>
      </c>
      <c r="AB746" s="42">
        <f>SUMIF(PartList[ASSLY MARK],AA746,PartList[Avail. Qty])</f>
        <v>0</v>
      </c>
    </row>
    <row r="747" spans="1:28" x14ac:dyDescent="0.25">
      <c r="A747">
        <v>278</v>
      </c>
      <c r="B747" t="s">
        <v>690</v>
      </c>
      <c r="C747" t="s">
        <v>613</v>
      </c>
      <c r="D747" t="s">
        <v>150</v>
      </c>
      <c r="E747" t="s">
        <v>5</v>
      </c>
      <c r="F747" t="str" cm="1">
        <f t="array" ref="F747">IF(SUM(IF(PartList[ASSLY MARK]=PartList[[#This Row],[ASSLY MARK]],1,0))&gt;1,"No","Yes")</f>
        <v>Yes</v>
      </c>
      <c r="G747" t="str" cm="1">
        <f t="array" ref="G747">_xlfn.TEXTJOIN("_",TRUE,TRIM(_xlfn.TEXTSPLIT(PartList[[#This Row],[GRID LOCATION]],{"PR01","/","-"})))</f>
        <v>13_14_B</v>
      </c>
      <c r="H747" t="str" cm="1">
        <f t="array" ref="H74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47" cm="1">
        <f t="array" ref="I74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47" t="str">
        <f>IF(IFERROR(SEARCH("&gt;",PartList[[#This Row],[ID]]),0),"O",IF(IFERROR(SEARCH("&lt;",PartList[[#This Row],[ID]]),0),"I",""))</f>
        <v/>
      </c>
      <c r="K747" t="str" cm="1">
        <f t="array" ref="K7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47" t="str" cm="1">
        <f t="array" ref="L7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13_14_B</v>
      </c>
      <c r="M747" t="str">
        <f>_xlfn.TEXTJOIN("#",TRUE,PartList[[#This Row],[ASSLY MARK]],PartList[[#This Row],[BOX NO]],PartList[[#This Row],[In/Out]],PartList[[#This Row],[O1-Grid]])</f>
        <v>2BE56#Box2#InB</v>
      </c>
      <c r="N747" t="str">
        <f>_xlfn.TEXTJOIN("#",TRUE,PartList[[#This Row],[ASSLY MARK]],PartList[[#This Row],[BOX NO]],PartList[[#This Row],[In/Out]],PartList[[#This Row],[O2-Grid]])</f>
        <v>2BE56#Box2#13_14_B</v>
      </c>
      <c r="O747">
        <f>IF(PartList[[#This Row],[Unique]]="Yes",_xlfn.XLOOKUP(PartList[[#This Row],[ASSLY MARK]],FilteredPL!A:A,FilteredPL!B:B,0,0),0)</f>
        <v>0</v>
      </c>
      <c r="P747">
        <f>_xlfn.XLOOKUP(PartList[[#This Row],[ASSLY MARK]],MasterPL[SplitMarkNo],MasterPL[BILL WT.(KG)],0,0)</f>
        <v>0</v>
      </c>
      <c r="Q747" cm="1">
        <f t="array" ref="Q74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47" t="str">
        <v>3BE61</v>
      </c>
      <c r="AB747" s="42">
        <f>SUMIF(PartList[ASSLY MARK],AA747,PartList[Avail. Qty])</f>
        <v>0</v>
      </c>
    </row>
    <row r="748" spans="1:28" x14ac:dyDescent="0.25">
      <c r="A748">
        <v>279</v>
      </c>
      <c r="B748" t="s">
        <v>691</v>
      </c>
      <c r="C748" t="s">
        <v>613</v>
      </c>
      <c r="D748" t="s">
        <v>683</v>
      </c>
      <c r="E748" t="s">
        <v>5</v>
      </c>
      <c r="F748" t="str" cm="1">
        <f t="array" ref="F748">IF(SUM(IF(PartList[ASSLY MARK]=PartList[[#This Row],[ASSLY MARK]],1,0))&gt;1,"No","Yes")</f>
        <v>Yes</v>
      </c>
      <c r="G748" t="str" cm="1">
        <f t="array" ref="G748">_xlfn.TEXTJOIN("_",TRUE,TRIM(_xlfn.TEXTSPLIT(PartList[[#This Row],[GRID LOCATION]],{"PR01","/","-"})))</f>
        <v>13_14_B</v>
      </c>
      <c r="H748" t="str" cm="1">
        <f t="array" ref="H74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48" cm="1">
        <f t="array" ref="I74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48" t="str">
        <f>IF(IFERROR(SEARCH("&gt;",PartList[[#This Row],[ID]]),0),"O",IF(IFERROR(SEARCH("&lt;",PartList[[#This Row],[ID]]),0),"I",""))</f>
        <v/>
      </c>
      <c r="K748" t="str" cm="1">
        <f t="array" ref="K7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48" t="str" cm="1">
        <f t="array" ref="L7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13_14_B</v>
      </c>
      <c r="M748" t="str">
        <f>_xlfn.TEXTJOIN("#",TRUE,PartList[[#This Row],[ASSLY MARK]],PartList[[#This Row],[BOX NO]],PartList[[#This Row],[In/Out]],PartList[[#This Row],[O1-Grid]])</f>
        <v>2BE57#Box2#InB</v>
      </c>
      <c r="N748" t="str">
        <f>_xlfn.TEXTJOIN("#",TRUE,PartList[[#This Row],[ASSLY MARK]],PartList[[#This Row],[BOX NO]],PartList[[#This Row],[In/Out]],PartList[[#This Row],[O2-Grid]])</f>
        <v>2BE57#Box2#13_14_B</v>
      </c>
      <c r="O748">
        <f>IF(PartList[[#This Row],[Unique]]="Yes",_xlfn.XLOOKUP(PartList[[#This Row],[ASSLY MARK]],FilteredPL!A:A,FilteredPL!B:B,0,0),0)</f>
        <v>0</v>
      </c>
      <c r="P748">
        <f>_xlfn.XLOOKUP(PartList[[#This Row],[ASSLY MARK]],MasterPL[SplitMarkNo],MasterPL[BILL WT.(KG)],0,0)</f>
        <v>0</v>
      </c>
      <c r="Q748" cm="1">
        <f t="array" ref="Q74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48" t="str">
        <v>3BE62</v>
      </c>
      <c r="AB748" s="42">
        <f>SUMIF(PartList[ASSLY MARK],AA748,PartList[Avail. Qty])</f>
        <v>0</v>
      </c>
    </row>
    <row r="749" spans="1:28" x14ac:dyDescent="0.25">
      <c r="A749">
        <v>293</v>
      </c>
      <c r="B749" t="s">
        <v>705</v>
      </c>
      <c r="C749" t="s">
        <v>609</v>
      </c>
      <c r="D749" t="s">
        <v>649</v>
      </c>
      <c r="E749" t="s">
        <v>5</v>
      </c>
      <c r="F749" t="str" cm="1">
        <f t="array" ref="F749">IF(SUM(IF(PartList[ASSLY MARK]=PartList[[#This Row],[ASSLY MARK]],1,0))&gt;1,"No","Yes")</f>
        <v>Yes</v>
      </c>
      <c r="G749" t="str" cm="1">
        <f t="array" ref="G749">_xlfn.TEXTJOIN("_",TRUE,TRIM(_xlfn.TEXTSPLIT(PartList[[#This Row],[GRID LOCATION]],{"PR01","/","-"})))</f>
        <v>13_14_A</v>
      </c>
      <c r="H749" t="str" cm="1">
        <f t="array" ref="H74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49" cm="1">
        <f t="array" ref="I74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49" t="str">
        <f>IF(IFERROR(SEARCH("&gt;",PartList[[#This Row],[ID]]),0),"O",IF(IFERROR(SEARCH("&lt;",PartList[[#This Row],[ID]]),0),"I",""))</f>
        <v/>
      </c>
      <c r="K749" t="str" cm="1">
        <f t="array" ref="K7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49" t="str" cm="1">
        <f t="array" ref="L7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13_14_A</v>
      </c>
      <c r="M749" t="str">
        <f>_xlfn.TEXTJOIN("#",TRUE,PartList[[#This Row],[ASSLY MARK]],PartList[[#This Row],[BOX NO]],PartList[[#This Row],[In/Out]],PartList[[#This Row],[O1-Grid]])</f>
        <v>2BE71#Box2#InB</v>
      </c>
      <c r="N749" t="str">
        <f>_xlfn.TEXTJOIN("#",TRUE,PartList[[#This Row],[ASSLY MARK]],PartList[[#This Row],[BOX NO]],PartList[[#This Row],[In/Out]],PartList[[#This Row],[O2-Grid]])</f>
        <v>2BE71#Box2#13_14_A</v>
      </c>
      <c r="O749">
        <f>IF(PartList[[#This Row],[Unique]]="Yes",_xlfn.XLOOKUP(PartList[[#This Row],[ASSLY MARK]],FilteredPL!A:A,FilteredPL!B:B,0,0),0)</f>
        <v>0</v>
      </c>
      <c r="P749">
        <f>_xlfn.XLOOKUP(PartList[[#This Row],[ASSLY MARK]],MasterPL[SplitMarkNo],MasterPL[BILL WT.(KG)],0,0)</f>
        <v>0</v>
      </c>
      <c r="Q749" cm="1">
        <f t="array" ref="Q74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49" t="str">
        <v>3BE63</v>
      </c>
      <c r="AB749" s="42">
        <f>SUMIF(PartList[ASSLY MARK],AA749,PartList[Avail. Qty])</f>
        <v>0</v>
      </c>
    </row>
    <row r="750" spans="1:28" x14ac:dyDescent="0.25">
      <c r="A750">
        <v>298</v>
      </c>
      <c r="B750" t="s">
        <v>186</v>
      </c>
      <c r="C750" t="s">
        <v>558</v>
      </c>
      <c r="D750" t="s">
        <v>708</v>
      </c>
      <c r="E750" t="s">
        <v>6</v>
      </c>
      <c r="F750" t="str" cm="1">
        <f t="array" ref="F750">IF(SUM(IF(PartList[ASSLY MARK]=PartList[[#This Row],[ASSLY MARK]],1,0))&gt;1,"No","Yes")</f>
        <v>No</v>
      </c>
      <c r="G750" t="str" cm="1">
        <f t="array" ref="G750">_xlfn.TEXTJOIN("_",TRUE,TRIM(_xlfn.TEXTSPLIT(PartList[[#This Row],[GRID LOCATION]],{"PR01","/","-"})))</f>
        <v>12_13_A'_A</v>
      </c>
      <c r="H750" t="str" cm="1">
        <f t="array" ref="H75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750" cm="1">
        <f t="array" ref="I75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50" t="str">
        <f>IF(IFERROR(SEARCH("&gt;",PartList[[#This Row],[ID]]),0),"O",IF(IFERROR(SEARCH("&lt;",PartList[[#This Row],[ID]]),0),"I",""))</f>
        <v/>
      </c>
      <c r="K750" t="str" cm="1">
        <f t="array" ref="K7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50" t="str" cm="1">
        <f t="array" ref="L7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50" t="str">
        <f>_xlfn.TEXTJOIN("#",TRUE,PartList[[#This Row],[ASSLY MARK]],PartList[[#This Row],[BOX NO]],PartList[[#This Row],[In/Out]],PartList[[#This Row],[O1-Grid]])</f>
        <v>2HB03#Box2_Box5#InBB</v>
      </c>
      <c r="N750" t="str">
        <f>_xlfn.TEXTJOIN("#",TRUE,PartList[[#This Row],[ASSLY MARK]],PartList[[#This Row],[BOX NO]],PartList[[#This Row],[In/Out]],PartList[[#This Row],[O2-Grid]])</f>
        <v>2HB03#Box2_Box5#InBB</v>
      </c>
      <c r="O750">
        <f>IF(PartList[[#This Row],[Unique]]="Yes",_xlfn.XLOOKUP(PartList[[#This Row],[ASSLY MARK]],FilteredPL!A:A,FilteredPL!B:B,0,0),0)</f>
        <v>0</v>
      </c>
      <c r="P750">
        <f>_xlfn.XLOOKUP(PartList[[#This Row],[ASSLY MARK]],MasterPL[SplitMarkNo],MasterPL[BILL WT.(KG)],0,0)</f>
        <v>0</v>
      </c>
      <c r="Q750" cm="1">
        <f t="array" ref="Q75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50" t="str">
        <v>3BE64</v>
      </c>
      <c r="AB750" s="42">
        <f>SUMIF(PartList[ASSLY MARK],AA750,PartList[Avail. Qty])</f>
        <v>0</v>
      </c>
    </row>
    <row r="751" spans="1:28" x14ac:dyDescent="0.25">
      <c r="A751">
        <v>299</v>
      </c>
      <c r="B751" t="s">
        <v>186</v>
      </c>
      <c r="C751" t="s">
        <v>558</v>
      </c>
      <c r="D751" t="s">
        <v>708</v>
      </c>
      <c r="E751" t="s">
        <v>6</v>
      </c>
      <c r="F751" t="str" cm="1">
        <f t="array" ref="F751">IF(SUM(IF(PartList[ASSLY MARK]=PartList[[#This Row],[ASSLY MARK]],1,0))&gt;1,"No","Yes")</f>
        <v>No</v>
      </c>
      <c r="G751" t="str" cm="1">
        <f t="array" ref="G751">_xlfn.TEXTJOIN("_",TRUE,TRIM(_xlfn.TEXTSPLIT(PartList[[#This Row],[GRID LOCATION]],{"PR01","/","-"})))</f>
        <v>12_13_A'_A</v>
      </c>
      <c r="H751" t="str" cm="1">
        <f t="array" ref="H75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751" cm="1">
        <f t="array" ref="I75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51" t="str">
        <f>IF(IFERROR(SEARCH("&gt;",PartList[[#This Row],[ID]]),0),"O",IF(IFERROR(SEARCH("&lt;",PartList[[#This Row],[ID]]),0),"I",""))</f>
        <v/>
      </c>
      <c r="K751" t="str" cm="1">
        <f t="array" ref="K7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51" t="str" cm="1">
        <f t="array" ref="L7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51" t="str">
        <f>_xlfn.TEXTJOIN("#",TRUE,PartList[[#This Row],[ASSLY MARK]],PartList[[#This Row],[BOX NO]],PartList[[#This Row],[In/Out]],PartList[[#This Row],[O1-Grid]])</f>
        <v>2HB03#Box2_Box5#InBB</v>
      </c>
      <c r="N751" t="str">
        <f>_xlfn.TEXTJOIN("#",TRUE,PartList[[#This Row],[ASSLY MARK]],PartList[[#This Row],[BOX NO]],PartList[[#This Row],[In/Out]],PartList[[#This Row],[O2-Grid]])</f>
        <v>2HB03#Box2_Box5#InBB</v>
      </c>
      <c r="O751">
        <f>IF(PartList[[#This Row],[Unique]]="Yes",_xlfn.XLOOKUP(PartList[[#This Row],[ASSLY MARK]],FilteredPL!A:A,FilteredPL!B:B,0,0),0)</f>
        <v>0</v>
      </c>
      <c r="P751">
        <f>_xlfn.XLOOKUP(PartList[[#This Row],[ASSLY MARK]],MasterPL[SplitMarkNo],MasterPL[BILL WT.(KG)],0,0)</f>
        <v>0</v>
      </c>
      <c r="Q751" cm="1">
        <f t="array" ref="Q75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51" t="str">
        <v>3BE65</v>
      </c>
      <c r="AB751" s="42">
        <f>SUMIF(PartList[ASSLY MARK],AA751,PartList[Avail. Qty])</f>
        <v>0</v>
      </c>
    </row>
    <row r="752" spans="1:28" x14ac:dyDescent="0.25">
      <c r="A752">
        <v>308</v>
      </c>
      <c r="B752" t="s">
        <v>189</v>
      </c>
      <c r="C752" t="s">
        <v>547</v>
      </c>
      <c r="D752" t="s">
        <v>708</v>
      </c>
      <c r="E752" t="s">
        <v>6</v>
      </c>
      <c r="F752" t="str" cm="1">
        <f t="array" ref="F752">IF(SUM(IF(PartList[ASSLY MARK]=PartList[[#This Row],[ASSLY MARK]],1,0))&gt;1,"No","Yes")</f>
        <v>Yes</v>
      </c>
      <c r="G752" t="str" cm="1">
        <f t="array" ref="G752">_xlfn.TEXTJOIN("_",TRUE,TRIM(_xlfn.TEXTSPLIT(PartList[[#This Row],[GRID LOCATION]],{"PR01","/","-"})))</f>
        <v>12_13_A_B</v>
      </c>
      <c r="H752" t="str" cm="1">
        <f t="array" ref="H75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52" cm="1">
        <f t="array" ref="I75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52" t="str">
        <f>IF(IFERROR(SEARCH("&gt;",PartList[[#This Row],[ID]]),0),"O",IF(IFERROR(SEARCH("&lt;",PartList[[#This Row],[ID]]),0),"I",""))</f>
        <v/>
      </c>
      <c r="K752" t="str" cm="1">
        <f t="array" ref="K7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52" t="str" cm="1">
        <f t="array" ref="L7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52" t="str">
        <f>_xlfn.TEXTJOIN("#",TRUE,PartList[[#This Row],[ASSLY MARK]],PartList[[#This Row],[BOX NO]],PartList[[#This Row],[In/Out]],PartList[[#This Row],[O1-Grid]])</f>
        <v>2HB06#Box2#InB</v>
      </c>
      <c r="N752" t="str">
        <f>_xlfn.TEXTJOIN("#",TRUE,PartList[[#This Row],[ASSLY MARK]],PartList[[#This Row],[BOX NO]],PartList[[#This Row],[In/Out]],PartList[[#This Row],[O2-Grid]])</f>
        <v>2HB06#Box2#InB</v>
      </c>
      <c r="O752">
        <f>IF(PartList[[#This Row],[Unique]]="Yes",_xlfn.XLOOKUP(PartList[[#This Row],[ASSLY MARK]],FilteredPL!A:A,FilteredPL!B:B,0,0),0)</f>
        <v>0</v>
      </c>
      <c r="P752">
        <f>_xlfn.XLOOKUP(PartList[[#This Row],[ASSLY MARK]],MasterPL[SplitMarkNo],MasterPL[BILL WT.(KG)],0,0)</f>
        <v>0</v>
      </c>
      <c r="Q752" cm="1">
        <f t="array" ref="Q75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52" t="str">
        <v>3HB19</v>
      </c>
      <c r="AB752" s="42">
        <f>SUMIF(PartList[ASSLY MARK],AA752,PartList[Avail. Qty])</f>
        <v>0</v>
      </c>
    </row>
    <row r="753" spans="1:28" x14ac:dyDescent="0.25">
      <c r="A753">
        <v>309</v>
      </c>
      <c r="B753" t="s">
        <v>190</v>
      </c>
      <c r="C753" t="s">
        <v>547</v>
      </c>
      <c r="D753" t="s">
        <v>708</v>
      </c>
      <c r="E753" t="s">
        <v>6</v>
      </c>
      <c r="F753" t="str" cm="1">
        <f t="array" ref="F753">IF(SUM(IF(PartList[ASSLY MARK]=PartList[[#This Row],[ASSLY MARK]],1,0))&gt;1,"No","Yes")</f>
        <v>No</v>
      </c>
      <c r="G753" t="str" cm="1">
        <f t="array" ref="G753">_xlfn.TEXTJOIN("_",TRUE,TRIM(_xlfn.TEXTSPLIT(PartList[[#This Row],[GRID LOCATION]],{"PR01","/","-"})))</f>
        <v>12_13_A_B</v>
      </c>
      <c r="H753" t="str" cm="1">
        <f t="array" ref="H75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53" cm="1">
        <f t="array" ref="I75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53" t="str">
        <f>IF(IFERROR(SEARCH("&gt;",PartList[[#This Row],[ID]]),0),"O",IF(IFERROR(SEARCH("&lt;",PartList[[#This Row],[ID]]),0),"I",""))</f>
        <v/>
      </c>
      <c r="K753" t="str" cm="1">
        <f t="array" ref="K7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53" t="str" cm="1">
        <f t="array" ref="L7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53" t="str">
        <f>_xlfn.TEXTJOIN("#",TRUE,PartList[[#This Row],[ASSLY MARK]],PartList[[#This Row],[BOX NO]],PartList[[#This Row],[In/Out]],PartList[[#This Row],[O1-Grid]])</f>
        <v>2HB07#Box2#InB</v>
      </c>
      <c r="N753" t="str">
        <f>_xlfn.TEXTJOIN("#",TRUE,PartList[[#This Row],[ASSLY MARK]],PartList[[#This Row],[BOX NO]],PartList[[#This Row],[In/Out]],PartList[[#This Row],[O2-Grid]])</f>
        <v>2HB07#Box2#InB</v>
      </c>
      <c r="O753">
        <f>IF(PartList[[#This Row],[Unique]]="Yes",_xlfn.XLOOKUP(PartList[[#This Row],[ASSLY MARK]],FilteredPL!A:A,FilteredPL!B:B,0,0),0)</f>
        <v>0</v>
      </c>
      <c r="P753">
        <f>_xlfn.XLOOKUP(PartList[[#This Row],[ASSLY MARK]],MasterPL[SplitMarkNo],MasterPL[BILL WT.(KG)],0,0)</f>
        <v>0</v>
      </c>
      <c r="Q753" cm="1">
        <f t="array" ref="Q75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53" t="str">
        <v>3HB20</v>
      </c>
      <c r="AB753" s="42">
        <f>SUMIF(PartList[ASSLY MARK],AA753,PartList[Avail. Qty])</f>
        <v>0</v>
      </c>
    </row>
    <row r="754" spans="1:28" x14ac:dyDescent="0.25">
      <c r="A754">
        <v>310</v>
      </c>
      <c r="B754" t="s">
        <v>190</v>
      </c>
      <c r="C754" t="s">
        <v>547</v>
      </c>
      <c r="D754" t="s">
        <v>708</v>
      </c>
      <c r="E754" t="s">
        <v>6</v>
      </c>
      <c r="F754" t="str" cm="1">
        <f t="array" ref="F754">IF(SUM(IF(PartList[ASSLY MARK]=PartList[[#This Row],[ASSLY MARK]],1,0))&gt;1,"No","Yes")</f>
        <v>No</v>
      </c>
      <c r="G754" t="str" cm="1">
        <f t="array" ref="G754">_xlfn.TEXTJOIN("_",TRUE,TRIM(_xlfn.TEXTSPLIT(PartList[[#This Row],[GRID LOCATION]],{"PR01","/","-"})))</f>
        <v>12_13_A_B</v>
      </c>
      <c r="H754" t="str" cm="1">
        <f t="array" ref="H75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54" cm="1">
        <f t="array" ref="I75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54" t="str">
        <f>IF(IFERROR(SEARCH("&gt;",PartList[[#This Row],[ID]]),0),"O",IF(IFERROR(SEARCH("&lt;",PartList[[#This Row],[ID]]),0),"I",""))</f>
        <v/>
      </c>
      <c r="K754" t="str" cm="1">
        <f t="array" ref="K7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54" t="str" cm="1">
        <f t="array" ref="L7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54" t="str">
        <f>_xlfn.TEXTJOIN("#",TRUE,PartList[[#This Row],[ASSLY MARK]],PartList[[#This Row],[BOX NO]],PartList[[#This Row],[In/Out]],PartList[[#This Row],[O1-Grid]])</f>
        <v>2HB07#Box2#InB</v>
      </c>
      <c r="N754" t="str">
        <f>_xlfn.TEXTJOIN("#",TRUE,PartList[[#This Row],[ASSLY MARK]],PartList[[#This Row],[BOX NO]],PartList[[#This Row],[In/Out]],PartList[[#This Row],[O2-Grid]])</f>
        <v>2HB07#Box2#InB</v>
      </c>
      <c r="O754">
        <f>IF(PartList[[#This Row],[Unique]]="Yes",_xlfn.XLOOKUP(PartList[[#This Row],[ASSLY MARK]],FilteredPL!A:A,FilteredPL!B:B,0,0),0)</f>
        <v>0</v>
      </c>
      <c r="P754">
        <f>_xlfn.XLOOKUP(PartList[[#This Row],[ASSLY MARK]],MasterPL[SplitMarkNo],MasterPL[BILL WT.(KG)],0,0)</f>
        <v>0</v>
      </c>
      <c r="Q754" cm="1">
        <f t="array" ref="Q75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54" t="str">
        <v>3SC07</v>
      </c>
      <c r="AB754" s="42">
        <f>SUMIF(PartList[ASSLY MARK],AA754,PartList[Avail. Qty])</f>
        <v>0</v>
      </c>
    </row>
    <row r="755" spans="1:28" x14ac:dyDescent="0.25">
      <c r="A755">
        <v>311</v>
      </c>
      <c r="B755" t="s">
        <v>190</v>
      </c>
      <c r="C755" t="s">
        <v>547</v>
      </c>
      <c r="D755" t="s">
        <v>708</v>
      </c>
      <c r="E755" t="s">
        <v>6</v>
      </c>
      <c r="F755" t="str" cm="1">
        <f t="array" ref="F755">IF(SUM(IF(PartList[ASSLY MARK]=PartList[[#This Row],[ASSLY MARK]],1,0))&gt;1,"No","Yes")</f>
        <v>No</v>
      </c>
      <c r="G755" t="str" cm="1">
        <f t="array" ref="G755">_xlfn.TEXTJOIN("_",TRUE,TRIM(_xlfn.TEXTSPLIT(PartList[[#This Row],[GRID LOCATION]],{"PR01","/","-"})))</f>
        <v>12_13_A_B</v>
      </c>
      <c r="H755" t="str" cm="1">
        <f t="array" ref="H75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55" cm="1">
        <f t="array" ref="I75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55" t="str">
        <f>IF(IFERROR(SEARCH("&gt;",PartList[[#This Row],[ID]]),0),"O",IF(IFERROR(SEARCH("&lt;",PartList[[#This Row],[ID]]),0),"I",""))</f>
        <v/>
      </c>
      <c r="K755" t="str" cm="1">
        <f t="array" ref="K7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55" t="str" cm="1">
        <f t="array" ref="L7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55" t="str">
        <f>_xlfn.TEXTJOIN("#",TRUE,PartList[[#This Row],[ASSLY MARK]],PartList[[#This Row],[BOX NO]],PartList[[#This Row],[In/Out]],PartList[[#This Row],[O1-Grid]])</f>
        <v>2HB07#Box2#InB</v>
      </c>
      <c r="N755" t="str">
        <f>_xlfn.TEXTJOIN("#",TRUE,PartList[[#This Row],[ASSLY MARK]],PartList[[#This Row],[BOX NO]],PartList[[#This Row],[In/Out]],PartList[[#This Row],[O2-Grid]])</f>
        <v>2HB07#Box2#InB</v>
      </c>
      <c r="O755">
        <f>IF(PartList[[#This Row],[Unique]]="Yes",_xlfn.XLOOKUP(PartList[[#This Row],[ASSLY MARK]],FilteredPL!A:A,FilteredPL!B:B,0,0),0)</f>
        <v>0</v>
      </c>
      <c r="P755">
        <f>_xlfn.XLOOKUP(PartList[[#This Row],[ASSLY MARK]],MasterPL[SplitMarkNo],MasterPL[BILL WT.(KG)],0,0)</f>
        <v>0</v>
      </c>
      <c r="Q755" cm="1">
        <f t="array" ref="Q75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55" t="str">
        <v>3SC16</v>
      </c>
      <c r="AB755" s="42">
        <f>SUMIF(PartList[ASSLY MARK],AA755,PartList[Avail. Qty])</f>
        <v>0</v>
      </c>
    </row>
    <row r="756" spans="1:28" x14ac:dyDescent="0.25">
      <c r="A756">
        <v>312</v>
      </c>
      <c r="B756" t="s">
        <v>190</v>
      </c>
      <c r="C756" t="s">
        <v>547</v>
      </c>
      <c r="D756" t="s">
        <v>708</v>
      </c>
      <c r="E756" t="s">
        <v>6</v>
      </c>
      <c r="F756" t="str" cm="1">
        <f t="array" ref="F756">IF(SUM(IF(PartList[ASSLY MARK]=PartList[[#This Row],[ASSLY MARK]],1,0))&gt;1,"No","Yes")</f>
        <v>No</v>
      </c>
      <c r="G756" t="str" cm="1">
        <f t="array" ref="G756">_xlfn.TEXTJOIN("_",TRUE,TRIM(_xlfn.TEXTSPLIT(PartList[[#This Row],[GRID LOCATION]],{"PR01","/","-"})))</f>
        <v>12_13_A_B</v>
      </c>
      <c r="H756" t="str" cm="1">
        <f t="array" ref="H75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56" cm="1">
        <f t="array" ref="I75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56" t="str">
        <f>IF(IFERROR(SEARCH("&gt;",PartList[[#This Row],[ID]]),0),"O",IF(IFERROR(SEARCH("&lt;",PartList[[#This Row],[ID]]),0),"I",""))</f>
        <v/>
      </c>
      <c r="K756" t="str" cm="1">
        <f t="array" ref="K7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56" t="str" cm="1">
        <f t="array" ref="L7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56" t="str">
        <f>_xlfn.TEXTJOIN("#",TRUE,PartList[[#This Row],[ASSLY MARK]],PartList[[#This Row],[BOX NO]],PartList[[#This Row],[In/Out]],PartList[[#This Row],[O1-Grid]])</f>
        <v>2HB07#Box2#InB</v>
      </c>
      <c r="N756" t="str">
        <f>_xlfn.TEXTJOIN("#",TRUE,PartList[[#This Row],[ASSLY MARK]],PartList[[#This Row],[BOX NO]],PartList[[#This Row],[In/Out]],PartList[[#This Row],[O2-Grid]])</f>
        <v>2HB07#Box2#InB</v>
      </c>
      <c r="O756">
        <f>IF(PartList[[#This Row],[Unique]]="Yes",_xlfn.XLOOKUP(PartList[[#This Row],[ASSLY MARK]],FilteredPL!A:A,FilteredPL!B:B,0,0),0)</f>
        <v>0</v>
      </c>
      <c r="P756">
        <f>_xlfn.XLOOKUP(PartList[[#This Row],[ASSLY MARK]],MasterPL[SplitMarkNo],MasterPL[BILL WT.(KG)],0,0)</f>
        <v>0</v>
      </c>
      <c r="Q756" cm="1">
        <f t="array" ref="Q75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56" t="str">
        <v>3SC17</v>
      </c>
      <c r="AB756" s="42">
        <f>SUMIF(PartList[ASSLY MARK],AA756,PartList[Avail. Qty])</f>
        <v>0</v>
      </c>
    </row>
    <row r="757" spans="1:28" x14ac:dyDescent="0.25">
      <c r="A757">
        <v>313</v>
      </c>
      <c r="B757" t="s">
        <v>190</v>
      </c>
      <c r="C757" t="s">
        <v>547</v>
      </c>
      <c r="D757" t="s">
        <v>708</v>
      </c>
      <c r="E757" t="s">
        <v>6</v>
      </c>
      <c r="F757" t="str" cm="1">
        <f t="array" ref="F757">IF(SUM(IF(PartList[ASSLY MARK]=PartList[[#This Row],[ASSLY MARK]],1,0))&gt;1,"No","Yes")</f>
        <v>No</v>
      </c>
      <c r="G757" t="str" cm="1">
        <f t="array" ref="G757">_xlfn.TEXTJOIN("_",TRUE,TRIM(_xlfn.TEXTSPLIT(PartList[[#This Row],[GRID LOCATION]],{"PR01","/","-"})))</f>
        <v>12_13_A_B</v>
      </c>
      <c r="H757" t="str" cm="1">
        <f t="array" ref="H75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57" cm="1">
        <f t="array" ref="I75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57" t="str">
        <f>IF(IFERROR(SEARCH("&gt;",PartList[[#This Row],[ID]]),0),"O",IF(IFERROR(SEARCH("&lt;",PartList[[#This Row],[ID]]),0),"I",""))</f>
        <v/>
      </c>
      <c r="K757" t="str" cm="1">
        <f t="array" ref="K7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57" t="str" cm="1">
        <f t="array" ref="L7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57" t="str">
        <f>_xlfn.TEXTJOIN("#",TRUE,PartList[[#This Row],[ASSLY MARK]],PartList[[#This Row],[BOX NO]],PartList[[#This Row],[In/Out]],PartList[[#This Row],[O1-Grid]])</f>
        <v>2HB07#Box2#InB</v>
      </c>
      <c r="N757" t="str">
        <f>_xlfn.TEXTJOIN("#",TRUE,PartList[[#This Row],[ASSLY MARK]],PartList[[#This Row],[BOX NO]],PartList[[#This Row],[In/Out]],PartList[[#This Row],[O2-Grid]])</f>
        <v>2HB07#Box2#InB</v>
      </c>
      <c r="O757">
        <f>IF(PartList[[#This Row],[Unique]]="Yes",_xlfn.XLOOKUP(PartList[[#This Row],[ASSLY MARK]],FilteredPL!A:A,FilteredPL!B:B,0,0),0)</f>
        <v>0</v>
      </c>
      <c r="P757">
        <f>_xlfn.XLOOKUP(PartList[[#This Row],[ASSLY MARK]],MasterPL[SplitMarkNo],MasterPL[BILL WT.(KG)],0,0)</f>
        <v>0</v>
      </c>
      <c r="Q757" cm="1">
        <f t="array" ref="Q75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57" t="str">
        <v>3SC18</v>
      </c>
      <c r="AB757" s="42">
        <f>SUMIF(PartList[ASSLY MARK],AA757,PartList[Avail. Qty])</f>
        <v>0</v>
      </c>
    </row>
    <row r="758" spans="1:28" x14ac:dyDescent="0.25">
      <c r="A758">
        <v>314</v>
      </c>
      <c r="B758" t="s">
        <v>191</v>
      </c>
      <c r="C758" t="s">
        <v>547</v>
      </c>
      <c r="D758" t="s">
        <v>708</v>
      </c>
      <c r="E758" t="s">
        <v>6</v>
      </c>
      <c r="F758" t="str" cm="1">
        <f t="array" ref="F758">IF(SUM(IF(PartList[ASSLY MARK]=PartList[[#This Row],[ASSLY MARK]],1,0))&gt;1,"No","Yes")</f>
        <v>Yes</v>
      </c>
      <c r="G758" t="str" cm="1">
        <f t="array" ref="G758">_xlfn.TEXTJOIN("_",TRUE,TRIM(_xlfn.TEXTSPLIT(PartList[[#This Row],[GRID LOCATION]],{"PR01","/","-"})))</f>
        <v>12_13_A_B</v>
      </c>
      <c r="H758" t="str" cm="1">
        <f t="array" ref="H75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58" cm="1">
        <f t="array" ref="I75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58" t="str">
        <f>IF(IFERROR(SEARCH("&gt;",PartList[[#This Row],[ID]]),0),"O",IF(IFERROR(SEARCH("&lt;",PartList[[#This Row],[ID]]),0),"I",""))</f>
        <v/>
      </c>
      <c r="K758" t="str" cm="1">
        <f t="array" ref="K7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58" t="str" cm="1">
        <f t="array" ref="L7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58" t="str">
        <f>_xlfn.TEXTJOIN("#",TRUE,PartList[[#This Row],[ASSLY MARK]],PartList[[#This Row],[BOX NO]],PartList[[#This Row],[In/Out]],PartList[[#This Row],[O1-Grid]])</f>
        <v>2HB08#Box2#InB</v>
      </c>
      <c r="N758" t="str">
        <f>_xlfn.TEXTJOIN("#",TRUE,PartList[[#This Row],[ASSLY MARK]],PartList[[#This Row],[BOX NO]],PartList[[#This Row],[In/Out]],PartList[[#This Row],[O2-Grid]])</f>
        <v>2HB08#Box2#InB</v>
      </c>
      <c r="O758">
        <f>IF(PartList[[#This Row],[Unique]]="Yes",_xlfn.XLOOKUP(PartList[[#This Row],[ASSLY MARK]],FilteredPL!A:A,FilteredPL!B:B,0,0),0)</f>
        <v>0</v>
      </c>
      <c r="P758">
        <f>_xlfn.XLOOKUP(PartList[[#This Row],[ASSLY MARK]],MasterPL[SplitMarkNo],MasterPL[BILL WT.(KG)],0,0)</f>
        <v>0</v>
      </c>
      <c r="Q758" cm="1">
        <f t="array" ref="Q75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58" t="str">
        <v>4BE09</v>
      </c>
      <c r="AB758" s="42">
        <f>SUMIF(PartList[ASSLY MARK],AA758,PartList[Avail. Qty])</f>
        <v>0</v>
      </c>
    </row>
    <row r="759" spans="1:28" x14ac:dyDescent="0.25">
      <c r="A759">
        <v>315</v>
      </c>
      <c r="B759" t="s">
        <v>192</v>
      </c>
      <c r="C759" t="s">
        <v>547</v>
      </c>
      <c r="D759" t="s">
        <v>708</v>
      </c>
      <c r="E759" t="s">
        <v>6</v>
      </c>
      <c r="F759" t="str" cm="1">
        <f t="array" ref="F759">IF(SUM(IF(PartList[ASSLY MARK]=PartList[[#This Row],[ASSLY MARK]],1,0))&gt;1,"No","Yes")</f>
        <v>Yes</v>
      </c>
      <c r="G759" t="str" cm="1">
        <f t="array" ref="G759">_xlfn.TEXTJOIN("_",TRUE,TRIM(_xlfn.TEXTSPLIT(PartList[[#This Row],[GRID LOCATION]],{"PR01","/","-"})))</f>
        <v>12_13_A_B</v>
      </c>
      <c r="H759" t="str" cm="1">
        <f t="array" ref="H75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59" cm="1">
        <f t="array" ref="I75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59" t="str">
        <f>IF(IFERROR(SEARCH("&gt;",PartList[[#This Row],[ID]]),0),"O",IF(IFERROR(SEARCH("&lt;",PartList[[#This Row],[ID]]),0),"I",""))</f>
        <v/>
      </c>
      <c r="K759" t="str" cm="1">
        <f t="array" ref="K7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59" t="str" cm="1">
        <f t="array" ref="L7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59" t="str">
        <f>_xlfn.TEXTJOIN("#",TRUE,PartList[[#This Row],[ASSLY MARK]],PartList[[#This Row],[BOX NO]],PartList[[#This Row],[In/Out]],PartList[[#This Row],[O1-Grid]])</f>
        <v>2HB09#Box2#InB</v>
      </c>
      <c r="N759" t="str">
        <f>_xlfn.TEXTJOIN("#",TRUE,PartList[[#This Row],[ASSLY MARK]],PartList[[#This Row],[BOX NO]],PartList[[#This Row],[In/Out]],PartList[[#This Row],[O2-Grid]])</f>
        <v>2HB09#Box2#InB</v>
      </c>
      <c r="O759">
        <f>IF(PartList[[#This Row],[Unique]]="Yes",_xlfn.XLOOKUP(PartList[[#This Row],[ASSLY MARK]],FilteredPL!A:A,FilteredPL!B:B,0,0),0)</f>
        <v>0</v>
      </c>
      <c r="P759">
        <f>_xlfn.XLOOKUP(PartList[[#This Row],[ASSLY MARK]],MasterPL[SplitMarkNo],MasterPL[BILL WT.(KG)],0,0)</f>
        <v>0</v>
      </c>
      <c r="Q759" cm="1">
        <f t="array" ref="Q75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59" t="str">
        <v>4BE13</v>
      </c>
      <c r="AB759" s="42">
        <f>SUMIF(PartList[ASSLY MARK],AA759,PartList[Avail. Qty])</f>
        <v>0</v>
      </c>
    </row>
    <row r="760" spans="1:28" x14ac:dyDescent="0.25">
      <c r="A760">
        <v>316</v>
      </c>
      <c r="B760" t="s">
        <v>193</v>
      </c>
      <c r="C760" t="s">
        <v>561</v>
      </c>
      <c r="D760" t="s">
        <v>708</v>
      </c>
      <c r="E760" t="s">
        <v>6</v>
      </c>
      <c r="F760" t="str" cm="1">
        <f t="array" ref="F760">IF(SUM(IF(PartList[ASSLY MARK]=PartList[[#This Row],[ASSLY MARK]],1,0))&gt;1,"No","Yes")</f>
        <v>Yes</v>
      </c>
      <c r="G760" t="str" cm="1">
        <f t="array" ref="G760">_xlfn.TEXTJOIN("_",TRUE,TRIM(_xlfn.TEXTSPLIT(PartList[[#This Row],[GRID LOCATION]],{"PR01","/","-"})))</f>
        <v>12_13_B&gt;</v>
      </c>
      <c r="H760" t="str" cm="1">
        <f t="array" ref="H76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60" cm="1">
        <f t="array" ref="I76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60" t="str">
        <f>IF(IFERROR(SEARCH("&gt;",PartList[[#This Row],[ID]]),0),"O",IF(IFERROR(SEARCH("&lt;",PartList[[#This Row],[ID]]),0),"I",""))</f>
        <v>O</v>
      </c>
      <c r="K760" t="str" cm="1">
        <f t="array" ref="K7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60" t="str" cm="1">
        <f t="array" ref="L7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60" t="str">
        <f>_xlfn.TEXTJOIN("#",TRUE,PartList[[#This Row],[ASSLY MARK]],PartList[[#This Row],[BOX NO]],PartList[[#This Row],[In/Out]],PartList[[#This Row],[O1-Grid]])</f>
        <v>2HB10#Box2#O</v>
      </c>
      <c r="N760" t="str">
        <f>_xlfn.TEXTJOIN("#",TRUE,PartList[[#This Row],[ASSLY MARK]],PartList[[#This Row],[BOX NO]],PartList[[#This Row],[In/Out]],PartList[[#This Row],[O2-Grid]])</f>
        <v>2HB10#Box2#O</v>
      </c>
      <c r="O760">
        <f>IF(PartList[[#This Row],[Unique]]="Yes",_xlfn.XLOOKUP(PartList[[#This Row],[ASSLY MARK]],FilteredPL!A:A,FilteredPL!B:B,0,0),0)</f>
        <v>0</v>
      </c>
      <c r="P760">
        <f>_xlfn.XLOOKUP(PartList[[#This Row],[ASSLY MARK]],MasterPL[SplitMarkNo],MasterPL[BILL WT.(KG)],0,0)</f>
        <v>0</v>
      </c>
      <c r="Q760" cm="1">
        <f t="array" ref="Q76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60" t="str">
        <v>4BE18</v>
      </c>
      <c r="AB760" s="42">
        <f>SUMIF(PartList[ASSLY MARK],AA760,PartList[Avail. Qty])</f>
        <v>0</v>
      </c>
    </row>
    <row r="761" spans="1:28" x14ac:dyDescent="0.25">
      <c r="A761">
        <v>317</v>
      </c>
      <c r="B761" t="s">
        <v>194</v>
      </c>
      <c r="C761" t="s">
        <v>547</v>
      </c>
      <c r="D761" t="s">
        <v>708</v>
      </c>
      <c r="E761" t="s">
        <v>6</v>
      </c>
      <c r="F761" t="str" cm="1">
        <f t="array" ref="F761">IF(SUM(IF(PartList[ASSLY MARK]=PartList[[#This Row],[ASSLY MARK]],1,0))&gt;1,"No","Yes")</f>
        <v>No</v>
      </c>
      <c r="G761" t="str" cm="1">
        <f t="array" ref="G761">_xlfn.TEXTJOIN("_",TRUE,TRIM(_xlfn.TEXTSPLIT(PartList[[#This Row],[GRID LOCATION]],{"PR01","/","-"})))</f>
        <v>12_13_A_B</v>
      </c>
      <c r="H761" t="str" cm="1">
        <f t="array" ref="H76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61" cm="1">
        <f t="array" ref="I76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61" t="str">
        <f>IF(IFERROR(SEARCH("&gt;",PartList[[#This Row],[ID]]),0),"O",IF(IFERROR(SEARCH("&lt;",PartList[[#This Row],[ID]]),0),"I",""))</f>
        <v/>
      </c>
      <c r="K761" t="str" cm="1">
        <f t="array" ref="K7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61" t="str" cm="1">
        <f t="array" ref="L7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61" t="str">
        <f>_xlfn.TEXTJOIN("#",TRUE,PartList[[#This Row],[ASSLY MARK]],PartList[[#This Row],[BOX NO]],PartList[[#This Row],[In/Out]],PartList[[#This Row],[O1-Grid]])</f>
        <v>2HB11#Box2#InB</v>
      </c>
      <c r="N761" t="str">
        <f>_xlfn.TEXTJOIN("#",TRUE,PartList[[#This Row],[ASSLY MARK]],PartList[[#This Row],[BOX NO]],PartList[[#This Row],[In/Out]],PartList[[#This Row],[O2-Grid]])</f>
        <v>2HB11#Box2#InB</v>
      </c>
      <c r="O761">
        <f>IF(PartList[[#This Row],[Unique]]="Yes",_xlfn.XLOOKUP(PartList[[#This Row],[ASSLY MARK]],FilteredPL!A:A,FilteredPL!B:B,0,0),0)</f>
        <v>0</v>
      </c>
      <c r="P761">
        <f>_xlfn.XLOOKUP(PartList[[#This Row],[ASSLY MARK]],MasterPL[SplitMarkNo],MasterPL[BILL WT.(KG)],0,0)</f>
        <v>0</v>
      </c>
      <c r="Q761" cm="1">
        <f t="array" ref="Q76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61" t="str">
        <v>4BE19</v>
      </c>
      <c r="AB761" s="42">
        <f>SUMIF(PartList[ASSLY MARK],AA761,PartList[Avail. Qty])</f>
        <v>0</v>
      </c>
    </row>
    <row r="762" spans="1:28" x14ac:dyDescent="0.25">
      <c r="A762">
        <v>318</v>
      </c>
      <c r="B762" t="s">
        <v>194</v>
      </c>
      <c r="C762" t="s">
        <v>547</v>
      </c>
      <c r="D762" t="s">
        <v>708</v>
      </c>
      <c r="E762" t="s">
        <v>6</v>
      </c>
      <c r="F762" t="str" cm="1">
        <f t="array" ref="F762">IF(SUM(IF(PartList[ASSLY MARK]=PartList[[#This Row],[ASSLY MARK]],1,0))&gt;1,"No","Yes")</f>
        <v>No</v>
      </c>
      <c r="G762" t="str" cm="1">
        <f t="array" ref="G762">_xlfn.TEXTJOIN("_",TRUE,TRIM(_xlfn.TEXTSPLIT(PartList[[#This Row],[GRID LOCATION]],{"PR01","/","-"})))</f>
        <v>12_13_A_B</v>
      </c>
      <c r="H762" t="str" cm="1">
        <f t="array" ref="H76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62" cm="1">
        <f t="array" ref="I76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62" t="str">
        <f>IF(IFERROR(SEARCH("&gt;",PartList[[#This Row],[ID]]),0),"O",IF(IFERROR(SEARCH("&lt;",PartList[[#This Row],[ID]]),0),"I",""))</f>
        <v/>
      </c>
      <c r="K762" t="str" cm="1">
        <f t="array" ref="K7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62" t="str" cm="1">
        <f t="array" ref="L7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62" t="str">
        <f>_xlfn.TEXTJOIN("#",TRUE,PartList[[#This Row],[ASSLY MARK]],PartList[[#This Row],[BOX NO]],PartList[[#This Row],[In/Out]],PartList[[#This Row],[O1-Grid]])</f>
        <v>2HB11#Box2#InB</v>
      </c>
      <c r="N762" t="str">
        <f>_xlfn.TEXTJOIN("#",TRUE,PartList[[#This Row],[ASSLY MARK]],PartList[[#This Row],[BOX NO]],PartList[[#This Row],[In/Out]],PartList[[#This Row],[O2-Grid]])</f>
        <v>2HB11#Box2#InB</v>
      </c>
      <c r="O762">
        <f>IF(PartList[[#This Row],[Unique]]="Yes",_xlfn.XLOOKUP(PartList[[#This Row],[ASSLY MARK]],FilteredPL!A:A,FilteredPL!B:B,0,0),0)</f>
        <v>0</v>
      </c>
      <c r="P762">
        <f>_xlfn.XLOOKUP(PartList[[#This Row],[ASSLY MARK]],MasterPL[SplitMarkNo],MasterPL[BILL WT.(KG)],0,0)</f>
        <v>0</v>
      </c>
      <c r="Q762" cm="1">
        <f t="array" ref="Q76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62" t="str">
        <v>4BE36</v>
      </c>
      <c r="AB762" s="42">
        <f>SUMIF(PartList[ASSLY MARK],AA762,PartList[Avail. Qty])</f>
        <v>0</v>
      </c>
    </row>
    <row r="763" spans="1:28" x14ac:dyDescent="0.25">
      <c r="A763">
        <v>319</v>
      </c>
      <c r="B763" t="s">
        <v>195</v>
      </c>
      <c r="C763" t="s">
        <v>547</v>
      </c>
      <c r="D763" t="s">
        <v>708</v>
      </c>
      <c r="E763" t="s">
        <v>6</v>
      </c>
      <c r="F763" t="str" cm="1">
        <f t="array" ref="F763">IF(SUM(IF(PartList[ASSLY MARK]=PartList[[#This Row],[ASSLY MARK]],1,0))&gt;1,"No","Yes")</f>
        <v>No</v>
      </c>
      <c r="G763" t="str" cm="1">
        <f t="array" ref="G763">_xlfn.TEXTJOIN("_",TRUE,TRIM(_xlfn.TEXTSPLIT(PartList[[#This Row],[GRID LOCATION]],{"PR01","/","-"})))</f>
        <v>12_13_A_B</v>
      </c>
      <c r="H763" t="str" cm="1">
        <f t="array" ref="H76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63" cm="1">
        <f t="array" ref="I76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63" t="str">
        <f>IF(IFERROR(SEARCH("&gt;",PartList[[#This Row],[ID]]),0),"O",IF(IFERROR(SEARCH("&lt;",PartList[[#This Row],[ID]]),0),"I",""))</f>
        <v/>
      </c>
      <c r="K763" t="str" cm="1">
        <f t="array" ref="K7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63" t="str" cm="1">
        <f t="array" ref="L7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63" t="str">
        <f>_xlfn.TEXTJOIN("#",TRUE,PartList[[#This Row],[ASSLY MARK]],PartList[[#This Row],[BOX NO]],PartList[[#This Row],[In/Out]],PartList[[#This Row],[O1-Grid]])</f>
        <v>2HB12#Box2#InB</v>
      </c>
      <c r="N763" t="str">
        <f>_xlfn.TEXTJOIN("#",TRUE,PartList[[#This Row],[ASSLY MARK]],PartList[[#This Row],[BOX NO]],PartList[[#This Row],[In/Out]],PartList[[#This Row],[O2-Grid]])</f>
        <v>2HB12#Box2#InB</v>
      </c>
      <c r="O763">
        <f>IF(PartList[[#This Row],[Unique]]="Yes",_xlfn.XLOOKUP(PartList[[#This Row],[ASSLY MARK]],FilteredPL!A:A,FilteredPL!B:B,0,0),0)</f>
        <v>0</v>
      </c>
      <c r="P763">
        <f>_xlfn.XLOOKUP(PartList[[#This Row],[ASSLY MARK]],MasterPL[SplitMarkNo],MasterPL[BILL WT.(KG)],0,0)</f>
        <v>0</v>
      </c>
      <c r="Q763" cm="1">
        <f t="array" ref="Q76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63" t="str">
        <v>4BE37</v>
      </c>
      <c r="AB763" s="42">
        <f>SUMIF(PartList[ASSLY MARK],AA763,PartList[Avail. Qty])</f>
        <v>0</v>
      </c>
    </row>
    <row r="764" spans="1:28" x14ac:dyDescent="0.25">
      <c r="A764">
        <v>320</v>
      </c>
      <c r="B764" t="s">
        <v>195</v>
      </c>
      <c r="C764" t="s">
        <v>547</v>
      </c>
      <c r="D764" t="s">
        <v>708</v>
      </c>
      <c r="E764" t="s">
        <v>6</v>
      </c>
      <c r="F764" t="str" cm="1">
        <f t="array" ref="F764">IF(SUM(IF(PartList[ASSLY MARK]=PartList[[#This Row],[ASSLY MARK]],1,0))&gt;1,"No","Yes")</f>
        <v>No</v>
      </c>
      <c r="G764" t="str" cm="1">
        <f t="array" ref="G764">_xlfn.TEXTJOIN("_",TRUE,TRIM(_xlfn.TEXTSPLIT(PartList[[#This Row],[GRID LOCATION]],{"PR01","/","-"})))</f>
        <v>12_13_A_B</v>
      </c>
      <c r="H764" t="str" cm="1">
        <f t="array" ref="H76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64" cm="1">
        <f t="array" ref="I76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64" t="str">
        <f>IF(IFERROR(SEARCH("&gt;",PartList[[#This Row],[ID]]),0),"O",IF(IFERROR(SEARCH("&lt;",PartList[[#This Row],[ID]]),0),"I",""))</f>
        <v/>
      </c>
      <c r="K764" t="str" cm="1">
        <f t="array" ref="K7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64" t="str" cm="1">
        <f t="array" ref="L7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64" t="str">
        <f>_xlfn.TEXTJOIN("#",TRUE,PartList[[#This Row],[ASSLY MARK]],PartList[[#This Row],[BOX NO]],PartList[[#This Row],[In/Out]],PartList[[#This Row],[O1-Grid]])</f>
        <v>2HB12#Box2#InB</v>
      </c>
      <c r="N764" t="str">
        <f>_xlfn.TEXTJOIN("#",TRUE,PartList[[#This Row],[ASSLY MARK]],PartList[[#This Row],[BOX NO]],PartList[[#This Row],[In/Out]],PartList[[#This Row],[O2-Grid]])</f>
        <v>2HB12#Box2#InB</v>
      </c>
      <c r="O764">
        <f>IF(PartList[[#This Row],[Unique]]="Yes",_xlfn.XLOOKUP(PartList[[#This Row],[ASSLY MARK]],FilteredPL!A:A,FilteredPL!B:B,0,0),0)</f>
        <v>0</v>
      </c>
      <c r="P764">
        <f>_xlfn.XLOOKUP(PartList[[#This Row],[ASSLY MARK]],MasterPL[SplitMarkNo],MasterPL[BILL WT.(KG)],0,0)</f>
        <v>0</v>
      </c>
      <c r="Q764" cm="1">
        <f t="array" ref="Q76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64" t="str">
        <v>4BE56</v>
      </c>
      <c r="AB764" s="42">
        <f>SUMIF(PartList[ASSLY MARK],AA764,PartList[Avail. Qty])</f>
        <v>0</v>
      </c>
    </row>
    <row r="765" spans="1:28" x14ac:dyDescent="0.25">
      <c r="A765">
        <v>321</v>
      </c>
      <c r="B765" t="s">
        <v>196</v>
      </c>
      <c r="C765" t="s">
        <v>547</v>
      </c>
      <c r="D765" t="s">
        <v>708</v>
      </c>
      <c r="E765" t="s">
        <v>6</v>
      </c>
      <c r="F765" t="str" cm="1">
        <f t="array" ref="F765">IF(SUM(IF(PartList[ASSLY MARK]=PartList[[#This Row],[ASSLY MARK]],1,0))&gt;1,"No","Yes")</f>
        <v>Yes</v>
      </c>
      <c r="G765" t="str" cm="1">
        <f t="array" ref="G765">_xlfn.TEXTJOIN("_",TRUE,TRIM(_xlfn.TEXTSPLIT(PartList[[#This Row],[GRID LOCATION]],{"PR01","/","-"})))</f>
        <v>12_13_A_B</v>
      </c>
      <c r="H765" t="str" cm="1">
        <f t="array" ref="H76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65" cm="1">
        <f t="array" ref="I76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65" t="str">
        <f>IF(IFERROR(SEARCH("&gt;",PartList[[#This Row],[ID]]),0),"O",IF(IFERROR(SEARCH("&lt;",PartList[[#This Row],[ID]]),0),"I",""))</f>
        <v/>
      </c>
      <c r="K765" t="str" cm="1">
        <f t="array" ref="K7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65" t="str" cm="1">
        <f t="array" ref="L7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65" t="str">
        <f>_xlfn.TEXTJOIN("#",TRUE,PartList[[#This Row],[ASSLY MARK]],PartList[[#This Row],[BOX NO]],PartList[[#This Row],[In/Out]],PartList[[#This Row],[O1-Grid]])</f>
        <v>2HB13#Box2#InB</v>
      </c>
      <c r="N765" t="str">
        <f>_xlfn.TEXTJOIN("#",TRUE,PartList[[#This Row],[ASSLY MARK]],PartList[[#This Row],[BOX NO]],PartList[[#This Row],[In/Out]],PartList[[#This Row],[O2-Grid]])</f>
        <v>2HB13#Box2#InB</v>
      </c>
      <c r="O765">
        <f>IF(PartList[[#This Row],[Unique]]="Yes",_xlfn.XLOOKUP(PartList[[#This Row],[ASSLY MARK]],FilteredPL!A:A,FilteredPL!B:B,0,0),0)</f>
        <v>0</v>
      </c>
      <c r="P765">
        <f>_xlfn.XLOOKUP(PartList[[#This Row],[ASSLY MARK]],MasterPL[SplitMarkNo],MasterPL[BILL WT.(KG)],0,0)</f>
        <v>0</v>
      </c>
      <c r="Q765" cm="1">
        <f t="array" ref="Q76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65" t="str">
        <v>4BE57</v>
      </c>
      <c r="AB765" s="42">
        <f>SUMIF(PartList[ASSLY MARK],AA765,PartList[Avail. Qty])</f>
        <v>0</v>
      </c>
    </row>
    <row r="766" spans="1:28" x14ac:dyDescent="0.25">
      <c r="A766">
        <v>322</v>
      </c>
      <c r="B766" t="s">
        <v>197</v>
      </c>
      <c r="C766" t="s">
        <v>547</v>
      </c>
      <c r="D766" t="s">
        <v>708</v>
      </c>
      <c r="E766" t="s">
        <v>6</v>
      </c>
      <c r="F766" t="str" cm="1">
        <f t="array" ref="F766">IF(SUM(IF(PartList[ASSLY MARK]=PartList[[#This Row],[ASSLY MARK]],1,0))&gt;1,"No","Yes")</f>
        <v>Yes</v>
      </c>
      <c r="G766" t="str" cm="1">
        <f t="array" ref="G766">_xlfn.TEXTJOIN("_",TRUE,TRIM(_xlfn.TEXTSPLIT(PartList[[#This Row],[GRID LOCATION]],{"PR01","/","-"})))</f>
        <v>12_13_A_B</v>
      </c>
      <c r="H766" t="str" cm="1">
        <f t="array" ref="H76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66" cm="1">
        <f t="array" ref="I76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66" t="str">
        <f>IF(IFERROR(SEARCH("&gt;",PartList[[#This Row],[ID]]),0),"O",IF(IFERROR(SEARCH("&lt;",PartList[[#This Row],[ID]]),0),"I",""))</f>
        <v/>
      </c>
      <c r="K766" t="str" cm="1">
        <f t="array" ref="K7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66" t="str" cm="1">
        <f t="array" ref="L7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66" t="str">
        <f>_xlfn.TEXTJOIN("#",TRUE,PartList[[#This Row],[ASSLY MARK]],PartList[[#This Row],[BOX NO]],PartList[[#This Row],[In/Out]],PartList[[#This Row],[O1-Grid]])</f>
        <v>2HB14#Box2#InB</v>
      </c>
      <c r="N766" t="str">
        <f>_xlfn.TEXTJOIN("#",TRUE,PartList[[#This Row],[ASSLY MARK]],PartList[[#This Row],[BOX NO]],PartList[[#This Row],[In/Out]],PartList[[#This Row],[O2-Grid]])</f>
        <v>2HB14#Box2#InB</v>
      </c>
      <c r="O766">
        <f>IF(PartList[[#This Row],[Unique]]="Yes",_xlfn.XLOOKUP(PartList[[#This Row],[ASSLY MARK]],FilteredPL!A:A,FilteredPL!B:B,0,0),0)</f>
        <v>0</v>
      </c>
      <c r="P766">
        <f>_xlfn.XLOOKUP(PartList[[#This Row],[ASSLY MARK]],MasterPL[SplitMarkNo],MasterPL[BILL WT.(KG)],0,0)</f>
        <v>0</v>
      </c>
      <c r="Q766" cm="1">
        <f t="array" ref="Q76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66" t="str">
        <v>4BE59</v>
      </c>
      <c r="AB766" s="42">
        <f>SUMIF(PartList[ASSLY MARK],AA766,PartList[Avail. Qty])</f>
        <v>0</v>
      </c>
    </row>
    <row r="767" spans="1:28" x14ac:dyDescent="0.25">
      <c r="A767">
        <v>323</v>
      </c>
      <c r="B767" t="s">
        <v>198</v>
      </c>
      <c r="C767" t="s">
        <v>547</v>
      </c>
      <c r="D767" t="s">
        <v>708</v>
      </c>
      <c r="E767" t="s">
        <v>6</v>
      </c>
      <c r="F767" t="str" cm="1">
        <f t="array" ref="F767">IF(SUM(IF(PartList[ASSLY MARK]=PartList[[#This Row],[ASSLY MARK]],1,0))&gt;1,"No","Yes")</f>
        <v>Yes</v>
      </c>
      <c r="G767" t="str" cm="1">
        <f t="array" ref="G767">_xlfn.TEXTJOIN("_",TRUE,TRIM(_xlfn.TEXTSPLIT(PartList[[#This Row],[GRID LOCATION]],{"PR01","/","-"})))</f>
        <v>12_13_A_B</v>
      </c>
      <c r="H767" t="str" cm="1">
        <f t="array" ref="H76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67" cm="1">
        <f t="array" ref="I76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67" t="str">
        <f>IF(IFERROR(SEARCH("&gt;",PartList[[#This Row],[ID]]),0),"O",IF(IFERROR(SEARCH("&lt;",PartList[[#This Row],[ID]]),0),"I",""))</f>
        <v/>
      </c>
      <c r="K767" t="str" cm="1">
        <f t="array" ref="K7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67" t="str" cm="1">
        <f t="array" ref="L7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67" t="str">
        <f>_xlfn.TEXTJOIN("#",TRUE,PartList[[#This Row],[ASSLY MARK]],PartList[[#This Row],[BOX NO]],PartList[[#This Row],[In/Out]],PartList[[#This Row],[O1-Grid]])</f>
        <v>2HB15#Box2#InB</v>
      </c>
      <c r="N767" t="str">
        <f>_xlfn.TEXTJOIN("#",TRUE,PartList[[#This Row],[ASSLY MARK]],PartList[[#This Row],[BOX NO]],PartList[[#This Row],[In/Out]],PartList[[#This Row],[O2-Grid]])</f>
        <v>2HB15#Box2#InB</v>
      </c>
      <c r="O767">
        <f>IF(PartList[[#This Row],[Unique]]="Yes",_xlfn.XLOOKUP(PartList[[#This Row],[ASSLY MARK]],FilteredPL!A:A,FilteredPL!B:B,0,0),0)</f>
        <v>0</v>
      </c>
      <c r="P767">
        <f>_xlfn.XLOOKUP(PartList[[#This Row],[ASSLY MARK]],MasterPL[SplitMarkNo],MasterPL[BILL WT.(KG)],0,0)</f>
        <v>0</v>
      </c>
      <c r="Q767" cm="1">
        <f t="array" ref="Q76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67" t="str">
        <v>4BE60</v>
      </c>
      <c r="AB767" s="42">
        <f>SUMIF(PartList[ASSLY MARK],AA767,PartList[Avail. Qty])</f>
        <v>0</v>
      </c>
    </row>
    <row r="768" spans="1:28" x14ac:dyDescent="0.25">
      <c r="A768">
        <v>324</v>
      </c>
      <c r="B768" t="s">
        <v>199</v>
      </c>
      <c r="C768" t="s">
        <v>547</v>
      </c>
      <c r="D768" t="s">
        <v>708</v>
      </c>
      <c r="E768" t="s">
        <v>6</v>
      </c>
      <c r="F768" t="str" cm="1">
        <f t="array" ref="F768">IF(SUM(IF(PartList[ASSLY MARK]=PartList[[#This Row],[ASSLY MARK]],1,0))&gt;1,"No","Yes")</f>
        <v>Yes</v>
      </c>
      <c r="G768" t="str" cm="1">
        <f t="array" ref="G768">_xlfn.TEXTJOIN("_",TRUE,TRIM(_xlfn.TEXTSPLIT(PartList[[#This Row],[GRID LOCATION]],{"PR01","/","-"})))</f>
        <v>12_13_A_B</v>
      </c>
      <c r="H768" t="str" cm="1">
        <f t="array" ref="H76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68" cm="1">
        <f t="array" ref="I76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68" t="str">
        <f>IF(IFERROR(SEARCH("&gt;",PartList[[#This Row],[ID]]),0),"O",IF(IFERROR(SEARCH("&lt;",PartList[[#This Row],[ID]]),0),"I",""))</f>
        <v/>
      </c>
      <c r="K768" t="str" cm="1">
        <f t="array" ref="K7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68" t="str" cm="1">
        <f t="array" ref="L7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68" t="str">
        <f>_xlfn.TEXTJOIN("#",TRUE,PartList[[#This Row],[ASSLY MARK]],PartList[[#This Row],[BOX NO]],PartList[[#This Row],[In/Out]],PartList[[#This Row],[O1-Grid]])</f>
        <v>2HB16#Box2#InB</v>
      </c>
      <c r="N768" t="str">
        <f>_xlfn.TEXTJOIN("#",TRUE,PartList[[#This Row],[ASSLY MARK]],PartList[[#This Row],[BOX NO]],PartList[[#This Row],[In/Out]],PartList[[#This Row],[O2-Grid]])</f>
        <v>2HB16#Box2#InB</v>
      </c>
      <c r="O768">
        <f>IF(PartList[[#This Row],[Unique]]="Yes",_xlfn.XLOOKUP(PartList[[#This Row],[ASSLY MARK]],FilteredPL!A:A,FilteredPL!B:B,0,0),0)</f>
        <v>0</v>
      </c>
      <c r="P768">
        <f>_xlfn.XLOOKUP(PartList[[#This Row],[ASSLY MARK]],MasterPL[SplitMarkNo],MasterPL[BILL WT.(KG)],0,0)</f>
        <v>0</v>
      </c>
      <c r="Q768" cm="1">
        <f t="array" ref="Q76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68" t="str">
        <v>4BE61</v>
      </c>
      <c r="AB768" s="42">
        <f>SUMIF(PartList[ASSLY MARK],AA768,PartList[Avail. Qty])</f>
        <v>0</v>
      </c>
    </row>
    <row r="769" spans="1:28" x14ac:dyDescent="0.25">
      <c r="A769">
        <v>325</v>
      </c>
      <c r="B769" t="s">
        <v>200</v>
      </c>
      <c r="C769" t="s">
        <v>547</v>
      </c>
      <c r="D769" t="s">
        <v>708</v>
      </c>
      <c r="E769" t="s">
        <v>6</v>
      </c>
      <c r="F769" t="str" cm="1">
        <f t="array" ref="F769">IF(SUM(IF(PartList[ASSLY MARK]=PartList[[#This Row],[ASSLY MARK]],1,0))&gt;1,"No","Yes")</f>
        <v>No</v>
      </c>
      <c r="G769" t="str" cm="1">
        <f t="array" ref="G769">_xlfn.TEXTJOIN("_",TRUE,TRIM(_xlfn.TEXTSPLIT(PartList[[#This Row],[GRID LOCATION]],{"PR01","/","-"})))</f>
        <v>12_13_A_B</v>
      </c>
      <c r="H769" t="str" cm="1">
        <f t="array" ref="H76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69" cm="1">
        <f t="array" ref="I76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69" t="str">
        <f>IF(IFERROR(SEARCH("&gt;",PartList[[#This Row],[ID]]),0),"O",IF(IFERROR(SEARCH("&lt;",PartList[[#This Row],[ID]]),0),"I",""))</f>
        <v/>
      </c>
      <c r="K769" t="str" cm="1">
        <f t="array" ref="K7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69" t="str" cm="1">
        <f t="array" ref="L7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69" t="str">
        <f>_xlfn.TEXTJOIN("#",TRUE,PartList[[#This Row],[ASSLY MARK]],PartList[[#This Row],[BOX NO]],PartList[[#This Row],[In/Out]],PartList[[#This Row],[O1-Grid]])</f>
        <v>2HB17#Box2#InB</v>
      </c>
      <c r="N769" t="str">
        <f>_xlfn.TEXTJOIN("#",TRUE,PartList[[#This Row],[ASSLY MARK]],PartList[[#This Row],[BOX NO]],PartList[[#This Row],[In/Out]],PartList[[#This Row],[O2-Grid]])</f>
        <v>2HB17#Box2#InB</v>
      </c>
      <c r="O769">
        <f>IF(PartList[[#This Row],[Unique]]="Yes",_xlfn.XLOOKUP(PartList[[#This Row],[ASSLY MARK]],FilteredPL!A:A,FilteredPL!B:B,0,0),0)</f>
        <v>0</v>
      </c>
      <c r="P769">
        <f>_xlfn.XLOOKUP(PartList[[#This Row],[ASSLY MARK]],MasterPL[SplitMarkNo],MasterPL[BILL WT.(KG)],0,0)</f>
        <v>0</v>
      </c>
      <c r="Q769" cm="1">
        <f t="array" ref="Q76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69" t="str">
        <v>4BE62</v>
      </c>
      <c r="AB769" s="42">
        <f>SUMIF(PartList[ASSLY MARK],AA769,PartList[Avail. Qty])</f>
        <v>0</v>
      </c>
    </row>
    <row r="770" spans="1:28" x14ac:dyDescent="0.25">
      <c r="A770">
        <v>326</v>
      </c>
      <c r="B770" t="s">
        <v>200</v>
      </c>
      <c r="C770" t="s">
        <v>547</v>
      </c>
      <c r="D770" t="s">
        <v>708</v>
      </c>
      <c r="E770" t="s">
        <v>6</v>
      </c>
      <c r="F770" t="str" cm="1">
        <f t="array" ref="F770">IF(SUM(IF(PartList[ASSLY MARK]=PartList[[#This Row],[ASSLY MARK]],1,0))&gt;1,"No","Yes")</f>
        <v>No</v>
      </c>
      <c r="G770" t="str" cm="1">
        <f t="array" ref="G770">_xlfn.TEXTJOIN("_",TRUE,TRIM(_xlfn.TEXTSPLIT(PartList[[#This Row],[GRID LOCATION]],{"PR01","/","-"})))</f>
        <v>12_13_A_B</v>
      </c>
      <c r="H770" t="str" cm="1">
        <f t="array" ref="H77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70" cm="1">
        <f t="array" ref="I77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70" t="str">
        <f>IF(IFERROR(SEARCH("&gt;",PartList[[#This Row],[ID]]),0),"O",IF(IFERROR(SEARCH("&lt;",PartList[[#This Row],[ID]]),0),"I",""))</f>
        <v/>
      </c>
      <c r="K770" t="str" cm="1">
        <f t="array" ref="K7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70" t="str" cm="1">
        <f t="array" ref="L7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70" t="str">
        <f>_xlfn.TEXTJOIN("#",TRUE,PartList[[#This Row],[ASSLY MARK]],PartList[[#This Row],[BOX NO]],PartList[[#This Row],[In/Out]],PartList[[#This Row],[O1-Grid]])</f>
        <v>2HB17#Box2#InB</v>
      </c>
      <c r="N770" t="str">
        <f>_xlfn.TEXTJOIN("#",TRUE,PartList[[#This Row],[ASSLY MARK]],PartList[[#This Row],[BOX NO]],PartList[[#This Row],[In/Out]],PartList[[#This Row],[O2-Grid]])</f>
        <v>2HB17#Box2#InB</v>
      </c>
      <c r="O770">
        <f>IF(PartList[[#This Row],[Unique]]="Yes",_xlfn.XLOOKUP(PartList[[#This Row],[ASSLY MARK]],FilteredPL!A:A,FilteredPL!B:B,0,0),0)</f>
        <v>0</v>
      </c>
      <c r="P770">
        <f>_xlfn.XLOOKUP(PartList[[#This Row],[ASSLY MARK]],MasterPL[SplitMarkNo],MasterPL[BILL WT.(KG)],0,0)</f>
        <v>0</v>
      </c>
      <c r="Q770" cm="1">
        <f t="array" ref="Q77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70" t="str">
        <v>4BE63</v>
      </c>
      <c r="AB770" s="42">
        <f>SUMIF(PartList[ASSLY MARK],AA770,PartList[Avail. Qty])</f>
        <v>0</v>
      </c>
    </row>
    <row r="771" spans="1:28" x14ac:dyDescent="0.25">
      <c r="A771">
        <v>327</v>
      </c>
      <c r="B771" t="s">
        <v>200</v>
      </c>
      <c r="C771" t="s">
        <v>547</v>
      </c>
      <c r="D771" t="s">
        <v>708</v>
      </c>
      <c r="E771" t="s">
        <v>6</v>
      </c>
      <c r="F771" t="str" cm="1">
        <f t="array" ref="F771">IF(SUM(IF(PartList[ASSLY MARK]=PartList[[#This Row],[ASSLY MARK]],1,0))&gt;1,"No","Yes")</f>
        <v>No</v>
      </c>
      <c r="G771" t="str" cm="1">
        <f t="array" ref="G771">_xlfn.TEXTJOIN("_",TRUE,TRIM(_xlfn.TEXTSPLIT(PartList[[#This Row],[GRID LOCATION]],{"PR01","/","-"})))</f>
        <v>12_13_A_B</v>
      </c>
      <c r="H771" t="str" cm="1">
        <f t="array" ref="H77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71" cm="1">
        <f t="array" ref="I77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71" t="str">
        <f>IF(IFERROR(SEARCH("&gt;",PartList[[#This Row],[ID]]),0),"O",IF(IFERROR(SEARCH("&lt;",PartList[[#This Row],[ID]]),0),"I",""))</f>
        <v/>
      </c>
      <c r="K771" t="str" cm="1">
        <f t="array" ref="K7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71" t="str" cm="1">
        <f t="array" ref="L7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71" t="str">
        <f>_xlfn.TEXTJOIN("#",TRUE,PartList[[#This Row],[ASSLY MARK]],PartList[[#This Row],[BOX NO]],PartList[[#This Row],[In/Out]],PartList[[#This Row],[O1-Grid]])</f>
        <v>2HB17#Box2#InB</v>
      </c>
      <c r="N771" t="str">
        <f>_xlfn.TEXTJOIN("#",TRUE,PartList[[#This Row],[ASSLY MARK]],PartList[[#This Row],[BOX NO]],PartList[[#This Row],[In/Out]],PartList[[#This Row],[O2-Grid]])</f>
        <v>2HB17#Box2#InB</v>
      </c>
      <c r="O771">
        <f>IF(PartList[[#This Row],[Unique]]="Yes",_xlfn.XLOOKUP(PartList[[#This Row],[ASSLY MARK]],FilteredPL!A:A,FilteredPL!B:B,0,0),0)</f>
        <v>0</v>
      </c>
      <c r="P771">
        <f>_xlfn.XLOOKUP(PartList[[#This Row],[ASSLY MARK]],MasterPL[SplitMarkNo],MasterPL[BILL WT.(KG)],0,0)</f>
        <v>0</v>
      </c>
      <c r="Q771" cm="1">
        <f t="array" ref="Q77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71" t="str">
        <v>4BE64</v>
      </c>
      <c r="AB771" s="42">
        <f>SUMIF(PartList[ASSLY MARK],AA771,PartList[Avail. Qty])</f>
        <v>0</v>
      </c>
    </row>
    <row r="772" spans="1:28" x14ac:dyDescent="0.25">
      <c r="A772">
        <v>328</v>
      </c>
      <c r="B772" t="s">
        <v>201</v>
      </c>
      <c r="C772" t="s">
        <v>547</v>
      </c>
      <c r="D772" t="s">
        <v>708</v>
      </c>
      <c r="E772" t="s">
        <v>6</v>
      </c>
      <c r="F772" t="str" cm="1">
        <f t="array" ref="F772">IF(SUM(IF(PartList[ASSLY MARK]=PartList[[#This Row],[ASSLY MARK]],1,0))&gt;1,"No","Yes")</f>
        <v>No</v>
      </c>
      <c r="G772" t="str" cm="1">
        <f t="array" ref="G772">_xlfn.TEXTJOIN("_",TRUE,TRIM(_xlfn.TEXTSPLIT(PartList[[#This Row],[GRID LOCATION]],{"PR01","/","-"})))</f>
        <v>12_13_A_B</v>
      </c>
      <c r="H772" t="str" cm="1">
        <f t="array" ref="H77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72" cm="1">
        <f t="array" ref="I77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72" t="str">
        <f>IF(IFERROR(SEARCH("&gt;",PartList[[#This Row],[ID]]),0),"O",IF(IFERROR(SEARCH("&lt;",PartList[[#This Row],[ID]]),0),"I",""))</f>
        <v/>
      </c>
      <c r="K772" t="str" cm="1">
        <f t="array" ref="K7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72" t="str" cm="1">
        <f t="array" ref="L7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72" t="str">
        <f>_xlfn.TEXTJOIN("#",TRUE,PartList[[#This Row],[ASSLY MARK]],PartList[[#This Row],[BOX NO]],PartList[[#This Row],[In/Out]],PartList[[#This Row],[O1-Grid]])</f>
        <v>2HB18#Box2#InB</v>
      </c>
      <c r="N772" t="str">
        <f>_xlfn.TEXTJOIN("#",TRUE,PartList[[#This Row],[ASSLY MARK]],PartList[[#This Row],[BOX NO]],PartList[[#This Row],[In/Out]],PartList[[#This Row],[O2-Grid]])</f>
        <v>2HB18#Box2#InB</v>
      </c>
      <c r="O772">
        <f>IF(PartList[[#This Row],[Unique]]="Yes",_xlfn.XLOOKUP(PartList[[#This Row],[ASSLY MARK]],FilteredPL!A:A,FilteredPL!B:B,0,0),0)</f>
        <v>0</v>
      </c>
      <c r="P772">
        <f>_xlfn.XLOOKUP(PartList[[#This Row],[ASSLY MARK]],MasterPL[SplitMarkNo],MasterPL[BILL WT.(KG)],0,0)</f>
        <v>0</v>
      </c>
      <c r="Q772" cm="1">
        <f t="array" ref="Q77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72" t="str">
        <v>4BE65</v>
      </c>
      <c r="AB772" s="42">
        <f>SUMIF(PartList[ASSLY MARK],AA772,PartList[Avail. Qty])</f>
        <v>0</v>
      </c>
    </row>
    <row r="773" spans="1:28" x14ac:dyDescent="0.25">
      <c r="A773">
        <v>329</v>
      </c>
      <c r="B773" t="s">
        <v>201</v>
      </c>
      <c r="C773" t="s">
        <v>547</v>
      </c>
      <c r="D773" t="s">
        <v>708</v>
      </c>
      <c r="E773" t="s">
        <v>6</v>
      </c>
      <c r="F773" t="str" cm="1">
        <f t="array" ref="F773">IF(SUM(IF(PartList[ASSLY MARK]=PartList[[#This Row],[ASSLY MARK]],1,0))&gt;1,"No","Yes")</f>
        <v>No</v>
      </c>
      <c r="G773" t="str" cm="1">
        <f t="array" ref="G773">_xlfn.TEXTJOIN("_",TRUE,TRIM(_xlfn.TEXTSPLIT(PartList[[#This Row],[GRID LOCATION]],{"PR01","/","-"})))</f>
        <v>12_13_A_B</v>
      </c>
      <c r="H773" t="str" cm="1">
        <f t="array" ref="H77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73" cm="1">
        <f t="array" ref="I77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73" t="str">
        <f>IF(IFERROR(SEARCH("&gt;",PartList[[#This Row],[ID]]),0),"O",IF(IFERROR(SEARCH("&lt;",PartList[[#This Row],[ID]]),0),"I",""))</f>
        <v/>
      </c>
      <c r="K773" t="str" cm="1">
        <f t="array" ref="K7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73" t="str" cm="1">
        <f t="array" ref="L7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73" t="str">
        <f>_xlfn.TEXTJOIN("#",TRUE,PartList[[#This Row],[ASSLY MARK]],PartList[[#This Row],[BOX NO]],PartList[[#This Row],[In/Out]],PartList[[#This Row],[O1-Grid]])</f>
        <v>2HB18#Box2#InB</v>
      </c>
      <c r="N773" t="str">
        <f>_xlfn.TEXTJOIN("#",TRUE,PartList[[#This Row],[ASSLY MARK]],PartList[[#This Row],[BOX NO]],PartList[[#This Row],[In/Out]],PartList[[#This Row],[O2-Grid]])</f>
        <v>2HB18#Box2#InB</v>
      </c>
      <c r="O773">
        <f>IF(PartList[[#This Row],[Unique]]="Yes",_xlfn.XLOOKUP(PartList[[#This Row],[ASSLY MARK]],FilteredPL!A:A,FilteredPL!B:B,0,0),0)</f>
        <v>0</v>
      </c>
      <c r="P773">
        <f>_xlfn.XLOOKUP(PartList[[#This Row],[ASSLY MARK]],MasterPL[SplitMarkNo],MasterPL[BILL WT.(KG)],0,0)</f>
        <v>0</v>
      </c>
      <c r="Q773" cm="1">
        <f t="array" ref="Q77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73" t="str">
        <v>4BE66</v>
      </c>
      <c r="AB773" s="42">
        <f>SUMIF(PartList[ASSLY MARK],AA773,PartList[Avail. Qty])</f>
        <v>0</v>
      </c>
    </row>
    <row r="774" spans="1:28" x14ac:dyDescent="0.25">
      <c r="A774">
        <v>330</v>
      </c>
      <c r="B774" t="s">
        <v>201</v>
      </c>
      <c r="C774" t="s">
        <v>547</v>
      </c>
      <c r="D774" t="s">
        <v>708</v>
      </c>
      <c r="E774" t="s">
        <v>6</v>
      </c>
      <c r="F774" t="str" cm="1">
        <f t="array" ref="F774">IF(SUM(IF(PartList[ASSLY MARK]=PartList[[#This Row],[ASSLY MARK]],1,0))&gt;1,"No","Yes")</f>
        <v>No</v>
      </c>
      <c r="G774" t="str" cm="1">
        <f t="array" ref="G774">_xlfn.TEXTJOIN("_",TRUE,TRIM(_xlfn.TEXTSPLIT(PartList[[#This Row],[GRID LOCATION]],{"PR01","/","-"})))</f>
        <v>12_13_A_B</v>
      </c>
      <c r="H774" t="str" cm="1">
        <f t="array" ref="H77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74" cm="1">
        <f t="array" ref="I77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74" t="str">
        <f>IF(IFERROR(SEARCH("&gt;",PartList[[#This Row],[ID]]),0),"O",IF(IFERROR(SEARCH("&lt;",PartList[[#This Row],[ID]]),0),"I",""))</f>
        <v/>
      </c>
      <c r="K774" t="str" cm="1">
        <f t="array" ref="K7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74" t="str" cm="1">
        <f t="array" ref="L7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74" t="str">
        <f>_xlfn.TEXTJOIN("#",TRUE,PartList[[#This Row],[ASSLY MARK]],PartList[[#This Row],[BOX NO]],PartList[[#This Row],[In/Out]],PartList[[#This Row],[O1-Grid]])</f>
        <v>2HB18#Box2#InB</v>
      </c>
      <c r="N774" t="str">
        <f>_xlfn.TEXTJOIN("#",TRUE,PartList[[#This Row],[ASSLY MARK]],PartList[[#This Row],[BOX NO]],PartList[[#This Row],[In/Out]],PartList[[#This Row],[O2-Grid]])</f>
        <v>2HB18#Box2#InB</v>
      </c>
      <c r="O774">
        <f>IF(PartList[[#This Row],[Unique]]="Yes",_xlfn.XLOOKUP(PartList[[#This Row],[ASSLY MARK]],FilteredPL!A:A,FilteredPL!B:B,0,0),0)</f>
        <v>0</v>
      </c>
      <c r="P774">
        <f>_xlfn.XLOOKUP(PartList[[#This Row],[ASSLY MARK]],MasterPL[SplitMarkNo],MasterPL[BILL WT.(KG)],0,0)</f>
        <v>0</v>
      </c>
      <c r="Q774" cm="1">
        <f t="array" ref="Q77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74" t="str">
        <v>4BE67</v>
      </c>
      <c r="AB774" s="42">
        <f>SUMIF(PartList[ASSLY MARK],AA774,PartList[Avail. Qty])</f>
        <v>0</v>
      </c>
    </row>
    <row r="775" spans="1:28" x14ac:dyDescent="0.25">
      <c r="A775">
        <v>331</v>
      </c>
      <c r="B775" t="s">
        <v>202</v>
      </c>
      <c r="C775" t="s">
        <v>547</v>
      </c>
      <c r="D775" t="s">
        <v>708</v>
      </c>
      <c r="E775" t="s">
        <v>6</v>
      </c>
      <c r="F775" t="str" cm="1">
        <f t="array" ref="F775">IF(SUM(IF(PartList[ASSLY MARK]=PartList[[#This Row],[ASSLY MARK]],1,0))&gt;1,"No","Yes")</f>
        <v>Yes</v>
      </c>
      <c r="G775" t="str" cm="1">
        <f t="array" ref="G775">_xlfn.TEXTJOIN("_",TRUE,TRIM(_xlfn.TEXTSPLIT(PartList[[#This Row],[GRID LOCATION]],{"PR01","/","-"})))</f>
        <v>12_13_A_B</v>
      </c>
      <c r="H775" t="str" cm="1">
        <f t="array" ref="H77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75" cm="1">
        <f t="array" ref="I77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75" t="str">
        <f>IF(IFERROR(SEARCH("&gt;",PartList[[#This Row],[ID]]),0),"O",IF(IFERROR(SEARCH("&lt;",PartList[[#This Row],[ID]]),0),"I",""))</f>
        <v/>
      </c>
      <c r="K775" t="str" cm="1">
        <f t="array" ref="K7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75" t="str" cm="1">
        <f t="array" ref="L7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75" t="str">
        <f>_xlfn.TEXTJOIN("#",TRUE,PartList[[#This Row],[ASSLY MARK]],PartList[[#This Row],[BOX NO]],PartList[[#This Row],[In/Out]],PartList[[#This Row],[O1-Grid]])</f>
        <v>2HB19#Box2#InB</v>
      </c>
      <c r="N775" t="str">
        <f>_xlfn.TEXTJOIN("#",TRUE,PartList[[#This Row],[ASSLY MARK]],PartList[[#This Row],[BOX NO]],PartList[[#This Row],[In/Out]],PartList[[#This Row],[O2-Grid]])</f>
        <v>2HB19#Box2#InB</v>
      </c>
      <c r="O775">
        <f>IF(PartList[[#This Row],[Unique]]="Yes",_xlfn.XLOOKUP(PartList[[#This Row],[ASSLY MARK]],FilteredPL!A:A,FilteredPL!B:B,0,0),0)</f>
        <v>0</v>
      </c>
      <c r="P775">
        <f>_xlfn.XLOOKUP(PartList[[#This Row],[ASSLY MARK]],MasterPL[SplitMarkNo],MasterPL[BILL WT.(KG)],0,0)</f>
        <v>0</v>
      </c>
      <c r="Q775" cm="1">
        <f t="array" ref="Q77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75" t="str">
        <v>4BE69</v>
      </c>
      <c r="AB775" s="42">
        <f>SUMIF(PartList[ASSLY MARK],AA775,PartList[Avail. Qty])</f>
        <v>0</v>
      </c>
    </row>
    <row r="776" spans="1:28" x14ac:dyDescent="0.25">
      <c r="A776">
        <v>332</v>
      </c>
      <c r="B776" t="s">
        <v>203</v>
      </c>
      <c r="C776" t="s">
        <v>638</v>
      </c>
      <c r="D776" t="s">
        <v>708</v>
      </c>
      <c r="E776" t="s">
        <v>6</v>
      </c>
      <c r="F776" t="str" cm="1">
        <f t="array" ref="F776">IF(SUM(IF(PartList[ASSLY MARK]=PartList[[#This Row],[ASSLY MARK]],1,0))&gt;1,"No","Yes")</f>
        <v>Yes</v>
      </c>
      <c r="G776" t="str" cm="1">
        <f t="array" ref="G776">_xlfn.TEXTJOIN("_",TRUE,TRIM(_xlfn.TEXTSPLIT(PartList[[#This Row],[GRID LOCATION]],{"PR01","/","-"})))</f>
        <v>13_14_A'_A</v>
      </c>
      <c r="H776" t="str" cm="1">
        <f t="array" ref="H77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776" cm="1">
        <f t="array" ref="I77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76" t="str">
        <f>IF(IFERROR(SEARCH("&gt;",PartList[[#This Row],[ID]]),0),"O",IF(IFERROR(SEARCH("&lt;",PartList[[#This Row],[ID]]),0),"I",""))</f>
        <v/>
      </c>
      <c r="K776" t="str" cm="1">
        <f t="array" ref="K7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76" t="str" cm="1">
        <f t="array" ref="L7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76" t="str">
        <f>_xlfn.TEXTJOIN("#",TRUE,PartList[[#This Row],[ASSLY MARK]],PartList[[#This Row],[BOX NO]],PartList[[#This Row],[In/Out]],PartList[[#This Row],[O1-Grid]])</f>
        <v>2HB20#Box2_Box5_Box6#InBB</v>
      </c>
      <c r="N776" t="str">
        <f>_xlfn.TEXTJOIN("#",TRUE,PartList[[#This Row],[ASSLY MARK]],PartList[[#This Row],[BOX NO]],PartList[[#This Row],[In/Out]],PartList[[#This Row],[O2-Grid]])</f>
        <v>2HB20#Box2_Box5_Box6#InBB</v>
      </c>
      <c r="O776">
        <f>IF(PartList[[#This Row],[Unique]]="Yes",_xlfn.XLOOKUP(PartList[[#This Row],[ASSLY MARK]],FilteredPL!A:A,FilteredPL!B:B,0,0),0)</f>
        <v>0</v>
      </c>
      <c r="P776">
        <f>_xlfn.XLOOKUP(PartList[[#This Row],[ASSLY MARK]],MasterPL[SplitMarkNo],MasterPL[BILL WT.(KG)],0,0)</f>
        <v>0</v>
      </c>
      <c r="Q776" cm="1">
        <f t="array" ref="Q77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76" t="str">
        <v>4FR02</v>
      </c>
      <c r="AB776" s="42">
        <f>SUMIF(PartList[ASSLY MARK],AA776,PartList[Avail. Qty])</f>
        <v>0</v>
      </c>
    </row>
    <row r="777" spans="1:28" x14ac:dyDescent="0.25">
      <c r="A777">
        <v>333</v>
      </c>
      <c r="B777" t="s">
        <v>204</v>
      </c>
      <c r="C777" t="s">
        <v>638</v>
      </c>
      <c r="D777" t="s">
        <v>708</v>
      </c>
      <c r="E777" t="s">
        <v>6</v>
      </c>
      <c r="F777" t="str" cm="1">
        <f t="array" ref="F777">IF(SUM(IF(PartList[ASSLY MARK]=PartList[[#This Row],[ASSLY MARK]],1,0))&gt;1,"No","Yes")</f>
        <v>Yes</v>
      </c>
      <c r="G777" t="str" cm="1">
        <f t="array" ref="G777">_xlfn.TEXTJOIN("_",TRUE,TRIM(_xlfn.TEXTSPLIT(PartList[[#This Row],[GRID LOCATION]],{"PR01","/","-"})))</f>
        <v>13_14_A'_A</v>
      </c>
      <c r="H777" t="str" cm="1">
        <f t="array" ref="H77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777" cm="1">
        <f t="array" ref="I77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77" t="str">
        <f>IF(IFERROR(SEARCH("&gt;",PartList[[#This Row],[ID]]),0),"O",IF(IFERROR(SEARCH("&lt;",PartList[[#This Row],[ID]]),0),"I",""))</f>
        <v/>
      </c>
      <c r="K777" t="str" cm="1">
        <f t="array" ref="K7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77" t="str" cm="1">
        <f t="array" ref="L7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77" t="str">
        <f>_xlfn.TEXTJOIN("#",TRUE,PartList[[#This Row],[ASSLY MARK]],PartList[[#This Row],[BOX NO]],PartList[[#This Row],[In/Out]],PartList[[#This Row],[O1-Grid]])</f>
        <v>2HB21#Box2_Box5_Box6#InBB</v>
      </c>
      <c r="N777" t="str">
        <f>_xlfn.TEXTJOIN("#",TRUE,PartList[[#This Row],[ASSLY MARK]],PartList[[#This Row],[BOX NO]],PartList[[#This Row],[In/Out]],PartList[[#This Row],[O2-Grid]])</f>
        <v>2HB21#Box2_Box5_Box6#InBB</v>
      </c>
      <c r="O777">
        <f>IF(PartList[[#This Row],[Unique]]="Yes",_xlfn.XLOOKUP(PartList[[#This Row],[ASSLY MARK]],FilteredPL!A:A,FilteredPL!B:B,0,0),0)</f>
        <v>0</v>
      </c>
      <c r="P777">
        <f>_xlfn.XLOOKUP(PartList[[#This Row],[ASSLY MARK]],MasterPL[SplitMarkNo],MasterPL[BILL WT.(KG)],0,0)</f>
        <v>0</v>
      </c>
      <c r="Q777" cm="1">
        <f t="array" ref="Q77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77" t="str">
        <v>4HB35</v>
      </c>
      <c r="AB777" s="42">
        <f>SUMIF(PartList[ASSLY MARK],AA777,PartList[Avail. Qty])</f>
        <v>0</v>
      </c>
    </row>
    <row r="778" spans="1:28" x14ac:dyDescent="0.25">
      <c r="A778">
        <v>334</v>
      </c>
      <c r="B778" t="s">
        <v>709</v>
      </c>
      <c r="C778" t="s">
        <v>638</v>
      </c>
      <c r="D778" t="s">
        <v>708</v>
      </c>
      <c r="E778" t="s">
        <v>6</v>
      </c>
      <c r="F778" t="str" cm="1">
        <f t="array" ref="F778">IF(SUM(IF(PartList[ASSLY MARK]=PartList[[#This Row],[ASSLY MARK]],1,0))&gt;1,"No","Yes")</f>
        <v>Yes</v>
      </c>
      <c r="G778" t="str" cm="1">
        <f t="array" ref="G778">_xlfn.TEXTJOIN("_",TRUE,TRIM(_xlfn.TEXTSPLIT(PartList[[#This Row],[GRID LOCATION]],{"PR01","/","-"})))</f>
        <v>13_14_A'_A</v>
      </c>
      <c r="H778" t="str" cm="1">
        <f t="array" ref="H77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778" cm="1">
        <f t="array" ref="I77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78" t="str">
        <f>IF(IFERROR(SEARCH("&gt;",PartList[[#This Row],[ID]]),0),"O",IF(IFERROR(SEARCH("&lt;",PartList[[#This Row],[ID]]),0),"I",""))</f>
        <v/>
      </c>
      <c r="K778" t="str" cm="1">
        <f t="array" ref="K7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78" t="str" cm="1">
        <f t="array" ref="L7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78" t="str">
        <f>_xlfn.TEXTJOIN("#",TRUE,PartList[[#This Row],[ASSLY MARK]],PartList[[#This Row],[BOX NO]],PartList[[#This Row],[In/Out]],PartList[[#This Row],[O1-Grid]])</f>
        <v>2HB22#Box2_Box5_Box6#InBB</v>
      </c>
      <c r="N778" t="str">
        <f>_xlfn.TEXTJOIN("#",TRUE,PartList[[#This Row],[ASSLY MARK]],PartList[[#This Row],[BOX NO]],PartList[[#This Row],[In/Out]],PartList[[#This Row],[O2-Grid]])</f>
        <v>2HB22#Box2_Box5_Box6#InBB</v>
      </c>
      <c r="O778">
        <f>IF(PartList[[#This Row],[Unique]]="Yes",_xlfn.XLOOKUP(PartList[[#This Row],[ASSLY MARK]],FilteredPL!A:A,FilteredPL!B:B,0,0),0)</f>
        <v>0</v>
      </c>
      <c r="P778">
        <f>_xlfn.XLOOKUP(PartList[[#This Row],[ASSLY MARK]],MasterPL[SplitMarkNo],MasterPL[BILL WT.(KG)],0,0)</f>
        <v>0</v>
      </c>
      <c r="Q778" cm="1">
        <f t="array" ref="Q77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78" t="str">
        <v>4HB36</v>
      </c>
      <c r="AB778" s="42">
        <f>SUMIF(PartList[ASSLY MARK],AA778,PartList[Avail. Qty])</f>
        <v>0</v>
      </c>
    </row>
    <row r="779" spans="1:28" x14ac:dyDescent="0.25">
      <c r="A779">
        <v>335</v>
      </c>
      <c r="B779" t="s">
        <v>710</v>
      </c>
      <c r="C779" t="s">
        <v>602</v>
      </c>
      <c r="D779" t="s">
        <v>148</v>
      </c>
      <c r="E779" t="s">
        <v>6</v>
      </c>
      <c r="F779" t="str" cm="1">
        <f t="array" ref="F779">IF(SUM(IF(PartList[ASSLY MARK]=PartList[[#This Row],[ASSLY MARK]],1,0))&gt;1,"No","Yes")</f>
        <v>Yes</v>
      </c>
      <c r="G779" t="str" cm="1">
        <f t="array" ref="G779">_xlfn.TEXTJOIN("_",TRUE,TRIM(_xlfn.TEXTSPLIT(PartList[[#This Row],[GRID LOCATION]],{"PR01","/","-"})))</f>
        <v>13_14_A_B</v>
      </c>
      <c r="H779" t="str" cm="1">
        <f t="array" ref="H77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79" cm="1">
        <f t="array" ref="I77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79" t="str">
        <f>IF(IFERROR(SEARCH("&gt;",PartList[[#This Row],[ID]]),0),"O",IF(IFERROR(SEARCH("&lt;",PartList[[#This Row],[ID]]),0),"I",""))</f>
        <v/>
      </c>
      <c r="K779" t="str" cm="1">
        <f t="array" ref="K7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79" t="str" cm="1">
        <f t="array" ref="L7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79" t="str">
        <f>_xlfn.TEXTJOIN("#",TRUE,PartList[[#This Row],[ASSLY MARK]],PartList[[#This Row],[BOX NO]],PartList[[#This Row],[In/Out]],PartList[[#This Row],[O1-Grid]])</f>
        <v>2HB23#Box2#InB</v>
      </c>
      <c r="N779" t="str">
        <f>_xlfn.TEXTJOIN("#",TRUE,PartList[[#This Row],[ASSLY MARK]],PartList[[#This Row],[BOX NO]],PartList[[#This Row],[In/Out]],PartList[[#This Row],[O2-Grid]])</f>
        <v>2HB23#Box2#InB</v>
      </c>
      <c r="O779">
        <f>IF(PartList[[#This Row],[Unique]]="Yes",_xlfn.XLOOKUP(PartList[[#This Row],[ASSLY MARK]],FilteredPL!A:A,FilteredPL!B:B,0,0),0)</f>
        <v>0</v>
      </c>
      <c r="P779">
        <f>_xlfn.XLOOKUP(PartList[[#This Row],[ASSLY MARK]],MasterPL[SplitMarkNo],MasterPL[BILL WT.(KG)],0,0)</f>
        <v>0</v>
      </c>
      <c r="Q779" cm="1">
        <f t="array" ref="Q77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79" t="str">
        <v>4HB37</v>
      </c>
      <c r="AB779" s="42">
        <f>SUMIF(PartList[ASSLY MARK],AA779,PartList[Avail. Qty])</f>
        <v>0</v>
      </c>
    </row>
    <row r="780" spans="1:28" x14ac:dyDescent="0.25">
      <c r="A780">
        <v>336</v>
      </c>
      <c r="B780" t="s">
        <v>711</v>
      </c>
      <c r="C780" t="s">
        <v>602</v>
      </c>
      <c r="D780" t="s">
        <v>712</v>
      </c>
      <c r="E780" t="s">
        <v>6</v>
      </c>
      <c r="F780" t="str" cm="1">
        <f t="array" ref="F780">IF(SUM(IF(PartList[ASSLY MARK]=PartList[[#This Row],[ASSLY MARK]],1,0))&gt;1,"No","Yes")</f>
        <v>Yes</v>
      </c>
      <c r="G780" t="str" cm="1">
        <f t="array" ref="G780">_xlfn.TEXTJOIN("_",TRUE,TRIM(_xlfn.TEXTSPLIT(PartList[[#This Row],[GRID LOCATION]],{"PR01","/","-"})))</f>
        <v>13_14_A_B</v>
      </c>
      <c r="H780" t="str" cm="1">
        <f t="array" ref="H78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80" cm="1">
        <f t="array" ref="I78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80" t="str">
        <f>IF(IFERROR(SEARCH("&gt;",PartList[[#This Row],[ID]]),0),"O",IF(IFERROR(SEARCH("&lt;",PartList[[#This Row],[ID]]),0),"I",""))</f>
        <v/>
      </c>
      <c r="K780" t="str" cm="1">
        <f t="array" ref="K7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80" t="str" cm="1">
        <f t="array" ref="L7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80" t="str">
        <f>_xlfn.TEXTJOIN("#",TRUE,PartList[[#This Row],[ASSLY MARK]],PartList[[#This Row],[BOX NO]],PartList[[#This Row],[In/Out]],PartList[[#This Row],[O1-Grid]])</f>
        <v>2HB24#Box2#InB</v>
      </c>
      <c r="N780" t="str">
        <f>_xlfn.TEXTJOIN("#",TRUE,PartList[[#This Row],[ASSLY MARK]],PartList[[#This Row],[BOX NO]],PartList[[#This Row],[In/Out]],PartList[[#This Row],[O2-Grid]])</f>
        <v>2HB24#Box2#InB</v>
      </c>
      <c r="O780">
        <f>IF(PartList[[#This Row],[Unique]]="Yes",_xlfn.XLOOKUP(PartList[[#This Row],[ASSLY MARK]],FilteredPL!A:A,FilteredPL!B:B,0,0),0)</f>
        <v>0</v>
      </c>
      <c r="P780">
        <f>_xlfn.XLOOKUP(PartList[[#This Row],[ASSLY MARK]],MasterPL[SplitMarkNo],MasterPL[BILL WT.(KG)],0,0)</f>
        <v>0</v>
      </c>
      <c r="Q780" cm="1">
        <f t="array" ref="Q78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80" t="str">
        <v>4HB39</v>
      </c>
      <c r="AB780" s="42">
        <f>SUMIF(PartList[ASSLY MARK],AA780,PartList[Avail. Qty])</f>
        <v>0</v>
      </c>
    </row>
    <row r="781" spans="1:28" x14ac:dyDescent="0.25">
      <c r="A781">
        <v>337</v>
      </c>
      <c r="B781" t="s">
        <v>713</v>
      </c>
      <c r="C781" t="s">
        <v>602</v>
      </c>
      <c r="D781" t="s">
        <v>148</v>
      </c>
      <c r="E781" t="s">
        <v>6</v>
      </c>
      <c r="F781" t="str" cm="1">
        <f t="array" ref="F781">IF(SUM(IF(PartList[ASSLY MARK]=PartList[[#This Row],[ASSLY MARK]],1,0))&gt;1,"No","Yes")</f>
        <v>Yes</v>
      </c>
      <c r="G781" t="str" cm="1">
        <f t="array" ref="G781">_xlfn.TEXTJOIN("_",TRUE,TRIM(_xlfn.TEXTSPLIT(PartList[[#This Row],[GRID LOCATION]],{"PR01","/","-"})))</f>
        <v>13_14_A_B</v>
      </c>
      <c r="H781" t="str" cm="1">
        <f t="array" ref="H78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81" cm="1">
        <f t="array" ref="I78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81" t="str">
        <f>IF(IFERROR(SEARCH("&gt;",PartList[[#This Row],[ID]]),0),"O",IF(IFERROR(SEARCH("&lt;",PartList[[#This Row],[ID]]),0),"I",""))</f>
        <v/>
      </c>
      <c r="K781" t="str" cm="1">
        <f t="array" ref="K7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81" t="str" cm="1">
        <f t="array" ref="L7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81" t="str">
        <f>_xlfn.TEXTJOIN("#",TRUE,PartList[[#This Row],[ASSLY MARK]],PartList[[#This Row],[BOX NO]],PartList[[#This Row],[In/Out]],PartList[[#This Row],[O1-Grid]])</f>
        <v>2HB25#Box2#InB</v>
      </c>
      <c r="N781" t="str">
        <f>_xlfn.TEXTJOIN("#",TRUE,PartList[[#This Row],[ASSLY MARK]],PartList[[#This Row],[BOX NO]],PartList[[#This Row],[In/Out]],PartList[[#This Row],[O2-Grid]])</f>
        <v>2HB25#Box2#InB</v>
      </c>
      <c r="O781">
        <f>IF(PartList[[#This Row],[Unique]]="Yes",_xlfn.XLOOKUP(PartList[[#This Row],[ASSLY MARK]],FilteredPL!A:A,FilteredPL!B:B,0,0),0)</f>
        <v>0</v>
      </c>
      <c r="P781">
        <f>_xlfn.XLOOKUP(PartList[[#This Row],[ASSLY MARK]],MasterPL[SplitMarkNo],MasterPL[BILL WT.(KG)],0,0)</f>
        <v>0</v>
      </c>
      <c r="Q781" cm="1">
        <f t="array" ref="Q78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81" t="str">
        <v>4HB40</v>
      </c>
      <c r="AB781" s="42">
        <f>SUMIF(PartList[ASSLY MARK],AA781,PartList[Avail. Qty])</f>
        <v>0</v>
      </c>
    </row>
    <row r="782" spans="1:28" x14ac:dyDescent="0.25">
      <c r="A782">
        <v>339</v>
      </c>
      <c r="B782" t="s">
        <v>716</v>
      </c>
      <c r="C782" t="s">
        <v>602</v>
      </c>
      <c r="D782" t="s">
        <v>712</v>
      </c>
      <c r="E782" t="s">
        <v>6</v>
      </c>
      <c r="F782" t="str" cm="1">
        <f t="array" ref="F782">IF(SUM(IF(PartList[ASSLY MARK]=PartList[[#This Row],[ASSLY MARK]],1,0))&gt;1,"No","Yes")</f>
        <v>Yes</v>
      </c>
      <c r="G782" t="str" cm="1">
        <f t="array" ref="G782">_xlfn.TEXTJOIN("_",TRUE,TRIM(_xlfn.TEXTSPLIT(PartList[[#This Row],[GRID LOCATION]],{"PR01","/","-"})))</f>
        <v>13_14_A_B</v>
      </c>
      <c r="H782" t="str" cm="1">
        <f t="array" ref="H78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82" cm="1">
        <f t="array" ref="I78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82" t="str">
        <f>IF(IFERROR(SEARCH("&gt;",PartList[[#This Row],[ID]]),0),"O",IF(IFERROR(SEARCH("&lt;",PartList[[#This Row],[ID]]),0),"I",""))</f>
        <v/>
      </c>
      <c r="K782" t="str" cm="1">
        <f t="array" ref="K7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82" t="str" cm="1">
        <f t="array" ref="L7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82" t="str">
        <f>_xlfn.TEXTJOIN("#",TRUE,PartList[[#This Row],[ASSLY MARK]],PartList[[#This Row],[BOX NO]],PartList[[#This Row],[In/Out]],PartList[[#This Row],[O1-Grid]])</f>
        <v>2HB27#Box2#InB</v>
      </c>
      <c r="N782" t="str">
        <f>_xlfn.TEXTJOIN("#",TRUE,PartList[[#This Row],[ASSLY MARK]],PartList[[#This Row],[BOX NO]],PartList[[#This Row],[In/Out]],PartList[[#This Row],[O2-Grid]])</f>
        <v>2HB27#Box2#InB</v>
      </c>
      <c r="O782">
        <f>IF(PartList[[#This Row],[Unique]]="Yes",_xlfn.XLOOKUP(PartList[[#This Row],[ASSLY MARK]],FilteredPL!A:A,FilteredPL!B:B,0,0),0)</f>
        <v>0</v>
      </c>
      <c r="P782">
        <f>_xlfn.XLOOKUP(PartList[[#This Row],[ASSLY MARK]],MasterPL[SplitMarkNo],MasterPL[BILL WT.(KG)],0,0)</f>
        <v>0</v>
      </c>
      <c r="Q782" cm="1">
        <f t="array" ref="Q78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82" t="str">
        <v>4HB41</v>
      </c>
      <c r="AB782" s="42">
        <f>SUMIF(PartList[ASSLY MARK],AA782,PartList[Avail. Qty])</f>
        <v>0</v>
      </c>
    </row>
    <row r="783" spans="1:28" x14ac:dyDescent="0.25">
      <c r="A783">
        <v>341</v>
      </c>
      <c r="B783" t="s">
        <v>718</v>
      </c>
      <c r="C783" t="s">
        <v>686</v>
      </c>
      <c r="D783" t="s">
        <v>719</v>
      </c>
      <c r="E783" t="s">
        <v>6</v>
      </c>
      <c r="F783" t="str" cm="1">
        <f t="array" ref="F783">IF(SUM(IF(PartList[ASSLY MARK]=PartList[[#This Row],[ASSLY MARK]],1,0))&gt;1,"No","Yes")</f>
        <v>Yes</v>
      </c>
      <c r="G783" t="str" cm="1">
        <f t="array" ref="G783">_xlfn.TEXTJOIN("_",TRUE,TRIM(_xlfn.TEXTSPLIT(PartList[[#This Row],[GRID LOCATION]],{"PR01","/","-"})))</f>
        <v>13_14_B&gt;</v>
      </c>
      <c r="H783" t="str" cm="1">
        <f t="array" ref="H78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83" cm="1">
        <f t="array" ref="I78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83" t="str">
        <f>IF(IFERROR(SEARCH("&gt;",PartList[[#This Row],[ID]]),0),"O",IF(IFERROR(SEARCH("&lt;",PartList[[#This Row],[ID]]),0),"I",""))</f>
        <v>O</v>
      </c>
      <c r="K783" t="str" cm="1">
        <f t="array" ref="K7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83" t="str" cm="1">
        <f t="array" ref="L7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83" t="str">
        <f>_xlfn.TEXTJOIN("#",TRUE,PartList[[#This Row],[ASSLY MARK]],PartList[[#This Row],[BOX NO]],PartList[[#This Row],[In/Out]],PartList[[#This Row],[O1-Grid]])</f>
        <v>2HB29#Box2#O</v>
      </c>
      <c r="N783" t="str">
        <f>_xlfn.TEXTJOIN("#",TRUE,PartList[[#This Row],[ASSLY MARK]],PartList[[#This Row],[BOX NO]],PartList[[#This Row],[In/Out]],PartList[[#This Row],[O2-Grid]])</f>
        <v>2HB29#Box2#O</v>
      </c>
      <c r="O783">
        <f>IF(PartList[[#This Row],[Unique]]="Yes",_xlfn.XLOOKUP(PartList[[#This Row],[ASSLY MARK]],FilteredPL!A:A,FilteredPL!B:B,0,0),0)</f>
        <v>0</v>
      </c>
      <c r="P783">
        <f>_xlfn.XLOOKUP(PartList[[#This Row],[ASSLY MARK]],MasterPL[SplitMarkNo],MasterPL[BILL WT.(KG)],0,0)</f>
        <v>0</v>
      </c>
      <c r="Q783" cm="1">
        <f t="array" ref="Q78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83" t="str">
        <v>4HB42</v>
      </c>
      <c r="AB783" s="42">
        <f>SUMIF(PartList[ASSLY MARK],AA783,PartList[Avail. Qty])</f>
        <v>0</v>
      </c>
    </row>
    <row r="784" spans="1:28" x14ac:dyDescent="0.25">
      <c r="A784">
        <v>342</v>
      </c>
      <c r="B784" t="s">
        <v>720</v>
      </c>
      <c r="C784" t="s">
        <v>686</v>
      </c>
      <c r="D784" t="s">
        <v>719</v>
      </c>
      <c r="E784" t="s">
        <v>6</v>
      </c>
      <c r="F784" t="str" cm="1">
        <f t="array" ref="F784">IF(SUM(IF(PartList[ASSLY MARK]=PartList[[#This Row],[ASSLY MARK]],1,0))&gt;1,"No","Yes")</f>
        <v>Yes</v>
      </c>
      <c r="G784" t="str" cm="1">
        <f t="array" ref="G784">_xlfn.TEXTJOIN("_",TRUE,TRIM(_xlfn.TEXTSPLIT(PartList[[#This Row],[GRID LOCATION]],{"PR01","/","-"})))</f>
        <v>13_14_B&gt;</v>
      </c>
      <c r="H784" t="str" cm="1">
        <f t="array" ref="H78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84" cm="1">
        <f t="array" ref="I78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84" t="str">
        <f>IF(IFERROR(SEARCH("&gt;",PartList[[#This Row],[ID]]),0),"O",IF(IFERROR(SEARCH("&lt;",PartList[[#This Row],[ID]]),0),"I",""))</f>
        <v>O</v>
      </c>
      <c r="K784" t="str" cm="1">
        <f t="array" ref="K7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84" t="str" cm="1">
        <f t="array" ref="L7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84" t="str">
        <f>_xlfn.TEXTJOIN("#",TRUE,PartList[[#This Row],[ASSLY MARK]],PartList[[#This Row],[BOX NO]],PartList[[#This Row],[In/Out]],PartList[[#This Row],[O1-Grid]])</f>
        <v>2HB30#Box2#O</v>
      </c>
      <c r="N784" t="str">
        <f>_xlfn.TEXTJOIN("#",TRUE,PartList[[#This Row],[ASSLY MARK]],PartList[[#This Row],[BOX NO]],PartList[[#This Row],[In/Out]],PartList[[#This Row],[O2-Grid]])</f>
        <v>2HB30#Box2#O</v>
      </c>
      <c r="O784">
        <f>IF(PartList[[#This Row],[Unique]]="Yes",_xlfn.XLOOKUP(PartList[[#This Row],[ASSLY MARK]],FilteredPL!A:A,FilteredPL!B:B,0,0),0)</f>
        <v>0</v>
      </c>
      <c r="P784">
        <f>_xlfn.XLOOKUP(PartList[[#This Row],[ASSLY MARK]],MasterPL[SplitMarkNo],MasterPL[BILL WT.(KG)],0,0)</f>
        <v>0</v>
      </c>
      <c r="Q784" cm="1">
        <f t="array" ref="Q78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84" t="str">
        <v>4HB43</v>
      </c>
      <c r="AB784" s="42">
        <f>SUMIF(PartList[ASSLY MARK],AA784,PartList[Avail. Qty])</f>
        <v>0</v>
      </c>
    </row>
    <row r="785" spans="1:28" x14ac:dyDescent="0.25">
      <c r="A785">
        <v>346</v>
      </c>
      <c r="B785" t="s">
        <v>722</v>
      </c>
      <c r="C785" t="s">
        <v>609</v>
      </c>
      <c r="D785" t="s">
        <v>303</v>
      </c>
      <c r="E785" t="s">
        <v>645</v>
      </c>
      <c r="F785" t="str" cm="1">
        <f t="array" ref="F785">IF(SUM(IF(PartList[ASSLY MARK]=PartList[[#This Row],[ASSLY MARK]],1,0))&gt;1,"No","Yes")</f>
        <v>Yes</v>
      </c>
      <c r="G785" t="str" cm="1">
        <f t="array" ref="G785">_xlfn.TEXTJOIN("_",TRUE,TRIM(_xlfn.TEXTSPLIT(PartList[[#This Row],[GRID LOCATION]],{"PR01","/","-"})))</f>
        <v>13_14_A</v>
      </c>
      <c r="H785" t="str" cm="1">
        <f t="array" ref="H78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85" cm="1">
        <f t="array" ref="I78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85" t="str">
        <f>IF(IFERROR(SEARCH("&gt;",PartList[[#This Row],[ID]]),0),"O",IF(IFERROR(SEARCH("&lt;",PartList[[#This Row],[ID]]),0),"I",""))</f>
        <v/>
      </c>
      <c r="K785" t="str" cm="1">
        <f t="array" ref="K7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85" t="str" cm="1">
        <f t="array" ref="L7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13_14_A</v>
      </c>
      <c r="M785" t="str">
        <f>_xlfn.TEXTJOIN("#",TRUE,PartList[[#This Row],[ASSLY MARK]],PartList[[#This Row],[BOX NO]],PartList[[#This Row],[In/Out]],PartList[[#This Row],[O1-Grid]])</f>
        <v>2SC03#Box2#InB</v>
      </c>
      <c r="N785" t="str">
        <f>_xlfn.TEXTJOIN("#",TRUE,PartList[[#This Row],[ASSLY MARK]],PartList[[#This Row],[BOX NO]],PartList[[#This Row],[In/Out]],PartList[[#This Row],[O2-Grid]])</f>
        <v>2SC03#Box2#13_14_A</v>
      </c>
      <c r="O785">
        <f>IF(PartList[[#This Row],[Unique]]="Yes",_xlfn.XLOOKUP(PartList[[#This Row],[ASSLY MARK]],FilteredPL!A:A,FilteredPL!B:B,0,0),0)</f>
        <v>0</v>
      </c>
      <c r="P785">
        <f>_xlfn.XLOOKUP(PartList[[#This Row],[ASSLY MARK]],MasterPL[SplitMarkNo],MasterPL[BILL WT.(KG)],0,0)</f>
        <v>0</v>
      </c>
      <c r="Q785" cm="1">
        <f t="array" ref="Q78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85" t="str">
        <v>4HB44</v>
      </c>
      <c r="AB785" s="42">
        <f>SUMIF(PartList[ASSLY MARK],AA785,PartList[Avail. Qty])</f>
        <v>0</v>
      </c>
    </row>
    <row r="786" spans="1:28" x14ac:dyDescent="0.25">
      <c r="A786">
        <v>394</v>
      </c>
      <c r="B786" t="s">
        <v>248</v>
      </c>
      <c r="C786" t="s">
        <v>561</v>
      </c>
      <c r="D786" t="s">
        <v>224</v>
      </c>
      <c r="E786" t="s">
        <v>5</v>
      </c>
      <c r="F786" t="str" cm="1">
        <f t="array" ref="F786">IF(SUM(IF(PartList[ASSLY MARK]=PartList[[#This Row],[ASSLY MARK]],1,0))&gt;1,"No","Yes")</f>
        <v>No</v>
      </c>
      <c r="G786" t="str" cm="1">
        <f t="array" ref="G786">_xlfn.TEXTJOIN("_",TRUE,TRIM(_xlfn.TEXTSPLIT(PartList[[#This Row],[GRID LOCATION]],{"PR01","/","-"})))</f>
        <v>12_13_B&gt;</v>
      </c>
      <c r="H786" t="str" cm="1">
        <f t="array" ref="H78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86" cm="1">
        <f t="array" ref="I78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86" t="str">
        <f>IF(IFERROR(SEARCH("&gt;",PartList[[#This Row],[ID]]),0),"O",IF(IFERROR(SEARCH("&lt;",PartList[[#This Row],[ID]]),0),"I",""))</f>
        <v>O</v>
      </c>
      <c r="K786" t="str" cm="1">
        <f t="array" ref="K7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86" t="str" cm="1">
        <f t="array" ref="L7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86" t="str">
        <f>_xlfn.TEXTJOIN("#",TRUE,PartList[[#This Row],[ASSLY MARK]],PartList[[#This Row],[BOX NO]],PartList[[#This Row],[In/Out]],PartList[[#This Row],[O1-Grid]])</f>
        <v>3BE38#Box2#O</v>
      </c>
      <c r="N786" t="str">
        <f>_xlfn.TEXTJOIN("#",TRUE,PartList[[#This Row],[ASSLY MARK]],PartList[[#This Row],[BOX NO]],PartList[[#This Row],[In/Out]],PartList[[#This Row],[O2-Grid]])</f>
        <v>3BE38#Box2#O</v>
      </c>
      <c r="O786">
        <f>IF(PartList[[#This Row],[Unique]]="Yes",_xlfn.XLOOKUP(PartList[[#This Row],[ASSLY MARK]],FilteredPL!A:A,FilteredPL!B:B,0,0),0)</f>
        <v>0</v>
      </c>
      <c r="P786">
        <f>_xlfn.XLOOKUP(PartList[[#This Row],[ASSLY MARK]],MasterPL[SplitMarkNo],MasterPL[BILL WT.(KG)],0,0)</f>
        <v>0</v>
      </c>
      <c r="Q786" cm="1">
        <f t="array" ref="Q78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86" t="str">
        <v>4HB46</v>
      </c>
      <c r="AB786" s="42">
        <f>SUMIF(PartList[ASSLY MARK],AA786,PartList[Avail. Qty])</f>
        <v>0</v>
      </c>
    </row>
    <row r="787" spans="1:28" x14ac:dyDescent="0.25">
      <c r="A787">
        <v>396</v>
      </c>
      <c r="B787" t="s">
        <v>248</v>
      </c>
      <c r="C787" t="s">
        <v>686</v>
      </c>
      <c r="D787" t="s">
        <v>224</v>
      </c>
      <c r="E787" t="s">
        <v>5</v>
      </c>
      <c r="F787" t="str" cm="1">
        <f t="array" ref="F787">IF(SUM(IF(PartList[ASSLY MARK]=PartList[[#This Row],[ASSLY MARK]],1,0))&gt;1,"No","Yes")</f>
        <v>No</v>
      </c>
      <c r="G787" t="str" cm="1">
        <f t="array" ref="G787">_xlfn.TEXTJOIN("_",TRUE,TRIM(_xlfn.TEXTSPLIT(PartList[[#This Row],[GRID LOCATION]],{"PR01","/","-"})))</f>
        <v>13_14_B&gt;</v>
      </c>
      <c r="H787" t="str" cm="1">
        <f t="array" ref="H78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87" cm="1">
        <f t="array" ref="I78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87" t="str">
        <f>IF(IFERROR(SEARCH("&gt;",PartList[[#This Row],[ID]]),0),"O",IF(IFERROR(SEARCH("&lt;",PartList[[#This Row],[ID]]),0),"I",""))</f>
        <v>O</v>
      </c>
      <c r="K787" t="str" cm="1">
        <f t="array" ref="K7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87" t="str" cm="1">
        <f t="array" ref="L7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87" t="str">
        <f>_xlfn.TEXTJOIN("#",TRUE,PartList[[#This Row],[ASSLY MARK]],PartList[[#This Row],[BOX NO]],PartList[[#This Row],[In/Out]],PartList[[#This Row],[O1-Grid]])</f>
        <v>3BE38#Box2#O</v>
      </c>
      <c r="N787" t="str">
        <f>_xlfn.TEXTJOIN("#",TRUE,PartList[[#This Row],[ASSLY MARK]],PartList[[#This Row],[BOX NO]],PartList[[#This Row],[In/Out]],PartList[[#This Row],[O2-Grid]])</f>
        <v>3BE38#Box2#O</v>
      </c>
      <c r="O787">
        <f>IF(PartList[[#This Row],[Unique]]="Yes",_xlfn.XLOOKUP(PartList[[#This Row],[ASSLY MARK]],FilteredPL!A:A,FilteredPL!B:B,0,0),0)</f>
        <v>0</v>
      </c>
      <c r="P787">
        <f>_xlfn.XLOOKUP(PartList[[#This Row],[ASSLY MARK]],MasterPL[SplitMarkNo],MasterPL[BILL WT.(KG)],0,0)</f>
        <v>0</v>
      </c>
      <c r="Q787" cm="1">
        <f t="array" ref="Q78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87" t="str">
        <v>4HB49</v>
      </c>
      <c r="AB787" s="42">
        <f>SUMIF(PartList[ASSLY MARK],AA787,PartList[Avail. Qty])</f>
        <v>0</v>
      </c>
    </row>
    <row r="788" spans="1:28" x14ac:dyDescent="0.25">
      <c r="A788">
        <v>399</v>
      </c>
      <c r="B788" t="s">
        <v>251</v>
      </c>
      <c r="C788" t="s">
        <v>538</v>
      </c>
      <c r="D788" t="s">
        <v>224</v>
      </c>
      <c r="E788" t="s">
        <v>5</v>
      </c>
      <c r="F788" t="str" cm="1">
        <f t="array" ref="F788">IF(SUM(IF(PartList[ASSLY MARK]=PartList[[#This Row],[ASSLY MARK]],1,0))&gt;1,"No","Yes")</f>
        <v>Yes</v>
      </c>
      <c r="G788" t="str" cm="1">
        <f t="array" ref="G788">_xlfn.TEXTJOIN("_",TRUE,TRIM(_xlfn.TEXTSPLIT(PartList[[#This Row],[GRID LOCATION]],{"PR01","/","-"})))</f>
        <v>12_A'_A</v>
      </c>
      <c r="H788" t="str" cm="1">
        <f t="array" ref="H78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788" cm="1">
        <f t="array" ref="I78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88" t="str">
        <f>IF(IFERROR(SEARCH("&gt;",PartList[[#This Row],[ID]]),0),"O",IF(IFERROR(SEARCH("&lt;",PartList[[#This Row],[ID]]),0),"I",""))</f>
        <v/>
      </c>
      <c r="K788" t="str" cm="1">
        <f t="array" ref="K7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788" t="str" cm="1">
        <f t="array" ref="L7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788" t="str">
        <f>_xlfn.TEXTJOIN("#",TRUE,PartList[[#This Row],[ASSLY MARK]],PartList[[#This Row],[BOX NO]],PartList[[#This Row],[In/Out]],PartList[[#This Row],[O1-Grid]])</f>
        <v>3BE41#Box2_Box5#InBB</v>
      </c>
      <c r="N788" t="str">
        <f>_xlfn.TEXTJOIN("#",TRUE,PartList[[#This Row],[ASSLY MARK]],PartList[[#This Row],[BOX NO]],PartList[[#This Row],[In/Out]],PartList[[#This Row],[O2-Grid]])</f>
        <v>3BE41#Box2_Box5#InBB</v>
      </c>
      <c r="O788">
        <f>IF(PartList[[#This Row],[Unique]]="Yes",_xlfn.XLOOKUP(PartList[[#This Row],[ASSLY MARK]],FilteredPL!A:A,FilteredPL!B:B,0,0),0)</f>
        <v>0</v>
      </c>
      <c r="P788">
        <f>_xlfn.XLOOKUP(PartList[[#This Row],[ASSLY MARK]],MasterPL[SplitMarkNo],MasterPL[BILL WT.(KG)],0,0)</f>
        <v>0</v>
      </c>
      <c r="Q788" cm="1">
        <f t="array" ref="Q78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88" t="str">
        <v>4HB53</v>
      </c>
      <c r="AB788" s="42">
        <f>SUMIF(PartList[ASSLY MARK],AA788,PartList[Avail. Qty])</f>
        <v>0</v>
      </c>
    </row>
    <row r="789" spans="1:28" x14ac:dyDescent="0.25">
      <c r="A789">
        <v>400</v>
      </c>
      <c r="B789" t="s">
        <v>252</v>
      </c>
      <c r="C789" t="s">
        <v>518</v>
      </c>
      <c r="D789" t="s">
        <v>224</v>
      </c>
      <c r="E789" t="s">
        <v>5</v>
      </c>
      <c r="F789" t="str" cm="1">
        <f t="array" ref="F789">IF(SUM(IF(PartList[ASSLY MARK]=PartList[[#This Row],[ASSLY MARK]],1,0))&gt;1,"No","Yes")</f>
        <v>Yes</v>
      </c>
      <c r="G789" t="str" cm="1">
        <f t="array" ref="G789">_xlfn.TEXTJOIN("_",TRUE,TRIM(_xlfn.TEXTSPLIT(PartList[[#This Row],[GRID LOCATION]],{"PR01","/","-"})))</f>
        <v>12_A_B</v>
      </c>
      <c r="H789" t="str" cm="1">
        <f t="array" ref="H78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89" cm="1">
        <f t="array" ref="I78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89" t="str">
        <f>IF(IFERROR(SEARCH("&gt;",PartList[[#This Row],[ID]]),0),"O",IF(IFERROR(SEARCH("&lt;",PartList[[#This Row],[ID]]),0),"I",""))</f>
        <v/>
      </c>
      <c r="K789" t="str" cm="1">
        <f t="array" ref="K7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12_A_B</v>
      </c>
      <c r="L789" t="str" cm="1">
        <f t="array" ref="L7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89" t="str">
        <f>_xlfn.TEXTJOIN("#",TRUE,PartList[[#This Row],[ASSLY MARK]],PartList[[#This Row],[BOX NO]],PartList[[#This Row],[In/Out]],PartList[[#This Row],[O1-Grid]])</f>
        <v>3BE42#Box2#12_A_B</v>
      </c>
      <c r="N789" t="str">
        <f>_xlfn.TEXTJOIN("#",TRUE,PartList[[#This Row],[ASSLY MARK]],PartList[[#This Row],[BOX NO]],PartList[[#This Row],[In/Out]],PartList[[#This Row],[O2-Grid]])</f>
        <v>3BE42#Box2#InB</v>
      </c>
      <c r="O789">
        <f>IF(PartList[[#This Row],[Unique]]="Yes",_xlfn.XLOOKUP(PartList[[#This Row],[ASSLY MARK]],FilteredPL!A:A,FilteredPL!B:B,0,0),0)</f>
        <v>0</v>
      </c>
      <c r="P789">
        <f>_xlfn.XLOOKUP(PartList[[#This Row],[ASSLY MARK]],MasterPL[SplitMarkNo],MasterPL[BILL WT.(KG)],0,0)</f>
        <v>0</v>
      </c>
      <c r="Q789" cm="1">
        <f t="array" ref="Q78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89" t="str">
        <v>6BE11</v>
      </c>
      <c r="AB789" s="42">
        <f>SUMIF(PartList[ASSLY MARK],AA789,PartList[Avail. Qty])</f>
        <v>0</v>
      </c>
    </row>
    <row r="790" spans="1:28" x14ac:dyDescent="0.25">
      <c r="A790">
        <v>401</v>
      </c>
      <c r="B790" t="s">
        <v>253</v>
      </c>
      <c r="C790" t="s">
        <v>545</v>
      </c>
      <c r="D790" t="s">
        <v>224</v>
      </c>
      <c r="E790" t="s">
        <v>5</v>
      </c>
      <c r="F790" t="str" cm="1">
        <f t="array" ref="F790">IF(SUM(IF(PartList[ASSLY MARK]=PartList[[#This Row],[ASSLY MARK]],1,0))&gt;1,"No","Yes")</f>
        <v>Yes</v>
      </c>
      <c r="G790" t="str" cm="1">
        <f t="array" ref="G790">_xlfn.TEXTJOIN("_",TRUE,TRIM(_xlfn.TEXTSPLIT(PartList[[#This Row],[GRID LOCATION]],{"PR01","/","-"})))</f>
        <v>12_B&gt;</v>
      </c>
      <c r="H790" t="str" cm="1">
        <f t="array" ref="H79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90" cm="1">
        <f t="array" ref="I79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90" t="str">
        <f>IF(IFERROR(SEARCH("&gt;",PartList[[#This Row],[ID]]),0),"O",IF(IFERROR(SEARCH("&lt;",PartList[[#This Row],[ID]]),0),"I",""))</f>
        <v>O</v>
      </c>
      <c r="K790" t="str" cm="1">
        <f t="array" ref="K7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90" t="str" cm="1">
        <f t="array" ref="L7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90" t="str">
        <f>_xlfn.TEXTJOIN("#",TRUE,PartList[[#This Row],[ASSLY MARK]],PartList[[#This Row],[BOX NO]],PartList[[#This Row],[In/Out]],PartList[[#This Row],[O1-Grid]])</f>
        <v>3BE43#Box2#O</v>
      </c>
      <c r="N790" t="str">
        <f>_xlfn.TEXTJOIN("#",TRUE,PartList[[#This Row],[ASSLY MARK]],PartList[[#This Row],[BOX NO]],PartList[[#This Row],[In/Out]],PartList[[#This Row],[O2-Grid]])</f>
        <v>3BE43#Box2#O</v>
      </c>
      <c r="O790">
        <f>IF(PartList[[#This Row],[Unique]]="Yes",_xlfn.XLOOKUP(PartList[[#This Row],[ASSLY MARK]],FilteredPL!A:A,FilteredPL!B:B,0,0),0)</f>
        <v>0</v>
      </c>
      <c r="P790">
        <f>_xlfn.XLOOKUP(PartList[[#This Row],[ASSLY MARK]],MasterPL[SplitMarkNo],MasterPL[BILL WT.(KG)],0,0)</f>
        <v>0</v>
      </c>
      <c r="Q790" cm="1">
        <f t="array" ref="Q79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90" t="str">
        <v>6BE28</v>
      </c>
      <c r="AB790" s="42">
        <f>SUMIF(PartList[ASSLY MARK],AA790,PartList[Avail. Qty])</f>
        <v>0</v>
      </c>
    </row>
    <row r="791" spans="1:28" x14ac:dyDescent="0.25">
      <c r="A791">
        <v>402</v>
      </c>
      <c r="B791" t="s">
        <v>254</v>
      </c>
      <c r="C791" t="s">
        <v>547</v>
      </c>
      <c r="D791" t="s">
        <v>224</v>
      </c>
      <c r="E791" t="s">
        <v>5</v>
      </c>
      <c r="F791" t="str" cm="1">
        <f t="array" ref="F791">IF(SUM(IF(PartList[ASSLY MARK]=PartList[[#This Row],[ASSLY MARK]],1,0))&gt;1,"No","Yes")</f>
        <v>Yes</v>
      </c>
      <c r="G791" t="str" cm="1">
        <f t="array" ref="G791">_xlfn.TEXTJOIN("_",TRUE,TRIM(_xlfn.TEXTSPLIT(PartList[[#This Row],[GRID LOCATION]],{"PR01","/","-"})))</f>
        <v>12_13_A_B</v>
      </c>
      <c r="H791" t="str" cm="1">
        <f t="array" ref="H79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91" cm="1">
        <f t="array" ref="I79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91" t="str">
        <f>IF(IFERROR(SEARCH("&gt;",PartList[[#This Row],[ID]]),0),"O",IF(IFERROR(SEARCH("&lt;",PartList[[#This Row],[ID]]),0),"I",""))</f>
        <v/>
      </c>
      <c r="K791" t="str" cm="1">
        <f t="array" ref="K7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91" t="str" cm="1">
        <f t="array" ref="L7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91" t="str">
        <f>_xlfn.TEXTJOIN("#",TRUE,PartList[[#This Row],[ASSLY MARK]],PartList[[#This Row],[BOX NO]],PartList[[#This Row],[In/Out]],PartList[[#This Row],[O1-Grid]])</f>
        <v>3BE44#Box2#InB</v>
      </c>
      <c r="N791" t="str">
        <f>_xlfn.TEXTJOIN("#",TRUE,PartList[[#This Row],[ASSLY MARK]],PartList[[#This Row],[BOX NO]],PartList[[#This Row],[In/Out]],PartList[[#This Row],[O2-Grid]])</f>
        <v>3BE44#Box2#InB</v>
      </c>
      <c r="O791">
        <f>IF(PartList[[#This Row],[Unique]]="Yes",_xlfn.XLOOKUP(PartList[[#This Row],[ASSLY MARK]],FilteredPL!A:A,FilteredPL!B:B,0,0),0)</f>
        <v>0</v>
      </c>
      <c r="P791">
        <f>_xlfn.XLOOKUP(PartList[[#This Row],[ASSLY MARK]],MasterPL[SplitMarkNo],MasterPL[BILL WT.(KG)],0,0)</f>
        <v>0</v>
      </c>
      <c r="Q791" cm="1">
        <f t="array" ref="Q79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91" t="str">
        <v>6BE87</v>
      </c>
      <c r="AB791" s="42">
        <f>SUMIF(PartList[ASSLY MARK],AA791,PartList[Avail. Qty])</f>
        <v>0</v>
      </c>
    </row>
    <row r="792" spans="1:28" x14ac:dyDescent="0.25">
      <c r="A792">
        <v>404</v>
      </c>
      <c r="B792" t="s">
        <v>256</v>
      </c>
      <c r="C792" t="s">
        <v>547</v>
      </c>
      <c r="D792" t="s">
        <v>224</v>
      </c>
      <c r="E792" t="s">
        <v>5</v>
      </c>
      <c r="F792" t="str" cm="1">
        <f t="array" ref="F792">IF(SUM(IF(PartList[ASSLY MARK]=PartList[[#This Row],[ASSLY MARK]],1,0))&gt;1,"No","Yes")</f>
        <v>Yes</v>
      </c>
      <c r="G792" t="str" cm="1">
        <f t="array" ref="G792">_xlfn.TEXTJOIN("_",TRUE,TRIM(_xlfn.TEXTSPLIT(PartList[[#This Row],[GRID LOCATION]],{"PR01","/","-"})))</f>
        <v>12_13_A_B</v>
      </c>
      <c r="H792" t="str" cm="1">
        <f t="array" ref="H79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92" cm="1">
        <f t="array" ref="I79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92" t="str">
        <f>IF(IFERROR(SEARCH("&gt;",PartList[[#This Row],[ID]]),0),"O",IF(IFERROR(SEARCH("&lt;",PartList[[#This Row],[ID]]),0),"I",""))</f>
        <v/>
      </c>
      <c r="K792" t="str" cm="1">
        <f t="array" ref="K7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92" t="str" cm="1">
        <f t="array" ref="L7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92" t="str">
        <f>_xlfn.TEXTJOIN("#",TRUE,PartList[[#This Row],[ASSLY MARK]],PartList[[#This Row],[BOX NO]],PartList[[#This Row],[In/Out]],PartList[[#This Row],[O1-Grid]])</f>
        <v>3BE46#Box2#InB</v>
      </c>
      <c r="N792" t="str">
        <f>_xlfn.TEXTJOIN("#",TRUE,PartList[[#This Row],[ASSLY MARK]],PartList[[#This Row],[BOX NO]],PartList[[#This Row],[In/Out]],PartList[[#This Row],[O2-Grid]])</f>
        <v>3BE46#Box2#InB</v>
      </c>
      <c r="O792">
        <f>IF(PartList[[#This Row],[Unique]]="Yes",_xlfn.XLOOKUP(PartList[[#This Row],[ASSLY MARK]],FilteredPL!A:A,FilteredPL!B:B,0,0),0)</f>
        <v>0</v>
      </c>
      <c r="P792">
        <f>_xlfn.XLOOKUP(PartList[[#This Row],[ASSLY MARK]],MasterPL[SplitMarkNo],MasterPL[BILL WT.(KG)],0,0)</f>
        <v>0</v>
      </c>
      <c r="Q792" cm="1">
        <f t="array" ref="Q79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92" t="str">
        <v>6BE88</v>
      </c>
      <c r="AB792" s="42">
        <f>SUMIF(PartList[ASSLY MARK],AA792,PartList[Avail. Qty])</f>
        <v>0</v>
      </c>
    </row>
    <row r="793" spans="1:28" x14ac:dyDescent="0.25">
      <c r="A793">
        <v>405</v>
      </c>
      <c r="B793" t="s">
        <v>257</v>
      </c>
      <c r="C793" t="s">
        <v>561</v>
      </c>
      <c r="D793" t="s">
        <v>224</v>
      </c>
      <c r="E793" t="s">
        <v>5</v>
      </c>
      <c r="F793" t="str" cm="1">
        <f t="array" ref="F793">IF(SUM(IF(PartList[ASSLY MARK]=PartList[[#This Row],[ASSLY MARK]],1,0))&gt;1,"No","Yes")</f>
        <v>Yes</v>
      </c>
      <c r="G793" t="str" cm="1">
        <f t="array" ref="G793">_xlfn.TEXTJOIN("_",TRUE,TRIM(_xlfn.TEXTSPLIT(PartList[[#This Row],[GRID LOCATION]],{"PR01","/","-"})))</f>
        <v>12_13_B&gt;</v>
      </c>
      <c r="H793" t="str" cm="1">
        <f t="array" ref="H79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93" cm="1">
        <f t="array" ref="I79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93" t="str">
        <f>IF(IFERROR(SEARCH("&gt;",PartList[[#This Row],[ID]]),0),"O",IF(IFERROR(SEARCH("&lt;",PartList[[#This Row],[ID]]),0),"I",""))</f>
        <v>O</v>
      </c>
      <c r="K793" t="str" cm="1">
        <f t="array" ref="K7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93" t="str" cm="1">
        <f t="array" ref="L7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93" t="str">
        <f>_xlfn.TEXTJOIN("#",TRUE,PartList[[#This Row],[ASSLY MARK]],PartList[[#This Row],[BOX NO]],PartList[[#This Row],[In/Out]],PartList[[#This Row],[O1-Grid]])</f>
        <v>3BE47#Box2#O</v>
      </c>
      <c r="N793" t="str">
        <f>_xlfn.TEXTJOIN("#",TRUE,PartList[[#This Row],[ASSLY MARK]],PartList[[#This Row],[BOX NO]],PartList[[#This Row],[In/Out]],PartList[[#This Row],[O2-Grid]])</f>
        <v>3BE47#Box2#O</v>
      </c>
      <c r="O793">
        <f>IF(PartList[[#This Row],[Unique]]="Yes",_xlfn.XLOOKUP(PartList[[#This Row],[ASSLY MARK]],FilteredPL!A:A,FilteredPL!B:B,0,0),0)</f>
        <v>0</v>
      </c>
      <c r="P793">
        <f>_xlfn.XLOOKUP(PartList[[#This Row],[ASSLY MARK]],MasterPL[SplitMarkNo],MasterPL[BILL WT.(KG)],0,0)</f>
        <v>0</v>
      </c>
      <c r="Q793" cm="1">
        <f t="array" ref="Q79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93" t="str">
        <v>6BE89</v>
      </c>
      <c r="AB793" s="42">
        <f>SUMIF(PartList[ASSLY MARK],AA793,PartList[Avail. Qty])</f>
        <v>0</v>
      </c>
    </row>
    <row r="794" spans="1:28" x14ac:dyDescent="0.25">
      <c r="A794">
        <v>406</v>
      </c>
      <c r="B794" t="s">
        <v>258</v>
      </c>
      <c r="C794" t="s">
        <v>554</v>
      </c>
      <c r="D794" t="s">
        <v>224</v>
      </c>
      <c r="E794" t="s">
        <v>5</v>
      </c>
      <c r="F794" t="str" cm="1">
        <f t="array" ref="F794">IF(SUM(IF(PartList[ASSLY MARK]=PartList[[#This Row],[ASSLY MARK]],1,0))&gt;1,"No","Yes")</f>
        <v>Yes</v>
      </c>
      <c r="G794" t="str" cm="1">
        <f t="array" ref="G794">_xlfn.TEXTJOIN("_",TRUE,TRIM(_xlfn.TEXTSPLIT(PartList[[#This Row],[GRID LOCATION]],{"PR01","/","-"})))</f>
        <v>12_13_A</v>
      </c>
      <c r="H794" t="str" cm="1">
        <f t="array" ref="H79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94" cm="1">
        <f t="array" ref="I79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94" t="str">
        <f>IF(IFERROR(SEARCH("&gt;",PartList[[#This Row],[ID]]),0),"O",IF(IFERROR(SEARCH("&lt;",PartList[[#This Row],[ID]]),0),"I",""))</f>
        <v/>
      </c>
      <c r="K794" t="str" cm="1">
        <f t="array" ref="K7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94" t="str" cm="1">
        <f t="array" ref="L7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794" t="str">
        <f>_xlfn.TEXTJOIN("#",TRUE,PartList[[#This Row],[ASSLY MARK]],PartList[[#This Row],[BOX NO]],PartList[[#This Row],[In/Out]],PartList[[#This Row],[O1-Grid]])</f>
        <v>3BE48#Box2#InB</v>
      </c>
      <c r="N794" t="str">
        <f>_xlfn.TEXTJOIN("#",TRUE,PartList[[#This Row],[ASSLY MARK]],PartList[[#This Row],[BOX NO]],PartList[[#This Row],[In/Out]],PartList[[#This Row],[O2-Grid]])</f>
        <v>3BE48#Box2#12_13_A</v>
      </c>
      <c r="O794">
        <f>IF(PartList[[#This Row],[Unique]]="Yes",_xlfn.XLOOKUP(PartList[[#This Row],[ASSLY MARK]],FilteredPL!A:A,FilteredPL!B:B,0,0),0)</f>
        <v>0</v>
      </c>
      <c r="P794">
        <f>_xlfn.XLOOKUP(PartList[[#This Row],[ASSLY MARK]],MasterPL[SplitMarkNo],MasterPL[BILL WT.(KG)],0,0)</f>
        <v>0</v>
      </c>
      <c r="Q794" cm="1">
        <f t="array" ref="Q79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94" t="str">
        <v>6BE90</v>
      </c>
      <c r="AB794" s="42">
        <f>SUMIF(PartList[ASSLY MARK],AA794,PartList[Avail. Qty])</f>
        <v>0</v>
      </c>
    </row>
    <row r="795" spans="1:28" x14ac:dyDescent="0.25">
      <c r="A795">
        <v>407</v>
      </c>
      <c r="B795" t="s">
        <v>259</v>
      </c>
      <c r="C795" t="s">
        <v>556</v>
      </c>
      <c r="D795" t="s">
        <v>224</v>
      </c>
      <c r="E795" t="s">
        <v>5</v>
      </c>
      <c r="F795" t="str" cm="1">
        <f t="array" ref="F795">IF(SUM(IF(PartList[ASSLY MARK]=PartList[[#This Row],[ASSLY MARK]],1,0))&gt;1,"No","Yes")</f>
        <v>Yes</v>
      </c>
      <c r="G795" t="str" cm="1">
        <f t="array" ref="G795">_xlfn.TEXTJOIN("_",TRUE,TRIM(_xlfn.TEXTSPLIT(PartList[[#This Row],[GRID LOCATION]],{"PR01","/","-"})))</f>
        <v>12_13_B</v>
      </c>
      <c r="H795" t="str" cm="1">
        <f t="array" ref="H79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95" cm="1">
        <f t="array" ref="I79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95" t="str">
        <f>IF(IFERROR(SEARCH("&gt;",PartList[[#This Row],[ID]]),0),"O",IF(IFERROR(SEARCH("&lt;",PartList[[#This Row],[ID]]),0),"I",""))</f>
        <v/>
      </c>
      <c r="K795" t="str" cm="1">
        <f t="array" ref="K7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95" t="str" cm="1">
        <f t="array" ref="L7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795" t="str">
        <f>_xlfn.TEXTJOIN("#",TRUE,PartList[[#This Row],[ASSLY MARK]],PartList[[#This Row],[BOX NO]],PartList[[#This Row],[In/Out]],PartList[[#This Row],[O1-Grid]])</f>
        <v>3BE49#Box2#InB</v>
      </c>
      <c r="N795" t="str">
        <f>_xlfn.TEXTJOIN("#",TRUE,PartList[[#This Row],[ASSLY MARK]],PartList[[#This Row],[BOX NO]],PartList[[#This Row],[In/Out]],PartList[[#This Row],[O2-Grid]])</f>
        <v>3BE49#Box2#12_13_B</v>
      </c>
      <c r="O795">
        <f>IF(PartList[[#This Row],[Unique]]="Yes",_xlfn.XLOOKUP(PartList[[#This Row],[ASSLY MARK]],FilteredPL!A:A,FilteredPL!B:B,0,0),0)</f>
        <v>0</v>
      </c>
      <c r="P795">
        <f>_xlfn.XLOOKUP(PartList[[#This Row],[ASSLY MARK]],MasterPL[SplitMarkNo],MasterPL[BILL WT.(KG)],0,0)</f>
        <v>0</v>
      </c>
      <c r="Q795" cm="1">
        <f t="array" ref="Q79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95" t="str">
        <v>6BE91</v>
      </c>
      <c r="AB795" s="42">
        <f>SUMIF(PartList[ASSLY MARK],AA795,PartList[Avail. Qty])</f>
        <v>0</v>
      </c>
    </row>
    <row r="796" spans="1:28" x14ac:dyDescent="0.25">
      <c r="A796">
        <v>408</v>
      </c>
      <c r="B796" t="s">
        <v>260</v>
      </c>
      <c r="C796" t="s">
        <v>547</v>
      </c>
      <c r="D796" t="s">
        <v>224</v>
      </c>
      <c r="E796" t="s">
        <v>5</v>
      </c>
      <c r="F796" t="str" cm="1">
        <f t="array" ref="F796">IF(SUM(IF(PartList[ASSLY MARK]=PartList[[#This Row],[ASSLY MARK]],1,0))&gt;1,"No","Yes")</f>
        <v>Yes</v>
      </c>
      <c r="G796" t="str" cm="1">
        <f t="array" ref="G796">_xlfn.TEXTJOIN("_",TRUE,TRIM(_xlfn.TEXTSPLIT(PartList[[#This Row],[GRID LOCATION]],{"PR01","/","-"})))</f>
        <v>12_13_A_B</v>
      </c>
      <c r="H796" t="str" cm="1">
        <f t="array" ref="H79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96" cm="1">
        <f t="array" ref="I79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96" t="str">
        <f>IF(IFERROR(SEARCH("&gt;",PartList[[#This Row],[ID]]),0),"O",IF(IFERROR(SEARCH("&lt;",PartList[[#This Row],[ID]]),0),"I",""))</f>
        <v/>
      </c>
      <c r="K796" t="str" cm="1">
        <f t="array" ref="K7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96" t="str" cm="1">
        <f t="array" ref="L7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96" t="str">
        <f>_xlfn.TEXTJOIN("#",TRUE,PartList[[#This Row],[ASSLY MARK]],PartList[[#This Row],[BOX NO]],PartList[[#This Row],[In/Out]],PartList[[#This Row],[O1-Grid]])</f>
        <v>3BE50#Box2#InB</v>
      </c>
      <c r="N796" t="str">
        <f>_xlfn.TEXTJOIN("#",TRUE,PartList[[#This Row],[ASSLY MARK]],PartList[[#This Row],[BOX NO]],PartList[[#This Row],[In/Out]],PartList[[#This Row],[O2-Grid]])</f>
        <v>3BE50#Box2#InB</v>
      </c>
      <c r="O796">
        <f>IF(PartList[[#This Row],[Unique]]="Yes",_xlfn.XLOOKUP(PartList[[#This Row],[ASSLY MARK]],FilteredPL!A:A,FilteredPL!B:B,0,0),0)</f>
        <v>0</v>
      </c>
      <c r="P796">
        <f>_xlfn.XLOOKUP(PartList[[#This Row],[ASSLY MARK]],MasterPL[SplitMarkNo],MasterPL[BILL WT.(KG)],0,0)</f>
        <v>0</v>
      </c>
      <c r="Q796" cm="1">
        <f t="array" ref="Q79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96" t="str">
        <v>6BE94</v>
      </c>
      <c r="AB796" s="42">
        <f>SUMIF(PartList[ASSLY MARK],AA796,PartList[Avail. Qty])</f>
        <v>0</v>
      </c>
    </row>
    <row r="797" spans="1:28" x14ac:dyDescent="0.25">
      <c r="A797">
        <v>409</v>
      </c>
      <c r="B797" t="s">
        <v>261</v>
      </c>
      <c r="C797" t="s">
        <v>520</v>
      </c>
      <c r="D797" t="s">
        <v>224</v>
      </c>
      <c r="E797" t="s">
        <v>5</v>
      </c>
      <c r="F797" t="str" cm="1">
        <f t="array" ref="F797">IF(SUM(IF(PartList[ASSLY MARK]=PartList[[#This Row],[ASSLY MARK]],1,0))&gt;1,"No","Yes")</f>
        <v>Yes</v>
      </c>
      <c r="G797" t="str" cm="1">
        <f t="array" ref="G797">_xlfn.TEXTJOIN("_",TRUE,TRIM(_xlfn.TEXTSPLIT(PartList[[#This Row],[GRID LOCATION]],{"PR01","/","-"})))</f>
        <v>13_A_B</v>
      </c>
      <c r="H797" t="str" cm="1">
        <f t="array" ref="H79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97" cm="1">
        <f t="array" ref="I79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97" t="str">
        <f>IF(IFERROR(SEARCH("&gt;",PartList[[#This Row],[ID]]),0),"O",IF(IFERROR(SEARCH("&lt;",PartList[[#This Row],[ID]]),0),"I",""))</f>
        <v/>
      </c>
      <c r="K797" t="str" cm="1">
        <f t="array" ref="K7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13_A_B</v>
      </c>
      <c r="L797" t="str" cm="1">
        <f t="array" ref="L7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97" t="str">
        <f>_xlfn.TEXTJOIN("#",TRUE,PartList[[#This Row],[ASSLY MARK]],PartList[[#This Row],[BOX NO]],PartList[[#This Row],[In/Out]],PartList[[#This Row],[O1-Grid]])</f>
        <v>3BE51#Box2#13_A_B</v>
      </c>
      <c r="N797" t="str">
        <f>_xlfn.TEXTJOIN("#",TRUE,PartList[[#This Row],[ASSLY MARK]],PartList[[#This Row],[BOX NO]],PartList[[#This Row],[In/Out]],PartList[[#This Row],[O2-Grid]])</f>
        <v>3BE51#Box2#InB</v>
      </c>
      <c r="O797">
        <f>IF(PartList[[#This Row],[Unique]]="Yes",_xlfn.XLOOKUP(PartList[[#This Row],[ASSLY MARK]],FilteredPL!A:A,FilteredPL!B:B,0,0),0)</f>
        <v>0</v>
      </c>
      <c r="P797">
        <f>_xlfn.XLOOKUP(PartList[[#This Row],[ASSLY MARK]],MasterPL[SplitMarkNo],MasterPL[BILL WT.(KG)],0,0)</f>
        <v>0</v>
      </c>
      <c r="Q797" cm="1">
        <f t="array" ref="Q79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97" t="str">
        <v>6BE95</v>
      </c>
      <c r="AB797" s="42">
        <f>SUMIF(PartList[ASSLY MARK],AA797,PartList[Avail. Qty])</f>
        <v>0</v>
      </c>
    </row>
    <row r="798" spans="1:28" x14ac:dyDescent="0.25">
      <c r="A798">
        <v>410</v>
      </c>
      <c r="B798" t="s">
        <v>262</v>
      </c>
      <c r="C798" t="s">
        <v>598</v>
      </c>
      <c r="D798" t="s">
        <v>224</v>
      </c>
      <c r="E798" t="s">
        <v>5</v>
      </c>
      <c r="F798" t="str" cm="1">
        <f t="array" ref="F798">IF(SUM(IF(PartList[ASSLY MARK]=PartList[[#This Row],[ASSLY MARK]],1,0))&gt;1,"No","Yes")</f>
        <v>Yes</v>
      </c>
      <c r="G798" t="str" cm="1">
        <f t="array" ref="G798">_xlfn.TEXTJOIN("_",TRUE,TRIM(_xlfn.TEXTSPLIT(PartList[[#This Row],[GRID LOCATION]],{"PR01","/","-"})))</f>
        <v>13_B&gt;</v>
      </c>
      <c r="H798" t="str" cm="1">
        <f t="array" ref="H79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98" cm="1">
        <f t="array" ref="I79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98" t="str">
        <f>IF(IFERROR(SEARCH("&gt;",PartList[[#This Row],[ID]]),0),"O",IF(IFERROR(SEARCH("&lt;",PartList[[#This Row],[ID]]),0),"I",""))</f>
        <v>O</v>
      </c>
      <c r="K798" t="str" cm="1">
        <f t="array" ref="K7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798" t="str" cm="1">
        <f t="array" ref="L7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798" t="str">
        <f>_xlfn.TEXTJOIN("#",TRUE,PartList[[#This Row],[ASSLY MARK]],PartList[[#This Row],[BOX NO]],PartList[[#This Row],[In/Out]],PartList[[#This Row],[O1-Grid]])</f>
        <v>3BE52#Box2#O</v>
      </c>
      <c r="N798" t="str">
        <f>_xlfn.TEXTJOIN("#",TRUE,PartList[[#This Row],[ASSLY MARK]],PartList[[#This Row],[BOX NO]],PartList[[#This Row],[In/Out]],PartList[[#This Row],[O2-Grid]])</f>
        <v>3BE52#Box2#O</v>
      </c>
      <c r="O798">
        <f>IF(PartList[[#This Row],[Unique]]="Yes",_xlfn.XLOOKUP(PartList[[#This Row],[ASSLY MARK]],FilteredPL!A:A,FilteredPL!B:B,0,0),0)</f>
        <v>0</v>
      </c>
      <c r="P798">
        <f>_xlfn.XLOOKUP(PartList[[#This Row],[ASSLY MARK]],MasterPL[SplitMarkNo],MasterPL[BILL WT.(KG)],0,0)</f>
        <v>0</v>
      </c>
      <c r="Q798" cm="1">
        <f t="array" ref="Q79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98" t="str">
        <v>6BE96</v>
      </c>
      <c r="AB798" s="42">
        <f>SUMIF(PartList[ASSLY MARK],AA798,PartList[Avail. Qty])</f>
        <v>0</v>
      </c>
    </row>
    <row r="799" spans="1:28" x14ac:dyDescent="0.25">
      <c r="A799">
        <v>411</v>
      </c>
      <c r="B799" t="s">
        <v>263</v>
      </c>
      <c r="C799" t="s">
        <v>602</v>
      </c>
      <c r="D799" t="s">
        <v>224</v>
      </c>
      <c r="E799" t="s">
        <v>5</v>
      </c>
      <c r="F799" t="str" cm="1">
        <f t="array" ref="F799">IF(SUM(IF(PartList[ASSLY MARK]=PartList[[#This Row],[ASSLY MARK]],1,0))&gt;1,"No","Yes")</f>
        <v>Yes</v>
      </c>
      <c r="G799" t="str" cm="1">
        <f t="array" ref="G799">_xlfn.TEXTJOIN("_",TRUE,TRIM(_xlfn.TEXTSPLIT(PartList[[#This Row],[GRID LOCATION]],{"PR01","/","-"})))</f>
        <v>13_14_A_B</v>
      </c>
      <c r="H799" t="str" cm="1">
        <f t="array" ref="H79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799" cm="1">
        <f t="array" ref="I79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799" t="str">
        <f>IF(IFERROR(SEARCH("&gt;",PartList[[#This Row],[ID]]),0),"O",IF(IFERROR(SEARCH("&lt;",PartList[[#This Row],[ID]]),0),"I",""))</f>
        <v/>
      </c>
      <c r="K799" t="str" cm="1">
        <f t="array" ref="K7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799" t="str" cm="1">
        <f t="array" ref="L7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799" t="str">
        <f>_xlfn.TEXTJOIN("#",TRUE,PartList[[#This Row],[ASSLY MARK]],PartList[[#This Row],[BOX NO]],PartList[[#This Row],[In/Out]],PartList[[#This Row],[O1-Grid]])</f>
        <v>3BE53#Box2#InB</v>
      </c>
      <c r="N799" t="str">
        <f>_xlfn.TEXTJOIN("#",TRUE,PartList[[#This Row],[ASSLY MARK]],PartList[[#This Row],[BOX NO]],PartList[[#This Row],[In/Out]],PartList[[#This Row],[O2-Grid]])</f>
        <v>3BE53#Box2#InB</v>
      </c>
      <c r="O799">
        <f>IF(PartList[[#This Row],[Unique]]="Yes",_xlfn.XLOOKUP(PartList[[#This Row],[ASSLY MARK]],FilteredPL!A:A,FilteredPL!B:B,0,0),0)</f>
        <v>0</v>
      </c>
      <c r="P799">
        <f>_xlfn.XLOOKUP(PartList[[#This Row],[ASSLY MARK]],MasterPL[SplitMarkNo],MasterPL[BILL WT.(KG)],0,0)</f>
        <v>0</v>
      </c>
      <c r="Q799" cm="1">
        <f t="array" ref="Q79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799" t="str">
        <v>6BE97</v>
      </c>
      <c r="AB799" s="42">
        <f>SUMIF(PartList[ASSLY MARK],AA799,PartList[Avail. Qty])</f>
        <v>0</v>
      </c>
    </row>
    <row r="800" spans="1:28" x14ac:dyDescent="0.25">
      <c r="A800">
        <v>413</v>
      </c>
      <c r="B800" t="s">
        <v>265</v>
      </c>
      <c r="C800" t="s">
        <v>609</v>
      </c>
      <c r="D800" t="s">
        <v>224</v>
      </c>
      <c r="E800" t="s">
        <v>5</v>
      </c>
      <c r="F800" t="str" cm="1">
        <f t="array" ref="F800">IF(SUM(IF(PartList[ASSLY MARK]=PartList[[#This Row],[ASSLY MARK]],1,0))&gt;1,"No","Yes")</f>
        <v>Yes</v>
      </c>
      <c r="G800" t="str" cm="1">
        <f t="array" ref="G800">_xlfn.TEXTJOIN("_",TRUE,TRIM(_xlfn.TEXTSPLIT(PartList[[#This Row],[GRID LOCATION]],{"PR01","/","-"})))</f>
        <v>13_14_A</v>
      </c>
      <c r="H800" t="str" cm="1">
        <f t="array" ref="H80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00" cm="1">
        <f t="array" ref="I80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00" t="str">
        <f>IF(IFERROR(SEARCH("&gt;",PartList[[#This Row],[ID]]),0),"O",IF(IFERROR(SEARCH("&lt;",PartList[[#This Row],[ID]]),0),"I",""))</f>
        <v/>
      </c>
      <c r="K800" t="str" cm="1">
        <f t="array" ref="K8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00" t="str" cm="1">
        <f t="array" ref="L8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13_14_A</v>
      </c>
      <c r="M800" t="str">
        <f>_xlfn.TEXTJOIN("#",TRUE,PartList[[#This Row],[ASSLY MARK]],PartList[[#This Row],[BOX NO]],PartList[[#This Row],[In/Out]],PartList[[#This Row],[O1-Grid]])</f>
        <v>3BE55#Box2#InB</v>
      </c>
      <c r="N800" t="str">
        <f>_xlfn.TEXTJOIN("#",TRUE,PartList[[#This Row],[ASSLY MARK]],PartList[[#This Row],[BOX NO]],PartList[[#This Row],[In/Out]],PartList[[#This Row],[O2-Grid]])</f>
        <v>3BE55#Box2#13_14_A</v>
      </c>
      <c r="O800">
        <f>IF(PartList[[#This Row],[Unique]]="Yes",_xlfn.XLOOKUP(PartList[[#This Row],[ASSLY MARK]],FilteredPL!A:A,FilteredPL!B:B,0,0),0)</f>
        <v>0</v>
      </c>
      <c r="P800">
        <f>_xlfn.XLOOKUP(PartList[[#This Row],[ASSLY MARK]],MasterPL[SplitMarkNo],MasterPL[BILL WT.(KG)],0,0)</f>
        <v>0</v>
      </c>
      <c r="Q800" cm="1">
        <f t="array" ref="Q80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00" t="str">
        <v>6BE98</v>
      </c>
      <c r="AB800" s="42">
        <f>SUMIF(PartList[ASSLY MARK],AA800,PartList[Avail. Qty])</f>
        <v>0</v>
      </c>
    </row>
    <row r="801" spans="1:28" x14ac:dyDescent="0.25">
      <c r="A801">
        <v>414</v>
      </c>
      <c r="B801" t="s">
        <v>266</v>
      </c>
      <c r="C801" t="s">
        <v>602</v>
      </c>
      <c r="D801" t="s">
        <v>224</v>
      </c>
      <c r="E801" t="s">
        <v>5</v>
      </c>
      <c r="F801" t="str" cm="1">
        <f t="array" ref="F801">IF(SUM(IF(PartList[ASSLY MARK]=PartList[[#This Row],[ASSLY MARK]],1,0))&gt;1,"No","Yes")</f>
        <v>Yes</v>
      </c>
      <c r="G801" t="str" cm="1">
        <f t="array" ref="G801">_xlfn.TEXTJOIN("_",TRUE,TRIM(_xlfn.TEXTSPLIT(PartList[[#This Row],[GRID LOCATION]],{"PR01","/","-"})))</f>
        <v>13_14_A_B</v>
      </c>
      <c r="H801" t="str" cm="1">
        <f t="array" ref="H80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01" cm="1">
        <f t="array" ref="I80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01" t="str">
        <f>IF(IFERROR(SEARCH("&gt;",PartList[[#This Row],[ID]]),0),"O",IF(IFERROR(SEARCH("&lt;",PartList[[#This Row],[ID]]),0),"I",""))</f>
        <v/>
      </c>
      <c r="K801" t="str" cm="1">
        <f t="array" ref="K8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01" t="str" cm="1">
        <f t="array" ref="L8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01" t="str">
        <f>_xlfn.TEXTJOIN("#",TRUE,PartList[[#This Row],[ASSLY MARK]],PartList[[#This Row],[BOX NO]],PartList[[#This Row],[In/Out]],PartList[[#This Row],[O1-Grid]])</f>
        <v>3BE56#Box2#InB</v>
      </c>
      <c r="N801" t="str">
        <f>_xlfn.TEXTJOIN("#",TRUE,PartList[[#This Row],[ASSLY MARK]],PartList[[#This Row],[BOX NO]],PartList[[#This Row],[In/Out]],PartList[[#This Row],[O2-Grid]])</f>
        <v>3BE56#Box2#InB</v>
      </c>
      <c r="O801">
        <f>IF(PartList[[#This Row],[Unique]]="Yes",_xlfn.XLOOKUP(PartList[[#This Row],[ASSLY MARK]],FilteredPL!A:A,FilteredPL!B:B,0,0),0)</f>
        <v>0</v>
      </c>
      <c r="P801">
        <f>_xlfn.XLOOKUP(PartList[[#This Row],[ASSLY MARK]],MasterPL[SplitMarkNo],MasterPL[BILL WT.(KG)],0,0)</f>
        <v>0</v>
      </c>
      <c r="Q801" cm="1">
        <f t="array" ref="Q80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01" t="str">
        <v>6BE99</v>
      </c>
      <c r="AB801" s="42">
        <f>SUMIF(PartList[ASSLY MARK],AA801,PartList[Avail. Qty])</f>
        <v>0</v>
      </c>
    </row>
    <row r="802" spans="1:28" x14ac:dyDescent="0.25">
      <c r="A802">
        <v>415</v>
      </c>
      <c r="B802" t="s">
        <v>267</v>
      </c>
      <c r="C802" t="s">
        <v>613</v>
      </c>
      <c r="D802" t="s">
        <v>224</v>
      </c>
      <c r="E802" t="s">
        <v>5</v>
      </c>
      <c r="F802" t="str" cm="1">
        <f t="array" ref="F802">IF(SUM(IF(PartList[ASSLY MARK]=PartList[[#This Row],[ASSLY MARK]],1,0))&gt;1,"No","Yes")</f>
        <v>Yes</v>
      </c>
      <c r="G802" t="str" cm="1">
        <f t="array" ref="G802">_xlfn.TEXTJOIN("_",TRUE,TRIM(_xlfn.TEXTSPLIT(PartList[[#This Row],[GRID LOCATION]],{"PR01","/","-"})))</f>
        <v>13_14_B</v>
      </c>
      <c r="H802" t="str" cm="1">
        <f t="array" ref="H80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02" cm="1">
        <f t="array" ref="I80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02" t="str">
        <f>IF(IFERROR(SEARCH("&gt;",PartList[[#This Row],[ID]]),0),"O",IF(IFERROR(SEARCH("&lt;",PartList[[#This Row],[ID]]),0),"I",""))</f>
        <v/>
      </c>
      <c r="K802" t="str" cm="1">
        <f t="array" ref="K8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02" t="str" cm="1">
        <f t="array" ref="L8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13_14_B</v>
      </c>
      <c r="M802" t="str">
        <f>_xlfn.TEXTJOIN("#",TRUE,PartList[[#This Row],[ASSLY MARK]],PartList[[#This Row],[BOX NO]],PartList[[#This Row],[In/Out]],PartList[[#This Row],[O1-Grid]])</f>
        <v>3BE57#Box2#InB</v>
      </c>
      <c r="N802" t="str">
        <f>_xlfn.TEXTJOIN("#",TRUE,PartList[[#This Row],[ASSLY MARK]],PartList[[#This Row],[BOX NO]],PartList[[#This Row],[In/Out]],PartList[[#This Row],[O2-Grid]])</f>
        <v>3BE57#Box2#13_14_B</v>
      </c>
      <c r="O802">
        <f>IF(PartList[[#This Row],[Unique]]="Yes",_xlfn.XLOOKUP(PartList[[#This Row],[ASSLY MARK]],FilteredPL!A:A,FilteredPL!B:B,0,0),0)</f>
        <v>0</v>
      </c>
      <c r="P802">
        <f>_xlfn.XLOOKUP(PartList[[#This Row],[ASSLY MARK]],MasterPL[SplitMarkNo],MasterPL[BILL WT.(KG)],0,0)</f>
        <v>0</v>
      </c>
      <c r="Q802" cm="1">
        <f t="array" ref="Q80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02" t="str">
        <v>6BE100</v>
      </c>
      <c r="AB802" s="42">
        <f>SUMIF(PartList[ASSLY MARK],AA802,PartList[Avail. Qty])</f>
        <v>0</v>
      </c>
    </row>
    <row r="803" spans="1:28" x14ac:dyDescent="0.25">
      <c r="A803">
        <v>416</v>
      </c>
      <c r="B803" t="s">
        <v>268</v>
      </c>
      <c r="C803" t="s">
        <v>686</v>
      </c>
      <c r="D803" t="s">
        <v>224</v>
      </c>
      <c r="E803" t="s">
        <v>5</v>
      </c>
      <c r="F803" t="str" cm="1">
        <f t="array" ref="F803">IF(SUM(IF(PartList[ASSLY MARK]=PartList[[#This Row],[ASSLY MARK]],1,0))&gt;1,"No","Yes")</f>
        <v>Yes</v>
      </c>
      <c r="G803" t="str" cm="1">
        <f t="array" ref="G803">_xlfn.TEXTJOIN("_",TRUE,TRIM(_xlfn.TEXTSPLIT(PartList[[#This Row],[GRID LOCATION]],{"PR01","/","-"})))</f>
        <v>13_14_B&gt;</v>
      </c>
      <c r="H803" t="str" cm="1">
        <f t="array" ref="H80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03" cm="1">
        <f t="array" ref="I80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03" t="str">
        <f>IF(IFERROR(SEARCH("&gt;",PartList[[#This Row],[ID]]),0),"O",IF(IFERROR(SEARCH("&lt;",PartList[[#This Row],[ID]]),0),"I",""))</f>
        <v>O</v>
      </c>
      <c r="K803" t="str" cm="1">
        <f t="array" ref="K8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803" t="str" cm="1">
        <f t="array" ref="L8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803" t="str">
        <f>_xlfn.TEXTJOIN("#",TRUE,PartList[[#This Row],[ASSLY MARK]],PartList[[#This Row],[BOX NO]],PartList[[#This Row],[In/Out]],PartList[[#This Row],[O1-Grid]])</f>
        <v>3BE58#Box2#O</v>
      </c>
      <c r="N803" t="str">
        <f>_xlfn.TEXTJOIN("#",TRUE,PartList[[#This Row],[ASSLY MARK]],PartList[[#This Row],[BOX NO]],PartList[[#This Row],[In/Out]],PartList[[#This Row],[O2-Grid]])</f>
        <v>3BE58#Box2#O</v>
      </c>
      <c r="O803">
        <f>IF(PartList[[#This Row],[Unique]]="Yes",_xlfn.XLOOKUP(PartList[[#This Row],[ASSLY MARK]],FilteredPL!A:A,FilteredPL!B:B,0,0),0)</f>
        <v>0</v>
      </c>
      <c r="P803">
        <f>_xlfn.XLOOKUP(PartList[[#This Row],[ASSLY MARK]],MasterPL[SplitMarkNo],MasterPL[BILL WT.(KG)],0,0)</f>
        <v>0</v>
      </c>
      <c r="Q803" cm="1">
        <f t="array" ref="Q80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03" t="str">
        <v>6BE101</v>
      </c>
      <c r="AB803" s="42">
        <f>SUMIF(PartList[ASSLY MARK],AA803,PartList[Avail. Qty])</f>
        <v>0</v>
      </c>
    </row>
    <row r="804" spans="1:28" x14ac:dyDescent="0.25">
      <c r="A804">
        <v>426</v>
      </c>
      <c r="B804" t="s">
        <v>730</v>
      </c>
      <c r="C804" t="s">
        <v>547</v>
      </c>
      <c r="D804" t="s">
        <v>731</v>
      </c>
      <c r="E804" t="s">
        <v>8</v>
      </c>
      <c r="F804" t="str" cm="1">
        <f t="array" ref="F804">IF(SUM(IF(PartList[ASSLY MARK]=PartList[[#This Row],[ASSLY MARK]],1,0))&gt;1,"No","Yes")</f>
        <v>Yes</v>
      </c>
      <c r="G804" t="str" cm="1">
        <f t="array" ref="G804">_xlfn.TEXTJOIN("_",TRUE,TRIM(_xlfn.TEXTSPLIT(PartList[[#This Row],[GRID LOCATION]],{"PR01","/","-"})))</f>
        <v>12_13_A_B</v>
      </c>
      <c r="H804" t="str" cm="1">
        <f t="array" ref="H80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04" cm="1">
        <f t="array" ref="I80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04" t="str">
        <f>IF(IFERROR(SEARCH("&gt;",PartList[[#This Row],[ID]]),0),"O",IF(IFERROR(SEARCH("&lt;",PartList[[#This Row],[ID]]),0),"I",""))</f>
        <v/>
      </c>
      <c r="K804" t="str" cm="1">
        <f t="array" ref="K8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04" t="str" cm="1">
        <f t="array" ref="L8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04" t="str">
        <f>_xlfn.TEXTJOIN("#",TRUE,PartList[[#This Row],[ASSLY MARK]],PartList[[#This Row],[BOX NO]],PartList[[#This Row],[In/Out]],PartList[[#This Row],[O1-Grid]])</f>
        <v>3HA01#Box2#InB</v>
      </c>
      <c r="N804" t="str">
        <f>_xlfn.TEXTJOIN("#",TRUE,PartList[[#This Row],[ASSLY MARK]],PartList[[#This Row],[BOX NO]],PartList[[#This Row],[In/Out]],PartList[[#This Row],[O2-Grid]])</f>
        <v>3HA01#Box2#InB</v>
      </c>
      <c r="O804">
        <f>IF(PartList[[#This Row],[Unique]]="Yes",_xlfn.XLOOKUP(PartList[[#This Row],[ASSLY MARK]],FilteredPL!A:A,FilteredPL!B:B,0,0),0)</f>
        <v>0</v>
      </c>
      <c r="P804">
        <f>_xlfn.XLOOKUP(PartList[[#This Row],[ASSLY MARK]],MasterPL[SplitMarkNo],MasterPL[BILL WT.(KG)],0,0)</f>
        <v>0</v>
      </c>
      <c r="Q804" cm="1">
        <f t="array" ref="Q80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04" t="str">
        <v>6BE102</v>
      </c>
      <c r="AB804" s="42">
        <f>SUMIF(PartList[ASSLY MARK],AA804,PartList[Avail. Qty])</f>
        <v>0</v>
      </c>
    </row>
    <row r="805" spans="1:28" x14ac:dyDescent="0.25">
      <c r="A805">
        <v>427</v>
      </c>
      <c r="B805" t="s">
        <v>732</v>
      </c>
      <c r="C805" t="s">
        <v>547</v>
      </c>
      <c r="D805" t="s">
        <v>731</v>
      </c>
      <c r="E805" t="s">
        <v>8</v>
      </c>
      <c r="F805" t="str" cm="1">
        <f t="array" ref="F805">IF(SUM(IF(PartList[ASSLY MARK]=PartList[[#This Row],[ASSLY MARK]],1,0))&gt;1,"No","Yes")</f>
        <v>Yes</v>
      </c>
      <c r="G805" t="str" cm="1">
        <f t="array" ref="G805">_xlfn.TEXTJOIN("_",TRUE,TRIM(_xlfn.TEXTSPLIT(PartList[[#This Row],[GRID LOCATION]],{"PR01","/","-"})))</f>
        <v>12_13_A_B</v>
      </c>
      <c r="H805" t="str" cm="1">
        <f t="array" ref="H80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05" cm="1">
        <f t="array" ref="I80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05" t="str">
        <f>IF(IFERROR(SEARCH("&gt;",PartList[[#This Row],[ID]]),0),"O",IF(IFERROR(SEARCH("&lt;",PartList[[#This Row],[ID]]),0),"I",""))</f>
        <v/>
      </c>
      <c r="K805" t="str" cm="1">
        <f t="array" ref="K8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05" t="str" cm="1">
        <f t="array" ref="L8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05" t="str">
        <f>_xlfn.TEXTJOIN("#",TRUE,PartList[[#This Row],[ASSLY MARK]],PartList[[#This Row],[BOX NO]],PartList[[#This Row],[In/Out]],PartList[[#This Row],[O1-Grid]])</f>
        <v>3HA02#Box2#InB</v>
      </c>
      <c r="N805" t="str">
        <f>_xlfn.TEXTJOIN("#",TRUE,PartList[[#This Row],[ASSLY MARK]],PartList[[#This Row],[BOX NO]],PartList[[#This Row],[In/Out]],PartList[[#This Row],[O2-Grid]])</f>
        <v>3HA02#Box2#InB</v>
      </c>
      <c r="O805">
        <f>IF(PartList[[#This Row],[Unique]]="Yes",_xlfn.XLOOKUP(PartList[[#This Row],[ASSLY MARK]],FilteredPL!A:A,FilteredPL!B:B,0,0),0)</f>
        <v>0</v>
      </c>
      <c r="P805">
        <f>_xlfn.XLOOKUP(PartList[[#This Row],[ASSLY MARK]],MasterPL[SplitMarkNo],MasterPL[BILL WT.(KG)],0,0)</f>
        <v>0</v>
      </c>
      <c r="Q805" cm="1">
        <f t="array" ref="Q80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05" t="str">
        <v>6BE103</v>
      </c>
      <c r="AB805" s="42">
        <f>SUMIF(PartList[ASSLY MARK],AA805,PartList[Avail. Qty])</f>
        <v>0</v>
      </c>
    </row>
    <row r="806" spans="1:28" x14ac:dyDescent="0.25">
      <c r="A806">
        <v>450</v>
      </c>
      <c r="B806" t="s">
        <v>287</v>
      </c>
      <c r="C806" t="s">
        <v>547</v>
      </c>
      <c r="D806" t="s">
        <v>726</v>
      </c>
      <c r="E806" t="s">
        <v>6</v>
      </c>
      <c r="F806" t="str" cm="1">
        <f t="array" ref="F806">IF(SUM(IF(PartList[ASSLY MARK]=PartList[[#This Row],[ASSLY MARK]],1,0))&gt;1,"No","Yes")</f>
        <v>No</v>
      </c>
      <c r="G806" t="str" cm="1">
        <f t="array" ref="G806">_xlfn.TEXTJOIN("_",TRUE,TRIM(_xlfn.TEXTSPLIT(PartList[[#This Row],[GRID LOCATION]],{"PR01","/","-"})))</f>
        <v>12_13_A_B</v>
      </c>
      <c r="H806" t="str" cm="1">
        <f t="array" ref="H80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06" cm="1">
        <f t="array" ref="I80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06" t="str">
        <f>IF(IFERROR(SEARCH("&gt;",PartList[[#This Row],[ID]]),0),"O",IF(IFERROR(SEARCH("&lt;",PartList[[#This Row],[ID]]),0),"I",""))</f>
        <v/>
      </c>
      <c r="K806" t="str" cm="1">
        <f t="array" ref="K8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06" t="str" cm="1">
        <f t="array" ref="L8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06" t="str">
        <f>_xlfn.TEXTJOIN("#",TRUE,PartList[[#This Row],[ASSLY MARK]],PartList[[#This Row],[BOX NO]],PartList[[#This Row],[In/Out]],PartList[[#This Row],[O1-Grid]])</f>
        <v>3HB11#Box2#InB</v>
      </c>
      <c r="N806" t="str">
        <f>_xlfn.TEXTJOIN("#",TRUE,PartList[[#This Row],[ASSLY MARK]],PartList[[#This Row],[BOX NO]],PartList[[#This Row],[In/Out]],PartList[[#This Row],[O2-Grid]])</f>
        <v>3HB11#Box2#InB</v>
      </c>
      <c r="O806">
        <f>IF(PartList[[#This Row],[Unique]]="Yes",_xlfn.XLOOKUP(PartList[[#This Row],[ASSLY MARK]],FilteredPL!A:A,FilteredPL!B:B,0,0),0)</f>
        <v>0</v>
      </c>
      <c r="P806">
        <f>_xlfn.XLOOKUP(PartList[[#This Row],[ASSLY MARK]],MasterPL[SplitMarkNo],MasterPL[BILL WT.(KG)],0,0)</f>
        <v>0</v>
      </c>
      <c r="Q806" cm="1">
        <f t="array" ref="Q80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06" t="str">
        <v>6BE104</v>
      </c>
      <c r="AB806" s="42">
        <f>SUMIF(PartList[ASSLY MARK],AA806,PartList[Avail. Qty])</f>
        <v>0</v>
      </c>
    </row>
    <row r="807" spans="1:28" x14ac:dyDescent="0.25">
      <c r="A807">
        <v>457</v>
      </c>
      <c r="B807" t="s">
        <v>294</v>
      </c>
      <c r="C807" t="s">
        <v>547</v>
      </c>
      <c r="D807" t="s">
        <v>726</v>
      </c>
      <c r="E807" t="s">
        <v>6</v>
      </c>
      <c r="F807" t="str" cm="1">
        <f t="array" ref="F807">IF(SUM(IF(PartList[ASSLY MARK]=PartList[[#This Row],[ASSLY MARK]],1,0))&gt;1,"No","Yes")</f>
        <v>No</v>
      </c>
      <c r="G807" t="str" cm="1">
        <f t="array" ref="G807">_xlfn.TEXTJOIN("_",TRUE,TRIM(_xlfn.TEXTSPLIT(PartList[[#This Row],[GRID LOCATION]],{"PR01","/","-"})))</f>
        <v>12_13_A_B</v>
      </c>
      <c r="H807" t="str" cm="1">
        <f t="array" ref="H80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07" cm="1">
        <f t="array" ref="I80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07" t="str">
        <f>IF(IFERROR(SEARCH("&gt;",PartList[[#This Row],[ID]]),0),"O",IF(IFERROR(SEARCH("&lt;",PartList[[#This Row],[ID]]),0),"I",""))</f>
        <v/>
      </c>
      <c r="K807" t="str" cm="1">
        <f t="array" ref="K8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07" t="str" cm="1">
        <f t="array" ref="L8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07" t="str">
        <f>_xlfn.TEXTJOIN("#",TRUE,PartList[[#This Row],[ASSLY MARK]],PartList[[#This Row],[BOX NO]],PartList[[#This Row],[In/Out]],PartList[[#This Row],[O1-Grid]])</f>
        <v>3HB18#Box2#InB</v>
      </c>
      <c r="N807" t="str">
        <f>_xlfn.TEXTJOIN("#",TRUE,PartList[[#This Row],[ASSLY MARK]],PartList[[#This Row],[BOX NO]],PartList[[#This Row],[In/Out]],PartList[[#This Row],[O2-Grid]])</f>
        <v>3HB18#Box2#InB</v>
      </c>
      <c r="O807">
        <f>IF(PartList[[#This Row],[Unique]]="Yes",_xlfn.XLOOKUP(PartList[[#This Row],[ASSLY MARK]],FilteredPL!A:A,FilteredPL!B:B,0,0),0)</f>
        <v>0</v>
      </c>
      <c r="P807">
        <f>_xlfn.XLOOKUP(PartList[[#This Row],[ASSLY MARK]],MasterPL[SplitMarkNo],MasterPL[BILL WT.(KG)],0,0)</f>
        <v>0</v>
      </c>
      <c r="Q807" cm="1">
        <f t="array" ref="Q80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07" t="str">
        <v>6BE106</v>
      </c>
      <c r="AB807" s="42">
        <f>SUMIF(PartList[ASSLY MARK],AA807,PartList[Avail. Qty])</f>
        <v>0</v>
      </c>
    </row>
    <row r="808" spans="1:28" x14ac:dyDescent="0.25">
      <c r="A808">
        <v>458</v>
      </c>
      <c r="B808" t="s">
        <v>294</v>
      </c>
      <c r="C808" t="s">
        <v>547</v>
      </c>
      <c r="D808" t="s">
        <v>726</v>
      </c>
      <c r="E808" t="s">
        <v>6</v>
      </c>
      <c r="F808" t="str" cm="1">
        <f t="array" ref="F808">IF(SUM(IF(PartList[ASSLY MARK]=PartList[[#This Row],[ASSLY MARK]],1,0))&gt;1,"No","Yes")</f>
        <v>No</v>
      </c>
      <c r="G808" t="str" cm="1">
        <f t="array" ref="G808">_xlfn.TEXTJOIN("_",TRUE,TRIM(_xlfn.TEXTSPLIT(PartList[[#This Row],[GRID LOCATION]],{"PR01","/","-"})))</f>
        <v>12_13_A_B</v>
      </c>
      <c r="H808" t="str" cm="1">
        <f t="array" ref="H80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08" cm="1">
        <f t="array" ref="I80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08" t="str">
        <f>IF(IFERROR(SEARCH("&gt;",PartList[[#This Row],[ID]]),0),"O",IF(IFERROR(SEARCH("&lt;",PartList[[#This Row],[ID]]),0),"I",""))</f>
        <v/>
      </c>
      <c r="K808" t="str" cm="1">
        <f t="array" ref="K8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08" t="str" cm="1">
        <f t="array" ref="L8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08" t="str">
        <f>_xlfn.TEXTJOIN("#",TRUE,PartList[[#This Row],[ASSLY MARK]],PartList[[#This Row],[BOX NO]],PartList[[#This Row],[In/Out]],PartList[[#This Row],[O1-Grid]])</f>
        <v>3HB18#Box2#InB</v>
      </c>
      <c r="N808" t="str">
        <f>_xlfn.TEXTJOIN("#",TRUE,PartList[[#This Row],[ASSLY MARK]],PartList[[#This Row],[BOX NO]],PartList[[#This Row],[In/Out]],PartList[[#This Row],[O2-Grid]])</f>
        <v>3HB18#Box2#InB</v>
      </c>
      <c r="O808">
        <f>IF(PartList[[#This Row],[Unique]]="Yes",_xlfn.XLOOKUP(PartList[[#This Row],[ASSLY MARK]],FilteredPL!A:A,FilteredPL!B:B,0,0),0)</f>
        <v>0</v>
      </c>
      <c r="P808">
        <f>_xlfn.XLOOKUP(PartList[[#This Row],[ASSLY MARK]],MasterPL[SplitMarkNo],MasterPL[BILL WT.(KG)],0,0)</f>
        <v>0</v>
      </c>
      <c r="Q808" cm="1">
        <f t="array" ref="Q80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08" t="str">
        <v>6BE107</v>
      </c>
      <c r="AB808" s="42">
        <f>SUMIF(PartList[ASSLY MARK],AA808,PartList[Avail. Qty])</f>
        <v>0</v>
      </c>
    </row>
    <row r="809" spans="1:28" x14ac:dyDescent="0.25">
      <c r="A809">
        <v>470</v>
      </c>
      <c r="B809" t="s">
        <v>738</v>
      </c>
      <c r="C809" t="s">
        <v>538</v>
      </c>
      <c r="D809" t="s">
        <v>353</v>
      </c>
      <c r="E809" t="s">
        <v>645</v>
      </c>
      <c r="F809" t="str" cm="1">
        <f t="array" ref="F809">IF(SUM(IF(PartList[ASSLY MARK]=PartList[[#This Row],[ASSLY MARK]],1,0))&gt;1,"No","Yes")</f>
        <v>Yes</v>
      </c>
      <c r="G809" t="str" cm="1">
        <f t="array" ref="G809">_xlfn.TEXTJOIN("_",TRUE,TRIM(_xlfn.TEXTSPLIT(PartList[[#This Row],[GRID LOCATION]],{"PR01","/","-"})))</f>
        <v>12_A'_A</v>
      </c>
      <c r="H809" t="str" cm="1">
        <f t="array" ref="H80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809" cm="1">
        <f t="array" ref="I80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09" t="str">
        <f>IF(IFERROR(SEARCH("&gt;",PartList[[#This Row],[ID]]),0),"O",IF(IFERROR(SEARCH("&lt;",PartList[[#This Row],[ID]]),0),"I",""))</f>
        <v/>
      </c>
      <c r="K809" t="str" cm="1">
        <f t="array" ref="K8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09" t="str" cm="1">
        <f t="array" ref="L8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09" t="str">
        <f>_xlfn.TEXTJOIN("#",TRUE,PartList[[#This Row],[ASSLY MARK]],PartList[[#This Row],[BOX NO]],PartList[[#This Row],[In/Out]],PartList[[#This Row],[O1-Grid]])</f>
        <v>3SC08#Box2_Box5#InBB</v>
      </c>
      <c r="N809" t="str">
        <f>_xlfn.TEXTJOIN("#",TRUE,PartList[[#This Row],[ASSLY MARK]],PartList[[#This Row],[BOX NO]],PartList[[#This Row],[In/Out]],PartList[[#This Row],[O2-Grid]])</f>
        <v>3SC08#Box2_Box5#InBB</v>
      </c>
      <c r="O809">
        <f>IF(PartList[[#This Row],[Unique]]="Yes",_xlfn.XLOOKUP(PartList[[#This Row],[ASSLY MARK]],FilteredPL!A:A,FilteredPL!B:B,0,0),0)</f>
        <v>0</v>
      </c>
      <c r="P809">
        <f>_xlfn.XLOOKUP(PartList[[#This Row],[ASSLY MARK]],MasterPL[SplitMarkNo],MasterPL[BILL WT.(KG)],0,0)</f>
        <v>0</v>
      </c>
      <c r="Q809" cm="1">
        <f t="array" ref="Q80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09" t="str">
        <v>6HB45</v>
      </c>
      <c r="AB809" s="42">
        <f>SUMIF(PartList[ASSLY MARK],AA809,PartList[Avail. Qty])</f>
        <v>0</v>
      </c>
    </row>
    <row r="810" spans="1:28" x14ac:dyDescent="0.25">
      <c r="A810">
        <v>471</v>
      </c>
      <c r="B810" t="s">
        <v>739</v>
      </c>
      <c r="C810" t="s">
        <v>518</v>
      </c>
      <c r="D810" t="s">
        <v>736</v>
      </c>
      <c r="E810" t="s">
        <v>645</v>
      </c>
      <c r="F810" t="str" cm="1">
        <f t="array" ref="F810">IF(SUM(IF(PartList[ASSLY MARK]=PartList[[#This Row],[ASSLY MARK]],1,0))&gt;1,"No","Yes")</f>
        <v>Yes</v>
      </c>
      <c r="G810" t="str" cm="1">
        <f t="array" ref="G810">_xlfn.TEXTJOIN("_",TRUE,TRIM(_xlfn.TEXTSPLIT(PartList[[#This Row],[GRID LOCATION]],{"PR01","/","-"})))</f>
        <v>12_A_B</v>
      </c>
      <c r="H810" t="str" cm="1">
        <f t="array" ref="H81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10" cm="1">
        <f t="array" ref="I81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10" t="str">
        <f>IF(IFERROR(SEARCH("&gt;",PartList[[#This Row],[ID]]),0),"O",IF(IFERROR(SEARCH("&lt;",PartList[[#This Row],[ID]]),0),"I",""))</f>
        <v/>
      </c>
      <c r="K810" t="str" cm="1">
        <f t="array" ref="K8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12_A_B</v>
      </c>
      <c r="L810" t="str" cm="1">
        <f t="array" ref="L8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10" t="str">
        <f>_xlfn.TEXTJOIN("#",TRUE,PartList[[#This Row],[ASSLY MARK]],PartList[[#This Row],[BOX NO]],PartList[[#This Row],[In/Out]],PartList[[#This Row],[O1-Grid]])</f>
        <v>3SC09#Box2#12_A_B</v>
      </c>
      <c r="N810" t="str">
        <f>_xlfn.TEXTJOIN("#",TRUE,PartList[[#This Row],[ASSLY MARK]],PartList[[#This Row],[BOX NO]],PartList[[#This Row],[In/Out]],PartList[[#This Row],[O2-Grid]])</f>
        <v>3SC09#Box2#InB</v>
      </c>
      <c r="O810">
        <f>IF(PartList[[#This Row],[Unique]]="Yes",_xlfn.XLOOKUP(PartList[[#This Row],[ASSLY MARK]],FilteredPL!A:A,FilteredPL!B:B,0,0),0)</f>
        <v>0</v>
      </c>
      <c r="P810">
        <f>_xlfn.XLOOKUP(PartList[[#This Row],[ASSLY MARK]],MasterPL[SplitMarkNo],MasterPL[BILL WT.(KG)],0,0)</f>
        <v>0</v>
      </c>
      <c r="Q810" cm="1">
        <f t="array" ref="Q81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10" t="str">
        <v>6HB46</v>
      </c>
      <c r="AB810" s="42">
        <f>SUMIF(PartList[ASSLY MARK],AA810,PartList[Avail. Qty])</f>
        <v>0</v>
      </c>
    </row>
    <row r="811" spans="1:28" x14ac:dyDescent="0.25">
      <c r="A811">
        <v>472</v>
      </c>
      <c r="B811" t="s">
        <v>740</v>
      </c>
      <c r="C811" t="s">
        <v>556</v>
      </c>
      <c r="D811" t="s">
        <v>741</v>
      </c>
      <c r="E811" t="s">
        <v>645</v>
      </c>
      <c r="F811" t="str" cm="1">
        <f t="array" ref="F811">IF(SUM(IF(PartList[ASSLY MARK]=PartList[[#This Row],[ASSLY MARK]],1,0))&gt;1,"No","Yes")</f>
        <v>Yes</v>
      </c>
      <c r="G811" t="str" cm="1">
        <f t="array" ref="G811">_xlfn.TEXTJOIN("_",TRUE,TRIM(_xlfn.TEXTSPLIT(PartList[[#This Row],[GRID LOCATION]],{"PR01","/","-"})))</f>
        <v>12_13_B</v>
      </c>
      <c r="H811" t="str" cm="1">
        <f t="array" ref="H81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11" cm="1">
        <f t="array" ref="I81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11" t="str">
        <f>IF(IFERROR(SEARCH("&gt;",PartList[[#This Row],[ID]]),0),"O",IF(IFERROR(SEARCH("&lt;",PartList[[#This Row],[ID]]),0),"I",""))</f>
        <v/>
      </c>
      <c r="K811" t="str" cm="1">
        <f t="array" ref="K8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11" t="str" cm="1">
        <f t="array" ref="L8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811" t="str">
        <f>_xlfn.TEXTJOIN("#",TRUE,PartList[[#This Row],[ASSLY MARK]],PartList[[#This Row],[BOX NO]],PartList[[#This Row],[In/Out]],PartList[[#This Row],[O1-Grid]])</f>
        <v>3SC10#Box2#InB</v>
      </c>
      <c r="N811" t="str">
        <f>_xlfn.TEXTJOIN("#",TRUE,PartList[[#This Row],[ASSLY MARK]],PartList[[#This Row],[BOX NO]],PartList[[#This Row],[In/Out]],PartList[[#This Row],[O2-Grid]])</f>
        <v>3SC10#Box2#12_13_B</v>
      </c>
      <c r="O811">
        <f>IF(PartList[[#This Row],[Unique]]="Yes",_xlfn.XLOOKUP(PartList[[#This Row],[ASSLY MARK]],FilteredPL!A:A,FilteredPL!B:B,0,0),0)</f>
        <v>0</v>
      </c>
      <c r="P811">
        <f>_xlfn.XLOOKUP(PartList[[#This Row],[ASSLY MARK]],MasterPL[SplitMarkNo],MasterPL[BILL WT.(KG)],0,0)</f>
        <v>0</v>
      </c>
      <c r="Q811" cm="1">
        <f t="array" ref="Q81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11" t="str">
        <v>6HB47</v>
      </c>
      <c r="AB811" s="42">
        <f>SUMIF(PartList[ASSLY MARK],AA811,PartList[Avail. Qty])</f>
        <v>0</v>
      </c>
    </row>
    <row r="812" spans="1:28" x14ac:dyDescent="0.25">
      <c r="A812">
        <v>473</v>
      </c>
      <c r="B812" t="s">
        <v>742</v>
      </c>
      <c r="C812" t="s">
        <v>561</v>
      </c>
      <c r="D812" t="s">
        <v>743</v>
      </c>
      <c r="E812" t="s">
        <v>645</v>
      </c>
      <c r="F812" t="str" cm="1">
        <f t="array" ref="F812">IF(SUM(IF(PartList[ASSLY MARK]=PartList[[#This Row],[ASSLY MARK]],1,0))&gt;1,"No","Yes")</f>
        <v>Yes</v>
      </c>
      <c r="G812" t="str" cm="1">
        <f t="array" ref="G812">_xlfn.TEXTJOIN("_",TRUE,TRIM(_xlfn.TEXTSPLIT(PartList[[#This Row],[GRID LOCATION]],{"PR01","/","-"})))</f>
        <v>12_13_B&gt;</v>
      </c>
      <c r="H812" t="str" cm="1">
        <f t="array" ref="H81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12" cm="1">
        <f t="array" ref="I81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12" t="str">
        <f>IF(IFERROR(SEARCH("&gt;",PartList[[#This Row],[ID]]),0),"O",IF(IFERROR(SEARCH("&lt;",PartList[[#This Row],[ID]]),0),"I",""))</f>
        <v>O</v>
      </c>
      <c r="K812" t="str" cm="1">
        <f t="array" ref="K8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812" t="str" cm="1">
        <f t="array" ref="L8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812" t="str">
        <f>_xlfn.TEXTJOIN("#",TRUE,PartList[[#This Row],[ASSLY MARK]],PartList[[#This Row],[BOX NO]],PartList[[#This Row],[In/Out]],PartList[[#This Row],[O1-Grid]])</f>
        <v>3SC11#Box2#O</v>
      </c>
      <c r="N812" t="str">
        <f>_xlfn.TEXTJOIN("#",TRUE,PartList[[#This Row],[ASSLY MARK]],PartList[[#This Row],[BOX NO]],PartList[[#This Row],[In/Out]],PartList[[#This Row],[O2-Grid]])</f>
        <v>3SC11#Box2#O</v>
      </c>
      <c r="O812">
        <f>IF(PartList[[#This Row],[Unique]]="Yes",_xlfn.XLOOKUP(PartList[[#This Row],[ASSLY MARK]],FilteredPL!A:A,FilteredPL!B:B,0,0),0)</f>
        <v>0</v>
      </c>
      <c r="P812">
        <f>_xlfn.XLOOKUP(PartList[[#This Row],[ASSLY MARK]],MasterPL[SplitMarkNo],MasterPL[BILL WT.(KG)],0,0)</f>
        <v>0</v>
      </c>
      <c r="Q812" cm="1">
        <f t="array" ref="Q81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12" t="str">
        <v>6HB48</v>
      </c>
      <c r="AB812" s="42">
        <f>SUMIF(PartList[ASSLY MARK],AA812,PartList[Avail. Qty])</f>
        <v>0</v>
      </c>
    </row>
    <row r="813" spans="1:28" x14ac:dyDescent="0.25">
      <c r="A813">
        <v>474</v>
      </c>
      <c r="B813" t="s">
        <v>744</v>
      </c>
      <c r="C813" t="s">
        <v>554</v>
      </c>
      <c r="D813" t="s">
        <v>745</v>
      </c>
      <c r="E813" t="s">
        <v>645</v>
      </c>
      <c r="F813" t="str" cm="1">
        <f t="array" ref="F813">IF(SUM(IF(PartList[ASSLY MARK]=PartList[[#This Row],[ASSLY MARK]],1,0))&gt;1,"No","Yes")</f>
        <v>Yes</v>
      </c>
      <c r="G813" t="str" cm="1">
        <f t="array" ref="G813">_xlfn.TEXTJOIN("_",TRUE,TRIM(_xlfn.TEXTSPLIT(PartList[[#This Row],[GRID LOCATION]],{"PR01","/","-"})))</f>
        <v>12_13_A</v>
      </c>
      <c r="H813" t="str" cm="1">
        <f t="array" ref="H81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13" cm="1">
        <f t="array" ref="I81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13" t="str">
        <f>IF(IFERROR(SEARCH("&gt;",PartList[[#This Row],[ID]]),0),"O",IF(IFERROR(SEARCH("&lt;",PartList[[#This Row],[ID]]),0),"I",""))</f>
        <v/>
      </c>
      <c r="K813" t="str" cm="1">
        <f t="array" ref="K8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13" t="str" cm="1">
        <f t="array" ref="L8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813" t="str">
        <f>_xlfn.TEXTJOIN("#",TRUE,PartList[[#This Row],[ASSLY MARK]],PartList[[#This Row],[BOX NO]],PartList[[#This Row],[In/Out]],PartList[[#This Row],[O1-Grid]])</f>
        <v>3SC12#Box2#InB</v>
      </c>
      <c r="N813" t="str">
        <f>_xlfn.TEXTJOIN("#",TRUE,PartList[[#This Row],[ASSLY MARK]],PartList[[#This Row],[BOX NO]],PartList[[#This Row],[In/Out]],PartList[[#This Row],[O2-Grid]])</f>
        <v>3SC12#Box2#12_13_A</v>
      </c>
      <c r="O813">
        <f>IF(PartList[[#This Row],[Unique]]="Yes",_xlfn.XLOOKUP(PartList[[#This Row],[ASSLY MARK]],FilteredPL!A:A,FilteredPL!B:B,0,0),0)</f>
        <v>0</v>
      </c>
      <c r="P813">
        <f>_xlfn.XLOOKUP(PartList[[#This Row],[ASSLY MARK]],MasterPL[SplitMarkNo],MasterPL[BILL WT.(KG)],0,0)</f>
        <v>0</v>
      </c>
      <c r="Q813" cm="1">
        <f t="array" ref="Q81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13" t="str">
        <v>6HB49</v>
      </c>
      <c r="AB813" s="42">
        <f>SUMIF(PartList[ASSLY MARK],AA813,PartList[Avail. Qty])</f>
        <v>0</v>
      </c>
    </row>
    <row r="814" spans="1:28" x14ac:dyDescent="0.25">
      <c r="A814">
        <v>475</v>
      </c>
      <c r="B814" t="s">
        <v>746</v>
      </c>
      <c r="C814" t="s">
        <v>520</v>
      </c>
      <c r="D814" t="s">
        <v>736</v>
      </c>
      <c r="E814" t="s">
        <v>645</v>
      </c>
      <c r="F814" t="str" cm="1">
        <f t="array" ref="F814">IF(SUM(IF(PartList[ASSLY MARK]=PartList[[#This Row],[ASSLY MARK]],1,0))&gt;1,"No","Yes")</f>
        <v>Yes</v>
      </c>
      <c r="G814" t="str" cm="1">
        <f t="array" ref="G814">_xlfn.TEXTJOIN("_",TRUE,TRIM(_xlfn.TEXTSPLIT(PartList[[#This Row],[GRID LOCATION]],{"PR01","/","-"})))</f>
        <v>13_A_B</v>
      </c>
      <c r="H814" t="str" cm="1">
        <f t="array" ref="H81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14" cm="1">
        <f t="array" ref="I81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14" t="str">
        <f>IF(IFERROR(SEARCH("&gt;",PartList[[#This Row],[ID]]),0),"O",IF(IFERROR(SEARCH("&lt;",PartList[[#This Row],[ID]]),0),"I",""))</f>
        <v/>
      </c>
      <c r="K814" t="str" cm="1">
        <f t="array" ref="K8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13_A_B</v>
      </c>
      <c r="L814" t="str" cm="1">
        <f t="array" ref="L8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14" t="str">
        <f>_xlfn.TEXTJOIN("#",TRUE,PartList[[#This Row],[ASSLY MARK]],PartList[[#This Row],[BOX NO]],PartList[[#This Row],[In/Out]],PartList[[#This Row],[O1-Grid]])</f>
        <v>3SC13#Box2#13_A_B</v>
      </c>
      <c r="N814" t="str">
        <f>_xlfn.TEXTJOIN("#",TRUE,PartList[[#This Row],[ASSLY MARK]],PartList[[#This Row],[BOX NO]],PartList[[#This Row],[In/Out]],PartList[[#This Row],[O2-Grid]])</f>
        <v>3SC13#Box2#InB</v>
      </c>
      <c r="O814">
        <f>IF(PartList[[#This Row],[Unique]]="Yes",_xlfn.XLOOKUP(PartList[[#This Row],[ASSLY MARK]],FilteredPL!A:A,FilteredPL!B:B,0,0),0)</f>
        <v>0</v>
      </c>
      <c r="P814">
        <f>_xlfn.XLOOKUP(PartList[[#This Row],[ASSLY MARK]],MasterPL[SplitMarkNo],MasterPL[BILL WT.(KG)],0,0)</f>
        <v>0</v>
      </c>
      <c r="Q814" cm="1">
        <f t="array" ref="Q81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14" t="str">
        <v>6HB50</v>
      </c>
      <c r="AB814" s="42">
        <f>SUMIF(PartList[ASSLY MARK],AA814,PartList[Avail. Qty])</f>
        <v>0</v>
      </c>
    </row>
    <row r="815" spans="1:28" x14ac:dyDescent="0.25">
      <c r="A815">
        <v>476</v>
      </c>
      <c r="B815" t="s">
        <v>747</v>
      </c>
      <c r="C815" t="s">
        <v>602</v>
      </c>
      <c r="D815" t="s">
        <v>307</v>
      </c>
      <c r="E815" t="s">
        <v>645</v>
      </c>
      <c r="F815" t="str" cm="1">
        <f t="array" ref="F815">IF(SUM(IF(PartList[ASSLY MARK]=PartList[[#This Row],[ASSLY MARK]],1,0))&gt;1,"No","Yes")</f>
        <v>Yes</v>
      </c>
      <c r="G815" t="str" cm="1">
        <f t="array" ref="G815">_xlfn.TEXTJOIN("_",TRUE,TRIM(_xlfn.TEXTSPLIT(PartList[[#This Row],[GRID LOCATION]],{"PR01","/","-"})))</f>
        <v>13_14_A_B</v>
      </c>
      <c r="H815" t="str" cm="1">
        <f t="array" ref="H81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15" cm="1">
        <f t="array" ref="I81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15" t="str">
        <f>IF(IFERROR(SEARCH("&gt;",PartList[[#This Row],[ID]]),0),"O",IF(IFERROR(SEARCH("&lt;",PartList[[#This Row],[ID]]),0),"I",""))</f>
        <v/>
      </c>
      <c r="K815" t="str" cm="1">
        <f t="array" ref="K8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15" t="str" cm="1">
        <f t="array" ref="L8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15" t="str">
        <f>_xlfn.TEXTJOIN("#",TRUE,PartList[[#This Row],[ASSLY MARK]],PartList[[#This Row],[BOX NO]],PartList[[#This Row],[In/Out]],PartList[[#This Row],[O1-Grid]])</f>
        <v>3SC14#Box2#InB</v>
      </c>
      <c r="N815" t="str">
        <f>_xlfn.TEXTJOIN("#",TRUE,PartList[[#This Row],[ASSLY MARK]],PartList[[#This Row],[BOX NO]],PartList[[#This Row],[In/Out]],PartList[[#This Row],[O2-Grid]])</f>
        <v>3SC14#Box2#InB</v>
      </c>
      <c r="O815">
        <f>IF(PartList[[#This Row],[Unique]]="Yes",_xlfn.XLOOKUP(PartList[[#This Row],[ASSLY MARK]],FilteredPL!A:A,FilteredPL!B:B,0,0),0)</f>
        <v>0</v>
      </c>
      <c r="P815">
        <f>_xlfn.XLOOKUP(PartList[[#This Row],[ASSLY MARK]],MasterPL[SplitMarkNo],MasterPL[BILL WT.(KG)],0,0)</f>
        <v>0</v>
      </c>
      <c r="Q815" cm="1">
        <f t="array" ref="Q81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15" t="str">
        <v>6HB51</v>
      </c>
      <c r="AB815" s="42">
        <f>SUMIF(PartList[ASSLY MARK],AA815,PartList[Avail. Qty])</f>
        <v>0</v>
      </c>
    </row>
    <row r="816" spans="1:28" x14ac:dyDescent="0.25">
      <c r="A816">
        <v>490</v>
      </c>
      <c r="B816" t="s">
        <v>316</v>
      </c>
      <c r="C816" t="s">
        <v>518</v>
      </c>
      <c r="D816" t="s">
        <v>753</v>
      </c>
      <c r="E816" t="s">
        <v>5</v>
      </c>
      <c r="F816" t="str" cm="1">
        <f t="array" ref="F816">IF(SUM(IF(PartList[ASSLY MARK]=PartList[[#This Row],[ASSLY MARK]],1,0))&gt;1,"No","Yes")</f>
        <v>Yes</v>
      </c>
      <c r="G816" t="str" cm="1">
        <f t="array" ref="G816">_xlfn.TEXTJOIN("_",TRUE,TRIM(_xlfn.TEXTSPLIT(PartList[[#This Row],[GRID LOCATION]],{"PR01","/","-"})))</f>
        <v>12_A_B</v>
      </c>
      <c r="H816" t="str" cm="1">
        <f t="array" ref="H81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16" cm="1">
        <f t="array" ref="I81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16" t="str">
        <f>IF(IFERROR(SEARCH("&gt;",PartList[[#This Row],[ID]]),0),"O",IF(IFERROR(SEARCH("&lt;",PartList[[#This Row],[ID]]),0),"I",""))</f>
        <v/>
      </c>
      <c r="K816" t="str" cm="1">
        <f t="array" ref="K8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12_A_B</v>
      </c>
      <c r="L816" t="str" cm="1">
        <f t="array" ref="L8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16" t="str">
        <f>_xlfn.TEXTJOIN("#",TRUE,PartList[[#This Row],[ASSLY MARK]],PartList[[#This Row],[BOX NO]],PartList[[#This Row],[In/Out]],PartList[[#This Row],[O1-Grid]])</f>
        <v>4BE10#Box2#12_A_B</v>
      </c>
      <c r="N816" t="str">
        <f>_xlfn.TEXTJOIN("#",TRUE,PartList[[#This Row],[ASSLY MARK]],PartList[[#This Row],[BOX NO]],PartList[[#This Row],[In/Out]],PartList[[#This Row],[O2-Grid]])</f>
        <v>4BE10#Box2#InB</v>
      </c>
      <c r="O816">
        <f>IF(PartList[[#This Row],[Unique]]="Yes",_xlfn.XLOOKUP(PartList[[#This Row],[ASSLY MARK]],FilteredPL!A:A,FilteredPL!B:B,0,0),0)</f>
        <v>0</v>
      </c>
      <c r="P816">
        <f>_xlfn.XLOOKUP(PartList[[#This Row],[ASSLY MARK]],MasterPL[SplitMarkNo],MasterPL[BILL WT.(KG)],0,0)</f>
        <v>0</v>
      </c>
      <c r="Q816" cm="1">
        <f t="array" ref="Q81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16" t="str">
        <v>6HB52</v>
      </c>
      <c r="AB816" s="42">
        <f>SUMIF(PartList[ASSLY MARK],AA816,PartList[Avail. Qty])</f>
        <v>0</v>
      </c>
    </row>
    <row r="817" spans="1:28" x14ac:dyDescent="0.25">
      <c r="A817">
        <v>491</v>
      </c>
      <c r="B817" t="s">
        <v>317</v>
      </c>
      <c r="C817" t="s">
        <v>545</v>
      </c>
      <c r="D817" t="s">
        <v>238</v>
      </c>
      <c r="E817" t="s">
        <v>5</v>
      </c>
      <c r="F817" t="str" cm="1">
        <f t="array" ref="F817">IF(SUM(IF(PartList[ASSLY MARK]=PartList[[#This Row],[ASSLY MARK]],1,0))&gt;1,"No","Yes")</f>
        <v>Yes</v>
      </c>
      <c r="G817" t="str" cm="1">
        <f t="array" ref="G817">_xlfn.TEXTJOIN("_",TRUE,TRIM(_xlfn.TEXTSPLIT(PartList[[#This Row],[GRID LOCATION]],{"PR01","/","-"})))</f>
        <v>12_B&gt;</v>
      </c>
      <c r="H817" t="str" cm="1">
        <f t="array" ref="H81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17" cm="1">
        <f t="array" ref="I81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17" t="str">
        <f>IF(IFERROR(SEARCH("&gt;",PartList[[#This Row],[ID]]),0),"O",IF(IFERROR(SEARCH("&lt;",PartList[[#This Row],[ID]]),0),"I",""))</f>
        <v>O</v>
      </c>
      <c r="K817" t="str" cm="1">
        <f t="array" ref="K8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817" t="str" cm="1">
        <f t="array" ref="L8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817" t="str">
        <f>_xlfn.TEXTJOIN("#",TRUE,PartList[[#This Row],[ASSLY MARK]],PartList[[#This Row],[BOX NO]],PartList[[#This Row],[In/Out]],PartList[[#This Row],[O1-Grid]])</f>
        <v>4BE11#Box2#O</v>
      </c>
      <c r="N817" t="str">
        <f>_xlfn.TEXTJOIN("#",TRUE,PartList[[#This Row],[ASSLY MARK]],PartList[[#This Row],[BOX NO]],PartList[[#This Row],[In/Out]],PartList[[#This Row],[O2-Grid]])</f>
        <v>4BE11#Box2#O</v>
      </c>
      <c r="O817">
        <f>IF(PartList[[#This Row],[Unique]]="Yes",_xlfn.XLOOKUP(PartList[[#This Row],[ASSLY MARK]],FilteredPL!A:A,FilteredPL!B:B,0,0),0)</f>
        <v>0</v>
      </c>
      <c r="P817">
        <f>_xlfn.XLOOKUP(PartList[[#This Row],[ASSLY MARK]],MasterPL[SplitMarkNo],MasterPL[BILL WT.(KG)],0,0)</f>
        <v>0</v>
      </c>
      <c r="Q817" cm="1">
        <f t="array" ref="Q81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17" t="str">
        <v>C24</v>
      </c>
      <c r="AB817" s="42">
        <f>SUMIF(PartList[ASSLY MARK],AA817,PartList[Avail. Qty])</f>
        <v>0</v>
      </c>
    </row>
    <row r="818" spans="1:28" x14ac:dyDescent="0.25">
      <c r="A818">
        <v>492</v>
      </c>
      <c r="B818" t="s">
        <v>318</v>
      </c>
      <c r="C818" t="s">
        <v>602</v>
      </c>
      <c r="D818" t="s">
        <v>307</v>
      </c>
      <c r="E818" t="s">
        <v>5</v>
      </c>
      <c r="F818" t="str" cm="1">
        <f t="array" ref="F818">IF(SUM(IF(PartList[ASSLY MARK]=PartList[[#This Row],[ASSLY MARK]],1,0))&gt;1,"No","Yes")</f>
        <v>Yes</v>
      </c>
      <c r="G818" t="str" cm="1">
        <f t="array" ref="G818">_xlfn.TEXTJOIN("_",TRUE,TRIM(_xlfn.TEXTSPLIT(PartList[[#This Row],[GRID LOCATION]],{"PR01","/","-"})))</f>
        <v>13_14_A_B</v>
      </c>
      <c r="H818" t="str" cm="1">
        <f t="array" ref="H81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18" cm="1">
        <f t="array" ref="I81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18" t="str">
        <f>IF(IFERROR(SEARCH("&gt;",PartList[[#This Row],[ID]]),0),"O",IF(IFERROR(SEARCH("&lt;",PartList[[#This Row],[ID]]),0),"I",""))</f>
        <v/>
      </c>
      <c r="K818" t="str" cm="1">
        <f t="array" ref="K8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18" t="str" cm="1">
        <f t="array" ref="L8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18" t="str">
        <f>_xlfn.TEXTJOIN("#",TRUE,PartList[[#This Row],[ASSLY MARK]],PartList[[#This Row],[BOX NO]],PartList[[#This Row],[In/Out]],PartList[[#This Row],[O1-Grid]])</f>
        <v>4BE12#Box2#InB</v>
      </c>
      <c r="N818" t="str">
        <f>_xlfn.TEXTJOIN("#",TRUE,PartList[[#This Row],[ASSLY MARK]],PartList[[#This Row],[BOX NO]],PartList[[#This Row],[In/Out]],PartList[[#This Row],[O2-Grid]])</f>
        <v>4BE12#Box2#InB</v>
      </c>
      <c r="O818">
        <f>IF(PartList[[#This Row],[Unique]]="Yes",_xlfn.XLOOKUP(PartList[[#This Row],[ASSLY MARK]],FilteredPL!A:A,FilteredPL!B:B,0,0),0)</f>
        <v>0</v>
      </c>
      <c r="P818">
        <f>_xlfn.XLOOKUP(PartList[[#This Row],[ASSLY MARK]],MasterPL[SplitMarkNo],MasterPL[BILL WT.(KG)],0,0)</f>
        <v>0</v>
      </c>
      <c r="Q818" cm="1">
        <f t="array" ref="Q81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18" t="str">
        <v>C25</v>
      </c>
      <c r="AB818" s="42">
        <f>SUMIF(PartList[ASSLY MARK],AA818,PartList[Avail. Qty])</f>
        <v>0</v>
      </c>
    </row>
    <row r="819" spans="1:28" x14ac:dyDescent="0.25">
      <c r="A819">
        <v>494</v>
      </c>
      <c r="B819" t="s">
        <v>320</v>
      </c>
      <c r="C819" t="s">
        <v>561</v>
      </c>
      <c r="D819" t="s">
        <v>736</v>
      </c>
      <c r="E819" t="s">
        <v>5</v>
      </c>
      <c r="F819" t="str" cm="1">
        <f t="array" ref="F819">IF(SUM(IF(PartList[ASSLY MARK]=PartList[[#This Row],[ASSLY MARK]],1,0))&gt;1,"No","Yes")</f>
        <v>Yes</v>
      </c>
      <c r="G819" t="str" cm="1">
        <f t="array" ref="G819">_xlfn.TEXTJOIN("_",TRUE,TRIM(_xlfn.TEXTSPLIT(PartList[[#This Row],[GRID LOCATION]],{"PR01","/","-"})))</f>
        <v>12_13_B&gt;</v>
      </c>
      <c r="H819" t="str" cm="1">
        <f t="array" ref="H81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19" cm="1">
        <f t="array" ref="I81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19" t="str">
        <f>IF(IFERROR(SEARCH("&gt;",PartList[[#This Row],[ID]]),0),"O",IF(IFERROR(SEARCH("&lt;",PartList[[#This Row],[ID]]),0),"I",""))</f>
        <v>O</v>
      </c>
      <c r="K819" t="str" cm="1">
        <f t="array" ref="K8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819" t="str" cm="1">
        <f t="array" ref="L8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819" t="str">
        <f>_xlfn.TEXTJOIN("#",TRUE,PartList[[#This Row],[ASSLY MARK]],PartList[[#This Row],[BOX NO]],PartList[[#This Row],[In/Out]],PartList[[#This Row],[O1-Grid]])</f>
        <v>4BE14#Box2#O</v>
      </c>
      <c r="N819" t="str">
        <f>_xlfn.TEXTJOIN("#",TRUE,PartList[[#This Row],[ASSLY MARK]],PartList[[#This Row],[BOX NO]],PartList[[#This Row],[In/Out]],PartList[[#This Row],[O2-Grid]])</f>
        <v>4BE14#Box2#O</v>
      </c>
      <c r="O819">
        <f>IF(PartList[[#This Row],[Unique]]="Yes",_xlfn.XLOOKUP(PartList[[#This Row],[ASSLY MARK]],FilteredPL!A:A,FilteredPL!B:B,0,0),0)</f>
        <v>0</v>
      </c>
      <c r="P819">
        <f>_xlfn.XLOOKUP(PartList[[#This Row],[ASSLY MARK]],MasterPL[SplitMarkNo],MasterPL[BILL WT.(KG)],0,0)</f>
        <v>0</v>
      </c>
      <c r="Q819" cm="1">
        <f t="array" ref="Q81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19" t="str">
        <v>C28</v>
      </c>
      <c r="AB819" s="42">
        <f>SUMIF(PartList[ASSLY MARK],AA819,PartList[Avail. Qty])</f>
        <v>0</v>
      </c>
    </row>
    <row r="820" spans="1:28" x14ac:dyDescent="0.25">
      <c r="A820">
        <v>495</v>
      </c>
      <c r="B820" t="s">
        <v>321</v>
      </c>
      <c r="C820" t="s">
        <v>554</v>
      </c>
      <c r="D820" t="s">
        <v>736</v>
      </c>
      <c r="E820" t="s">
        <v>5</v>
      </c>
      <c r="F820" t="str" cm="1">
        <f t="array" ref="F820">IF(SUM(IF(PartList[ASSLY MARK]=PartList[[#This Row],[ASSLY MARK]],1,0))&gt;1,"No","Yes")</f>
        <v>Yes</v>
      </c>
      <c r="G820" t="str" cm="1">
        <f t="array" ref="G820">_xlfn.TEXTJOIN("_",TRUE,TRIM(_xlfn.TEXTSPLIT(PartList[[#This Row],[GRID LOCATION]],{"PR01","/","-"})))</f>
        <v>12_13_A</v>
      </c>
      <c r="H820" t="str" cm="1">
        <f t="array" ref="H82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20" cm="1">
        <f t="array" ref="I82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20" t="str">
        <f>IF(IFERROR(SEARCH("&gt;",PartList[[#This Row],[ID]]),0),"O",IF(IFERROR(SEARCH("&lt;",PartList[[#This Row],[ID]]),0),"I",""))</f>
        <v/>
      </c>
      <c r="K820" t="str" cm="1">
        <f t="array" ref="K8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20" t="str" cm="1">
        <f t="array" ref="L8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820" t="str">
        <f>_xlfn.TEXTJOIN("#",TRUE,PartList[[#This Row],[ASSLY MARK]],PartList[[#This Row],[BOX NO]],PartList[[#This Row],[In/Out]],PartList[[#This Row],[O1-Grid]])</f>
        <v>4BE15#Box2#InB</v>
      </c>
      <c r="N820" t="str">
        <f>_xlfn.TEXTJOIN("#",TRUE,PartList[[#This Row],[ASSLY MARK]],PartList[[#This Row],[BOX NO]],PartList[[#This Row],[In/Out]],PartList[[#This Row],[O2-Grid]])</f>
        <v>4BE15#Box2#12_13_A</v>
      </c>
      <c r="O820">
        <f>IF(PartList[[#This Row],[Unique]]="Yes",_xlfn.XLOOKUP(PartList[[#This Row],[ASSLY MARK]],FilteredPL!A:A,FilteredPL!B:B,0,0),0)</f>
        <v>0</v>
      </c>
      <c r="P820">
        <f>_xlfn.XLOOKUP(PartList[[#This Row],[ASSLY MARK]],MasterPL[SplitMarkNo],MasterPL[BILL WT.(KG)],0,0)</f>
        <v>0</v>
      </c>
      <c r="Q820" cm="1">
        <f t="array" ref="Q82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20" t="str">
        <v>C31</v>
      </c>
      <c r="AB820" s="42">
        <f>SUMIF(PartList[ASSLY MARK],AA820,PartList[Avail. Qty])</f>
        <v>1</v>
      </c>
    </row>
    <row r="821" spans="1:28" x14ac:dyDescent="0.25">
      <c r="A821">
        <v>496</v>
      </c>
      <c r="B821" t="s">
        <v>322</v>
      </c>
      <c r="C821" t="s">
        <v>556</v>
      </c>
      <c r="D821" t="s">
        <v>736</v>
      </c>
      <c r="E821" t="s">
        <v>5</v>
      </c>
      <c r="F821" t="str" cm="1">
        <f t="array" ref="F821">IF(SUM(IF(PartList[ASSLY MARK]=PartList[[#This Row],[ASSLY MARK]],1,0))&gt;1,"No","Yes")</f>
        <v>Yes</v>
      </c>
      <c r="G821" t="str" cm="1">
        <f t="array" ref="G821">_xlfn.TEXTJOIN("_",TRUE,TRIM(_xlfn.TEXTSPLIT(PartList[[#This Row],[GRID LOCATION]],{"PR01","/","-"})))</f>
        <v>12_13_B</v>
      </c>
      <c r="H821" t="str" cm="1">
        <f t="array" ref="H82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21" cm="1">
        <f t="array" ref="I82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21" t="str">
        <f>IF(IFERROR(SEARCH("&gt;",PartList[[#This Row],[ID]]),0),"O",IF(IFERROR(SEARCH("&lt;",PartList[[#This Row],[ID]]),0),"I",""))</f>
        <v/>
      </c>
      <c r="K821" t="str" cm="1">
        <f t="array" ref="K8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21" t="str" cm="1">
        <f t="array" ref="L8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821" t="str">
        <f>_xlfn.TEXTJOIN("#",TRUE,PartList[[#This Row],[ASSLY MARK]],PartList[[#This Row],[BOX NO]],PartList[[#This Row],[In/Out]],PartList[[#This Row],[O1-Grid]])</f>
        <v>4BE16#Box2#InB</v>
      </c>
      <c r="N821" t="str">
        <f>_xlfn.TEXTJOIN("#",TRUE,PartList[[#This Row],[ASSLY MARK]],PartList[[#This Row],[BOX NO]],PartList[[#This Row],[In/Out]],PartList[[#This Row],[O2-Grid]])</f>
        <v>4BE16#Box2#12_13_B</v>
      </c>
      <c r="O821">
        <f>IF(PartList[[#This Row],[Unique]]="Yes",_xlfn.XLOOKUP(PartList[[#This Row],[ASSLY MARK]],FilteredPL!A:A,FilteredPL!B:B,0,0),0)</f>
        <v>0</v>
      </c>
      <c r="P821">
        <f>_xlfn.XLOOKUP(PartList[[#This Row],[ASSLY MARK]],MasterPL[SplitMarkNo],MasterPL[BILL WT.(KG)],0,0)</f>
        <v>0</v>
      </c>
      <c r="Q821" cm="1">
        <f t="array" ref="Q82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21" t="str">
        <v>VB45</v>
      </c>
      <c r="AB821" s="42">
        <f>SUMIF(PartList[ASSLY MARK],AA821,PartList[Avail. Qty])</f>
        <v>0</v>
      </c>
    </row>
    <row r="822" spans="1:28" x14ac:dyDescent="0.25">
      <c r="A822">
        <v>497</v>
      </c>
      <c r="B822" t="s">
        <v>323</v>
      </c>
      <c r="C822" t="s">
        <v>561</v>
      </c>
      <c r="D822" t="s">
        <v>736</v>
      </c>
      <c r="E822" t="s">
        <v>5</v>
      </c>
      <c r="F822" t="str" cm="1">
        <f t="array" ref="F822">IF(SUM(IF(PartList[ASSLY MARK]=PartList[[#This Row],[ASSLY MARK]],1,0))&gt;1,"No","Yes")</f>
        <v>Yes</v>
      </c>
      <c r="G822" t="str" cm="1">
        <f t="array" ref="G822">_xlfn.TEXTJOIN("_",TRUE,TRIM(_xlfn.TEXTSPLIT(PartList[[#This Row],[GRID LOCATION]],{"PR01","/","-"})))</f>
        <v>12_13_B&gt;</v>
      </c>
      <c r="H822" t="str" cm="1">
        <f t="array" ref="H82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22" cm="1">
        <f t="array" ref="I82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22" t="str">
        <f>IF(IFERROR(SEARCH("&gt;",PartList[[#This Row],[ID]]),0),"O",IF(IFERROR(SEARCH("&lt;",PartList[[#This Row],[ID]]),0),"I",""))</f>
        <v>O</v>
      </c>
      <c r="K822" t="str" cm="1">
        <f t="array" ref="K8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822" t="str" cm="1">
        <f t="array" ref="L8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822" t="str">
        <f>_xlfn.TEXTJOIN("#",TRUE,PartList[[#This Row],[ASSLY MARK]],PartList[[#This Row],[BOX NO]],PartList[[#This Row],[In/Out]],PartList[[#This Row],[O1-Grid]])</f>
        <v>4BE17#Box2#O</v>
      </c>
      <c r="N822" t="str">
        <f>_xlfn.TEXTJOIN("#",TRUE,PartList[[#This Row],[ASSLY MARK]],PartList[[#This Row],[BOX NO]],PartList[[#This Row],[In/Out]],PartList[[#This Row],[O2-Grid]])</f>
        <v>4BE17#Box2#O</v>
      </c>
      <c r="O822">
        <f>IF(PartList[[#This Row],[Unique]]="Yes",_xlfn.XLOOKUP(PartList[[#This Row],[ASSLY MARK]],FilteredPL!A:A,FilteredPL!B:B,0,0),0)</f>
        <v>0</v>
      </c>
      <c r="P822">
        <f>_xlfn.XLOOKUP(PartList[[#This Row],[ASSLY MARK]],MasterPL[SplitMarkNo],MasterPL[BILL WT.(KG)],0,0)</f>
        <v>0</v>
      </c>
      <c r="Q822" cm="1">
        <f t="array" ref="Q82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22" t="str">
        <v>VB59</v>
      </c>
      <c r="AB822" s="42">
        <f>SUMIF(PartList[ASSLY MARK],AA822,PartList[Avail. Qty])</f>
        <v>0</v>
      </c>
    </row>
    <row r="823" spans="1:28" x14ac:dyDescent="0.25">
      <c r="A823">
        <v>500</v>
      </c>
      <c r="B823" t="s">
        <v>755</v>
      </c>
      <c r="C823" t="s">
        <v>561</v>
      </c>
      <c r="D823" t="s">
        <v>736</v>
      </c>
      <c r="E823" t="s">
        <v>5</v>
      </c>
      <c r="F823" t="str" cm="1">
        <f t="array" ref="F823">IF(SUM(IF(PartList[ASSLY MARK]=PartList[[#This Row],[ASSLY MARK]],1,0))&gt;1,"No","Yes")</f>
        <v>Yes</v>
      </c>
      <c r="G823" t="str" cm="1">
        <f t="array" ref="G823">_xlfn.TEXTJOIN("_",TRUE,TRIM(_xlfn.TEXTSPLIT(PartList[[#This Row],[GRID LOCATION]],{"PR01","/","-"})))</f>
        <v>12_13_B&gt;</v>
      </c>
      <c r="H823" t="str" cm="1">
        <f t="array" ref="H82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23" cm="1">
        <f t="array" ref="I82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23" t="str">
        <f>IF(IFERROR(SEARCH("&gt;",PartList[[#This Row],[ID]]),0),"O",IF(IFERROR(SEARCH("&lt;",PartList[[#This Row],[ID]]),0),"I",""))</f>
        <v>O</v>
      </c>
      <c r="K823" t="str" cm="1">
        <f t="array" ref="K8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823" t="str" cm="1">
        <f t="array" ref="L8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823" t="str">
        <f>_xlfn.TEXTJOIN("#",TRUE,PartList[[#This Row],[ASSLY MARK]],PartList[[#This Row],[BOX NO]],PartList[[#This Row],[In/Out]],PartList[[#This Row],[O1-Grid]])</f>
        <v>4BE20#Box2#O</v>
      </c>
      <c r="N823" t="str">
        <f>_xlfn.TEXTJOIN("#",TRUE,PartList[[#This Row],[ASSLY MARK]],PartList[[#This Row],[BOX NO]],PartList[[#This Row],[In/Out]],PartList[[#This Row],[O2-Grid]])</f>
        <v>4BE20#Box2#O</v>
      </c>
      <c r="O823">
        <f>IF(PartList[[#This Row],[Unique]]="Yes",_xlfn.XLOOKUP(PartList[[#This Row],[ASSLY MARK]],FilteredPL!A:A,FilteredPL!B:B,0,0),0)</f>
        <v>0</v>
      </c>
      <c r="P823">
        <f>_xlfn.XLOOKUP(PartList[[#This Row],[ASSLY MARK]],MasterPL[SplitMarkNo],MasterPL[BILL WT.(KG)],0,0)</f>
        <v>0</v>
      </c>
      <c r="Q823" cm="1">
        <f t="array" ref="Q82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23" t="str">
        <v>VB68</v>
      </c>
      <c r="AB823" s="42">
        <f>SUMIF(PartList[ASSLY MARK],AA823,PartList[Avail. Qty])</f>
        <v>0</v>
      </c>
    </row>
    <row r="824" spans="1:28" x14ac:dyDescent="0.25">
      <c r="A824">
        <v>501</v>
      </c>
      <c r="B824" t="s">
        <v>756</v>
      </c>
      <c r="C824" t="s">
        <v>556</v>
      </c>
      <c r="D824" t="s">
        <v>736</v>
      </c>
      <c r="E824" t="s">
        <v>5</v>
      </c>
      <c r="F824" t="str" cm="1">
        <f t="array" ref="F824">IF(SUM(IF(PartList[ASSLY MARK]=PartList[[#This Row],[ASSLY MARK]],1,0))&gt;1,"No","Yes")</f>
        <v>Yes</v>
      </c>
      <c r="G824" t="str" cm="1">
        <f t="array" ref="G824">_xlfn.TEXTJOIN("_",TRUE,TRIM(_xlfn.TEXTSPLIT(PartList[[#This Row],[GRID LOCATION]],{"PR01","/","-"})))</f>
        <v>12_13_B</v>
      </c>
      <c r="H824" t="str" cm="1">
        <f t="array" ref="H82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24" cm="1">
        <f t="array" ref="I82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24" t="str">
        <f>IF(IFERROR(SEARCH("&gt;",PartList[[#This Row],[ID]]),0),"O",IF(IFERROR(SEARCH("&lt;",PartList[[#This Row],[ID]]),0),"I",""))</f>
        <v/>
      </c>
      <c r="K824" t="str" cm="1">
        <f t="array" ref="K8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24" t="str" cm="1">
        <f t="array" ref="L8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824" t="str">
        <f>_xlfn.TEXTJOIN("#",TRUE,PartList[[#This Row],[ASSLY MARK]],PartList[[#This Row],[BOX NO]],PartList[[#This Row],[In/Out]],PartList[[#This Row],[O1-Grid]])</f>
        <v>4BE21#Box2#InB</v>
      </c>
      <c r="N824" t="str">
        <f>_xlfn.TEXTJOIN("#",TRUE,PartList[[#This Row],[ASSLY MARK]],PartList[[#This Row],[BOX NO]],PartList[[#This Row],[In/Out]],PartList[[#This Row],[O2-Grid]])</f>
        <v>4BE21#Box2#12_13_B</v>
      </c>
      <c r="O824">
        <f>IF(PartList[[#This Row],[Unique]]="Yes",_xlfn.XLOOKUP(PartList[[#This Row],[ASSLY MARK]],FilteredPL!A:A,FilteredPL!B:B,0,0),0)</f>
        <v>0</v>
      </c>
      <c r="P824">
        <f>_xlfn.XLOOKUP(PartList[[#This Row],[ASSLY MARK]],MasterPL[SplitMarkNo],MasterPL[BILL WT.(KG)],0,0)</f>
        <v>0</v>
      </c>
      <c r="Q824" cm="1">
        <f t="array" ref="Q82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24" t="str">
        <v>VB76</v>
      </c>
      <c r="AB824" s="42">
        <f>SUMIF(PartList[ASSLY MARK],AA824,PartList[Avail. Qty])</f>
        <v>0</v>
      </c>
    </row>
    <row r="825" spans="1:28" x14ac:dyDescent="0.25">
      <c r="A825">
        <v>502</v>
      </c>
      <c r="B825" t="s">
        <v>757</v>
      </c>
      <c r="C825" t="s">
        <v>561</v>
      </c>
      <c r="D825" t="s">
        <v>238</v>
      </c>
      <c r="E825" t="s">
        <v>5</v>
      </c>
      <c r="F825" t="str" cm="1">
        <f t="array" ref="F825">IF(SUM(IF(PartList[ASSLY MARK]=PartList[[#This Row],[ASSLY MARK]],1,0))&gt;1,"No","Yes")</f>
        <v>Yes</v>
      </c>
      <c r="G825" t="str" cm="1">
        <f t="array" ref="G825">_xlfn.TEXTJOIN("_",TRUE,TRIM(_xlfn.TEXTSPLIT(PartList[[#This Row],[GRID LOCATION]],{"PR01","/","-"})))</f>
        <v>12_13_B&gt;</v>
      </c>
      <c r="H825" t="str" cm="1">
        <f t="array" ref="H82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25" cm="1">
        <f t="array" ref="I82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25" t="str">
        <f>IF(IFERROR(SEARCH("&gt;",PartList[[#This Row],[ID]]),0),"O",IF(IFERROR(SEARCH("&lt;",PartList[[#This Row],[ID]]),0),"I",""))</f>
        <v>O</v>
      </c>
      <c r="K825" t="str" cm="1">
        <f t="array" ref="K8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825" t="str" cm="1">
        <f t="array" ref="L8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825" t="str">
        <f>_xlfn.TEXTJOIN("#",TRUE,PartList[[#This Row],[ASSLY MARK]],PartList[[#This Row],[BOX NO]],PartList[[#This Row],[In/Out]],PartList[[#This Row],[O1-Grid]])</f>
        <v>4BE22#Box2#O</v>
      </c>
      <c r="N825" t="str">
        <f>_xlfn.TEXTJOIN("#",TRUE,PartList[[#This Row],[ASSLY MARK]],PartList[[#This Row],[BOX NO]],PartList[[#This Row],[In/Out]],PartList[[#This Row],[O2-Grid]])</f>
        <v>4BE22#Box2#O</v>
      </c>
      <c r="O825">
        <f>IF(PartList[[#This Row],[Unique]]="Yes",_xlfn.XLOOKUP(PartList[[#This Row],[ASSLY MARK]],FilteredPL!A:A,FilteredPL!B:B,0,0),0)</f>
        <v>0</v>
      </c>
      <c r="P825">
        <f>_xlfn.XLOOKUP(PartList[[#This Row],[ASSLY MARK]],MasterPL[SplitMarkNo],MasterPL[BILL WT.(KG)],0,0)</f>
        <v>0</v>
      </c>
      <c r="Q825" cm="1">
        <f t="array" ref="Q82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25" t="str">
        <v>VB79</v>
      </c>
      <c r="AB825" s="42">
        <f>SUMIF(PartList[ASSLY MARK],AA825,PartList[Avail. Qty])</f>
        <v>0</v>
      </c>
    </row>
    <row r="826" spans="1:28" x14ac:dyDescent="0.25">
      <c r="A826">
        <v>503</v>
      </c>
      <c r="B826" t="s">
        <v>758</v>
      </c>
      <c r="C826" t="s">
        <v>547</v>
      </c>
      <c r="D826" t="s">
        <v>736</v>
      </c>
      <c r="E826" t="s">
        <v>5</v>
      </c>
      <c r="F826" t="str" cm="1">
        <f t="array" ref="F826">IF(SUM(IF(PartList[ASSLY MARK]=PartList[[#This Row],[ASSLY MARK]],1,0))&gt;1,"No","Yes")</f>
        <v>Yes</v>
      </c>
      <c r="G826" t="str" cm="1">
        <f t="array" ref="G826">_xlfn.TEXTJOIN("_",TRUE,TRIM(_xlfn.TEXTSPLIT(PartList[[#This Row],[GRID LOCATION]],{"PR01","/","-"})))</f>
        <v>12_13_A_B</v>
      </c>
      <c r="H826" t="str" cm="1">
        <f t="array" ref="H82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26" cm="1">
        <f t="array" ref="I82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26" t="str">
        <f>IF(IFERROR(SEARCH("&gt;",PartList[[#This Row],[ID]]),0),"O",IF(IFERROR(SEARCH("&lt;",PartList[[#This Row],[ID]]),0),"I",""))</f>
        <v/>
      </c>
      <c r="K826" t="str" cm="1">
        <f t="array" ref="K8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26" t="str" cm="1">
        <f t="array" ref="L8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26" t="str">
        <f>_xlfn.TEXTJOIN("#",TRUE,PartList[[#This Row],[ASSLY MARK]],PartList[[#This Row],[BOX NO]],PartList[[#This Row],[In/Out]],PartList[[#This Row],[O1-Grid]])</f>
        <v>4BE23#Box2#InB</v>
      </c>
      <c r="N826" t="str">
        <f>_xlfn.TEXTJOIN("#",TRUE,PartList[[#This Row],[ASSLY MARK]],PartList[[#This Row],[BOX NO]],PartList[[#This Row],[In/Out]],PartList[[#This Row],[O2-Grid]])</f>
        <v>4BE23#Box2#InB</v>
      </c>
      <c r="O826">
        <f>IF(PartList[[#This Row],[Unique]]="Yes",_xlfn.XLOOKUP(PartList[[#This Row],[ASSLY MARK]],FilteredPL!A:A,FilteredPL!B:B,0,0),0)</f>
        <v>0</v>
      </c>
      <c r="P826">
        <f>_xlfn.XLOOKUP(PartList[[#This Row],[ASSLY MARK]],MasterPL[SplitMarkNo],MasterPL[BILL WT.(KG)],0,0)</f>
        <v>0</v>
      </c>
      <c r="Q826" cm="1">
        <f t="array" ref="Q82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26" t="str">
        <v>VB80</v>
      </c>
      <c r="AB826" s="42">
        <f>SUMIF(PartList[ASSLY MARK],AA826,PartList[Avail. Qty])</f>
        <v>0</v>
      </c>
    </row>
    <row r="827" spans="1:28" x14ac:dyDescent="0.25">
      <c r="A827">
        <v>504</v>
      </c>
      <c r="B827" t="s">
        <v>759</v>
      </c>
      <c r="C827" t="s">
        <v>547</v>
      </c>
      <c r="D827" t="s">
        <v>736</v>
      </c>
      <c r="E827" t="s">
        <v>5</v>
      </c>
      <c r="F827" t="str" cm="1">
        <f t="array" ref="F827">IF(SUM(IF(PartList[ASSLY MARK]=PartList[[#This Row],[ASSLY MARK]],1,0))&gt;1,"No","Yes")</f>
        <v>Yes</v>
      </c>
      <c r="G827" t="str" cm="1">
        <f t="array" ref="G827">_xlfn.TEXTJOIN("_",TRUE,TRIM(_xlfn.TEXTSPLIT(PartList[[#This Row],[GRID LOCATION]],{"PR01","/","-"})))</f>
        <v>12_13_A_B</v>
      </c>
      <c r="H827" t="str" cm="1">
        <f t="array" ref="H82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27" cm="1">
        <f t="array" ref="I82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27" t="str">
        <f>IF(IFERROR(SEARCH("&gt;",PartList[[#This Row],[ID]]),0),"O",IF(IFERROR(SEARCH("&lt;",PartList[[#This Row],[ID]]),0),"I",""))</f>
        <v/>
      </c>
      <c r="K827" t="str" cm="1">
        <f t="array" ref="K8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27" t="str" cm="1">
        <f t="array" ref="L8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27" t="str">
        <f>_xlfn.TEXTJOIN("#",TRUE,PartList[[#This Row],[ASSLY MARK]],PartList[[#This Row],[BOX NO]],PartList[[#This Row],[In/Out]],PartList[[#This Row],[O1-Grid]])</f>
        <v>4BE24#Box2#InB</v>
      </c>
      <c r="N827" t="str">
        <f>_xlfn.TEXTJOIN("#",TRUE,PartList[[#This Row],[ASSLY MARK]],PartList[[#This Row],[BOX NO]],PartList[[#This Row],[In/Out]],PartList[[#This Row],[O2-Grid]])</f>
        <v>4BE24#Box2#InB</v>
      </c>
      <c r="O827">
        <f>IF(PartList[[#This Row],[Unique]]="Yes",_xlfn.XLOOKUP(PartList[[#This Row],[ASSLY MARK]],FilteredPL!A:A,FilteredPL!B:B,0,0),0)</f>
        <v>0</v>
      </c>
      <c r="P827">
        <f>_xlfn.XLOOKUP(PartList[[#This Row],[ASSLY MARK]],MasterPL[SplitMarkNo],MasterPL[BILL WT.(KG)],0,0)</f>
        <v>0</v>
      </c>
      <c r="Q827" cm="1">
        <f t="array" ref="Q82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27" t="str">
        <v>VB82</v>
      </c>
      <c r="AB827" s="42">
        <f>SUMIF(PartList[ASSLY MARK],AA827,PartList[Avail. Qty])</f>
        <v>0</v>
      </c>
    </row>
    <row r="828" spans="1:28" x14ac:dyDescent="0.25">
      <c r="A828">
        <v>505</v>
      </c>
      <c r="B828" t="s">
        <v>760</v>
      </c>
      <c r="C828" t="s">
        <v>556</v>
      </c>
      <c r="D828" t="s">
        <v>307</v>
      </c>
      <c r="E828" t="s">
        <v>5</v>
      </c>
      <c r="F828" t="str" cm="1">
        <f t="array" ref="F828">IF(SUM(IF(PartList[ASSLY MARK]=PartList[[#This Row],[ASSLY MARK]],1,0))&gt;1,"No","Yes")</f>
        <v>Yes</v>
      </c>
      <c r="G828" t="str" cm="1">
        <f t="array" ref="G828">_xlfn.TEXTJOIN("_",TRUE,TRIM(_xlfn.TEXTSPLIT(PartList[[#This Row],[GRID LOCATION]],{"PR01","/","-"})))</f>
        <v>12_13_B</v>
      </c>
      <c r="H828" t="str" cm="1">
        <f t="array" ref="H82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28" cm="1">
        <f t="array" ref="I82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28" t="str">
        <f>IF(IFERROR(SEARCH("&gt;",PartList[[#This Row],[ID]]),0),"O",IF(IFERROR(SEARCH("&lt;",PartList[[#This Row],[ID]]),0),"I",""))</f>
        <v/>
      </c>
      <c r="K828" t="str" cm="1">
        <f t="array" ref="K8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28" t="str" cm="1">
        <f t="array" ref="L8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828" t="str">
        <f>_xlfn.TEXTJOIN("#",TRUE,PartList[[#This Row],[ASSLY MARK]],PartList[[#This Row],[BOX NO]],PartList[[#This Row],[In/Out]],PartList[[#This Row],[O1-Grid]])</f>
        <v>4BE25#Box2#InB</v>
      </c>
      <c r="N828" t="str">
        <f>_xlfn.TEXTJOIN("#",TRUE,PartList[[#This Row],[ASSLY MARK]],PartList[[#This Row],[BOX NO]],PartList[[#This Row],[In/Out]],PartList[[#This Row],[O2-Grid]])</f>
        <v>4BE25#Box2#12_13_B</v>
      </c>
      <c r="O828">
        <f>IF(PartList[[#This Row],[Unique]]="Yes",_xlfn.XLOOKUP(PartList[[#This Row],[ASSLY MARK]],FilteredPL!A:A,FilteredPL!B:B,0,0),0)</f>
        <v>0</v>
      </c>
      <c r="P828">
        <f>_xlfn.XLOOKUP(PartList[[#This Row],[ASSLY MARK]],MasterPL[SplitMarkNo],MasterPL[BILL WT.(KG)],0,0)</f>
        <v>0</v>
      </c>
      <c r="Q828" cm="1">
        <f t="array" ref="Q82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28" t="str">
        <v>VB84</v>
      </c>
      <c r="AB828" s="42">
        <f>SUMIF(PartList[ASSLY MARK],AA828,PartList[Avail. Qty])</f>
        <v>0</v>
      </c>
    </row>
    <row r="829" spans="1:28" x14ac:dyDescent="0.25">
      <c r="A829">
        <v>506</v>
      </c>
      <c r="B829" t="s">
        <v>761</v>
      </c>
      <c r="C829" t="s">
        <v>582</v>
      </c>
      <c r="D829" t="s">
        <v>307</v>
      </c>
      <c r="E829" t="s">
        <v>5</v>
      </c>
      <c r="F829" t="str" cm="1">
        <f t="array" ref="F829">IF(SUM(IF(PartList[ASSLY MARK]=PartList[[#This Row],[ASSLY MARK]],1,0))&gt;1,"No","Yes")</f>
        <v>Yes</v>
      </c>
      <c r="G829" t="str" cm="1">
        <f t="array" ref="G829">_xlfn.TEXTJOIN("_",TRUE,TRIM(_xlfn.TEXTSPLIT(PartList[[#This Row],[GRID LOCATION]],{"PR01","/","-"})))</f>
        <v>12_13_A"_A</v>
      </c>
      <c r="H829" t="str" cm="1">
        <f t="array" ref="H82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829" cm="1">
        <f t="array" ref="I82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29" t="str">
        <f>IF(IFERROR(SEARCH("&gt;",PartList[[#This Row],[ID]]),0),"O",IF(IFERROR(SEARCH("&lt;",PartList[[#This Row],[ID]]),0),"I",""))</f>
        <v/>
      </c>
      <c r="K829" t="str" cm="1">
        <f t="array" ref="K8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29" t="str" cm="1">
        <f t="array" ref="L8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29" t="str">
        <f>_xlfn.TEXTJOIN("#",TRUE,PartList[[#This Row],[ASSLY MARK]],PartList[[#This Row],[BOX NO]],PartList[[#This Row],[In/Out]],PartList[[#This Row],[O1-Grid]])</f>
        <v>4BE26#Box2_Box5#InBB</v>
      </c>
      <c r="N829" t="str">
        <f>_xlfn.TEXTJOIN("#",TRUE,PartList[[#This Row],[ASSLY MARK]],PartList[[#This Row],[BOX NO]],PartList[[#This Row],[In/Out]],PartList[[#This Row],[O2-Grid]])</f>
        <v>4BE26#Box2_Box5#InBB</v>
      </c>
      <c r="O829">
        <f>IF(PartList[[#This Row],[Unique]]="Yes",_xlfn.XLOOKUP(PartList[[#This Row],[ASSLY MARK]],FilteredPL!A:A,FilteredPL!B:B,0,0),0)</f>
        <v>0</v>
      </c>
      <c r="P829">
        <f>_xlfn.XLOOKUP(PartList[[#This Row],[ASSLY MARK]],MasterPL[SplitMarkNo],MasterPL[BILL WT.(KG)],0,0)</f>
        <v>0</v>
      </c>
      <c r="Q829" cm="1">
        <f t="array" ref="Q82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29" t="str">
        <v>VB85</v>
      </c>
      <c r="AB829" s="42">
        <f>SUMIF(PartList[ASSLY MARK],AA829,PartList[Avail. Qty])</f>
        <v>0</v>
      </c>
    </row>
    <row r="830" spans="1:28" x14ac:dyDescent="0.25">
      <c r="A830">
        <v>507</v>
      </c>
      <c r="B830" t="s">
        <v>762</v>
      </c>
      <c r="C830" t="s">
        <v>554</v>
      </c>
      <c r="D830" t="s">
        <v>307</v>
      </c>
      <c r="E830" t="s">
        <v>5</v>
      </c>
      <c r="F830" t="str" cm="1">
        <f t="array" ref="F830">IF(SUM(IF(PartList[ASSLY MARK]=PartList[[#This Row],[ASSLY MARK]],1,0))&gt;1,"No","Yes")</f>
        <v>Yes</v>
      </c>
      <c r="G830" t="str" cm="1">
        <f t="array" ref="G830">_xlfn.TEXTJOIN("_",TRUE,TRIM(_xlfn.TEXTSPLIT(PartList[[#This Row],[GRID LOCATION]],{"PR01","/","-"})))</f>
        <v>12_13_A</v>
      </c>
      <c r="H830" t="str" cm="1">
        <f t="array" ref="H83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30" cm="1">
        <f t="array" ref="I83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30" t="str">
        <f>IF(IFERROR(SEARCH("&gt;",PartList[[#This Row],[ID]]),0),"O",IF(IFERROR(SEARCH("&lt;",PartList[[#This Row],[ID]]),0),"I",""))</f>
        <v/>
      </c>
      <c r="K830" t="str" cm="1">
        <f t="array" ref="K8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30" t="str" cm="1">
        <f t="array" ref="L8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830" t="str">
        <f>_xlfn.TEXTJOIN("#",TRUE,PartList[[#This Row],[ASSLY MARK]],PartList[[#This Row],[BOX NO]],PartList[[#This Row],[In/Out]],PartList[[#This Row],[O1-Grid]])</f>
        <v>4BE27#Box2#InB</v>
      </c>
      <c r="N830" t="str">
        <f>_xlfn.TEXTJOIN("#",TRUE,PartList[[#This Row],[ASSLY MARK]],PartList[[#This Row],[BOX NO]],PartList[[#This Row],[In/Out]],PartList[[#This Row],[O2-Grid]])</f>
        <v>4BE27#Box2#12_13_A</v>
      </c>
      <c r="O830">
        <f>IF(PartList[[#This Row],[Unique]]="Yes",_xlfn.XLOOKUP(PartList[[#This Row],[ASSLY MARK]],FilteredPL!A:A,FilteredPL!B:B,0,0),0)</f>
        <v>0</v>
      </c>
      <c r="P830">
        <f>_xlfn.XLOOKUP(PartList[[#This Row],[ASSLY MARK]],MasterPL[SplitMarkNo],MasterPL[BILL WT.(KG)],0,0)</f>
        <v>0</v>
      </c>
      <c r="Q830" cm="1">
        <f t="array" ref="Q83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30" t="str">
        <v>VB86</v>
      </c>
      <c r="AB830" s="42">
        <f>SUMIF(PartList[ASSLY MARK],AA830,PartList[Avail. Qty])</f>
        <v>0</v>
      </c>
    </row>
    <row r="831" spans="1:28" x14ac:dyDescent="0.25">
      <c r="A831">
        <v>509</v>
      </c>
      <c r="B831" t="s">
        <v>764</v>
      </c>
      <c r="C831" t="s">
        <v>593</v>
      </c>
      <c r="D831" t="s">
        <v>307</v>
      </c>
      <c r="E831" t="s">
        <v>5</v>
      </c>
      <c r="F831" t="str" cm="1">
        <f t="array" ref="F831">IF(SUM(IF(PartList[ASSLY MARK]=PartList[[#This Row],[ASSLY MARK]],1,0))&gt;1,"No","Yes")</f>
        <v>Yes</v>
      </c>
      <c r="G831" t="str" cm="1">
        <f t="array" ref="G831">_xlfn.TEXTJOIN("_",TRUE,TRIM(_xlfn.TEXTSPLIT(PartList[[#This Row],[GRID LOCATION]],{"PR01","/","-"})))</f>
        <v>13_A"_A</v>
      </c>
      <c r="H831" t="str" cm="1">
        <f t="array" ref="H83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831" cm="1">
        <f t="array" ref="I83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31" t="str">
        <f>IF(IFERROR(SEARCH("&gt;",PartList[[#This Row],[ID]]),0),"O",IF(IFERROR(SEARCH("&lt;",PartList[[#This Row],[ID]]),0),"I",""))</f>
        <v/>
      </c>
      <c r="K831" t="str" cm="1">
        <f t="array" ref="K8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31" t="str" cm="1">
        <f t="array" ref="L8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31" t="str">
        <f>_xlfn.TEXTJOIN("#",TRUE,PartList[[#This Row],[ASSLY MARK]],PartList[[#This Row],[BOX NO]],PartList[[#This Row],[In/Out]],PartList[[#This Row],[O1-Grid]])</f>
        <v>4BE29#Box2_Box5#InBB</v>
      </c>
      <c r="N831" t="str">
        <f>_xlfn.TEXTJOIN("#",TRUE,PartList[[#This Row],[ASSLY MARK]],PartList[[#This Row],[BOX NO]],PartList[[#This Row],[In/Out]],PartList[[#This Row],[O2-Grid]])</f>
        <v>4BE29#Box2_Box5#InBB</v>
      </c>
      <c r="O831">
        <f>IF(PartList[[#This Row],[Unique]]="Yes",_xlfn.XLOOKUP(PartList[[#This Row],[ASSLY MARK]],FilteredPL!A:A,FilteredPL!B:B,0,0),0)</f>
        <v>0</v>
      </c>
      <c r="P831">
        <f>_xlfn.XLOOKUP(PartList[[#This Row],[ASSLY MARK]],MasterPL[SplitMarkNo],MasterPL[BILL WT.(KG)],0,0)</f>
        <v>0</v>
      </c>
      <c r="Q831" cm="1">
        <f t="array" ref="Q83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31" t="str">
        <v>VB87</v>
      </c>
      <c r="AB831" s="42">
        <f>SUMIF(PartList[ASSLY MARK],AA831,PartList[Avail. Qty])</f>
        <v>0</v>
      </c>
    </row>
    <row r="832" spans="1:28" x14ac:dyDescent="0.25">
      <c r="A832">
        <v>510</v>
      </c>
      <c r="B832" t="s">
        <v>765</v>
      </c>
      <c r="C832" t="s">
        <v>520</v>
      </c>
      <c r="D832" t="s">
        <v>736</v>
      </c>
      <c r="E832" t="s">
        <v>5</v>
      </c>
      <c r="F832" t="str" cm="1">
        <f t="array" ref="F832">IF(SUM(IF(PartList[ASSLY MARK]=PartList[[#This Row],[ASSLY MARK]],1,0))&gt;1,"No","Yes")</f>
        <v>Yes</v>
      </c>
      <c r="G832" t="str" cm="1">
        <f t="array" ref="G832">_xlfn.TEXTJOIN("_",TRUE,TRIM(_xlfn.TEXTSPLIT(PartList[[#This Row],[GRID LOCATION]],{"PR01","/","-"})))</f>
        <v>13_A_B</v>
      </c>
      <c r="H832" t="str" cm="1">
        <f t="array" ref="H83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32" cm="1">
        <f t="array" ref="I83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32" t="str">
        <f>IF(IFERROR(SEARCH("&gt;",PartList[[#This Row],[ID]]),0),"O",IF(IFERROR(SEARCH("&lt;",PartList[[#This Row],[ID]]),0),"I",""))</f>
        <v/>
      </c>
      <c r="K832" t="str" cm="1">
        <f t="array" ref="K8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13_A_B</v>
      </c>
      <c r="L832" t="str" cm="1">
        <f t="array" ref="L8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32" t="str">
        <f>_xlfn.TEXTJOIN("#",TRUE,PartList[[#This Row],[ASSLY MARK]],PartList[[#This Row],[BOX NO]],PartList[[#This Row],[In/Out]],PartList[[#This Row],[O1-Grid]])</f>
        <v>4BE30#Box2#13_A_B</v>
      </c>
      <c r="N832" t="str">
        <f>_xlfn.TEXTJOIN("#",TRUE,PartList[[#This Row],[ASSLY MARK]],PartList[[#This Row],[BOX NO]],PartList[[#This Row],[In/Out]],PartList[[#This Row],[O2-Grid]])</f>
        <v>4BE30#Box2#InB</v>
      </c>
      <c r="O832">
        <f>IF(PartList[[#This Row],[Unique]]="Yes",_xlfn.XLOOKUP(PartList[[#This Row],[ASSLY MARK]],FilteredPL!A:A,FilteredPL!B:B,0,0),0)</f>
        <v>0</v>
      </c>
      <c r="P832">
        <f>_xlfn.XLOOKUP(PartList[[#This Row],[ASSLY MARK]],MasterPL[SplitMarkNo],MasterPL[BILL WT.(KG)],0,0)</f>
        <v>0</v>
      </c>
      <c r="Q832" cm="1">
        <f t="array" ref="Q83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32" t="str">
        <v>VB88</v>
      </c>
      <c r="AB832" s="42">
        <f>SUMIF(PartList[ASSLY MARK],AA832,PartList[Avail. Qty])</f>
        <v>0</v>
      </c>
    </row>
    <row r="833" spans="1:28" x14ac:dyDescent="0.25">
      <c r="A833">
        <v>511</v>
      </c>
      <c r="B833" t="s">
        <v>766</v>
      </c>
      <c r="C833" t="s">
        <v>520</v>
      </c>
      <c r="D833" t="s">
        <v>736</v>
      </c>
      <c r="E833" t="s">
        <v>5</v>
      </c>
      <c r="F833" t="str" cm="1">
        <f t="array" ref="F833">IF(SUM(IF(PartList[ASSLY MARK]=PartList[[#This Row],[ASSLY MARK]],1,0))&gt;1,"No","Yes")</f>
        <v>Yes</v>
      </c>
      <c r="G833" t="str" cm="1">
        <f t="array" ref="G833">_xlfn.TEXTJOIN("_",TRUE,TRIM(_xlfn.TEXTSPLIT(PartList[[#This Row],[GRID LOCATION]],{"PR01","/","-"})))</f>
        <v>13_A_B</v>
      </c>
      <c r="H833" t="str" cm="1">
        <f t="array" ref="H83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33" cm="1">
        <f t="array" ref="I83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33" t="str">
        <f>IF(IFERROR(SEARCH("&gt;",PartList[[#This Row],[ID]]),0),"O",IF(IFERROR(SEARCH("&lt;",PartList[[#This Row],[ID]]),0),"I",""))</f>
        <v/>
      </c>
      <c r="K833" t="str" cm="1">
        <f t="array" ref="K8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13_A_B</v>
      </c>
      <c r="L833" t="str" cm="1">
        <f t="array" ref="L8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33" t="str">
        <f>_xlfn.TEXTJOIN("#",TRUE,PartList[[#This Row],[ASSLY MARK]],PartList[[#This Row],[BOX NO]],PartList[[#This Row],[In/Out]],PartList[[#This Row],[O1-Grid]])</f>
        <v>4BE31#Box2#13_A_B</v>
      </c>
      <c r="N833" t="str">
        <f>_xlfn.TEXTJOIN("#",TRUE,PartList[[#This Row],[ASSLY MARK]],PartList[[#This Row],[BOX NO]],PartList[[#This Row],[In/Out]],PartList[[#This Row],[O2-Grid]])</f>
        <v>4BE31#Box2#InB</v>
      </c>
      <c r="O833">
        <f>IF(PartList[[#This Row],[Unique]]="Yes",_xlfn.XLOOKUP(PartList[[#This Row],[ASSLY MARK]],FilteredPL!A:A,FilteredPL!B:B,0,0),0)</f>
        <v>0</v>
      </c>
      <c r="P833">
        <f>_xlfn.XLOOKUP(PartList[[#This Row],[ASSLY MARK]],MasterPL[SplitMarkNo],MasterPL[BILL WT.(KG)],0,0)</f>
        <v>0</v>
      </c>
      <c r="Q833" cm="1">
        <f t="array" ref="Q83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33" t="str">
        <v>VB89</v>
      </c>
      <c r="AB833" s="42">
        <f>SUMIF(PartList[ASSLY MARK],AA833,PartList[Avail. Qty])</f>
        <v>0</v>
      </c>
    </row>
    <row r="834" spans="1:28" x14ac:dyDescent="0.25">
      <c r="A834">
        <v>512</v>
      </c>
      <c r="B834" t="s">
        <v>767</v>
      </c>
      <c r="C834" t="s">
        <v>598</v>
      </c>
      <c r="D834" t="s">
        <v>307</v>
      </c>
      <c r="E834" t="s">
        <v>5</v>
      </c>
      <c r="F834" t="str" cm="1">
        <f t="array" ref="F834">IF(SUM(IF(PartList[ASSLY MARK]=PartList[[#This Row],[ASSLY MARK]],1,0))&gt;1,"No","Yes")</f>
        <v>Yes</v>
      </c>
      <c r="G834" t="str" cm="1">
        <f t="array" ref="G834">_xlfn.TEXTJOIN("_",TRUE,TRIM(_xlfn.TEXTSPLIT(PartList[[#This Row],[GRID LOCATION]],{"PR01","/","-"})))</f>
        <v>13_B&gt;</v>
      </c>
      <c r="H834" t="str" cm="1">
        <f t="array" ref="H83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34" cm="1">
        <f t="array" ref="I83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34" t="str">
        <f>IF(IFERROR(SEARCH("&gt;",PartList[[#This Row],[ID]]),0),"O",IF(IFERROR(SEARCH("&lt;",PartList[[#This Row],[ID]]),0),"I",""))</f>
        <v>O</v>
      </c>
      <c r="K834" t="str" cm="1">
        <f t="array" ref="K8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834" t="str" cm="1">
        <f t="array" ref="L8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834" t="str">
        <f>_xlfn.TEXTJOIN("#",TRUE,PartList[[#This Row],[ASSLY MARK]],PartList[[#This Row],[BOX NO]],PartList[[#This Row],[In/Out]],PartList[[#This Row],[O1-Grid]])</f>
        <v>4BE32#Box2#O</v>
      </c>
      <c r="N834" t="str">
        <f>_xlfn.TEXTJOIN("#",TRUE,PartList[[#This Row],[ASSLY MARK]],PartList[[#This Row],[BOX NO]],PartList[[#This Row],[In/Out]],PartList[[#This Row],[O2-Grid]])</f>
        <v>4BE32#Box2#O</v>
      </c>
      <c r="O834">
        <f>IF(PartList[[#This Row],[Unique]]="Yes",_xlfn.XLOOKUP(PartList[[#This Row],[ASSLY MARK]],FilteredPL!A:A,FilteredPL!B:B,0,0),0)</f>
        <v>0</v>
      </c>
      <c r="P834">
        <f>_xlfn.XLOOKUP(PartList[[#This Row],[ASSLY MARK]],MasterPL[SplitMarkNo],MasterPL[BILL WT.(KG)],0,0)</f>
        <v>0</v>
      </c>
      <c r="Q834" cm="1">
        <f t="array" ref="Q83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34" t="str">
        <v>VB90</v>
      </c>
      <c r="AB834" s="42">
        <f>SUMIF(PartList[ASSLY MARK],AA834,PartList[Avail. Qty])</f>
        <v>0</v>
      </c>
    </row>
    <row r="835" spans="1:28" x14ac:dyDescent="0.25">
      <c r="A835">
        <v>513</v>
      </c>
      <c r="B835" t="s">
        <v>768</v>
      </c>
      <c r="C835" t="s">
        <v>609</v>
      </c>
      <c r="D835" t="s">
        <v>736</v>
      </c>
      <c r="E835" t="s">
        <v>5</v>
      </c>
      <c r="F835" t="str" cm="1">
        <f t="array" ref="F835">IF(SUM(IF(PartList[ASSLY MARK]=PartList[[#This Row],[ASSLY MARK]],1,0))&gt;1,"No","Yes")</f>
        <v>Yes</v>
      </c>
      <c r="G835" t="str" cm="1">
        <f t="array" ref="G835">_xlfn.TEXTJOIN("_",TRUE,TRIM(_xlfn.TEXTSPLIT(PartList[[#This Row],[GRID LOCATION]],{"PR01","/","-"})))</f>
        <v>13_14_A</v>
      </c>
      <c r="H835" t="str" cm="1">
        <f t="array" ref="H83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35" cm="1">
        <f t="array" ref="I83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35" t="str">
        <f>IF(IFERROR(SEARCH("&gt;",PartList[[#This Row],[ID]]),0),"O",IF(IFERROR(SEARCH("&lt;",PartList[[#This Row],[ID]]),0),"I",""))</f>
        <v/>
      </c>
      <c r="K835" t="str" cm="1">
        <f t="array" ref="K8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35" t="str" cm="1">
        <f t="array" ref="L8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13_14_A</v>
      </c>
      <c r="M835" t="str">
        <f>_xlfn.TEXTJOIN("#",TRUE,PartList[[#This Row],[ASSLY MARK]],PartList[[#This Row],[BOX NO]],PartList[[#This Row],[In/Out]],PartList[[#This Row],[O1-Grid]])</f>
        <v>4BE33#Box2#InB</v>
      </c>
      <c r="N835" t="str">
        <f>_xlfn.TEXTJOIN("#",TRUE,PartList[[#This Row],[ASSLY MARK]],PartList[[#This Row],[BOX NO]],PartList[[#This Row],[In/Out]],PartList[[#This Row],[O2-Grid]])</f>
        <v>4BE33#Box2#13_14_A</v>
      </c>
      <c r="O835">
        <f>IF(PartList[[#This Row],[Unique]]="Yes",_xlfn.XLOOKUP(PartList[[#This Row],[ASSLY MARK]],FilteredPL!A:A,FilteredPL!B:B,0,0),0)</f>
        <v>0</v>
      </c>
      <c r="P835">
        <f>_xlfn.XLOOKUP(PartList[[#This Row],[ASSLY MARK]],MasterPL[SplitMarkNo],MasterPL[BILL WT.(KG)],0,0)</f>
        <v>0</v>
      </c>
      <c r="Q835" cm="1">
        <f t="array" ref="Q83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35" t="str">
        <v>1BE84</v>
      </c>
      <c r="AB835" s="42">
        <f>SUMIF(PartList[ASSLY MARK],AA835,PartList[Avail. Qty])</f>
        <v>0</v>
      </c>
    </row>
    <row r="836" spans="1:28" x14ac:dyDescent="0.25">
      <c r="A836">
        <v>514</v>
      </c>
      <c r="B836" t="s">
        <v>769</v>
      </c>
      <c r="C836" t="s">
        <v>613</v>
      </c>
      <c r="D836" t="s">
        <v>736</v>
      </c>
      <c r="E836" t="s">
        <v>5</v>
      </c>
      <c r="F836" t="str" cm="1">
        <f t="array" ref="F836">IF(SUM(IF(PartList[ASSLY MARK]=PartList[[#This Row],[ASSLY MARK]],1,0))&gt;1,"No","Yes")</f>
        <v>Yes</v>
      </c>
      <c r="G836" t="str" cm="1">
        <f t="array" ref="G836">_xlfn.TEXTJOIN("_",TRUE,TRIM(_xlfn.TEXTSPLIT(PartList[[#This Row],[GRID LOCATION]],{"PR01","/","-"})))</f>
        <v>13_14_B</v>
      </c>
      <c r="H836" t="str" cm="1">
        <f t="array" ref="H83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36" cm="1">
        <f t="array" ref="I83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36" t="str">
        <f>IF(IFERROR(SEARCH("&gt;",PartList[[#This Row],[ID]]),0),"O",IF(IFERROR(SEARCH("&lt;",PartList[[#This Row],[ID]]),0),"I",""))</f>
        <v/>
      </c>
      <c r="K836" t="str" cm="1">
        <f t="array" ref="K8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36" t="str" cm="1">
        <f t="array" ref="L8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13_14_B</v>
      </c>
      <c r="M836" t="str">
        <f>_xlfn.TEXTJOIN("#",TRUE,PartList[[#This Row],[ASSLY MARK]],PartList[[#This Row],[BOX NO]],PartList[[#This Row],[In/Out]],PartList[[#This Row],[O1-Grid]])</f>
        <v>4BE34#Box2#InB</v>
      </c>
      <c r="N836" t="str">
        <f>_xlfn.TEXTJOIN("#",TRUE,PartList[[#This Row],[ASSLY MARK]],PartList[[#This Row],[BOX NO]],PartList[[#This Row],[In/Out]],PartList[[#This Row],[O2-Grid]])</f>
        <v>4BE34#Box2#13_14_B</v>
      </c>
      <c r="O836">
        <f>IF(PartList[[#This Row],[Unique]]="Yes",_xlfn.XLOOKUP(PartList[[#This Row],[ASSLY MARK]],FilteredPL!A:A,FilteredPL!B:B,0,0),0)</f>
        <v>0</v>
      </c>
      <c r="P836">
        <f>_xlfn.XLOOKUP(PartList[[#This Row],[ASSLY MARK]],MasterPL[SplitMarkNo],MasterPL[BILL WT.(KG)],0,0)</f>
        <v>0</v>
      </c>
      <c r="Q836" cm="1">
        <f t="array" ref="Q83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36" t="str">
        <v>1BE91</v>
      </c>
      <c r="AB836" s="42">
        <f>SUMIF(PartList[ASSLY MARK],AA836,PartList[Avail. Qty])</f>
        <v>0</v>
      </c>
    </row>
    <row r="837" spans="1:28" x14ac:dyDescent="0.25">
      <c r="A837">
        <v>515</v>
      </c>
      <c r="B837" t="s">
        <v>770</v>
      </c>
      <c r="C837" t="s">
        <v>600</v>
      </c>
      <c r="D837" t="s">
        <v>307</v>
      </c>
      <c r="E837" t="s">
        <v>5</v>
      </c>
      <c r="F837" t="str" cm="1">
        <f t="array" ref="F837">IF(SUM(IF(PartList[ASSLY MARK]=PartList[[#This Row],[ASSLY MARK]],1,0))&gt;1,"No","Yes")</f>
        <v>Yes</v>
      </c>
      <c r="G837" t="str" cm="1">
        <f t="array" ref="G837">_xlfn.TEXTJOIN("_",TRUE,TRIM(_xlfn.TEXTSPLIT(PartList[[#This Row],[GRID LOCATION]],{"PR01","/","-"})))</f>
        <v>13_14_A"_A</v>
      </c>
      <c r="H837" t="str" cm="1">
        <f t="array" ref="H83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837" cm="1">
        <f t="array" ref="I83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37" t="str">
        <f>IF(IFERROR(SEARCH("&gt;",PartList[[#This Row],[ID]]),0),"O",IF(IFERROR(SEARCH("&lt;",PartList[[#This Row],[ID]]),0),"I",""))</f>
        <v/>
      </c>
      <c r="K837" t="str" cm="1">
        <f t="array" ref="K8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37" t="str" cm="1">
        <f t="array" ref="L8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37" t="str">
        <f>_xlfn.TEXTJOIN("#",TRUE,PartList[[#This Row],[ASSLY MARK]],PartList[[#This Row],[BOX NO]],PartList[[#This Row],[In/Out]],PartList[[#This Row],[O1-Grid]])</f>
        <v>4BE35#Box2_Box5_Box6#InBB</v>
      </c>
      <c r="N837" t="str">
        <f>_xlfn.TEXTJOIN("#",TRUE,PartList[[#This Row],[ASSLY MARK]],PartList[[#This Row],[BOX NO]],PartList[[#This Row],[In/Out]],PartList[[#This Row],[O2-Grid]])</f>
        <v>4BE35#Box2_Box5_Box6#InBB</v>
      </c>
      <c r="O837">
        <f>IF(PartList[[#This Row],[Unique]]="Yes",_xlfn.XLOOKUP(PartList[[#This Row],[ASSLY MARK]],FilteredPL!A:A,FilteredPL!B:B,0,0),0)</f>
        <v>0</v>
      </c>
      <c r="P837">
        <f>_xlfn.XLOOKUP(PartList[[#This Row],[ASSLY MARK]],MasterPL[SplitMarkNo],MasterPL[BILL WT.(KG)],0,0)</f>
        <v>0</v>
      </c>
      <c r="Q837" cm="1">
        <f t="array" ref="Q83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37" t="str">
        <v>1BE92</v>
      </c>
      <c r="AB837" s="42">
        <f>SUMIF(PartList[ASSLY MARK],AA837,PartList[Avail. Qty])</f>
        <v>0</v>
      </c>
    </row>
    <row r="838" spans="1:28" x14ac:dyDescent="0.25">
      <c r="A838">
        <v>518</v>
      </c>
      <c r="B838" t="s">
        <v>773</v>
      </c>
      <c r="C838" t="s">
        <v>602</v>
      </c>
      <c r="D838" t="s">
        <v>307</v>
      </c>
      <c r="E838" t="s">
        <v>5</v>
      </c>
      <c r="F838" t="str" cm="1">
        <f t="array" ref="F838">IF(SUM(IF(PartList[ASSLY MARK]=PartList[[#This Row],[ASSLY MARK]],1,0))&gt;1,"No","Yes")</f>
        <v>Yes</v>
      </c>
      <c r="G838" t="str" cm="1">
        <f t="array" ref="G838">_xlfn.TEXTJOIN("_",TRUE,TRIM(_xlfn.TEXTSPLIT(PartList[[#This Row],[GRID LOCATION]],{"PR01","/","-"})))</f>
        <v>13_14_A_B</v>
      </c>
      <c r="H838" t="str" cm="1">
        <f t="array" ref="H83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38" cm="1">
        <f t="array" ref="I83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38" t="str">
        <f>IF(IFERROR(SEARCH("&gt;",PartList[[#This Row],[ID]]),0),"O",IF(IFERROR(SEARCH("&lt;",PartList[[#This Row],[ID]]),0),"I",""))</f>
        <v/>
      </c>
      <c r="K838" t="str" cm="1">
        <f t="array" ref="K8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38" t="str" cm="1">
        <f t="array" ref="L8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38" t="str">
        <f>_xlfn.TEXTJOIN("#",TRUE,PartList[[#This Row],[ASSLY MARK]],PartList[[#This Row],[BOX NO]],PartList[[#This Row],[In/Out]],PartList[[#This Row],[O1-Grid]])</f>
        <v>4BE38#Box2#InB</v>
      </c>
      <c r="N838" t="str">
        <f>_xlfn.TEXTJOIN("#",TRUE,PartList[[#This Row],[ASSLY MARK]],PartList[[#This Row],[BOX NO]],PartList[[#This Row],[In/Out]],PartList[[#This Row],[O2-Grid]])</f>
        <v>4BE38#Box2#InB</v>
      </c>
      <c r="O838">
        <f>IF(PartList[[#This Row],[Unique]]="Yes",_xlfn.XLOOKUP(PartList[[#This Row],[ASSLY MARK]],FilteredPL!A:A,FilteredPL!B:B,0,0),0)</f>
        <v>0</v>
      </c>
      <c r="P838">
        <f>_xlfn.XLOOKUP(PartList[[#This Row],[ASSLY MARK]],MasterPL[SplitMarkNo],MasterPL[BILL WT.(KG)],0,0)</f>
        <v>0</v>
      </c>
      <c r="Q838" cm="1">
        <f t="array" ref="Q83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38" t="str">
        <v>1BE93</v>
      </c>
      <c r="AB838" s="42">
        <f>SUMIF(PartList[ASSLY MARK],AA838,PartList[Avail. Qty])</f>
        <v>0</v>
      </c>
    </row>
    <row r="839" spans="1:28" x14ac:dyDescent="0.25">
      <c r="A839">
        <v>519</v>
      </c>
      <c r="B839" t="s">
        <v>774</v>
      </c>
      <c r="C839" t="s">
        <v>602</v>
      </c>
      <c r="D839" t="s">
        <v>307</v>
      </c>
      <c r="E839" t="s">
        <v>5</v>
      </c>
      <c r="F839" t="str" cm="1">
        <f t="array" ref="F839">IF(SUM(IF(PartList[ASSLY MARK]=PartList[[#This Row],[ASSLY MARK]],1,0))&gt;1,"No","Yes")</f>
        <v>Yes</v>
      </c>
      <c r="G839" t="str" cm="1">
        <f t="array" ref="G839">_xlfn.TEXTJOIN("_",TRUE,TRIM(_xlfn.TEXTSPLIT(PartList[[#This Row],[GRID LOCATION]],{"PR01","/","-"})))</f>
        <v>13_14_A_B</v>
      </c>
      <c r="H839" t="str" cm="1">
        <f t="array" ref="H83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39" cm="1">
        <f t="array" ref="I83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39" t="str">
        <f>IF(IFERROR(SEARCH("&gt;",PartList[[#This Row],[ID]]),0),"O",IF(IFERROR(SEARCH("&lt;",PartList[[#This Row],[ID]]),0),"I",""))</f>
        <v/>
      </c>
      <c r="K839" t="str" cm="1">
        <f t="array" ref="K8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39" t="str" cm="1">
        <f t="array" ref="L8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39" t="str">
        <f>_xlfn.TEXTJOIN("#",TRUE,PartList[[#This Row],[ASSLY MARK]],PartList[[#This Row],[BOX NO]],PartList[[#This Row],[In/Out]],PartList[[#This Row],[O1-Grid]])</f>
        <v>4BE39#Box2#InB</v>
      </c>
      <c r="N839" t="str">
        <f>_xlfn.TEXTJOIN("#",TRUE,PartList[[#This Row],[ASSLY MARK]],PartList[[#This Row],[BOX NO]],PartList[[#This Row],[In/Out]],PartList[[#This Row],[O2-Grid]])</f>
        <v>4BE39#Box2#InB</v>
      </c>
      <c r="O839">
        <f>IF(PartList[[#This Row],[Unique]]="Yes",_xlfn.XLOOKUP(PartList[[#This Row],[ASSLY MARK]],FilteredPL!A:A,FilteredPL!B:B,0,0),0)</f>
        <v>0</v>
      </c>
      <c r="P839">
        <f>_xlfn.XLOOKUP(PartList[[#This Row],[ASSLY MARK]],MasterPL[SplitMarkNo],MasterPL[BILL WT.(KG)],0,0)</f>
        <v>0</v>
      </c>
      <c r="Q839" cm="1">
        <f t="array" ref="Q83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39" t="str">
        <v>2BE48</v>
      </c>
      <c r="AB839" s="42">
        <f>SUMIF(PartList[ASSLY MARK],AA839,PartList[Avail. Qty])</f>
        <v>0</v>
      </c>
    </row>
    <row r="840" spans="1:28" x14ac:dyDescent="0.25">
      <c r="A840">
        <v>520</v>
      </c>
      <c r="B840" t="s">
        <v>775</v>
      </c>
      <c r="C840" t="s">
        <v>686</v>
      </c>
      <c r="D840" t="s">
        <v>307</v>
      </c>
      <c r="E840" t="s">
        <v>5</v>
      </c>
      <c r="F840" t="str" cm="1">
        <f t="array" ref="F840">IF(SUM(IF(PartList[ASSLY MARK]=PartList[[#This Row],[ASSLY MARK]],1,0))&gt;1,"No","Yes")</f>
        <v>Yes</v>
      </c>
      <c r="G840" t="str" cm="1">
        <f t="array" ref="G840">_xlfn.TEXTJOIN("_",TRUE,TRIM(_xlfn.TEXTSPLIT(PartList[[#This Row],[GRID LOCATION]],{"PR01","/","-"})))</f>
        <v>13_14_B&gt;</v>
      </c>
      <c r="H840" t="str" cm="1">
        <f t="array" ref="H84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40" cm="1">
        <f t="array" ref="I84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40" t="str">
        <f>IF(IFERROR(SEARCH("&gt;",PartList[[#This Row],[ID]]),0),"O",IF(IFERROR(SEARCH("&lt;",PartList[[#This Row],[ID]]),0),"I",""))</f>
        <v>O</v>
      </c>
      <c r="K840" t="str" cm="1">
        <f t="array" ref="K8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840" t="str" cm="1">
        <f t="array" ref="L8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840" t="str">
        <f>_xlfn.TEXTJOIN("#",TRUE,PartList[[#This Row],[ASSLY MARK]],PartList[[#This Row],[BOX NO]],PartList[[#This Row],[In/Out]],PartList[[#This Row],[O1-Grid]])</f>
        <v>4BE40#Box2#O</v>
      </c>
      <c r="N840" t="str">
        <f>_xlfn.TEXTJOIN("#",TRUE,PartList[[#This Row],[ASSLY MARK]],PartList[[#This Row],[BOX NO]],PartList[[#This Row],[In/Out]],PartList[[#This Row],[O2-Grid]])</f>
        <v>4BE40#Box2#O</v>
      </c>
      <c r="O840">
        <f>IF(PartList[[#This Row],[Unique]]="Yes",_xlfn.XLOOKUP(PartList[[#This Row],[ASSLY MARK]],FilteredPL!A:A,FilteredPL!B:B,0,0),0)</f>
        <v>0</v>
      </c>
      <c r="P840">
        <f>_xlfn.XLOOKUP(PartList[[#This Row],[ASSLY MARK]],MasterPL[SplitMarkNo],MasterPL[BILL WT.(KG)],0,0)</f>
        <v>0</v>
      </c>
      <c r="Q840" cm="1">
        <f t="array" ref="Q84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40" t="str">
        <v>2BE49</v>
      </c>
      <c r="AB840" s="42">
        <f>SUMIF(PartList[ASSLY MARK],AA840,PartList[Avail. Qty])</f>
        <v>0</v>
      </c>
    </row>
    <row r="841" spans="1:28" x14ac:dyDescent="0.25">
      <c r="A841">
        <v>522</v>
      </c>
      <c r="B841" t="s">
        <v>777</v>
      </c>
      <c r="C841" t="s">
        <v>609</v>
      </c>
      <c r="D841" t="s">
        <v>307</v>
      </c>
      <c r="E841" t="s">
        <v>5</v>
      </c>
      <c r="F841" t="str" cm="1">
        <f t="array" ref="F841">IF(SUM(IF(PartList[ASSLY MARK]=PartList[[#This Row],[ASSLY MARK]],1,0))&gt;1,"No","Yes")</f>
        <v>Yes</v>
      </c>
      <c r="G841" t="str" cm="1">
        <f t="array" ref="G841">_xlfn.TEXTJOIN("_",TRUE,TRIM(_xlfn.TEXTSPLIT(PartList[[#This Row],[GRID LOCATION]],{"PR01","/","-"})))</f>
        <v>13_14_A</v>
      </c>
      <c r="H841" t="str" cm="1">
        <f t="array" ref="H84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41" cm="1">
        <f t="array" ref="I84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41" t="str">
        <f>IF(IFERROR(SEARCH("&gt;",PartList[[#This Row],[ID]]),0),"O",IF(IFERROR(SEARCH("&lt;",PartList[[#This Row],[ID]]),0),"I",""))</f>
        <v/>
      </c>
      <c r="K841" t="str" cm="1">
        <f t="array" ref="K8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41" t="str" cm="1">
        <f t="array" ref="L8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13_14_A</v>
      </c>
      <c r="M841" t="str">
        <f>_xlfn.TEXTJOIN("#",TRUE,PartList[[#This Row],[ASSLY MARK]],PartList[[#This Row],[BOX NO]],PartList[[#This Row],[In/Out]],PartList[[#This Row],[O1-Grid]])</f>
        <v>4BE42#Box2#InB</v>
      </c>
      <c r="N841" t="str">
        <f>_xlfn.TEXTJOIN("#",TRUE,PartList[[#This Row],[ASSLY MARK]],PartList[[#This Row],[BOX NO]],PartList[[#This Row],[In/Out]],PartList[[#This Row],[O2-Grid]])</f>
        <v>4BE42#Box2#13_14_A</v>
      </c>
      <c r="O841">
        <f>IF(PartList[[#This Row],[Unique]]="Yes",_xlfn.XLOOKUP(PartList[[#This Row],[ASSLY MARK]],FilteredPL!A:A,FilteredPL!B:B,0,0),0)</f>
        <v>0</v>
      </c>
      <c r="P841">
        <f>_xlfn.XLOOKUP(PartList[[#This Row],[ASSLY MARK]],MasterPL[SplitMarkNo],MasterPL[BILL WT.(KG)],0,0)</f>
        <v>0</v>
      </c>
      <c r="Q841" cm="1">
        <f t="array" ref="Q84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41" t="str">
        <v>3BE54</v>
      </c>
      <c r="AB841" s="42">
        <f>SUMIF(PartList[ASSLY MARK],AA841,PartList[Avail. Qty])</f>
        <v>0</v>
      </c>
    </row>
    <row r="842" spans="1:28" x14ac:dyDescent="0.25">
      <c r="A842">
        <v>523</v>
      </c>
      <c r="B842" t="s">
        <v>778</v>
      </c>
      <c r="C842" t="s">
        <v>613</v>
      </c>
      <c r="D842" t="s">
        <v>307</v>
      </c>
      <c r="E842" t="s">
        <v>5</v>
      </c>
      <c r="F842" t="str" cm="1">
        <f t="array" ref="F842">IF(SUM(IF(PartList[ASSLY MARK]=PartList[[#This Row],[ASSLY MARK]],1,0))&gt;1,"No","Yes")</f>
        <v>Yes</v>
      </c>
      <c r="G842" t="str" cm="1">
        <f t="array" ref="G842">_xlfn.TEXTJOIN("_",TRUE,TRIM(_xlfn.TEXTSPLIT(PartList[[#This Row],[GRID LOCATION]],{"PR01","/","-"})))</f>
        <v>13_14_B</v>
      </c>
      <c r="H842" t="str" cm="1">
        <f t="array" ref="H84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42" cm="1">
        <f t="array" ref="I84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42" t="str">
        <f>IF(IFERROR(SEARCH("&gt;",PartList[[#This Row],[ID]]),0),"O",IF(IFERROR(SEARCH("&lt;",PartList[[#This Row],[ID]]),0),"I",""))</f>
        <v/>
      </c>
      <c r="K842" t="str" cm="1">
        <f t="array" ref="K8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42" t="str" cm="1">
        <f t="array" ref="L8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13_14_B</v>
      </c>
      <c r="M842" t="str">
        <f>_xlfn.TEXTJOIN("#",TRUE,PartList[[#This Row],[ASSLY MARK]],PartList[[#This Row],[BOX NO]],PartList[[#This Row],[In/Out]],PartList[[#This Row],[O1-Grid]])</f>
        <v>4BE43#Box2#InB</v>
      </c>
      <c r="N842" t="str">
        <f>_xlfn.TEXTJOIN("#",TRUE,PartList[[#This Row],[ASSLY MARK]],PartList[[#This Row],[BOX NO]],PartList[[#This Row],[In/Out]],PartList[[#This Row],[O2-Grid]])</f>
        <v>4BE43#Box2#13_14_B</v>
      </c>
      <c r="O842">
        <f>IF(PartList[[#This Row],[Unique]]="Yes",_xlfn.XLOOKUP(PartList[[#This Row],[ASSLY MARK]],FilteredPL!A:A,FilteredPL!B:B,0,0),0)</f>
        <v>0</v>
      </c>
      <c r="P842">
        <f>_xlfn.XLOOKUP(PartList[[#This Row],[ASSLY MARK]],MasterPL[SplitMarkNo],MasterPL[BILL WT.(KG)],0,0)</f>
        <v>0</v>
      </c>
      <c r="Q842" cm="1">
        <f t="array" ref="Q84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42" t="str">
        <v>4BE28</v>
      </c>
      <c r="AB842" s="42">
        <f>SUMIF(PartList[ASSLY MARK],AA842,PartList[Avail. Qty])</f>
        <v>0</v>
      </c>
    </row>
    <row r="843" spans="1:28" x14ac:dyDescent="0.25">
      <c r="A843">
        <v>524</v>
      </c>
      <c r="B843" t="s">
        <v>779</v>
      </c>
      <c r="C843" t="s">
        <v>602</v>
      </c>
      <c r="D843" t="s">
        <v>307</v>
      </c>
      <c r="E843" t="s">
        <v>5</v>
      </c>
      <c r="F843" t="str" cm="1">
        <f t="array" ref="F843">IF(SUM(IF(PartList[ASSLY MARK]=PartList[[#This Row],[ASSLY MARK]],1,0))&gt;1,"No","Yes")</f>
        <v>Yes</v>
      </c>
      <c r="G843" t="str" cm="1">
        <f t="array" ref="G843">_xlfn.TEXTJOIN("_",TRUE,TRIM(_xlfn.TEXTSPLIT(PartList[[#This Row],[GRID LOCATION]],{"PR01","/","-"})))</f>
        <v>13_14_A_B</v>
      </c>
      <c r="H843" t="str" cm="1">
        <f t="array" ref="H84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43" cm="1">
        <f t="array" ref="I84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43" t="str">
        <f>IF(IFERROR(SEARCH("&gt;",PartList[[#This Row],[ID]]),0),"O",IF(IFERROR(SEARCH("&lt;",PartList[[#This Row],[ID]]),0),"I",""))</f>
        <v/>
      </c>
      <c r="K843" t="str" cm="1">
        <f t="array" ref="K8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43" t="str" cm="1">
        <f t="array" ref="L8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43" t="str">
        <f>_xlfn.TEXTJOIN("#",TRUE,PartList[[#This Row],[ASSLY MARK]],PartList[[#This Row],[BOX NO]],PartList[[#This Row],[In/Out]],PartList[[#This Row],[O1-Grid]])</f>
        <v>4BE44#Box2#InB</v>
      </c>
      <c r="N843" t="str">
        <f>_xlfn.TEXTJOIN("#",TRUE,PartList[[#This Row],[ASSLY MARK]],PartList[[#This Row],[BOX NO]],PartList[[#This Row],[In/Out]],PartList[[#This Row],[O2-Grid]])</f>
        <v>4BE44#Box2#InB</v>
      </c>
      <c r="O843">
        <f>IF(PartList[[#This Row],[Unique]]="Yes",_xlfn.XLOOKUP(PartList[[#This Row],[ASSLY MARK]],FilteredPL!A:A,FilteredPL!B:B,0,0),0)</f>
        <v>0</v>
      </c>
      <c r="P843">
        <f>_xlfn.XLOOKUP(PartList[[#This Row],[ASSLY MARK]],MasterPL[SplitMarkNo],MasterPL[BILL WT.(KG)],0,0)</f>
        <v>0</v>
      </c>
      <c r="Q843" cm="1">
        <f t="array" ref="Q84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43" t="str">
        <v>4BE41</v>
      </c>
      <c r="AB843" s="42">
        <f>SUMIF(PartList[ASSLY MARK],AA843,PartList[Avail. Qty])</f>
        <v>0</v>
      </c>
    </row>
    <row r="844" spans="1:28" x14ac:dyDescent="0.25">
      <c r="A844">
        <v>525</v>
      </c>
      <c r="B844" t="s">
        <v>780</v>
      </c>
      <c r="C844" t="s">
        <v>602</v>
      </c>
      <c r="D844" t="s">
        <v>307</v>
      </c>
      <c r="E844" t="s">
        <v>5</v>
      </c>
      <c r="F844" t="str" cm="1">
        <f t="array" ref="F844">IF(SUM(IF(PartList[ASSLY MARK]=PartList[[#This Row],[ASSLY MARK]],1,0))&gt;1,"No","Yes")</f>
        <v>Yes</v>
      </c>
      <c r="G844" t="str" cm="1">
        <f t="array" ref="G844">_xlfn.TEXTJOIN("_",TRUE,TRIM(_xlfn.TEXTSPLIT(PartList[[#This Row],[GRID LOCATION]],{"PR01","/","-"})))</f>
        <v>13_14_A_B</v>
      </c>
      <c r="H844" t="str" cm="1">
        <f t="array" ref="H84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44" cm="1">
        <f t="array" ref="I84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44" t="str">
        <f>IF(IFERROR(SEARCH("&gt;",PartList[[#This Row],[ID]]),0),"O",IF(IFERROR(SEARCH("&lt;",PartList[[#This Row],[ID]]),0),"I",""))</f>
        <v/>
      </c>
      <c r="K844" t="str" cm="1">
        <f t="array" ref="K8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44" t="str" cm="1">
        <f t="array" ref="L8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44" t="str">
        <f>_xlfn.TEXTJOIN("#",TRUE,PartList[[#This Row],[ASSLY MARK]],PartList[[#This Row],[BOX NO]],PartList[[#This Row],[In/Out]],PartList[[#This Row],[O1-Grid]])</f>
        <v>4BE45#Box2#InB</v>
      </c>
      <c r="N844" t="str">
        <f>_xlfn.TEXTJOIN("#",TRUE,PartList[[#This Row],[ASSLY MARK]],PartList[[#This Row],[BOX NO]],PartList[[#This Row],[In/Out]],PartList[[#This Row],[O2-Grid]])</f>
        <v>4BE45#Box2#InB</v>
      </c>
      <c r="O844">
        <f>IF(PartList[[#This Row],[Unique]]="Yes",_xlfn.XLOOKUP(PartList[[#This Row],[ASSLY MARK]],FilteredPL!A:A,FilteredPL!B:B,0,0),0)</f>
        <v>0</v>
      </c>
      <c r="P844">
        <f>_xlfn.XLOOKUP(PartList[[#This Row],[ASSLY MARK]],MasterPL[SplitMarkNo],MasterPL[BILL WT.(KG)],0,0)</f>
        <v>0</v>
      </c>
      <c r="Q844" cm="1">
        <f t="array" ref="Q84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44" t="str">
        <v>6BE70</v>
      </c>
      <c r="AB844" s="42">
        <f>SUMIF(PartList[ASSLY MARK],AA844,PartList[Avail. Qty])</f>
        <v>0</v>
      </c>
    </row>
    <row r="845" spans="1:28" x14ac:dyDescent="0.25">
      <c r="A845">
        <v>526</v>
      </c>
      <c r="B845" t="s">
        <v>781</v>
      </c>
      <c r="C845" t="s">
        <v>602</v>
      </c>
      <c r="D845" t="s">
        <v>307</v>
      </c>
      <c r="E845" t="s">
        <v>5</v>
      </c>
      <c r="F845" t="str" cm="1">
        <f t="array" ref="F845">IF(SUM(IF(PartList[ASSLY MARK]=PartList[[#This Row],[ASSLY MARK]],1,0))&gt;1,"No","Yes")</f>
        <v>Yes</v>
      </c>
      <c r="G845" t="str" cm="1">
        <f t="array" ref="G845">_xlfn.TEXTJOIN("_",TRUE,TRIM(_xlfn.TEXTSPLIT(PartList[[#This Row],[GRID LOCATION]],{"PR01","/","-"})))</f>
        <v>13_14_A_B</v>
      </c>
      <c r="H845" t="str" cm="1">
        <f t="array" ref="H84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45" cm="1">
        <f t="array" ref="I84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45" t="str">
        <f>IF(IFERROR(SEARCH("&gt;",PartList[[#This Row],[ID]]),0),"O",IF(IFERROR(SEARCH("&lt;",PartList[[#This Row],[ID]]),0),"I",""))</f>
        <v/>
      </c>
      <c r="K845" t="str" cm="1">
        <f t="array" ref="K8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45" t="str" cm="1">
        <f t="array" ref="L8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45" t="str">
        <f>_xlfn.TEXTJOIN("#",TRUE,PartList[[#This Row],[ASSLY MARK]],PartList[[#This Row],[BOX NO]],PartList[[#This Row],[In/Out]],PartList[[#This Row],[O1-Grid]])</f>
        <v>4BE46#Box2#InB</v>
      </c>
      <c r="N845" t="str">
        <f>_xlfn.TEXTJOIN("#",TRUE,PartList[[#This Row],[ASSLY MARK]],PartList[[#This Row],[BOX NO]],PartList[[#This Row],[In/Out]],PartList[[#This Row],[O2-Grid]])</f>
        <v>4BE46#Box2#InB</v>
      </c>
      <c r="O845">
        <f>IF(PartList[[#This Row],[Unique]]="Yes",_xlfn.XLOOKUP(PartList[[#This Row],[ASSLY MARK]],FilteredPL!A:A,FilteredPL!B:B,0,0),0)</f>
        <v>0</v>
      </c>
      <c r="P845">
        <f>_xlfn.XLOOKUP(PartList[[#This Row],[ASSLY MARK]],MasterPL[SplitMarkNo],MasterPL[BILL WT.(KG)],0,0)</f>
        <v>0</v>
      </c>
      <c r="Q845" cm="1">
        <f t="array" ref="Q84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45" t="str">
        <v>6BE71</v>
      </c>
      <c r="AB845" s="42">
        <f>SUMIF(PartList[ASSLY MARK],AA845,PartList[Avail. Qty])</f>
        <v>0</v>
      </c>
    </row>
    <row r="846" spans="1:28" x14ac:dyDescent="0.25">
      <c r="A846">
        <v>527</v>
      </c>
      <c r="B846" t="s">
        <v>782</v>
      </c>
      <c r="C846" t="s">
        <v>602</v>
      </c>
      <c r="D846" t="s">
        <v>307</v>
      </c>
      <c r="E846" t="s">
        <v>5</v>
      </c>
      <c r="F846" t="str" cm="1">
        <f t="array" ref="F846">IF(SUM(IF(PartList[ASSLY MARK]=PartList[[#This Row],[ASSLY MARK]],1,0))&gt;1,"No","Yes")</f>
        <v>Yes</v>
      </c>
      <c r="G846" t="str" cm="1">
        <f t="array" ref="G846">_xlfn.TEXTJOIN("_",TRUE,TRIM(_xlfn.TEXTSPLIT(PartList[[#This Row],[GRID LOCATION]],{"PR01","/","-"})))</f>
        <v>13_14_A_B</v>
      </c>
      <c r="H846" t="str" cm="1">
        <f t="array" ref="H84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46" cm="1">
        <f t="array" ref="I84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46" t="str">
        <f>IF(IFERROR(SEARCH("&gt;",PartList[[#This Row],[ID]]),0),"O",IF(IFERROR(SEARCH("&lt;",PartList[[#This Row],[ID]]),0),"I",""))</f>
        <v/>
      </c>
      <c r="K846" t="str" cm="1">
        <f t="array" ref="K8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46" t="str" cm="1">
        <f t="array" ref="L8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46" t="str">
        <f>_xlfn.TEXTJOIN("#",TRUE,PartList[[#This Row],[ASSLY MARK]],PartList[[#This Row],[BOX NO]],PartList[[#This Row],[In/Out]],PartList[[#This Row],[O1-Grid]])</f>
        <v>4BE47#Box2#InB</v>
      </c>
      <c r="N846" t="str">
        <f>_xlfn.TEXTJOIN("#",TRUE,PartList[[#This Row],[ASSLY MARK]],PartList[[#This Row],[BOX NO]],PartList[[#This Row],[In/Out]],PartList[[#This Row],[O2-Grid]])</f>
        <v>4BE47#Box2#InB</v>
      </c>
      <c r="O846">
        <f>IF(PartList[[#This Row],[Unique]]="Yes",_xlfn.XLOOKUP(PartList[[#This Row],[ASSLY MARK]],FilteredPL!A:A,FilteredPL!B:B,0,0),0)</f>
        <v>0</v>
      </c>
      <c r="P846">
        <f>_xlfn.XLOOKUP(PartList[[#This Row],[ASSLY MARK]],MasterPL[SplitMarkNo],MasterPL[BILL WT.(KG)],0,0)</f>
        <v>0</v>
      </c>
      <c r="Q846" cm="1">
        <f t="array" ref="Q84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46" t="str">
        <v>C26</v>
      </c>
      <c r="AB846" s="42">
        <f>SUMIF(PartList[ASSLY MARK],AA846,PartList[Avail. Qty])</f>
        <v>0</v>
      </c>
    </row>
    <row r="847" spans="1:28" x14ac:dyDescent="0.25">
      <c r="A847">
        <v>528</v>
      </c>
      <c r="B847" t="s">
        <v>783</v>
      </c>
      <c r="C847" t="s">
        <v>638</v>
      </c>
      <c r="D847" t="s">
        <v>307</v>
      </c>
      <c r="E847" t="s">
        <v>5</v>
      </c>
      <c r="F847" t="str" cm="1">
        <f t="array" ref="F847">IF(SUM(IF(PartList[ASSLY MARK]=PartList[[#This Row],[ASSLY MARK]],1,0))&gt;1,"No","Yes")</f>
        <v>Yes</v>
      </c>
      <c r="G847" t="str" cm="1">
        <f t="array" ref="G847">_xlfn.TEXTJOIN("_",TRUE,TRIM(_xlfn.TEXTSPLIT(PartList[[#This Row],[GRID LOCATION]],{"PR01","/","-"})))</f>
        <v>13_14_A'_A</v>
      </c>
      <c r="H847" t="str" cm="1">
        <f t="array" ref="H84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847" cm="1">
        <f t="array" ref="I84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47" t="str">
        <f>IF(IFERROR(SEARCH("&gt;",PartList[[#This Row],[ID]]),0),"O",IF(IFERROR(SEARCH("&lt;",PartList[[#This Row],[ID]]),0),"I",""))</f>
        <v/>
      </c>
      <c r="K847" t="str" cm="1">
        <f t="array" ref="K8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47" t="str" cm="1">
        <f t="array" ref="L8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47" t="str">
        <f>_xlfn.TEXTJOIN("#",TRUE,PartList[[#This Row],[ASSLY MARK]],PartList[[#This Row],[BOX NO]],PartList[[#This Row],[In/Out]],PartList[[#This Row],[O1-Grid]])</f>
        <v>4BE48#Box2_Box5_Box6#InBB</v>
      </c>
      <c r="N847" t="str">
        <f>_xlfn.TEXTJOIN("#",TRUE,PartList[[#This Row],[ASSLY MARK]],PartList[[#This Row],[BOX NO]],PartList[[#This Row],[In/Out]],PartList[[#This Row],[O2-Grid]])</f>
        <v>4BE48#Box2_Box5_Box6#InBB</v>
      </c>
      <c r="O847">
        <f>IF(PartList[[#This Row],[Unique]]="Yes",_xlfn.XLOOKUP(PartList[[#This Row],[ASSLY MARK]],FilteredPL!A:A,FilteredPL!B:B,0,0),0)</f>
        <v>0</v>
      </c>
      <c r="P847">
        <f>_xlfn.XLOOKUP(PartList[[#This Row],[ASSLY MARK]],MasterPL[SplitMarkNo],MasterPL[BILL WT.(KG)],0,0)</f>
        <v>0</v>
      </c>
      <c r="Q847" cm="1">
        <f t="array" ref="Q84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47" t="str">
        <v>C27</v>
      </c>
      <c r="AB847" s="42">
        <f>SUMIF(PartList[ASSLY MARK],AA847,PartList[Avail. Qty])</f>
        <v>0</v>
      </c>
    </row>
    <row r="848" spans="1:28" x14ac:dyDescent="0.25">
      <c r="A848">
        <v>529</v>
      </c>
      <c r="B848" t="s">
        <v>784</v>
      </c>
      <c r="C848" t="s">
        <v>602</v>
      </c>
      <c r="D848" t="s">
        <v>307</v>
      </c>
      <c r="E848" t="s">
        <v>5</v>
      </c>
      <c r="F848" t="str" cm="1">
        <f t="array" ref="F848">IF(SUM(IF(PartList[ASSLY MARK]=PartList[[#This Row],[ASSLY MARK]],1,0))&gt;1,"No","Yes")</f>
        <v>Yes</v>
      </c>
      <c r="G848" t="str" cm="1">
        <f t="array" ref="G848">_xlfn.TEXTJOIN("_",TRUE,TRIM(_xlfn.TEXTSPLIT(PartList[[#This Row],[GRID LOCATION]],{"PR01","/","-"})))</f>
        <v>13_14_A_B</v>
      </c>
      <c r="H848" t="str" cm="1">
        <f t="array" ref="H84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48" cm="1">
        <f t="array" ref="I84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48" t="str">
        <f>IF(IFERROR(SEARCH("&gt;",PartList[[#This Row],[ID]]),0),"O",IF(IFERROR(SEARCH("&lt;",PartList[[#This Row],[ID]]),0),"I",""))</f>
        <v/>
      </c>
      <c r="K848" t="str" cm="1">
        <f t="array" ref="K8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48" t="str" cm="1">
        <f t="array" ref="L8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48" t="str">
        <f>_xlfn.TEXTJOIN("#",TRUE,PartList[[#This Row],[ASSLY MARK]],PartList[[#This Row],[BOX NO]],PartList[[#This Row],[In/Out]],PartList[[#This Row],[O1-Grid]])</f>
        <v>4BE49#Box2#InB</v>
      </c>
      <c r="N848" t="str">
        <f>_xlfn.TEXTJOIN("#",TRUE,PartList[[#This Row],[ASSLY MARK]],PartList[[#This Row],[BOX NO]],PartList[[#This Row],[In/Out]],PartList[[#This Row],[O2-Grid]])</f>
        <v>4BE49#Box2#InB</v>
      </c>
      <c r="O848">
        <f>IF(PartList[[#This Row],[Unique]]="Yes",_xlfn.XLOOKUP(PartList[[#This Row],[ASSLY MARK]],FilteredPL!A:A,FilteredPL!B:B,0,0),0)</f>
        <v>0</v>
      </c>
      <c r="P848">
        <f>_xlfn.XLOOKUP(PartList[[#This Row],[ASSLY MARK]],MasterPL[SplitMarkNo],MasterPL[BILL WT.(KG)],0,0)</f>
        <v>0</v>
      </c>
      <c r="Q848" cm="1">
        <f t="array" ref="Q84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48" t="str">
        <v>C34</v>
      </c>
      <c r="AB848" s="42">
        <f>SUMIF(PartList[ASSLY MARK],AA848,PartList[Avail. Qty])</f>
        <v>0</v>
      </c>
    </row>
    <row r="849" spans="1:28" x14ac:dyDescent="0.25">
      <c r="A849">
        <v>530</v>
      </c>
      <c r="B849" t="s">
        <v>785</v>
      </c>
      <c r="C849" t="s">
        <v>602</v>
      </c>
      <c r="D849" t="s">
        <v>307</v>
      </c>
      <c r="E849" t="s">
        <v>5</v>
      </c>
      <c r="F849" t="str" cm="1">
        <f t="array" ref="F849">IF(SUM(IF(PartList[ASSLY MARK]=PartList[[#This Row],[ASSLY MARK]],1,0))&gt;1,"No","Yes")</f>
        <v>Yes</v>
      </c>
      <c r="G849" t="str" cm="1">
        <f t="array" ref="G849">_xlfn.TEXTJOIN("_",TRUE,TRIM(_xlfn.TEXTSPLIT(PartList[[#This Row],[GRID LOCATION]],{"PR01","/","-"})))</f>
        <v>13_14_A_B</v>
      </c>
      <c r="H849" t="str" cm="1">
        <f t="array" ref="H84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49" cm="1">
        <f t="array" ref="I84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49" t="str">
        <f>IF(IFERROR(SEARCH("&gt;",PartList[[#This Row],[ID]]),0),"O",IF(IFERROR(SEARCH("&lt;",PartList[[#This Row],[ID]]),0),"I",""))</f>
        <v/>
      </c>
      <c r="K849" t="str" cm="1">
        <f t="array" ref="K8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49" t="str" cm="1">
        <f t="array" ref="L8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49" t="str">
        <f>_xlfn.TEXTJOIN("#",TRUE,PartList[[#This Row],[ASSLY MARK]],PartList[[#This Row],[BOX NO]],PartList[[#This Row],[In/Out]],PartList[[#This Row],[O1-Grid]])</f>
        <v>4BE50#Box2#InB</v>
      </c>
      <c r="N849" t="str">
        <f>_xlfn.TEXTJOIN("#",TRUE,PartList[[#This Row],[ASSLY MARK]],PartList[[#This Row],[BOX NO]],PartList[[#This Row],[In/Out]],PartList[[#This Row],[O2-Grid]])</f>
        <v>4BE50#Box2#InB</v>
      </c>
      <c r="O849">
        <f>IF(PartList[[#This Row],[Unique]]="Yes",_xlfn.XLOOKUP(PartList[[#This Row],[ASSLY MARK]],FilteredPL!A:A,FilteredPL!B:B,0,0),0)</f>
        <v>0</v>
      </c>
      <c r="P849">
        <f>_xlfn.XLOOKUP(PartList[[#This Row],[ASSLY MARK]],MasterPL[SplitMarkNo],MasterPL[BILL WT.(KG)],0,0)</f>
        <v>0</v>
      </c>
      <c r="Q849" cm="1">
        <f t="array" ref="Q84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49" t="str">
        <v>SF09</v>
      </c>
      <c r="AB849" s="42">
        <f>SUMIF(PartList[ASSLY MARK],AA849,PartList[Avail. Qty])</f>
        <v>0</v>
      </c>
    </row>
    <row r="850" spans="1:28" x14ac:dyDescent="0.25">
      <c r="A850">
        <v>531</v>
      </c>
      <c r="B850" t="s">
        <v>786</v>
      </c>
      <c r="C850" t="s">
        <v>602</v>
      </c>
      <c r="D850" t="s">
        <v>307</v>
      </c>
      <c r="E850" t="s">
        <v>5</v>
      </c>
      <c r="F850" t="str" cm="1">
        <f t="array" ref="F850">IF(SUM(IF(PartList[ASSLY MARK]=PartList[[#This Row],[ASSLY MARK]],1,0))&gt;1,"No","Yes")</f>
        <v>No</v>
      </c>
      <c r="G850" t="str" cm="1">
        <f t="array" ref="G850">_xlfn.TEXTJOIN("_",TRUE,TRIM(_xlfn.TEXTSPLIT(PartList[[#This Row],[GRID LOCATION]],{"PR01","/","-"})))</f>
        <v>13_14_A_B</v>
      </c>
      <c r="H850" t="str" cm="1">
        <f t="array" ref="H85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50" cm="1">
        <f t="array" ref="I85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50" t="str">
        <f>IF(IFERROR(SEARCH("&gt;",PartList[[#This Row],[ID]]),0),"O",IF(IFERROR(SEARCH("&lt;",PartList[[#This Row],[ID]]),0),"I",""))</f>
        <v/>
      </c>
      <c r="K850" t="str" cm="1">
        <f t="array" ref="K8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50" t="str" cm="1">
        <f t="array" ref="L8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50" t="str">
        <f>_xlfn.TEXTJOIN("#",TRUE,PartList[[#This Row],[ASSLY MARK]],PartList[[#This Row],[BOX NO]],PartList[[#This Row],[In/Out]],PartList[[#This Row],[O1-Grid]])</f>
        <v>4BE51#Box2#InB</v>
      </c>
      <c r="N850" t="str">
        <f>_xlfn.TEXTJOIN("#",TRUE,PartList[[#This Row],[ASSLY MARK]],PartList[[#This Row],[BOX NO]],PartList[[#This Row],[In/Out]],PartList[[#This Row],[O2-Grid]])</f>
        <v>4BE51#Box2#InB</v>
      </c>
      <c r="O850">
        <f>IF(PartList[[#This Row],[Unique]]="Yes",_xlfn.XLOOKUP(PartList[[#This Row],[ASSLY MARK]],FilteredPL!A:A,FilteredPL!B:B,0,0),0)</f>
        <v>0</v>
      </c>
      <c r="P850">
        <f>_xlfn.XLOOKUP(PartList[[#This Row],[ASSLY MARK]],MasterPL[SplitMarkNo],MasterPL[BILL WT.(KG)],0,0)</f>
        <v>0</v>
      </c>
      <c r="Q850" cm="1">
        <f t="array" ref="Q85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50" t="str">
        <v>SF10</v>
      </c>
      <c r="AB850" s="42">
        <f>SUMIF(PartList[ASSLY MARK],AA850,PartList[Avail. Qty])</f>
        <v>0</v>
      </c>
    </row>
    <row r="851" spans="1:28" x14ac:dyDescent="0.25">
      <c r="A851">
        <v>532</v>
      </c>
      <c r="B851" t="s">
        <v>786</v>
      </c>
      <c r="C851" t="s">
        <v>602</v>
      </c>
      <c r="D851" t="s">
        <v>307</v>
      </c>
      <c r="E851" t="s">
        <v>5</v>
      </c>
      <c r="F851" t="str" cm="1">
        <f t="array" ref="F851">IF(SUM(IF(PartList[ASSLY MARK]=PartList[[#This Row],[ASSLY MARK]],1,0))&gt;1,"No","Yes")</f>
        <v>No</v>
      </c>
      <c r="G851" t="str" cm="1">
        <f t="array" ref="G851">_xlfn.TEXTJOIN("_",TRUE,TRIM(_xlfn.TEXTSPLIT(PartList[[#This Row],[GRID LOCATION]],{"PR01","/","-"})))</f>
        <v>13_14_A_B</v>
      </c>
      <c r="H851" t="str" cm="1">
        <f t="array" ref="H85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51" cm="1">
        <f t="array" ref="I85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51" t="str">
        <f>IF(IFERROR(SEARCH("&gt;",PartList[[#This Row],[ID]]),0),"O",IF(IFERROR(SEARCH("&lt;",PartList[[#This Row],[ID]]),0),"I",""))</f>
        <v/>
      </c>
      <c r="K851" t="str" cm="1">
        <f t="array" ref="K8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51" t="str" cm="1">
        <f t="array" ref="L8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51" t="str">
        <f>_xlfn.TEXTJOIN("#",TRUE,PartList[[#This Row],[ASSLY MARK]],PartList[[#This Row],[BOX NO]],PartList[[#This Row],[In/Out]],PartList[[#This Row],[O1-Grid]])</f>
        <v>4BE51#Box2#InB</v>
      </c>
      <c r="N851" t="str">
        <f>_xlfn.TEXTJOIN("#",TRUE,PartList[[#This Row],[ASSLY MARK]],PartList[[#This Row],[BOX NO]],PartList[[#This Row],[In/Out]],PartList[[#This Row],[O2-Grid]])</f>
        <v>4BE51#Box2#InB</v>
      </c>
      <c r="O851">
        <f>IF(PartList[[#This Row],[Unique]]="Yes",_xlfn.XLOOKUP(PartList[[#This Row],[ASSLY MARK]],FilteredPL!A:A,FilteredPL!B:B,0,0),0)</f>
        <v>0</v>
      </c>
      <c r="P851">
        <f>_xlfn.XLOOKUP(PartList[[#This Row],[ASSLY MARK]],MasterPL[SplitMarkNo],MasterPL[BILL WT.(KG)],0,0)</f>
        <v>0</v>
      </c>
      <c r="Q851" cm="1">
        <f t="array" ref="Q85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51" t="str">
        <v>SW04</v>
      </c>
      <c r="AB851" s="42">
        <f>SUMIF(PartList[ASSLY MARK],AA851,PartList[Avail. Qty])</f>
        <v>0</v>
      </c>
    </row>
    <row r="852" spans="1:28" x14ac:dyDescent="0.25">
      <c r="A852">
        <v>533</v>
      </c>
      <c r="B852" t="s">
        <v>787</v>
      </c>
      <c r="C852" t="s">
        <v>602</v>
      </c>
      <c r="D852" t="s">
        <v>307</v>
      </c>
      <c r="E852" t="s">
        <v>5</v>
      </c>
      <c r="F852" t="str" cm="1">
        <f t="array" ref="F852">IF(SUM(IF(PartList[ASSLY MARK]=PartList[[#This Row],[ASSLY MARK]],1,0))&gt;1,"No","Yes")</f>
        <v>No</v>
      </c>
      <c r="G852" t="str" cm="1">
        <f t="array" ref="G852">_xlfn.TEXTJOIN("_",TRUE,TRIM(_xlfn.TEXTSPLIT(PartList[[#This Row],[GRID LOCATION]],{"PR01","/","-"})))</f>
        <v>13_14_A_B</v>
      </c>
      <c r="H852" t="str" cm="1">
        <f t="array" ref="H85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52" cm="1">
        <f t="array" ref="I85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52" t="str">
        <f>IF(IFERROR(SEARCH("&gt;",PartList[[#This Row],[ID]]),0),"O",IF(IFERROR(SEARCH("&lt;",PartList[[#This Row],[ID]]),0),"I",""))</f>
        <v/>
      </c>
      <c r="K852" t="str" cm="1">
        <f t="array" ref="K8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52" t="str" cm="1">
        <f t="array" ref="L8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52" t="str">
        <f>_xlfn.TEXTJOIN("#",TRUE,PartList[[#This Row],[ASSLY MARK]],PartList[[#This Row],[BOX NO]],PartList[[#This Row],[In/Out]],PartList[[#This Row],[O1-Grid]])</f>
        <v>4BE52#Box2#InB</v>
      </c>
      <c r="N852" t="str">
        <f>_xlfn.TEXTJOIN("#",TRUE,PartList[[#This Row],[ASSLY MARK]],PartList[[#This Row],[BOX NO]],PartList[[#This Row],[In/Out]],PartList[[#This Row],[O2-Grid]])</f>
        <v>4BE52#Box2#InB</v>
      </c>
      <c r="O852">
        <f>IF(PartList[[#This Row],[Unique]]="Yes",_xlfn.XLOOKUP(PartList[[#This Row],[ASSLY MARK]],FilteredPL!A:A,FilteredPL!B:B,0,0),0)</f>
        <v>0</v>
      </c>
      <c r="P852">
        <f>_xlfn.XLOOKUP(PartList[[#This Row],[ASSLY MARK]],MasterPL[SplitMarkNo],MasterPL[BILL WT.(KG)],0,0)</f>
        <v>0</v>
      </c>
      <c r="Q852" cm="1">
        <f t="array" ref="Q85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52" t="str">
        <v>VB52</v>
      </c>
      <c r="AB852" s="42">
        <f>SUMIF(PartList[ASSLY MARK],AA852,PartList[Avail. Qty])</f>
        <v>0</v>
      </c>
    </row>
    <row r="853" spans="1:28" x14ac:dyDescent="0.25">
      <c r="A853">
        <v>534</v>
      </c>
      <c r="B853" t="s">
        <v>787</v>
      </c>
      <c r="C853" t="s">
        <v>602</v>
      </c>
      <c r="D853" t="s">
        <v>307</v>
      </c>
      <c r="E853" t="s">
        <v>5</v>
      </c>
      <c r="F853" t="str" cm="1">
        <f t="array" ref="F853">IF(SUM(IF(PartList[ASSLY MARK]=PartList[[#This Row],[ASSLY MARK]],1,0))&gt;1,"No","Yes")</f>
        <v>No</v>
      </c>
      <c r="G853" t="str" cm="1">
        <f t="array" ref="G853">_xlfn.TEXTJOIN("_",TRUE,TRIM(_xlfn.TEXTSPLIT(PartList[[#This Row],[GRID LOCATION]],{"PR01","/","-"})))</f>
        <v>13_14_A_B</v>
      </c>
      <c r="H853" t="str" cm="1">
        <f t="array" ref="H85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53" cm="1">
        <f t="array" ref="I85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53" t="str">
        <f>IF(IFERROR(SEARCH("&gt;",PartList[[#This Row],[ID]]),0),"O",IF(IFERROR(SEARCH("&lt;",PartList[[#This Row],[ID]]),0),"I",""))</f>
        <v/>
      </c>
      <c r="K853" t="str" cm="1">
        <f t="array" ref="K8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53" t="str" cm="1">
        <f t="array" ref="L8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53" t="str">
        <f>_xlfn.TEXTJOIN("#",TRUE,PartList[[#This Row],[ASSLY MARK]],PartList[[#This Row],[BOX NO]],PartList[[#This Row],[In/Out]],PartList[[#This Row],[O1-Grid]])</f>
        <v>4BE52#Box2#InB</v>
      </c>
      <c r="N853" t="str">
        <f>_xlfn.TEXTJOIN("#",TRUE,PartList[[#This Row],[ASSLY MARK]],PartList[[#This Row],[BOX NO]],PartList[[#This Row],[In/Out]],PartList[[#This Row],[O2-Grid]])</f>
        <v>4BE52#Box2#InB</v>
      </c>
      <c r="O853">
        <f>IF(PartList[[#This Row],[Unique]]="Yes",_xlfn.XLOOKUP(PartList[[#This Row],[ASSLY MARK]],FilteredPL!A:A,FilteredPL!B:B,0,0),0)</f>
        <v>0</v>
      </c>
      <c r="P853">
        <f>_xlfn.XLOOKUP(PartList[[#This Row],[ASSLY MARK]],MasterPL[SplitMarkNo],MasterPL[BILL WT.(KG)],0,0)</f>
        <v>0</v>
      </c>
      <c r="Q853" cm="1">
        <f t="array" ref="Q85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53" t="str">
        <v>VB60</v>
      </c>
      <c r="AB853" s="42">
        <f>SUMIF(PartList[ASSLY MARK],AA853,PartList[Avail. Qty])</f>
        <v>0</v>
      </c>
    </row>
    <row r="854" spans="1:28" x14ac:dyDescent="0.25">
      <c r="A854">
        <v>557</v>
      </c>
      <c r="B854" t="s">
        <v>807</v>
      </c>
      <c r="C854" t="s">
        <v>602</v>
      </c>
      <c r="D854" t="s">
        <v>736</v>
      </c>
      <c r="E854" t="s">
        <v>128</v>
      </c>
      <c r="F854" t="str" cm="1">
        <f t="array" ref="F854">IF(SUM(IF(PartList[ASSLY MARK]=PartList[[#This Row],[ASSLY MARK]],1,0))&gt;1,"No","Yes")</f>
        <v>Yes</v>
      </c>
      <c r="G854" t="str" cm="1">
        <f t="array" ref="G854">_xlfn.TEXTJOIN("_",TRUE,TRIM(_xlfn.TEXTSPLIT(PartList[[#This Row],[GRID LOCATION]],{"PR01","/","-"})))</f>
        <v>13_14_A_B</v>
      </c>
      <c r="H854" t="str" cm="1">
        <f t="array" ref="H85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54" cm="1">
        <f t="array" ref="I85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54" t="str">
        <f>IF(IFERROR(SEARCH("&gt;",PartList[[#This Row],[ID]]),0),"O",IF(IFERROR(SEARCH("&lt;",PartList[[#This Row],[ID]]),0),"I",""))</f>
        <v/>
      </c>
      <c r="K854" t="str" cm="1">
        <f t="array" ref="K8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54" t="str" cm="1">
        <f t="array" ref="L8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54" t="str">
        <f>_xlfn.TEXTJOIN("#",TRUE,PartList[[#This Row],[ASSLY MARK]],PartList[[#This Row],[BOX NO]],PartList[[#This Row],[In/Out]],PartList[[#This Row],[O1-Grid]])</f>
        <v>4FR01#Box2#InB</v>
      </c>
      <c r="N854" t="str">
        <f>_xlfn.TEXTJOIN("#",TRUE,PartList[[#This Row],[ASSLY MARK]],PartList[[#This Row],[BOX NO]],PartList[[#This Row],[In/Out]],PartList[[#This Row],[O2-Grid]])</f>
        <v>4FR01#Box2#InB</v>
      </c>
      <c r="O854">
        <f>IF(PartList[[#This Row],[Unique]]="Yes",_xlfn.XLOOKUP(PartList[[#This Row],[ASSLY MARK]],FilteredPL!A:A,FilteredPL!B:B,0,0),0)</f>
        <v>0</v>
      </c>
      <c r="P854">
        <f>_xlfn.XLOOKUP(PartList[[#This Row],[ASSLY MARK]],MasterPL[SplitMarkNo],MasterPL[BILL WT.(KG)],0,0)</f>
        <v>0</v>
      </c>
      <c r="Q854" cm="1">
        <f t="array" ref="Q85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54" t="str">
        <v>VB61</v>
      </c>
      <c r="AB854" s="42">
        <f>SUMIF(PartList[ASSLY MARK],AA854,PartList[Avail. Qty])</f>
        <v>0</v>
      </c>
    </row>
    <row r="855" spans="1:28" x14ac:dyDescent="0.25">
      <c r="A855">
        <v>559</v>
      </c>
      <c r="B855" t="s">
        <v>809</v>
      </c>
      <c r="C855" t="s">
        <v>547</v>
      </c>
      <c r="D855" t="s">
        <v>736</v>
      </c>
      <c r="E855" t="s">
        <v>128</v>
      </c>
      <c r="F855" t="str" cm="1">
        <f t="array" ref="F855">IF(SUM(IF(PartList[ASSLY MARK]=PartList[[#This Row],[ASSLY MARK]],1,0))&gt;1,"No","Yes")</f>
        <v>Yes</v>
      </c>
      <c r="G855" t="str" cm="1">
        <f t="array" ref="G855">_xlfn.TEXTJOIN("_",TRUE,TRIM(_xlfn.TEXTSPLIT(PartList[[#This Row],[GRID LOCATION]],{"PR01","/","-"})))</f>
        <v>12_13_A_B</v>
      </c>
      <c r="H855" t="str" cm="1">
        <f t="array" ref="H85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55" cm="1">
        <f t="array" ref="I85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55" t="str">
        <f>IF(IFERROR(SEARCH("&gt;",PartList[[#This Row],[ID]]),0),"O",IF(IFERROR(SEARCH("&lt;",PartList[[#This Row],[ID]]),0),"I",""))</f>
        <v/>
      </c>
      <c r="K855" t="str" cm="1">
        <f t="array" ref="K8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55" t="str" cm="1">
        <f t="array" ref="L8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55" t="str">
        <f>_xlfn.TEXTJOIN("#",TRUE,PartList[[#This Row],[ASSLY MARK]],PartList[[#This Row],[BOX NO]],PartList[[#This Row],[In/Out]],PartList[[#This Row],[O1-Grid]])</f>
        <v>4FR03#Box2#InB</v>
      </c>
      <c r="N855" t="str">
        <f>_xlfn.TEXTJOIN("#",TRUE,PartList[[#This Row],[ASSLY MARK]],PartList[[#This Row],[BOX NO]],PartList[[#This Row],[In/Out]],PartList[[#This Row],[O2-Grid]])</f>
        <v>4FR03#Box2#InB</v>
      </c>
      <c r="O855">
        <f>IF(PartList[[#This Row],[Unique]]="Yes",_xlfn.XLOOKUP(PartList[[#This Row],[ASSLY MARK]],FilteredPL!A:A,FilteredPL!B:B,0,0),0)</f>
        <v>0</v>
      </c>
      <c r="P855">
        <f>_xlfn.XLOOKUP(PartList[[#This Row],[ASSLY MARK]],MasterPL[SplitMarkNo],MasterPL[BILL WT.(KG)],0,0)</f>
        <v>0</v>
      </c>
      <c r="Q855" cm="1">
        <f t="array" ref="Q85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55" t="str">
        <v>VB62</v>
      </c>
      <c r="AB855" s="42">
        <f>SUMIF(PartList[ASSLY MARK],AA855,PartList[Avail. Qty])</f>
        <v>0</v>
      </c>
    </row>
    <row r="856" spans="1:28" x14ac:dyDescent="0.25">
      <c r="A856">
        <v>560</v>
      </c>
      <c r="B856" t="s">
        <v>810</v>
      </c>
      <c r="C856" t="s">
        <v>547</v>
      </c>
      <c r="D856" t="s">
        <v>736</v>
      </c>
      <c r="E856" t="s">
        <v>128</v>
      </c>
      <c r="F856" t="str" cm="1">
        <f t="array" ref="F856">IF(SUM(IF(PartList[ASSLY MARK]=PartList[[#This Row],[ASSLY MARK]],1,0))&gt;1,"No","Yes")</f>
        <v>Yes</v>
      </c>
      <c r="G856" t="str" cm="1">
        <f t="array" ref="G856">_xlfn.TEXTJOIN("_",TRUE,TRIM(_xlfn.TEXTSPLIT(PartList[[#This Row],[GRID LOCATION]],{"PR01","/","-"})))</f>
        <v>12_13_A_B</v>
      </c>
      <c r="H856" t="str" cm="1">
        <f t="array" ref="H85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56" cm="1">
        <f t="array" ref="I85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56" t="str">
        <f>IF(IFERROR(SEARCH("&gt;",PartList[[#This Row],[ID]]),0),"O",IF(IFERROR(SEARCH("&lt;",PartList[[#This Row],[ID]]),0),"I",""))</f>
        <v/>
      </c>
      <c r="K856" t="str" cm="1">
        <f t="array" ref="K8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56" t="str" cm="1">
        <f t="array" ref="L8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56" t="str">
        <f>_xlfn.TEXTJOIN("#",TRUE,PartList[[#This Row],[ASSLY MARK]],PartList[[#This Row],[BOX NO]],PartList[[#This Row],[In/Out]],PartList[[#This Row],[O1-Grid]])</f>
        <v>4FR04#Box2#InB</v>
      </c>
      <c r="N856" t="str">
        <f>_xlfn.TEXTJOIN("#",TRUE,PartList[[#This Row],[ASSLY MARK]],PartList[[#This Row],[BOX NO]],PartList[[#This Row],[In/Out]],PartList[[#This Row],[O2-Grid]])</f>
        <v>4FR04#Box2#InB</v>
      </c>
      <c r="O856">
        <f>IF(PartList[[#This Row],[Unique]]="Yes",_xlfn.XLOOKUP(PartList[[#This Row],[ASSLY MARK]],FilteredPL!A:A,FilteredPL!B:B,0,0),0)</f>
        <v>0</v>
      </c>
      <c r="P856">
        <f>_xlfn.XLOOKUP(PartList[[#This Row],[ASSLY MARK]],MasterPL[SplitMarkNo],MasterPL[BILL WT.(KG)],0,0)</f>
        <v>0</v>
      </c>
      <c r="Q856" cm="1">
        <f t="array" ref="Q85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56" t="str">
        <v>VB63</v>
      </c>
      <c r="AB856" s="42">
        <f>SUMIF(PartList[ASSLY MARK],AA856,PartList[Avail. Qty])</f>
        <v>0</v>
      </c>
    </row>
    <row r="857" spans="1:28" x14ac:dyDescent="0.25">
      <c r="A857">
        <v>566</v>
      </c>
      <c r="B857" t="s">
        <v>327</v>
      </c>
      <c r="C857" t="s">
        <v>561</v>
      </c>
      <c r="D857" t="s">
        <v>818</v>
      </c>
      <c r="E857" t="s">
        <v>6</v>
      </c>
      <c r="F857" t="str" cm="1">
        <f t="array" ref="F857">IF(SUM(IF(PartList[ASSLY MARK]=PartList[[#This Row],[ASSLY MARK]],1,0))&gt;1,"No","Yes")</f>
        <v>Yes</v>
      </c>
      <c r="G857" t="str" cm="1">
        <f t="array" ref="G857">_xlfn.TEXTJOIN("_",TRUE,TRIM(_xlfn.TEXTSPLIT(PartList[[#This Row],[GRID LOCATION]],{"PR01","/","-"})))</f>
        <v>12_13_B&gt;</v>
      </c>
      <c r="H857" t="str" cm="1">
        <f t="array" ref="H85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57" cm="1">
        <f t="array" ref="I85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57" t="str">
        <f>IF(IFERROR(SEARCH("&gt;",PartList[[#This Row],[ID]]),0),"O",IF(IFERROR(SEARCH("&lt;",PartList[[#This Row],[ID]]),0),"I",""))</f>
        <v>O</v>
      </c>
      <c r="K857" t="str" cm="1">
        <f t="array" ref="K8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857" t="str" cm="1">
        <f t="array" ref="L8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857" t="str">
        <f>_xlfn.TEXTJOIN("#",TRUE,PartList[[#This Row],[ASSLY MARK]],PartList[[#This Row],[BOX NO]],PartList[[#This Row],[In/Out]],PartList[[#This Row],[O1-Grid]])</f>
        <v>4HB02#Box2#O</v>
      </c>
      <c r="N857" t="str">
        <f>_xlfn.TEXTJOIN("#",TRUE,PartList[[#This Row],[ASSLY MARK]],PartList[[#This Row],[BOX NO]],PartList[[#This Row],[In/Out]],PartList[[#This Row],[O2-Grid]])</f>
        <v>4HB02#Box2#O</v>
      </c>
      <c r="O857">
        <f>IF(PartList[[#This Row],[Unique]]="Yes",_xlfn.XLOOKUP(PartList[[#This Row],[ASSLY MARK]],FilteredPL!A:A,FilteredPL!B:B,0,0),0)</f>
        <v>0</v>
      </c>
      <c r="P857">
        <f>_xlfn.XLOOKUP(PartList[[#This Row],[ASSLY MARK]],MasterPL[SplitMarkNo],MasterPL[BILL WT.(KG)],0,0)</f>
        <v>0</v>
      </c>
      <c r="Q857" cm="1">
        <f t="array" ref="Q85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57" t="str">
        <v>VB64</v>
      </c>
      <c r="AB857" s="42">
        <f>SUMIF(PartList[ASSLY MARK],AA857,PartList[Avail. Qty])</f>
        <v>0</v>
      </c>
    </row>
    <row r="858" spans="1:28" x14ac:dyDescent="0.25">
      <c r="A858">
        <v>567</v>
      </c>
      <c r="B858" t="s">
        <v>328</v>
      </c>
      <c r="C858" t="s">
        <v>547</v>
      </c>
      <c r="D858" t="s">
        <v>818</v>
      </c>
      <c r="E858" t="s">
        <v>6</v>
      </c>
      <c r="F858" t="str" cm="1">
        <f t="array" ref="F858">IF(SUM(IF(PartList[ASSLY MARK]=PartList[[#This Row],[ASSLY MARK]],1,0))&gt;1,"No","Yes")</f>
        <v>Yes</v>
      </c>
      <c r="G858" t="str" cm="1">
        <f t="array" ref="G858">_xlfn.TEXTJOIN("_",TRUE,TRIM(_xlfn.TEXTSPLIT(PartList[[#This Row],[GRID LOCATION]],{"PR01","/","-"})))</f>
        <v>12_13_A_B</v>
      </c>
      <c r="H858" t="str" cm="1">
        <f t="array" ref="H85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58" cm="1">
        <f t="array" ref="I85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58" t="str">
        <f>IF(IFERROR(SEARCH("&gt;",PartList[[#This Row],[ID]]),0),"O",IF(IFERROR(SEARCH("&lt;",PartList[[#This Row],[ID]]),0),"I",""))</f>
        <v/>
      </c>
      <c r="K858" t="str" cm="1">
        <f t="array" ref="K8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58" t="str" cm="1">
        <f t="array" ref="L8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58" t="str">
        <f>_xlfn.TEXTJOIN("#",TRUE,PartList[[#This Row],[ASSLY MARK]],PartList[[#This Row],[BOX NO]],PartList[[#This Row],[In/Out]],PartList[[#This Row],[O1-Grid]])</f>
        <v>4HB03#Box2#InB</v>
      </c>
      <c r="N858" t="str">
        <f>_xlfn.TEXTJOIN("#",TRUE,PartList[[#This Row],[ASSLY MARK]],PartList[[#This Row],[BOX NO]],PartList[[#This Row],[In/Out]],PartList[[#This Row],[O2-Grid]])</f>
        <v>4HB03#Box2#InB</v>
      </c>
      <c r="O858">
        <f>IF(PartList[[#This Row],[Unique]]="Yes",_xlfn.XLOOKUP(PartList[[#This Row],[ASSLY MARK]],FilteredPL!A:A,FilteredPL!B:B,0,0),0)</f>
        <v>0</v>
      </c>
      <c r="P858">
        <f>_xlfn.XLOOKUP(PartList[[#This Row],[ASSLY MARK]],MasterPL[SplitMarkNo],MasterPL[BILL WT.(KG)],0,0)</f>
        <v>0</v>
      </c>
      <c r="Q858" cm="1">
        <f t="array" ref="Q85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58" t="str">
        <v>VB65</v>
      </c>
      <c r="AB858" s="42">
        <f>SUMIF(PartList[ASSLY MARK],AA858,PartList[Avail. Qty])</f>
        <v>0</v>
      </c>
    </row>
    <row r="859" spans="1:28" x14ac:dyDescent="0.25">
      <c r="A859">
        <v>568</v>
      </c>
      <c r="B859" t="s">
        <v>329</v>
      </c>
      <c r="C859" t="s">
        <v>547</v>
      </c>
      <c r="D859" t="s">
        <v>818</v>
      </c>
      <c r="E859" t="s">
        <v>6</v>
      </c>
      <c r="F859" t="str" cm="1">
        <f t="array" ref="F859">IF(SUM(IF(PartList[ASSLY MARK]=PartList[[#This Row],[ASSLY MARK]],1,0))&gt;1,"No","Yes")</f>
        <v>No</v>
      </c>
      <c r="G859" t="str" cm="1">
        <f t="array" ref="G859">_xlfn.TEXTJOIN("_",TRUE,TRIM(_xlfn.TEXTSPLIT(PartList[[#This Row],[GRID LOCATION]],{"PR01","/","-"})))</f>
        <v>12_13_A_B</v>
      </c>
      <c r="H859" t="str" cm="1">
        <f t="array" ref="H85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59" cm="1">
        <f t="array" ref="I85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59" t="str">
        <f>IF(IFERROR(SEARCH("&gt;",PartList[[#This Row],[ID]]),0),"O",IF(IFERROR(SEARCH("&lt;",PartList[[#This Row],[ID]]),0),"I",""))</f>
        <v/>
      </c>
      <c r="K859" t="str" cm="1">
        <f t="array" ref="K8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59" t="str" cm="1">
        <f t="array" ref="L8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59" t="str">
        <f>_xlfn.TEXTJOIN("#",TRUE,PartList[[#This Row],[ASSLY MARK]],PartList[[#This Row],[BOX NO]],PartList[[#This Row],[In/Out]],PartList[[#This Row],[O1-Grid]])</f>
        <v>4HB04#Box2#InB</v>
      </c>
      <c r="N859" t="str">
        <f>_xlfn.TEXTJOIN("#",TRUE,PartList[[#This Row],[ASSLY MARK]],PartList[[#This Row],[BOX NO]],PartList[[#This Row],[In/Out]],PartList[[#This Row],[O2-Grid]])</f>
        <v>4HB04#Box2#InB</v>
      </c>
      <c r="O859">
        <f>IF(PartList[[#This Row],[Unique]]="Yes",_xlfn.XLOOKUP(PartList[[#This Row],[ASSLY MARK]],FilteredPL!A:A,FilteredPL!B:B,0,0),0)</f>
        <v>0</v>
      </c>
      <c r="P859">
        <f>_xlfn.XLOOKUP(PartList[[#This Row],[ASSLY MARK]],MasterPL[SplitMarkNo],MasterPL[BILL WT.(KG)],0,0)</f>
        <v>0</v>
      </c>
      <c r="Q859" cm="1">
        <f t="array" ref="Q85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59" t="str">
        <v>VB66</v>
      </c>
      <c r="AB859" s="42">
        <f>SUMIF(PartList[ASSLY MARK],AA859,PartList[Avail. Qty])</f>
        <v>0</v>
      </c>
    </row>
    <row r="860" spans="1:28" x14ac:dyDescent="0.25">
      <c r="A860">
        <v>569</v>
      </c>
      <c r="B860" t="s">
        <v>329</v>
      </c>
      <c r="C860" t="s">
        <v>547</v>
      </c>
      <c r="D860" t="s">
        <v>818</v>
      </c>
      <c r="E860" t="s">
        <v>6</v>
      </c>
      <c r="F860" t="str" cm="1">
        <f t="array" ref="F860">IF(SUM(IF(PartList[ASSLY MARK]=PartList[[#This Row],[ASSLY MARK]],1,0))&gt;1,"No","Yes")</f>
        <v>No</v>
      </c>
      <c r="G860" t="str" cm="1">
        <f t="array" ref="G860">_xlfn.TEXTJOIN("_",TRUE,TRIM(_xlfn.TEXTSPLIT(PartList[[#This Row],[GRID LOCATION]],{"PR01","/","-"})))</f>
        <v>12_13_A_B</v>
      </c>
      <c r="H860" t="str" cm="1">
        <f t="array" ref="H86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60" cm="1">
        <f t="array" ref="I86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60" t="str">
        <f>IF(IFERROR(SEARCH("&gt;",PartList[[#This Row],[ID]]),0),"O",IF(IFERROR(SEARCH("&lt;",PartList[[#This Row],[ID]]),0),"I",""))</f>
        <v/>
      </c>
      <c r="K860" t="str" cm="1">
        <f t="array" ref="K8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60" t="str" cm="1">
        <f t="array" ref="L8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60" t="str">
        <f>_xlfn.TEXTJOIN("#",TRUE,PartList[[#This Row],[ASSLY MARK]],PartList[[#This Row],[BOX NO]],PartList[[#This Row],[In/Out]],PartList[[#This Row],[O1-Grid]])</f>
        <v>4HB04#Box2#InB</v>
      </c>
      <c r="N860" t="str">
        <f>_xlfn.TEXTJOIN("#",TRUE,PartList[[#This Row],[ASSLY MARK]],PartList[[#This Row],[BOX NO]],PartList[[#This Row],[In/Out]],PartList[[#This Row],[O2-Grid]])</f>
        <v>4HB04#Box2#InB</v>
      </c>
      <c r="O860">
        <f>IF(PartList[[#This Row],[Unique]]="Yes",_xlfn.XLOOKUP(PartList[[#This Row],[ASSLY MARK]],FilteredPL!A:A,FilteredPL!B:B,0,0),0)</f>
        <v>0</v>
      </c>
      <c r="P860">
        <f>_xlfn.XLOOKUP(PartList[[#This Row],[ASSLY MARK]],MasterPL[SplitMarkNo],MasterPL[BILL WT.(KG)],0,0)</f>
        <v>0</v>
      </c>
      <c r="Q860" cm="1">
        <f t="array" ref="Q86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60" t="str">
        <v>VB67</v>
      </c>
      <c r="AB860" s="42">
        <f>SUMIF(PartList[ASSLY MARK],AA860,PartList[Avail. Qty])</f>
        <v>0</v>
      </c>
    </row>
    <row r="861" spans="1:28" x14ac:dyDescent="0.25">
      <c r="A861">
        <v>570</v>
      </c>
      <c r="B861" t="s">
        <v>330</v>
      </c>
      <c r="C861" t="s">
        <v>547</v>
      </c>
      <c r="D861" t="s">
        <v>818</v>
      </c>
      <c r="E861" t="s">
        <v>6</v>
      </c>
      <c r="F861" t="str" cm="1">
        <f t="array" ref="F861">IF(SUM(IF(PartList[ASSLY MARK]=PartList[[#This Row],[ASSLY MARK]],1,0))&gt;1,"No","Yes")</f>
        <v>Yes</v>
      </c>
      <c r="G861" t="str" cm="1">
        <f t="array" ref="G861">_xlfn.TEXTJOIN("_",TRUE,TRIM(_xlfn.TEXTSPLIT(PartList[[#This Row],[GRID LOCATION]],{"PR01","/","-"})))</f>
        <v>12_13_A_B</v>
      </c>
      <c r="H861" t="str" cm="1">
        <f t="array" ref="H86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61" cm="1">
        <f t="array" ref="I86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61" t="str">
        <f>IF(IFERROR(SEARCH("&gt;",PartList[[#This Row],[ID]]),0),"O",IF(IFERROR(SEARCH("&lt;",PartList[[#This Row],[ID]]),0),"I",""))</f>
        <v/>
      </c>
      <c r="K861" t="str" cm="1">
        <f t="array" ref="K8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61" t="str" cm="1">
        <f t="array" ref="L8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61" t="str">
        <f>_xlfn.TEXTJOIN("#",TRUE,PartList[[#This Row],[ASSLY MARK]],PartList[[#This Row],[BOX NO]],PartList[[#This Row],[In/Out]],PartList[[#This Row],[O1-Grid]])</f>
        <v>4HB05#Box2#InB</v>
      </c>
      <c r="N861" t="str">
        <f>_xlfn.TEXTJOIN("#",TRUE,PartList[[#This Row],[ASSLY MARK]],PartList[[#This Row],[BOX NO]],PartList[[#This Row],[In/Out]],PartList[[#This Row],[O2-Grid]])</f>
        <v>4HB05#Box2#InB</v>
      </c>
      <c r="O861">
        <f>IF(PartList[[#This Row],[Unique]]="Yes",_xlfn.XLOOKUP(PartList[[#This Row],[ASSLY MARK]],FilteredPL!A:A,FilteredPL!B:B,0,0),0)</f>
        <v>0</v>
      </c>
      <c r="P861">
        <f>_xlfn.XLOOKUP(PartList[[#This Row],[ASSLY MARK]],MasterPL[SplitMarkNo],MasterPL[BILL WT.(KG)],0,0)</f>
        <v>0</v>
      </c>
      <c r="Q861" cm="1">
        <f t="array" ref="Q86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61" t="str">
        <v>VB69</v>
      </c>
      <c r="AB861" s="42">
        <f>SUMIF(PartList[ASSLY MARK],AA861,PartList[Avail. Qty])</f>
        <v>0</v>
      </c>
    </row>
    <row r="862" spans="1:28" x14ac:dyDescent="0.25">
      <c r="A862">
        <v>571</v>
      </c>
      <c r="B862" t="s">
        <v>331</v>
      </c>
      <c r="C862" t="s">
        <v>547</v>
      </c>
      <c r="D862" t="s">
        <v>818</v>
      </c>
      <c r="E862" t="s">
        <v>6</v>
      </c>
      <c r="F862" t="str" cm="1">
        <f t="array" ref="F862">IF(SUM(IF(PartList[ASSLY MARK]=PartList[[#This Row],[ASSLY MARK]],1,0))&gt;1,"No","Yes")</f>
        <v>Yes</v>
      </c>
      <c r="G862" t="str" cm="1">
        <f t="array" ref="G862">_xlfn.TEXTJOIN("_",TRUE,TRIM(_xlfn.TEXTSPLIT(PartList[[#This Row],[GRID LOCATION]],{"PR01","/","-"})))</f>
        <v>12_13_A_B</v>
      </c>
      <c r="H862" t="str" cm="1">
        <f t="array" ref="H86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62" cm="1">
        <f t="array" ref="I86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62" t="str">
        <f>IF(IFERROR(SEARCH("&gt;",PartList[[#This Row],[ID]]),0),"O",IF(IFERROR(SEARCH("&lt;",PartList[[#This Row],[ID]]),0),"I",""))</f>
        <v/>
      </c>
      <c r="K862" t="str" cm="1">
        <f t="array" ref="K8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62" t="str" cm="1">
        <f t="array" ref="L8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62" t="str">
        <f>_xlfn.TEXTJOIN("#",TRUE,PartList[[#This Row],[ASSLY MARK]],PartList[[#This Row],[BOX NO]],PartList[[#This Row],[In/Out]],PartList[[#This Row],[O1-Grid]])</f>
        <v>4HB06#Box2#InB</v>
      </c>
      <c r="N862" t="str">
        <f>_xlfn.TEXTJOIN("#",TRUE,PartList[[#This Row],[ASSLY MARK]],PartList[[#This Row],[BOX NO]],PartList[[#This Row],[In/Out]],PartList[[#This Row],[O2-Grid]])</f>
        <v>4HB06#Box2#InB</v>
      </c>
      <c r="O862">
        <f>IF(PartList[[#This Row],[Unique]]="Yes",_xlfn.XLOOKUP(PartList[[#This Row],[ASSLY MARK]],FilteredPL!A:A,FilteredPL!B:B,0,0),0)</f>
        <v>0</v>
      </c>
      <c r="P862">
        <f>_xlfn.XLOOKUP(PartList[[#This Row],[ASSLY MARK]],MasterPL[SplitMarkNo],MasterPL[BILL WT.(KG)],0,0)</f>
        <v>0</v>
      </c>
      <c r="Q862" cm="1">
        <f t="array" ref="Q86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62" t="str">
        <v>VB70</v>
      </c>
      <c r="AB862" s="42">
        <f>SUMIF(PartList[ASSLY MARK],AA862,PartList[Avail. Qty])</f>
        <v>0</v>
      </c>
    </row>
    <row r="863" spans="1:28" x14ac:dyDescent="0.25">
      <c r="A863">
        <v>572</v>
      </c>
      <c r="B863" t="s">
        <v>332</v>
      </c>
      <c r="C863" t="s">
        <v>547</v>
      </c>
      <c r="D863" t="s">
        <v>818</v>
      </c>
      <c r="E863" t="s">
        <v>6</v>
      </c>
      <c r="F863" t="str" cm="1">
        <f t="array" ref="F863">IF(SUM(IF(PartList[ASSLY MARK]=PartList[[#This Row],[ASSLY MARK]],1,0))&gt;1,"No","Yes")</f>
        <v>Yes</v>
      </c>
      <c r="G863" t="str" cm="1">
        <f t="array" ref="G863">_xlfn.TEXTJOIN("_",TRUE,TRIM(_xlfn.TEXTSPLIT(PartList[[#This Row],[GRID LOCATION]],{"PR01","/","-"})))</f>
        <v>12_13_A_B</v>
      </c>
      <c r="H863" t="str" cm="1">
        <f t="array" ref="H86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63" cm="1">
        <f t="array" ref="I86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63" t="str">
        <f>IF(IFERROR(SEARCH("&gt;",PartList[[#This Row],[ID]]),0),"O",IF(IFERROR(SEARCH("&lt;",PartList[[#This Row],[ID]]),0),"I",""))</f>
        <v/>
      </c>
      <c r="K863" t="str" cm="1">
        <f t="array" ref="K8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63" t="str" cm="1">
        <f t="array" ref="L8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63" t="str">
        <f>_xlfn.TEXTJOIN("#",TRUE,PartList[[#This Row],[ASSLY MARK]],PartList[[#This Row],[BOX NO]],PartList[[#This Row],[In/Out]],PartList[[#This Row],[O1-Grid]])</f>
        <v>4HB07#Box2#InB</v>
      </c>
      <c r="N863" t="str">
        <f>_xlfn.TEXTJOIN("#",TRUE,PartList[[#This Row],[ASSLY MARK]],PartList[[#This Row],[BOX NO]],PartList[[#This Row],[In/Out]],PartList[[#This Row],[O2-Grid]])</f>
        <v>4HB07#Box2#InB</v>
      </c>
      <c r="O863">
        <f>IF(PartList[[#This Row],[Unique]]="Yes",_xlfn.XLOOKUP(PartList[[#This Row],[ASSLY MARK]],FilteredPL!A:A,FilteredPL!B:B,0,0),0)</f>
        <v>0</v>
      </c>
      <c r="P863">
        <f>_xlfn.XLOOKUP(PartList[[#This Row],[ASSLY MARK]],MasterPL[SplitMarkNo],MasterPL[BILL WT.(KG)],0,0)</f>
        <v>0</v>
      </c>
      <c r="Q863" cm="1">
        <f t="array" ref="Q86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63" t="str">
        <v>VB71</v>
      </c>
      <c r="AB863" s="42">
        <f>SUMIF(PartList[ASSLY MARK],AA863,PartList[Avail. Qty])</f>
        <v>0</v>
      </c>
    </row>
    <row r="864" spans="1:28" x14ac:dyDescent="0.25">
      <c r="A864">
        <v>573</v>
      </c>
      <c r="B864" t="s">
        <v>333</v>
      </c>
      <c r="C864" t="s">
        <v>547</v>
      </c>
      <c r="D864" t="s">
        <v>818</v>
      </c>
      <c r="E864" t="s">
        <v>6</v>
      </c>
      <c r="F864" t="str" cm="1">
        <f t="array" ref="F864">IF(SUM(IF(PartList[ASSLY MARK]=PartList[[#This Row],[ASSLY MARK]],1,0))&gt;1,"No","Yes")</f>
        <v>Yes</v>
      </c>
      <c r="G864" t="str" cm="1">
        <f t="array" ref="G864">_xlfn.TEXTJOIN("_",TRUE,TRIM(_xlfn.TEXTSPLIT(PartList[[#This Row],[GRID LOCATION]],{"PR01","/","-"})))</f>
        <v>12_13_A_B</v>
      </c>
      <c r="H864" t="str" cm="1">
        <f t="array" ref="H86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64" cm="1">
        <f t="array" ref="I86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64" t="str">
        <f>IF(IFERROR(SEARCH("&gt;",PartList[[#This Row],[ID]]),0),"O",IF(IFERROR(SEARCH("&lt;",PartList[[#This Row],[ID]]),0),"I",""))</f>
        <v/>
      </c>
      <c r="K864" t="str" cm="1">
        <f t="array" ref="K8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64" t="str" cm="1">
        <f t="array" ref="L8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64" t="str">
        <f>_xlfn.TEXTJOIN("#",TRUE,PartList[[#This Row],[ASSLY MARK]],PartList[[#This Row],[BOX NO]],PartList[[#This Row],[In/Out]],PartList[[#This Row],[O1-Grid]])</f>
        <v>4HB08#Box2#InB</v>
      </c>
      <c r="N864" t="str">
        <f>_xlfn.TEXTJOIN("#",TRUE,PartList[[#This Row],[ASSLY MARK]],PartList[[#This Row],[BOX NO]],PartList[[#This Row],[In/Out]],PartList[[#This Row],[O2-Grid]])</f>
        <v>4HB08#Box2#InB</v>
      </c>
      <c r="O864">
        <f>IF(PartList[[#This Row],[Unique]]="Yes",_xlfn.XLOOKUP(PartList[[#This Row],[ASSLY MARK]],FilteredPL!A:A,FilteredPL!B:B,0,0),0)</f>
        <v>0</v>
      </c>
      <c r="P864">
        <f>_xlfn.XLOOKUP(PartList[[#This Row],[ASSLY MARK]],MasterPL[SplitMarkNo],MasterPL[BILL WT.(KG)],0,0)</f>
        <v>0</v>
      </c>
      <c r="Q864" cm="1">
        <f t="array" ref="Q86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64" t="str">
        <v>VB72</v>
      </c>
      <c r="AB864" s="42">
        <f>SUMIF(PartList[ASSLY MARK],AA864,PartList[Avail. Qty])</f>
        <v>0</v>
      </c>
    </row>
    <row r="865" spans="1:28" x14ac:dyDescent="0.25">
      <c r="A865">
        <v>574</v>
      </c>
      <c r="B865" t="s">
        <v>334</v>
      </c>
      <c r="C865" t="s">
        <v>547</v>
      </c>
      <c r="D865" t="s">
        <v>818</v>
      </c>
      <c r="E865" t="s">
        <v>6</v>
      </c>
      <c r="F865" t="str" cm="1">
        <f t="array" ref="F865">IF(SUM(IF(PartList[ASSLY MARK]=PartList[[#This Row],[ASSLY MARK]],1,0))&gt;1,"No","Yes")</f>
        <v>No</v>
      </c>
      <c r="G865" t="str" cm="1">
        <f t="array" ref="G865">_xlfn.TEXTJOIN("_",TRUE,TRIM(_xlfn.TEXTSPLIT(PartList[[#This Row],[GRID LOCATION]],{"PR01","/","-"})))</f>
        <v>12_13_A_B</v>
      </c>
      <c r="H865" t="str" cm="1">
        <f t="array" ref="H86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65" cm="1">
        <f t="array" ref="I86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65" t="str">
        <f>IF(IFERROR(SEARCH("&gt;",PartList[[#This Row],[ID]]),0),"O",IF(IFERROR(SEARCH("&lt;",PartList[[#This Row],[ID]]),0),"I",""))</f>
        <v/>
      </c>
      <c r="K865" t="str" cm="1">
        <f t="array" ref="K8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65" t="str" cm="1">
        <f t="array" ref="L8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65" t="str">
        <f>_xlfn.TEXTJOIN("#",TRUE,PartList[[#This Row],[ASSLY MARK]],PartList[[#This Row],[BOX NO]],PartList[[#This Row],[In/Out]],PartList[[#This Row],[O1-Grid]])</f>
        <v>4HB09#Box2#InB</v>
      </c>
      <c r="N865" t="str">
        <f>_xlfn.TEXTJOIN("#",TRUE,PartList[[#This Row],[ASSLY MARK]],PartList[[#This Row],[BOX NO]],PartList[[#This Row],[In/Out]],PartList[[#This Row],[O2-Grid]])</f>
        <v>4HB09#Box2#InB</v>
      </c>
      <c r="O865">
        <f>IF(PartList[[#This Row],[Unique]]="Yes",_xlfn.XLOOKUP(PartList[[#This Row],[ASSLY MARK]],FilteredPL!A:A,FilteredPL!B:B,0,0),0)</f>
        <v>0</v>
      </c>
      <c r="P865">
        <f>_xlfn.XLOOKUP(PartList[[#This Row],[ASSLY MARK]],MasterPL[SplitMarkNo],MasterPL[BILL WT.(KG)],0,0)</f>
        <v>0</v>
      </c>
      <c r="Q865" cm="1">
        <f t="array" ref="Q86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65" t="str">
        <v>VB73</v>
      </c>
      <c r="AB865" s="42">
        <f>SUMIF(PartList[ASSLY MARK],AA865,PartList[Avail. Qty])</f>
        <v>0</v>
      </c>
    </row>
    <row r="866" spans="1:28" x14ac:dyDescent="0.25">
      <c r="A866">
        <v>575</v>
      </c>
      <c r="B866" t="s">
        <v>334</v>
      </c>
      <c r="C866" t="s">
        <v>547</v>
      </c>
      <c r="D866" t="s">
        <v>818</v>
      </c>
      <c r="E866" t="s">
        <v>6</v>
      </c>
      <c r="F866" t="str" cm="1">
        <f t="array" ref="F866">IF(SUM(IF(PartList[ASSLY MARK]=PartList[[#This Row],[ASSLY MARK]],1,0))&gt;1,"No","Yes")</f>
        <v>No</v>
      </c>
      <c r="G866" t="str" cm="1">
        <f t="array" ref="G866">_xlfn.TEXTJOIN("_",TRUE,TRIM(_xlfn.TEXTSPLIT(PartList[[#This Row],[GRID LOCATION]],{"PR01","/","-"})))</f>
        <v>12_13_A_B</v>
      </c>
      <c r="H866" t="str" cm="1">
        <f t="array" ref="H86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66" cm="1">
        <f t="array" ref="I86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66" t="str">
        <f>IF(IFERROR(SEARCH("&gt;",PartList[[#This Row],[ID]]),0),"O",IF(IFERROR(SEARCH("&lt;",PartList[[#This Row],[ID]]),0),"I",""))</f>
        <v/>
      </c>
      <c r="K866" t="str" cm="1">
        <f t="array" ref="K8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66" t="str" cm="1">
        <f t="array" ref="L8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66" t="str">
        <f>_xlfn.TEXTJOIN("#",TRUE,PartList[[#This Row],[ASSLY MARK]],PartList[[#This Row],[BOX NO]],PartList[[#This Row],[In/Out]],PartList[[#This Row],[O1-Grid]])</f>
        <v>4HB09#Box2#InB</v>
      </c>
      <c r="N866" t="str">
        <f>_xlfn.TEXTJOIN("#",TRUE,PartList[[#This Row],[ASSLY MARK]],PartList[[#This Row],[BOX NO]],PartList[[#This Row],[In/Out]],PartList[[#This Row],[O2-Grid]])</f>
        <v>4HB09#Box2#InB</v>
      </c>
      <c r="O866">
        <f>IF(PartList[[#This Row],[Unique]]="Yes",_xlfn.XLOOKUP(PartList[[#This Row],[ASSLY MARK]],FilteredPL!A:A,FilteredPL!B:B,0,0),0)</f>
        <v>0</v>
      </c>
      <c r="P866">
        <f>_xlfn.XLOOKUP(PartList[[#This Row],[ASSLY MARK]],MasterPL[SplitMarkNo],MasterPL[BILL WT.(KG)],0,0)</f>
        <v>0</v>
      </c>
      <c r="Q866" cm="1">
        <f t="array" ref="Q86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66" t="str">
        <v>VB74</v>
      </c>
      <c r="AB866" s="42">
        <f>SUMIF(PartList[ASSLY MARK],AA866,PartList[Avail. Qty])</f>
        <v>0</v>
      </c>
    </row>
    <row r="867" spans="1:28" x14ac:dyDescent="0.25">
      <c r="A867">
        <v>576</v>
      </c>
      <c r="B867" t="s">
        <v>335</v>
      </c>
      <c r="C867" t="s">
        <v>547</v>
      </c>
      <c r="D867" t="s">
        <v>818</v>
      </c>
      <c r="E867" t="s">
        <v>6</v>
      </c>
      <c r="F867" t="str" cm="1">
        <f t="array" ref="F867">IF(SUM(IF(PartList[ASSLY MARK]=PartList[[#This Row],[ASSLY MARK]],1,0))&gt;1,"No","Yes")</f>
        <v>Yes</v>
      </c>
      <c r="G867" t="str" cm="1">
        <f t="array" ref="G867">_xlfn.TEXTJOIN("_",TRUE,TRIM(_xlfn.TEXTSPLIT(PartList[[#This Row],[GRID LOCATION]],{"PR01","/","-"})))</f>
        <v>12_13_A_B</v>
      </c>
      <c r="H867" t="str" cm="1">
        <f t="array" ref="H86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67" cm="1">
        <f t="array" ref="I86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67" t="str">
        <f>IF(IFERROR(SEARCH("&gt;",PartList[[#This Row],[ID]]),0),"O",IF(IFERROR(SEARCH("&lt;",PartList[[#This Row],[ID]]),0),"I",""))</f>
        <v/>
      </c>
      <c r="K867" t="str" cm="1">
        <f t="array" ref="K8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67" t="str" cm="1">
        <f t="array" ref="L8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67" t="str">
        <f>_xlfn.TEXTJOIN("#",TRUE,PartList[[#This Row],[ASSLY MARK]],PartList[[#This Row],[BOX NO]],PartList[[#This Row],[In/Out]],PartList[[#This Row],[O1-Grid]])</f>
        <v>4HB10#Box2#InB</v>
      </c>
      <c r="N867" t="str">
        <f>_xlfn.TEXTJOIN("#",TRUE,PartList[[#This Row],[ASSLY MARK]],PartList[[#This Row],[BOX NO]],PartList[[#This Row],[In/Out]],PartList[[#This Row],[O2-Grid]])</f>
        <v>4HB10#Box2#InB</v>
      </c>
      <c r="O867">
        <f>IF(PartList[[#This Row],[Unique]]="Yes",_xlfn.XLOOKUP(PartList[[#This Row],[ASSLY MARK]],FilteredPL!A:A,FilteredPL!B:B,0,0),0)</f>
        <v>0</v>
      </c>
      <c r="P867">
        <f>_xlfn.XLOOKUP(PartList[[#This Row],[ASSLY MARK]],MasterPL[SplitMarkNo],MasterPL[BILL WT.(KG)],0,0)</f>
        <v>0</v>
      </c>
      <c r="Q867" cm="1">
        <f t="array" ref="Q86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67" t="str">
        <v>VB75</v>
      </c>
      <c r="AB867" s="42">
        <f>SUMIF(PartList[ASSLY MARK],AA867,PartList[Avail. Qty])</f>
        <v>0</v>
      </c>
    </row>
    <row r="868" spans="1:28" x14ac:dyDescent="0.25">
      <c r="A868">
        <v>577</v>
      </c>
      <c r="B868" t="s">
        <v>336</v>
      </c>
      <c r="C868" t="s">
        <v>558</v>
      </c>
      <c r="D868" t="s">
        <v>819</v>
      </c>
      <c r="E868" t="s">
        <v>6</v>
      </c>
      <c r="F868" t="str" cm="1">
        <f t="array" ref="F868">IF(SUM(IF(PartList[ASSLY MARK]=PartList[[#This Row],[ASSLY MARK]],1,0))&gt;1,"No","Yes")</f>
        <v>Yes</v>
      </c>
      <c r="G868" t="str" cm="1">
        <f t="array" ref="G868">_xlfn.TEXTJOIN("_",TRUE,TRIM(_xlfn.TEXTSPLIT(PartList[[#This Row],[GRID LOCATION]],{"PR01","/","-"})))</f>
        <v>12_13_A'_A</v>
      </c>
      <c r="H868" t="str" cm="1">
        <f t="array" ref="H86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868" cm="1">
        <f t="array" ref="I86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68" t="str">
        <f>IF(IFERROR(SEARCH("&gt;",PartList[[#This Row],[ID]]),0),"O",IF(IFERROR(SEARCH("&lt;",PartList[[#This Row],[ID]]),0),"I",""))</f>
        <v/>
      </c>
      <c r="K868" t="str" cm="1">
        <f t="array" ref="K8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68" t="str" cm="1">
        <f t="array" ref="L8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68" t="str">
        <f>_xlfn.TEXTJOIN("#",TRUE,PartList[[#This Row],[ASSLY MARK]],PartList[[#This Row],[BOX NO]],PartList[[#This Row],[In/Out]],PartList[[#This Row],[O1-Grid]])</f>
        <v>4HB11#Box2_Box5#InBB</v>
      </c>
      <c r="N868" t="str">
        <f>_xlfn.TEXTJOIN("#",TRUE,PartList[[#This Row],[ASSLY MARK]],PartList[[#This Row],[BOX NO]],PartList[[#This Row],[In/Out]],PartList[[#This Row],[O2-Grid]])</f>
        <v>4HB11#Box2_Box5#InBB</v>
      </c>
      <c r="O868">
        <f>IF(PartList[[#This Row],[Unique]]="Yes",_xlfn.XLOOKUP(PartList[[#This Row],[ASSLY MARK]],FilteredPL!A:A,FilteredPL!B:B,0,0),0)</f>
        <v>0</v>
      </c>
      <c r="P868">
        <f>_xlfn.XLOOKUP(PartList[[#This Row],[ASSLY MARK]],MasterPL[SplitMarkNo],MasterPL[BILL WT.(KG)],0,0)</f>
        <v>0</v>
      </c>
      <c r="Q868" cm="1">
        <f t="array" ref="Q86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68" t="str">
        <v>1BE98</v>
      </c>
      <c r="AB868" s="42">
        <f>SUMIF(PartList[ASSLY MARK],AA868,PartList[Avail. Qty])</f>
        <v>0</v>
      </c>
    </row>
    <row r="869" spans="1:28" x14ac:dyDescent="0.25">
      <c r="A869">
        <v>578</v>
      </c>
      <c r="B869" t="s">
        <v>337</v>
      </c>
      <c r="C869" t="s">
        <v>558</v>
      </c>
      <c r="D869" t="s">
        <v>819</v>
      </c>
      <c r="E869" t="s">
        <v>6</v>
      </c>
      <c r="F869" t="str" cm="1">
        <f t="array" ref="F869">IF(SUM(IF(PartList[ASSLY MARK]=PartList[[#This Row],[ASSLY MARK]],1,0))&gt;1,"No","Yes")</f>
        <v>Yes</v>
      </c>
      <c r="G869" t="str" cm="1">
        <f t="array" ref="G869">_xlfn.TEXTJOIN("_",TRUE,TRIM(_xlfn.TEXTSPLIT(PartList[[#This Row],[GRID LOCATION]],{"PR01","/","-"})))</f>
        <v>12_13_A'_A</v>
      </c>
      <c r="H869" t="str" cm="1">
        <f t="array" ref="H86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869" cm="1">
        <f t="array" ref="I86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69" t="str">
        <f>IF(IFERROR(SEARCH("&gt;",PartList[[#This Row],[ID]]),0),"O",IF(IFERROR(SEARCH("&lt;",PartList[[#This Row],[ID]]),0),"I",""))</f>
        <v/>
      </c>
      <c r="K869" t="str" cm="1">
        <f t="array" ref="K8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69" t="str" cm="1">
        <f t="array" ref="L8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69" t="str">
        <f>_xlfn.TEXTJOIN("#",TRUE,PartList[[#This Row],[ASSLY MARK]],PartList[[#This Row],[BOX NO]],PartList[[#This Row],[In/Out]],PartList[[#This Row],[O1-Grid]])</f>
        <v>4HB12#Box2_Box5#InBB</v>
      </c>
      <c r="N869" t="str">
        <f>_xlfn.TEXTJOIN("#",TRUE,PartList[[#This Row],[ASSLY MARK]],PartList[[#This Row],[BOX NO]],PartList[[#This Row],[In/Out]],PartList[[#This Row],[O2-Grid]])</f>
        <v>4HB12#Box2_Box5#InBB</v>
      </c>
      <c r="O869">
        <f>IF(PartList[[#This Row],[Unique]]="Yes",_xlfn.XLOOKUP(PartList[[#This Row],[ASSLY MARK]],FilteredPL!A:A,FilteredPL!B:B,0,0),0)</f>
        <v>0</v>
      </c>
      <c r="P869">
        <f>_xlfn.XLOOKUP(PartList[[#This Row],[ASSLY MARK]],MasterPL[SplitMarkNo],MasterPL[BILL WT.(KG)],0,0)</f>
        <v>0</v>
      </c>
      <c r="Q869" cm="1">
        <f t="array" ref="Q86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69" t="str">
        <v>2BE58</v>
      </c>
      <c r="AB869" s="42">
        <f>SUMIF(PartList[ASSLY MARK],AA869,PartList[Avail. Qty])</f>
        <v>0</v>
      </c>
    </row>
    <row r="870" spans="1:28" x14ac:dyDescent="0.25">
      <c r="A870">
        <v>579</v>
      </c>
      <c r="B870" t="s">
        <v>820</v>
      </c>
      <c r="C870" t="s">
        <v>558</v>
      </c>
      <c r="D870" t="s">
        <v>819</v>
      </c>
      <c r="E870" t="s">
        <v>6</v>
      </c>
      <c r="F870" t="str" cm="1">
        <f t="array" ref="F870">IF(SUM(IF(PartList[ASSLY MARK]=PartList[[#This Row],[ASSLY MARK]],1,0))&gt;1,"No","Yes")</f>
        <v>Yes</v>
      </c>
      <c r="G870" t="str" cm="1">
        <f t="array" ref="G870">_xlfn.TEXTJOIN("_",TRUE,TRIM(_xlfn.TEXTSPLIT(PartList[[#This Row],[GRID LOCATION]],{"PR01","/","-"})))</f>
        <v>12_13_A'_A</v>
      </c>
      <c r="H870" t="str" cm="1">
        <f t="array" ref="H87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870" cm="1">
        <f t="array" ref="I87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70" t="str">
        <f>IF(IFERROR(SEARCH("&gt;",PartList[[#This Row],[ID]]),0),"O",IF(IFERROR(SEARCH("&lt;",PartList[[#This Row],[ID]]),0),"I",""))</f>
        <v/>
      </c>
      <c r="K870" t="str" cm="1">
        <f t="array" ref="K8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70" t="str" cm="1">
        <f t="array" ref="L8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70" t="str">
        <f>_xlfn.TEXTJOIN("#",TRUE,PartList[[#This Row],[ASSLY MARK]],PartList[[#This Row],[BOX NO]],PartList[[#This Row],[In/Out]],PartList[[#This Row],[O1-Grid]])</f>
        <v>4HB13#Box2_Box5#InBB</v>
      </c>
      <c r="N870" t="str">
        <f>_xlfn.TEXTJOIN("#",TRUE,PartList[[#This Row],[ASSLY MARK]],PartList[[#This Row],[BOX NO]],PartList[[#This Row],[In/Out]],PartList[[#This Row],[O2-Grid]])</f>
        <v>4HB13#Box2_Box5#InBB</v>
      </c>
      <c r="O870">
        <f>IF(PartList[[#This Row],[Unique]]="Yes",_xlfn.XLOOKUP(PartList[[#This Row],[ASSLY MARK]],FilteredPL!A:A,FilteredPL!B:B,0,0),0)</f>
        <v>0</v>
      </c>
      <c r="P870">
        <f>_xlfn.XLOOKUP(PartList[[#This Row],[ASSLY MARK]],MasterPL[SplitMarkNo],MasterPL[BILL WT.(KG)],0,0)</f>
        <v>0</v>
      </c>
      <c r="Q870" cm="1">
        <f t="array" ref="Q87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70" t="str">
        <v>3BE59</v>
      </c>
      <c r="AB870" s="42">
        <f>SUMIF(PartList[ASSLY MARK],AA870,PartList[Avail. Qty])</f>
        <v>0</v>
      </c>
    </row>
    <row r="871" spans="1:28" x14ac:dyDescent="0.25">
      <c r="A871">
        <v>580</v>
      </c>
      <c r="B871" t="s">
        <v>821</v>
      </c>
      <c r="C871" t="s">
        <v>686</v>
      </c>
      <c r="D871" t="s">
        <v>819</v>
      </c>
      <c r="E871" t="s">
        <v>6</v>
      </c>
      <c r="F871" t="str" cm="1">
        <f t="array" ref="F871">IF(SUM(IF(PartList[ASSLY MARK]=PartList[[#This Row],[ASSLY MARK]],1,0))&gt;1,"No","Yes")</f>
        <v>Yes</v>
      </c>
      <c r="G871" t="str" cm="1">
        <f t="array" ref="G871">_xlfn.TEXTJOIN("_",TRUE,TRIM(_xlfn.TEXTSPLIT(PartList[[#This Row],[GRID LOCATION]],{"PR01","/","-"})))</f>
        <v>13_14_B&gt;</v>
      </c>
      <c r="H871" t="str" cm="1">
        <f t="array" ref="H87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71" cm="1">
        <f t="array" ref="I87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71" t="str">
        <f>IF(IFERROR(SEARCH("&gt;",PartList[[#This Row],[ID]]),0),"O",IF(IFERROR(SEARCH("&lt;",PartList[[#This Row],[ID]]),0),"I",""))</f>
        <v>O</v>
      </c>
      <c r="K871" t="str" cm="1">
        <f t="array" ref="K8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871" t="str" cm="1">
        <f t="array" ref="L8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871" t="str">
        <f>_xlfn.TEXTJOIN("#",TRUE,PartList[[#This Row],[ASSLY MARK]],PartList[[#This Row],[BOX NO]],PartList[[#This Row],[In/Out]],PartList[[#This Row],[O1-Grid]])</f>
        <v>4HB14#Box2#O</v>
      </c>
      <c r="N871" t="str">
        <f>_xlfn.TEXTJOIN("#",TRUE,PartList[[#This Row],[ASSLY MARK]],PartList[[#This Row],[BOX NO]],PartList[[#This Row],[In/Out]],PartList[[#This Row],[O2-Grid]])</f>
        <v>4HB14#Box2#O</v>
      </c>
      <c r="O871">
        <f>IF(PartList[[#This Row],[Unique]]="Yes",_xlfn.XLOOKUP(PartList[[#This Row],[ASSLY MARK]],FilteredPL!A:A,FilteredPL!B:B,0,0),0)</f>
        <v>0</v>
      </c>
      <c r="P871">
        <f>_xlfn.XLOOKUP(PartList[[#This Row],[ASSLY MARK]],MasterPL[SplitMarkNo],MasterPL[BILL WT.(KG)],0,0)</f>
        <v>0</v>
      </c>
      <c r="Q871" cm="1">
        <f t="array" ref="Q87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71" t="str">
        <v>4BE01</v>
      </c>
      <c r="AB871" s="42">
        <f>SUMIF(PartList[ASSLY MARK],AA871,PartList[Avail. Qty])</f>
        <v>0</v>
      </c>
    </row>
    <row r="872" spans="1:28" x14ac:dyDescent="0.25">
      <c r="A872">
        <v>581</v>
      </c>
      <c r="B872" t="s">
        <v>822</v>
      </c>
      <c r="C872" t="s">
        <v>600</v>
      </c>
      <c r="D872" t="s">
        <v>819</v>
      </c>
      <c r="E872" t="s">
        <v>6</v>
      </c>
      <c r="F872" t="str" cm="1">
        <f t="array" ref="F872">IF(SUM(IF(PartList[ASSLY MARK]=PartList[[#This Row],[ASSLY MARK]],1,0))&gt;1,"No","Yes")</f>
        <v>Yes</v>
      </c>
      <c r="G872" t="str" cm="1">
        <f t="array" ref="G872">_xlfn.TEXTJOIN("_",TRUE,TRIM(_xlfn.TEXTSPLIT(PartList[[#This Row],[GRID LOCATION]],{"PR01","/","-"})))</f>
        <v>13_14_A"_A</v>
      </c>
      <c r="H872" t="str" cm="1">
        <f t="array" ref="H87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872" cm="1">
        <f t="array" ref="I87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72" t="str">
        <f>IF(IFERROR(SEARCH("&gt;",PartList[[#This Row],[ID]]),0),"O",IF(IFERROR(SEARCH("&lt;",PartList[[#This Row],[ID]]),0),"I",""))</f>
        <v/>
      </c>
      <c r="K872" t="str" cm="1">
        <f t="array" ref="K8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72" t="str" cm="1">
        <f t="array" ref="L8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72" t="str">
        <f>_xlfn.TEXTJOIN("#",TRUE,PartList[[#This Row],[ASSLY MARK]],PartList[[#This Row],[BOX NO]],PartList[[#This Row],[In/Out]],PartList[[#This Row],[O1-Grid]])</f>
        <v>4HB15#Box2_Box5_Box6#InBB</v>
      </c>
      <c r="N872" t="str">
        <f>_xlfn.TEXTJOIN("#",TRUE,PartList[[#This Row],[ASSLY MARK]],PartList[[#This Row],[BOX NO]],PartList[[#This Row],[In/Out]],PartList[[#This Row],[O2-Grid]])</f>
        <v>4HB15#Box2_Box5_Box6#InBB</v>
      </c>
      <c r="O872">
        <f>IF(PartList[[#This Row],[Unique]]="Yes",_xlfn.XLOOKUP(PartList[[#This Row],[ASSLY MARK]],FilteredPL!A:A,FilteredPL!B:B,0,0),0)</f>
        <v>0</v>
      </c>
      <c r="P872">
        <f>_xlfn.XLOOKUP(PartList[[#This Row],[ASSLY MARK]],MasterPL[SplitMarkNo],MasterPL[BILL WT.(KG)],0,0)</f>
        <v>0</v>
      </c>
      <c r="Q872" cm="1">
        <f t="array" ref="Q87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72" t="str">
        <v>4BE53</v>
      </c>
      <c r="AB872" s="42">
        <f>SUMIF(PartList[ASSLY MARK],AA872,PartList[Avail. Qty])</f>
        <v>0</v>
      </c>
    </row>
    <row r="873" spans="1:28" x14ac:dyDescent="0.25">
      <c r="A873">
        <v>582</v>
      </c>
      <c r="B873" t="s">
        <v>823</v>
      </c>
      <c r="C873" t="s">
        <v>638</v>
      </c>
      <c r="D873" t="s">
        <v>819</v>
      </c>
      <c r="E873" t="s">
        <v>6</v>
      </c>
      <c r="F873" t="str" cm="1">
        <f t="array" ref="F873">IF(SUM(IF(PartList[ASSLY MARK]=PartList[[#This Row],[ASSLY MARK]],1,0))&gt;1,"No","Yes")</f>
        <v>Yes</v>
      </c>
      <c r="G873" t="str" cm="1">
        <f t="array" ref="G873">_xlfn.TEXTJOIN("_",TRUE,TRIM(_xlfn.TEXTSPLIT(PartList[[#This Row],[GRID LOCATION]],{"PR01","/","-"})))</f>
        <v>13_14_A'_A</v>
      </c>
      <c r="H873" t="str" cm="1">
        <f t="array" ref="H87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873" cm="1">
        <f t="array" ref="I87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73" t="str">
        <f>IF(IFERROR(SEARCH("&gt;",PartList[[#This Row],[ID]]),0),"O",IF(IFERROR(SEARCH("&lt;",PartList[[#This Row],[ID]]),0),"I",""))</f>
        <v/>
      </c>
      <c r="K873" t="str" cm="1">
        <f t="array" ref="K8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73" t="str" cm="1">
        <f t="array" ref="L8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73" t="str">
        <f>_xlfn.TEXTJOIN("#",TRUE,PartList[[#This Row],[ASSLY MARK]],PartList[[#This Row],[BOX NO]],PartList[[#This Row],[In/Out]],PartList[[#This Row],[O1-Grid]])</f>
        <v>4HB16#Box2_Box5_Box6#InBB</v>
      </c>
      <c r="N873" t="str">
        <f>_xlfn.TEXTJOIN("#",TRUE,PartList[[#This Row],[ASSLY MARK]],PartList[[#This Row],[BOX NO]],PartList[[#This Row],[In/Out]],PartList[[#This Row],[O2-Grid]])</f>
        <v>4HB16#Box2_Box5_Box6#InBB</v>
      </c>
      <c r="O873">
        <f>IF(PartList[[#This Row],[Unique]]="Yes",_xlfn.XLOOKUP(PartList[[#This Row],[ASSLY MARK]],FilteredPL!A:A,FilteredPL!B:B,0,0),0)</f>
        <v>0</v>
      </c>
      <c r="P873">
        <f>_xlfn.XLOOKUP(PartList[[#This Row],[ASSLY MARK]],MasterPL[SplitMarkNo],MasterPL[BILL WT.(KG)],0,0)</f>
        <v>0</v>
      </c>
      <c r="Q873" cm="1">
        <f t="array" ref="Q87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73" t="str">
        <v>4BE58</v>
      </c>
      <c r="AB873" s="42">
        <f>SUMIF(PartList[ASSLY MARK],AA873,PartList[Avail. Qty])</f>
        <v>0</v>
      </c>
    </row>
    <row r="874" spans="1:28" x14ac:dyDescent="0.25">
      <c r="A874">
        <v>583</v>
      </c>
      <c r="B874" t="s">
        <v>824</v>
      </c>
      <c r="C874" t="s">
        <v>602</v>
      </c>
      <c r="D874" t="s">
        <v>818</v>
      </c>
      <c r="E874" t="s">
        <v>6</v>
      </c>
      <c r="F874" t="str" cm="1">
        <f t="array" ref="F874">IF(SUM(IF(PartList[ASSLY MARK]=PartList[[#This Row],[ASSLY MARK]],1,0))&gt;1,"No","Yes")</f>
        <v>Yes</v>
      </c>
      <c r="G874" t="str" cm="1">
        <f t="array" ref="G874">_xlfn.TEXTJOIN("_",TRUE,TRIM(_xlfn.TEXTSPLIT(PartList[[#This Row],[GRID LOCATION]],{"PR01","/","-"})))</f>
        <v>13_14_A_B</v>
      </c>
      <c r="H874" t="str" cm="1">
        <f t="array" ref="H87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74" cm="1">
        <f t="array" ref="I87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74" t="str">
        <f>IF(IFERROR(SEARCH("&gt;",PartList[[#This Row],[ID]]),0),"O",IF(IFERROR(SEARCH("&lt;",PartList[[#This Row],[ID]]),0),"I",""))</f>
        <v/>
      </c>
      <c r="K874" t="str" cm="1">
        <f t="array" ref="K8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74" t="str" cm="1">
        <f t="array" ref="L8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74" t="str">
        <f>_xlfn.TEXTJOIN("#",TRUE,PartList[[#This Row],[ASSLY MARK]],PartList[[#This Row],[BOX NO]],PartList[[#This Row],[In/Out]],PartList[[#This Row],[O1-Grid]])</f>
        <v>4HB17#Box2#InB</v>
      </c>
      <c r="N874" t="str">
        <f>_xlfn.TEXTJOIN("#",TRUE,PartList[[#This Row],[ASSLY MARK]],PartList[[#This Row],[BOX NO]],PartList[[#This Row],[In/Out]],PartList[[#This Row],[O2-Grid]])</f>
        <v>4HB17#Box2#InB</v>
      </c>
      <c r="O874">
        <f>IF(PartList[[#This Row],[Unique]]="Yes",_xlfn.XLOOKUP(PartList[[#This Row],[ASSLY MARK]],FilteredPL!A:A,FilteredPL!B:B,0,0),0)</f>
        <v>0</v>
      </c>
      <c r="P874">
        <f>_xlfn.XLOOKUP(PartList[[#This Row],[ASSLY MARK]],MasterPL[SplitMarkNo],MasterPL[BILL WT.(KG)],0,0)</f>
        <v>0</v>
      </c>
      <c r="Q874" cm="1">
        <f t="array" ref="Q87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74" t="str">
        <v>4BE70</v>
      </c>
      <c r="AB874" s="42">
        <f>SUMIF(PartList[ASSLY MARK],AA874,PartList[Avail. Qty])</f>
        <v>0</v>
      </c>
    </row>
    <row r="875" spans="1:28" x14ac:dyDescent="0.25">
      <c r="A875">
        <v>584</v>
      </c>
      <c r="B875" t="s">
        <v>825</v>
      </c>
      <c r="C875" t="s">
        <v>602</v>
      </c>
      <c r="D875" t="s">
        <v>818</v>
      </c>
      <c r="E875" t="s">
        <v>6</v>
      </c>
      <c r="F875" t="str" cm="1">
        <f t="array" ref="F875">IF(SUM(IF(PartList[ASSLY MARK]=PartList[[#This Row],[ASSLY MARK]],1,0))&gt;1,"No","Yes")</f>
        <v>Yes</v>
      </c>
      <c r="G875" t="str" cm="1">
        <f t="array" ref="G875">_xlfn.TEXTJOIN("_",TRUE,TRIM(_xlfn.TEXTSPLIT(PartList[[#This Row],[GRID LOCATION]],{"PR01","/","-"})))</f>
        <v>13_14_A_B</v>
      </c>
      <c r="H875" t="str" cm="1">
        <f t="array" ref="H87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75" cm="1">
        <f t="array" ref="I87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75" t="str">
        <f>IF(IFERROR(SEARCH("&gt;",PartList[[#This Row],[ID]]),0),"O",IF(IFERROR(SEARCH("&lt;",PartList[[#This Row],[ID]]),0),"I",""))</f>
        <v/>
      </c>
      <c r="K875" t="str" cm="1">
        <f t="array" ref="K8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75" t="str" cm="1">
        <f t="array" ref="L8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75" t="str">
        <f>_xlfn.TEXTJOIN("#",TRUE,PartList[[#This Row],[ASSLY MARK]],PartList[[#This Row],[BOX NO]],PartList[[#This Row],[In/Out]],PartList[[#This Row],[O1-Grid]])</f>
        <v>4HB18#Box2#InB</v>
      </c>
      <c r="N875" t="str">
        <f>_xlfn.TEXTJOIN("#",TRUE,PartList[[#This Row],[ASSLY MARK]],PartList[[#This Row],[BOX NO]],PartList[[#This Row],[In/Out]],PartList[[#This Row],[O2-Grid]])</f>
        <v>4HB18#Box2#InB</v>
      </c>
      <c r="O875">
        <f>IF(PartList[[#This Row],[Unique]]="Yes",_xlfn.XLOOKUP(PartList[[#This Row],[ASSLY MARK]],FilteredPL!A:A,FilteredPL!B:B,0,0),0)</f>
        <v>0</v>
      </c>
      <c r="P875">
        <f>_xlfn.XLOOKUP(PartList[[#This Row],[ASSLY MARK]],MasterPL[SplitMarkNo],MasterPL[BILL WT.(KG)],0,0)</f>
        <v>0</v>
      </c>
      <c r="Q875" cm="1">
        <f t="array" ref="Q87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75" t="str">
        <v>4HB34</v>
      </c>
      <c r="AB875" s="42">
        <f>SUMIF(PartList[ASSLY MARK],AA875,PartList[Avail. Qty])</f>
        <v>0</v>
      </c>
    </row>
    <row r="876" spans="1:28" x14ac:dyDescent="0.25">
      <c r="A876">
        <v>585</v>
      </c>
      <c r="B876" t="s">
        <v>826</v>
      </c>
      <c r="C876" t="s">
        <v>602</v>
      </c>
      <c r="D876" t="s">
        <v>818</v>
      </c>
      <c r="E876" t="s">
        <v>6</v>
      </c>
      <c r="F876" t="str" cm="1">
        <f t="array" ref="F876">IF(SUM(IF(PartList[ASSLY MARK]=PartList[[#This Row],[ASSLY MARK]],1,0))&gt;1,"No","Yes")</f>
        <v>Yes</v>
      </c>
      <c r="G876" t="str" cm="1">
        <f t="array" ref="G876">_xlfn.TEXTJOIN("_",TRUE,TRIM(_xlfn.TEXTSPLIT(PartList[[#This Row],[GRID LOCATION]],{"PR01","/","-"})))</f>
        <v>13_14_A_B</v>
      </c>
      <c r="H876" t="str" cm="1">
        <f t="array" ref="H87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76" cm="1">
        <f t="array" ref="I87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76" t="str">
        <f>IF(IFERROR(SEARCH("&gt;",PartList[[#This Row],[ID]]),0),"O",IF(IFERROR(SEARCH("&lt;",PartList[[#This Row],[ID]]),0),"I",""))</f>
        <v/>
      </c>
      <c r="K876" t="str" cm="1">
        <f t="array" ref="K8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76" t="str" cm="1">
        <f t="array" ref="L8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76" t="str">
        <f>_xlfn.TEXTJOIN("#",TRUE,PartList[[#This Row],[ASSLY MARK]],PartList[[#This Row],[BOX NO]],PartList[[#This Row],[In/Out]],PartList[[#This Row],[O1-Grid]])</f>
        <v>4HB19#Box2#InB</v>
      </c>
      <c r="N876" t="str">
        <f>_xlfn.TEXTJOIN("#",TRUE,PartList[[#This Row],[ASSLY MARK]],PartList[[#This Row],[BOX NO]],PartList[[#This Row],[In/Out]],PartList[[#This Row],[O2-Grid]])</f>
        <v>4HB19#Box2#InB</v>
      </c>
      <c r="O876">
        <f>IF(PartList[[#This Row],[Unique]]="Yes",_xlfn.XLOOKUP(PartList[[#This Row],[ASSLY MARK]],FilteredPL!A:A,FilteredPL!B:B,0,0),0)</f>
        <v>0</v>
      </c>
      <c r="P876">
        <f>_xlfn.XLOOKUP(PartList[[#This Row],[ASSLY MARK]],MasterPL[SplitMarkNo],MasterPL[BILL WT.(KG)],0,0)</f>
        <v>0</v>
      </c>
      <c r="Q876" cm="1">
        <f t="array" ref="Q87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76" t="str">
        <v>4HB38</v>
      </c>
      <c r="AB876" s="42">
        <f>SUMIF(PartList[ASSLY MARK],AA876,PartList[Avail. Qty])</f>
        <v>0</v>
      </c>
    </row>
    <row r="877" spans="1:28" x14ac:dyDescent="0.25">
      <c r="A877">
        <v>586</v>
      </c>
      <c r="B877" t="s">
        <v>827</v>
      </c>
      <c r="C877" t="s">
        <v>602</v>
      </c>
      <c r="D877" t="s">
        <v>818</v>
      </c>
      <c r="E877" t="s">
        <v>6</v>
      </c>
      <c r="F877" t="str" cm="1">
        <f t="array" ref="F877">IF(SUM(IF(PartList[ASSLY MARK]=PartList[[#This Row],[ASSLY MARK]],1,0))&gt;1,"No","Yes")</f>
        <v>No</v>
      </c>
      <c r="G877" t="str" cm="1">
        <f t="array" ref="G877">_xlfn.TEXTJOIN("_",TRUE,TRIM(_xlfn.TEXTSPLIT(PartList[[#This Row],[GRID LOCATION]],{"PR01","/","-"})))</f>
        <v>13_14_A_B</v>
      </c>
      <c r="H877" t="str" cm="1">
        <f t="array" ref="H87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77" cm="1">
        <f t="array" ref="I87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77" t="str">
        <f>IF(IFERROR(SEARCH("&gt;",PartList[[#This Row],[ID]]),0),"O",IF(IFERROR(SEARCH("&lt;",PartList[[#This Row],[ID]]),0),"I",""))</f>
        <v/>
      </c>
      <c r="K877" t="str" cm="1">
        <f t="array" ref="K8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77" t="str" cm="1">
        <f t="array" ref="L8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77" t="str">
        <f>_xlfn.TEXTJOIN("#",TRUE,PartList[[#This Row],[ASSLY MARK]],PartList[[#This Row],[BOX NO]],PartList[[#This Row],[In/Out]],PartList[[#This Row],[O1-Grid]])</f>
        <v>4HB20#Box2#InB</v>
      </c>
      <c r="N877" t="str">
        <f>_xlfn.TEXTJOIN("#",TRUE,PartList[[#This Row],[ASSLY MARK]],PartList[[#This Row],[BOX NO]],PartList[[#This Row],[In/Out]],PartList[[#This Row],[O2-Grid]])</f>
        <v>4HB20#Box2#InB</v>
      </c>
      <c r="O877">
        <f>IF(PartList[[#This Row],[Unique]]="Yes",_xlfn.XLOOKUP(PartList[[#This Row],[ASSLY MARK]],FilteredPL!A:A,FilteredPL!B:B,0,0),0)</f>
        <v>0</v>
      </c>
      <c r="P877">
        <f>_xlfn.XLOOKUP(PartList[[#This Row],[ASSLY MARK]],MasterPL[SplitMarkNo],MasterPL[BILL WT.(KG)],0,0)</f>
        <v>0</v>
      </c>
      <c r="Q877" cm="1">
        <f t="array" ref="Q87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77" t="str">
        <v>6BE83</v>
      </c>
      <c r="AB877" s="42">
        <f>SUMIF(PartList[ASSLY MARK],AA877,PartList[Avail. Qty])</f>
        <v>0</v>
      </c>
    </row>
    <row r="878" spans="1:28" x14ac:dyDescent="0.25">
      <c r="A878">
        <v>587</v>
      </c>
      <c r="B878" t="s">
        <v>827</v>
      </c>
      <c r="C878" t="s">
        <v>602</v>
      </c>
      <c r="D878" t="s">
        <v>818</v>
      </c>
      <c r="E878" t="s">
        <v>6</v>
      </c>
      <c r="F878" t="str" cm="1">
        <f t="array" ref="F878">IF(SUM(IF(PartList[ASSLY MARK]=PartList[[#This Row],[ASSLY MARK]],1,0))&gt;1,"No","Yes")</f>
        <v>No</v>
      </c>
      <c r="G878" t="str" cm="1">
        <f t="array" ref="G878">_xlfn.TEXTJOIN("_",TRUE,TRIM(_xlfn.TEXTSPLIT(PartList[[#This Row],[GRID LOCATION]],{"PR01","/","-"})))</f>
        <v>13_14_A_B</v>
      </c>
      <c r="H878" t="str" cm="1">
        <f t="array" ref="H87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78" cm="1">
        <f t="array" ref="I87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78" t="str">
        <f>IF(IFERROR(SEARCH("&gt;",PartList[[#This Row],[ID]]),0),"O",IF(IFERROR(SEARCH("&lt;",PartList[[#This Row],[ID]]),0),"I",""))</f>
        <v/>
      </c>
      <c r="K878" t="str" cm="1">
        <f t="array" ref="K8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78" t="str" cm="1">
        <f t="array" ref="L8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78" t="str">
        <f>_xlfn.TEXTJOIN("#",TRUE,PartList[[#This Row],[ASSLY MARK]],PartList[[#This Row],[BOX NO]],PartList[[#This Row],[In/Out]],PartList[[#This Row],[O1-Grid]])</f>
        <v>4HB20#Box2#InB</v>
      </c>
      <c r="N878" t="str">
        <f>_xlfn.TEXTJOIN("#",TRUE,PartList[[#This Row],[ASSLY MARK]],PartList[[#This Row],[BOX NO]],PartList[[#This Row],[In/Out]],PartList[[#This Row],[O2-Grid]])</f>
        <v>4HB20#Box2#InB</v>
      </c>
      <c r="O878">
        <f>IF(PartList[[#This Row],[Unique]]="Yes",_xlfn.XLOOKUP(PartList[[#This Row],[ASSLY MARK]],FilteredPL!A:A,FilteredPL!B:B,0,0),0)</f>
        <v>0</v>
      </c>
      <c r="P878">
        <f>_xlfn.XLOOKUP(PartList[[#This Row],[ASSLY MARK]],MasterPL[SplitMarkNo],MasterPL[BILL WT.(KG)],0,0)</f>
        <v>0</v>
      </c>
      <c r="Q878" cm="1">
        <f t="array" ref="Q87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78" t="str">
        <v>6BE92</v>
      </c>
      <c r="AB878" s="42">
        <f>SUMIF(PartList[ASSLY MARK],AA878,PartList[Avail. Qty])</f>
        <v>0</v>
      </c>
    </row>
    <row r="879" spans="1:28" x14ac:dyDescent="0.25">
      <c r="A879">
        <v>588</v>
      </c>
      <c r="B879" t="s">
        <v>828</v>
      </c>
      <c r="C879" t="s">
        <v>602</v>
      </c>
      <c r="D879" t="s">
        <v>818</v>
      </c>
      <c r="E879" t="s">
        <v>6</v>
      </c>
      <c r="F879" t="str" cm="1">
        <f t="array" ref="F879">IF(SUM(IF(PartList[ASSLY MARK]=PartList[[#This Row],[ASSLY MARK]],1,0))&gt;1,"No","Yes")</f>
        <v>Yes</v>
      </c>
      <c r="G879" t="str" cm="1">
        <f t="array" ref="G879">_xlfn.TEXTJOIN("_",TRUE,TRIM(_xlfn.TEXTSPLIT(PartList[[#This Row],[GRID LOCATION]],{"PR01","/","-"})))</f>
        <v>13_14_A_B</v>
      </c>
      <c r="H879" t="str" cm="1">
        <f t="array" ref="H87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79" cm="1">
        <f t="array" ref="I87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79" t="str">
        <f>IF(IFERROR(SEARCH("&gt;",PartList[[#This Row],[ID]]),0),"O",IF(IFERROR(SEARCH("&lt;",PartList[[#This Row],[ID]]),0),"I",""))</f>
        <v/>
      </c>
      <c r="K879" t="str" cm="1">
        <f t="array" ref="K8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79" t="str" cm="1">
        <f t="array" ref="L8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79" t="str">
        <f>_xlfn.TEXTJOIN("#",TRUE,PartList[[#This Row],[ASSLY MARK]],PartList[[#This Row],[BOX NO]],PartList[[#This Row],[In/Out]],PartList[[#This Row],[O1-Grid]])</f>
        <v>4HB21#Box2#InB</v>
      </c>
      <c r="N879" t="str">
        <f>_xlfn.TEXTJOIN("#",TRUE,PartList[[#This Row],[ASSLY MARK]],PartList[[#This Row],[BOX NO]],PartList[[#This Row],[In/Out]],PartList[[#This Row],[O2-Grid]])</f>
        <v>4HB21#Box2#InB</v>
      </c>
      <c r="O879">
        <f>IF(PartList[[#This Row],[Unique]]="Yes",_xlfn.XLOOKUP(PartList[[#This Row],[ASSLY MARK]],FilteredPL!A:A,FilteredPL!B:B,0,0),0)</f>
        <v>0</v>
      </c>
      <c r="P879">
        <f>_xlfn.XLOOKUP(PartList[[#This Row],[ASSLY MARK]],MasterPL[SplitMarkNo],MasterPL[BILL WT.(KG)],0,0)</f>
        <v>0</v>
      </c>
      <c r="Q879" cm="1">
        <f t="array" ref="Q87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79" t="str">
        <v>6BE93</v>
      </c>
      <c r="AB879" s="42">
        <f>SUMIF(PartList[ASSLY MARK],AA879,PartList[Avail. Qty])</f>
        <v>0</v>
      </c>
    </row>
    <row r="880" spans="1:28" x14ac:dyDescent="0.25">
      <c r="A880">
        <v>589</v>
      </c>
      <c r="B880" t="s">
        <v>829</v>
      </c>
      <c r="C880" t="s">
        <v>638</v>
      </c>
      <c r="D880" t="s">
        <v>819</v>
      </c>
      <c r="E880" t="s">
        <v>6</v>
      </c>
      <c r="F880" t="str" cm="1">
        <f t="array" ref="F880">IF(SUM(IF(PartList[ASSLY MARK]=PartList[[#This Row],[ASSLY MARK]],1,0))&gt;1,"No","Yes")</f>
        <v>Yes</v>
      </c>
      <c r="G880" t="str" cm="1">
        <f t="array" ref="G880">_xlfn.TEXTJOIN("_",TRUE,TRIM(_xlfn.TEXTSPLIT(PartList[[#This Row],[GRID LOCATION]],{"PR01","/","-"})))</f>
        <v>13_14_A'_A</v>
      </c>
      <c r="H880" t="str" cm="1">
        <f t="array" ref="H88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880" cm="1">
        <f t="array" ref="I88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80" t="str">
        <f>IF(IFERROR(SEARCH("&gt;",PartList[[#This Row],[ID]]),0),"O",IF(IFERROR(SEARCH("&lt;",PartList[[#This Row],[ID]]),0),"I",""))</f>
        <v/>
      </c>
      <c r="K880" t="str" cm="1">
        <f t="array" ref="K8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80" t="str" cm="1">
        <f t="array" ref="L8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80" t="str">
        <f>_xlfn.TEXTJOIN("#",TRUE,PartList[[#This Row],[ASSLY MARK]],PartList[[#This Row],[BOX NO]],PartList[[#This Row],[In/Out]],PartList[[#This Row],[O1-Grid]])</f>
        <v>4HB22#Box2_Box5_Box6#InBB</v>
      </c>
      <c r="N880" t="str">
        <f>_xlfn.TEXTJOIN("#",TRUE,PartList[[#This Row],[ASSLY MARK]],PartList[[#This Row],[BOX NO]],PartList[[#This Row],[In/Out]],PartList[[#This Row],[O2-Grid]])</f>
        <v>4HB22#Box2_Box5_Box6#InBB</v>
      </c>
      <c r="O880">
        <f>IF(PartList[[#This Row],[Unique]]="Yes",_xlfn.XLOOKUP(PartList[[#This Row],[ASSLY MARK]],FilteredPL!A:A,FilteredPL!B:B,0,0),0)</f>
        <v>0</v>
      </c>
      <c r="P880">
        <f>_xlfn.XLOOKUP(PartList[[#This Row],[ASSLY MARK]],MasterPL[SplitMarkNo],MasterPL[BILL WT.(KG)],0,0)</f>
        <v>0</v>
      </c>
      <c r="Q880" cm="1">
        <f t="array" ref="Q88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80" t="str">
        <v>6BE105</v>
      </c>
      <c r="AB880" s="42">
        <f>SUMIF(PartList[ASSLY MARK],AA880,PartList[Avail. Qty])</f>
        <v>0</v>
      </c>
    </row>
    <row r="881" spans="1:28" x14ac:dyDescent="0.25">
      <c r="A881">
        <v>590</v>
      </c>
      <c r="B881" t="s">
        <v>830</v>
      </c>
      <c r="C881" t="s">
        <v>686</v>
      </c>
      <c r="D881" t="s">
        <v>819</v>
      </c>
      <c r="E881" t="s">
        <v>6</v>
      </c>
      <c r="F881" t="str" cm="1">
        <f t="array" ref="F881">IF(SUM(IF(PartList[ASSLY MARK]=PartList[[#This Row],[ASSLY MARK]],1,0))&gt;1,"No","Yes")</f>
        <v>Yes</v>
      </c>
      <c r="G881" t="str" cm="1">
        <f t="array" ref="G881">_xlfn.TEXTJOIN("_",TRUE,TRIM(_xlfn.TEXTSPLIT(PartList[[#This Row],[GRID LOCATION]],{"PR01","/","-"})))</f>
        <v>13_14_B&gt;</v>
      </c>
      <c r="H881" t="str" cm="1">
        <f t="array" ref="H88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81" cm="1">
        <f t="array" ref="I88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81" t="str">
        <f>IF(IFERROR(SEARCH("&gt;",PartList[[#This Row],[ID]]),0),"O",IF(IFERROR(SEARCH("&lt;",PartList[[#This Row],[ID]]),0),"I",""))</f>
        <v>O</v>
      </c>
      <c r="K881" t="str" cm="1">
        <f t="array" ref="K8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881" t="str" cm="1">
        <f t="array" ref="L8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881" t="str">
        <f>_xlfn.TEXTJOIN("#",TRUE,PartList[[#This Row],[ASSLY MARK]],PartList[[#This Row],[BOX NO]],PartList[[#This Row],[In/Out]],PartList[[#This Row],[O1-Grid]])</f>
        <v>4HB23#Box2#O</v>
      </c>
      <c r="N881" t="str">
        <f>_xlfn.TEXTJOIN("#",TRUE,PartList[[#This Row],[ASSLY MARK]],PartList[[#This Row],[BOX NO]],PartList[[#This Row],[In/Out]],PartList[[#This Row],[O2-Grid]])</f>
        <v>4HB23#Box2#O</v>
      </c>
      <c r="O881">
        <f>IF(PartList[[#This Row],[Unique]]="Yes",_xlfn.XLOOKUP(PartList[[#This Row],[ASSLY MARK]],FilteredPL!A:A,FilteredPL!B:B,0,0),0)</f>
        <v>0</v>
      </c>
      <c r="P881">
        <f>_xlfn.XLOOKUP(PartList[[#This Row],[ASSLY MARK]],MasterPL[SplitMarkNo],MasterPL[BILL WT.(KG)],0,0)</f>
        <v>0</v>
      </c>
      <c r="Q881" cm="1">
        <f t="array" ref="Q88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81" t="str">
        <v>C04</v>
      </c>
      <c r="AB881" s="42">
        <f>SUMIF(PartList[ASSLY MARK],AA881,PartList[Avail. Qty])</f>
        <v>1</v>
      </c>
    </row>
    <row r="882" spans="1:28" x14ac:dyDescent="0.25">
      <c r="A882">
        <v>591</v>
      </c>
      <c r="B882" t="s">
        <v>831</v>
      </c>
      <c r="C882" t="s">
        <v>686</v>
      </c>
      <c r="D882" t="s">
        <v>819</v>
      </c>
      <c r="E882" t="s">
        <v>6</v>
      </c>
      <c r="F882" t="str" cm="1">
        <f t="array" ref="F882">IF(SUM(IF(PartList[ASSLY MARK]=PartList[[#This Row],[ASSLY MARK]],1,0))&gt;1,"No","Yes")</f>
        <v>Yes</v>
      </c>
      <c r="G882" t="str" cm="1">
        <f t="array" ref="G882">_xlfn.TEXTJOIN("_",TRUE,TRIM(_xlfn.TEXTSPLIT(PartList[[#This Row],[GRID LOCATION]],{"PR01","/","-"})))</f>
        <v>13_14_B&gt;</v>
      </c>
      <c r="H882" t="str" cm="1">
        <f t="array" ref="H88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82" cm="1">
        <f t="array" ref="I88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82" t="str">
        <f>IF(IFERROR(SEARCH("&gt;",PartList[[#This Row],[ID]]),0),"O",IF(IFERROR(SEARCH("&lt;",PartList[[#This Row],[ID]]),0),"I",""))</f>
        <v>O</v>
      </c>
      <c r="K882" t="str" cm="1">
        <f t="array" ref="K8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882" t="str" cm="1">
        <f t="array" ref="L8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882" t="str">
        <f>_xlfn.TEXTJOIN("#",TRUE,PartList[[#This Row],[ASSLY MARK]],PartList[[#This Row],[BOX NO]],PartList[[#This Row],[In/Out]],PartList[[#This Row],[O1-Grid]])</f>
        <v>4HB24#Box2#O</v>
      </c>
      <c r="N882" t="str">
        <f>_xlfn.TEXTJOIN("#",TRUE,PartList[[#This Row],[ASSLY MARK]],PartList[[#This Row],[BOX NO]],PartList[[#This Row],[In/Out]],PartList[[#This Row],[O2-Grid]])</f>
        <v>4HB24#Box2#O</v>
      </c>
      <c r="O882">
        <f>IF(PartList[[#This Row],[Unique]]="Yes",_xlfn.XLOOKUP(PartList[[#This Row],[ASSLY MARK]],FilteredPL!A:A,FilteredPL!B:B,0,0),0)</f>
        <v>0</v>
      </c>
      <c r="P882">
        <f>_xlfn.XLOOKUP(PartList[[#This Row],[ASSLY MARK]],MasterPL[SplitMarkNo],MasterPL[BILL WT.(KG)],0,0)</f>
        <v>0</v>
      </c>
      <c r="Q882" cm="1">
        <f t="array" ref="Q88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82" t="str">
        <v>C05</v>
      </c>
      <c r="AB882" s="42">
        <f>SUMIF(PartList[ASSLY MARK],AA882,PartList[Avail. Qty])</f>
        <v>1</v>
      </c>
    </row>
    <row r="883" spans="1:28" x14ac:dyDescent="0.25">
      <c r="A883">
        <v>592</v>
      </c>
      <c r="B883" t="s">
        <v>832</v>
      </c>
      <c r="C883" t="s">
        <v>638</v>
      </c>
      <c r="D883" t="s">
        <v>819</v>
      </c>
      <c r="E883" t="s">
        <v>6</v>
      </c>
      <c r="F883" t="str" cm="1">
        <f t="array" ref="F883">IF(SUM(IF(PartList[ASSLY MARK]=PartList[[#This Row],[ASSLY MARK]],1,0))&gt;1,"No","Yes")</f>
        <v>Yes</v>
      </c>
      <c r="G883" t="str" cm="1">
        <f t="array" ref="G883">_xlfn.TEXTJOIN("_",TRUE,TRIM(_xlfn.TEXTSPLIT(PartList[[#This Row],[GRID LOCATION]],{"PR01","/","-"})))</f>
        <v>13_14_A'_A</v>
      </c>
      <c r="H883" t="str" cm="1">
        <f t="array" ref="H88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883" cm="1">
        <f t="array" ref="I88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83" t="str">
        <f>IF(IFERROR(SEARCH("&gt;",PartList[[#This Row],[ID]]),0),"O",IF(IFERROR(SEARCH("&lt;",PartList[[#This Row],[ID]]),0),"I",""))</f>
        <v/>
      </c>
      <c r="K883" t="str" cm="1">
        <f t="array" ref="K8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83" t="str" cm="1">
        <f t="array" ref="L8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83" t="str">
        <f>_xlfn.TEXTJOIN("#",TRUE,PartList[[#This Row],[ASSLY MARK]],PartList[[#This Row],[BOX NO]],PartList[[#This Row],[In/Out]],PartList[[#This Row],[O1-Grid]])</f>
        <v>4HB25#Box2_Box5_Box6#InBB</v>
      </c>
      <c r="N883" t="str">
        <f>_xlfn.TEXTJOIN("#",TRUE,PartList[[#This Row],[ASSLY MARK]],PartList[[#This Row],[BOX NO]],PartList[[#This Row],[In/Out]],PartList[[#This Row],[O2-Grid]])</f>
        <v>4HB25#Box2_Box5_Box6#InBB</v>
      </c>
      <c r="O883">
        <f>IF(PartList[[#This Row],[Unique]]="Yes",_xlfn.XLOOKUP(PartList[[#This Row],[ASSLY MARK]],FilteredPL!A:A,FilteredPL!B:B,0,0),0)</f>
        <v>0</v>
      </c>
      <c r="P883">
        <f>_xlfn.XLOOKUP(PartList[[#This Row],[ASSLY MARK]],MasterPL[SplitMarkNo],MasterPL[BILL WT.(KG)],0,0)</f>
        <v>0</v>
      </c>
      <c r="Q883" cm="1">
        <f t="array" ref="Q88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83" t="str">
        <v>C36</v>
      </c>
      <c r="AB883" s="42">
        <f>SUMIF(PartList[ASSLY MARK],AA883,PartList[Avail. Qty])</f>
        <v>0</v>
      </c>
    </row>
    <row r="884" spans="1:28" x14ac:dyDescent="0.25">
      <c r="A884">
        <v>593</v>
      </c>
      <c r="B884" t="s">
        <v>833</v>
      </c>
      <c r="C884" t="s">
        <v>602</v>
      </c>
      <c r="D884" t="s">
        <v>819</v>
      </c>
      <c r="E884" t="s">
        <v>6</v>
      </c>
      <c r="F884" t="str" cm="1">
        <f t="array" ref="F884">IF(SUM(IF(PartList[ASSLY MARK]=PartList[[#This Row],[ASSLY MARK]],1,0))&gt;1,"No","Yes")</f>
        <v>No</v>
      </c>
      <c r="G884" t="str" cm="1">
        <f t="array" ref="G884">_xlfn.TEXTJOIN("_",TRUE,TRIM(_xlfn.TEXTSPLIT(PartList[[#This Row],[GRID LOCATION]],{"PR01","/","-"})))</f>
        <v>13_14_A_B</v>
      </c>
      <c r="H884" t="str" cm="1">
        <f t="array" ref="H88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84" cm="1">
        <f t="array" ref="I88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84" t="str">
        <f>IF(IFERROR(SEARCH("&gt;",PartList[[#This Row],[ID]]),0),"O",IF(IFERROR(SEARCH("&lt;",PartList[[#This Row],[ID]]),0),"I",""))</f>
        <v/>
      </c>
      <c r="K884" t="str" cm="1">
        <f t="array" ref="K8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84" t="str" cm="1">
        <f t="array" ref="L8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84" t="str">
        <f>_xlfn.TEXTJOIN("#",TRUE,PartList[[#This Row],[ASSLY MARK]],PartList[[#This Row],[BOX NO]],PartList[[#This Row],[In/Out]],PartList[[#This Row],[O1-Grid]])</f>
        <v>4HB26#Box2#InB</v>
      </c>
      <c r="N884" t="str">
        <f>_xlfn.TEXTJOIN("#",TRUE,PartList[[#This Row],[ASSLY MARK]],PartList[[#This Row],[BOX NO]],PartList[[#This Row],[In/Out]],PartList[[#This Row],[O2-Grid]])</f>
        <v>4HB26#Box2#InB</v>
      </c>
      <c r="O884">
        <f>IF(PartList[[#This Row],[Unique]]="Yes",_xlfn.XLOOKUP(PartList[[#This Row],[ASSLY MARK]],FilteredPL!A:A,FilteredPL!B:B,0,0),0)</f>
        <v>0</v>
      </c>
      <c r="P884">
        <f>_xlfn.XLOOKUP(PartList[[#This Row],[ASSLY MARK]],MasterPL[SplitMarkNo],MasterPL[BILL WT.(KG)],0,0)</f>
        <v>0</v>
      </c>
      <c r="Q884" cm="1">
        <f t="array" ref="Q88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84" t="str">
        <v>VB81</v>
      </c>
      <c r="AB884" s="42">
        <f>SUMIF(PartList[ASSLY MARK],AA884,PartList[Avail. Qty])</f>
        <v>0</v>
      </c>
    </row>
    <row r="885" spans="1:28" x14ac:dyDescent="0.25">
      <c r="A885">
        <v>594</v>
      </c>
      <c r="B885" t="s">
        <v>833</v>
      </c>
      <c r="C885" t="s">
        <v>602</v>
      </c>
      <c r="D885" t="s">
        <v>819</v>
      </c>
      <c r="E885" t="s">
        <v>6</v>
      </c>
      <c r="F885" t="str" cm="1">
        <f t="array" ref="F885">IF(SUM(IF(PartList[ASSLY MARK]=PartList[[#This Row],[ASSLY MARK]],1,0))&gt;1,"No","Yes")</f>
        <v>No</v>
      </c>
      <c r="G885" t="str" cm="1">
        <f t="array" ref="G885">_xlfn.TEXTJOIN("_",TRUE,TRIM(_xlfn.TEXTSPLIT(PartList[[#This Row],[GRID LOCATION]],{"PR01","/","-"})))</f>
        <v>13_14_A_B</v>
      </c>
      <c r="H885" t="str" cm="1">
        <f t="array" ref="H88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85" cm="1">
        <f t="array" ref="I88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85" t="str">
        <f>IF(IFERROR(SEARCH("&gt;",PartList[[#This Row],[ID]]),0),"O",IF(IFERROR(SEARCH("&lt;",PartList[[#This Row],[ID]]),0),"I",""))</f>
        <v/>
      </c>
      <c r="K885" t="str" cm="1">
        <f t="array" ref="K8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85" t="str" cm="1">
        <f t="array" ref="L8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85" t="str">
        <f>_xlfn.TEXTJOIN("#",TRUE,PartList[[#This Row],[ASSLY MARK]],PartList[[#This Row],[BOX NO]],PartList[[#This Row],[In/Out]],PartList[[#This Row],[O1-Grid]])</f>
        <v>4HB26#Box2#InB</v>
      </c>
      <c r="N885" t="str">
        <f>_xlfn.TEXTJOIN("#",TRUE,PartList[[#This Row],[ASSLY MARK]],PartList[[#This Row],[BOX NO]],PartList[[#This Row],[In/Out]],PartList[[#This Row],[O2-Grid]])</f>
        <v>4HB26#Box2#InB</v>
      </c>
      <c r="O885">
        <f>IF(PartList[[#This Row],[Unique]]="Yes",_xlfn.XLOOKUP(PartList[[#This Row],[ASSLY MARK]],FilteredPL!A:A,FilteredPL!B:B,0,0),0)</f>
        <v>0</v>
      </c>
      <c r="P885">
        <f>_xlfn.XLOOKUP(PartList[[#This Row],[ASSLY MARK]],MasterPL[SplitMarkNo],MasterPL[BILL WT.(KG)],0,0)</f>
        <v>0</v>
      </c>
      <c r="Q885" cm="1">
        <f t="array" ref="Q88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  <c r="AA885" t="str">
        <v>VB83</v>
      </c>
      <c r="AB885" s="42">
        <f>SUMIF(PartList[ASSLY MARK],AA885,PartList[Avail. Qty])</f>
        <v>0</v>
      </c>
    </row>
    <row r="886" spans="1:28" x14ac:dyDescent="0.25">
      <c r="A886">
        <v>595</v>
      </c>
      <c r="B886" t="s">
        <v>834</v>
      </c>
      <c r="C886" t="s">
        <v>686</v>
      </c>
      <c r="D886" t="s">
        <v>819</v>
      </c>
      <c r="E886" t="s">
        <v>6</v>
      </c>
      <c r="F886" t="str" cm="1">
        <f t="array" ref="F886">IF(SUM(IF(PartList[ASSLY MARK]=PartList[[#This Row],[ASSLY MARK]],1,0))&gt;1,"No","Yes")</f>
        <v>No</v>
      </c>
      <c r="G886" t="str" cm="1">
        <f t="array" ref="G886">_xlfn.TEXTJOIN("_",TRUE,TRIM(_xlfn.TEXTSPLIT(PartList[[#This Row],[GRID LOCATION]],{"PR01","/","-"})))</f>
        <v>13_14_B&gt;</v>
      </c>
      <c r="H886" t="str" cm="1">
        <f t="array" ref="H88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86" cm="1">
        <f t="array" ref="I88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86" t="str">
        <f>IF(IFERROR(SEARCH("&gt;",PartList[[#This Row],[ID]]),0),"O",IF(IFERROR(SEARCH("&lt;",PartList[[#This Row],[ID]]),0),"I",""))</f>
        <v>O</v>
      </c>
      <c r="K886" t="str" cm="1">
        <f t="array" ref="K8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886" t="str" cm="1">
        <f t="array" ref="L8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886" t="str">
        <f>_xlfn.TEXTJOIN("#",TRUE,PartList[[#This Row],[ASSLY MARK]],PartList[[#This Row],[BOX NO]],PartList[[#This Row],[In/Out]],PartList[[#This Row],[O1-Grid]])</f>
        <v>4HB27#Box2#O</v>
      </c>
      <c r="N886" t="str">
        <f>_xlfn.TEXTJOIN("#",TRUE,PartList[[#This Row],[ASSLY MARK]],PartList[[#This Row],[BOX NO]],PartList[[#This Row],[In/Out]],PartList[[#This Row],[O2-Grid]])</f>
        <v>4HB27#Box2#O</v>
      </c>
      <c r="O886">
        <f>IF(PartList[[#This Row],[Unique]]="Yes",_xlfn.XLOOKUP(PartList[[#This Row],[ASSLY MARK]],FilteredPL!A:A,FilteredPL!B:B,0,0),0)</f>
        <v>0</v>
      </c>
      <c r="P886">
        <f>_xlfn.XLOOKUP(PartList[[#This Row],[ASSLY MARK]],MasterPL[SplitMarkNo],MasterPL[BILL WT.(KG)],0,0)</f>
        <v>0</v>
      </c>
      <c r="Q886" cm="1">
        <f t="array" ref="Q88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887" spans="1:28" x14ac:dyDescent="0.25">
      <c r="A887">
        <v>596</v>
      </c>
      <c r="B887" t="s">
        <v>834</v>
      </c>
      <c r="C887" t="s">
        <v>686</v>
      </c>
      <c r="D887" t="s">
        <v>819</v>
      </c>
      <c r="E887" t="s">
        <v>6</v>
      </c>
      <c r="F887" t="str" cm="1">
        <f t="array" ref="F887">IF(SUM(IF(PartList[ASSLY MARK]=PartList[[#This Row],[ASSLY MARK]],1,0))&gt;1,"No","Yes")</f>
        <v>No</v>
      </c>
      <c r="G887" t="str" cm="1">
        <f t="array" ref="G887">_xlfn.TEXTJOIN("_",TRUE,TRIM(_xlfn.TEXTSPLIT(PartList[[#This Row],[GRID LOCATION]],{"PR01","/","-"})))</f>
        <v>13_14_B&gt;</v>
      </c>
      <c r="H887" t="str" cm="1">
        <f t="array" ref="H88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87" cm="1">
        <f t="array" ref="I88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87" t="str">
        <f>IF(IFERROR(SEARCH("&gt;",PartList[[#This Row],[ID]]),0),"O",IF(IFERROR(SEARCH("&lt;",PartList[[#This Row],[ID]]),0),"I",""))</f>
        <v>O</v>
      </c>
      <c r="K887" t="str" cm="1">
        <f t="array" ref="K8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887" t="str" cm="1">
        <f t="array" ref="L8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887" t="str">
        <f>_xlfn.TEXTJOIN("#",TRUE,PartList[[#This Row],[ASSLY MARK]],PartList[[#This Row],[BOX NO]],PartList[[#This Row],[In/Out]],PartList[[#This Row],[O1-Grid]])</f>
        <v>4HB27#Box2#O</v>
      </c>
      <c r="N887" t="str">
        <f>_xlfn.TEXTJOIN("#",TRUE,PartList[[#This Row],[ASSLY MARK]],PartList[[#This Row],[BOX NO]],PartList[[#This Row],[In/Out]],PartList[[#This Row],[O2-Grid]])</f>
        <v>4HB27#Box2#O</v>
      </c>
      <c r="O887">
        <f>IF(PartList[[#This Row],[Unique]]="Yes",_xlfn.XLOOKUP(PartList[[#This Row],[ASSLY MARK]],FilteredPL!A:A,FilteredPL!B:B,0,0),0)</f>
        <v>0</v>
      </c>
      <c r="P887">
        <f>_xlfn.XLOOKUP(PartList[[#This Row],[ASSLY MARK]],MasterPL[SplitMarkNo],MasterPL[BILL WT.(KG)],0,0)</f>
        <v>0</v>
      </c>
      <c r="Q887" cm="1">
        <f t="array" ref="Q88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888" spans="1:28" x14ac:dyDescent="0.25">
      <c r="A888">
        <v>597</v>
      </c>
      <c r="B888" t="s">
        <v>835</v>
      </c>
      <c r="C888" t="s">
        <v>602</v>
      </c>
      <c r="D888" t="s">
        <v>819</v>
      </c>
      <c r="E888" t="s">
        <v>6</v>
      </c>
      <c r="F888" t="str" cm="1">
        <f t="array" ref="F888">IF(SUM(IF(PartList[ASSLY MARK]=PartList[[#This Row],[ASSLY MARK]],1,0))&gt;1,"No","Yes")</f>
        <v>Yes</v>
      </c>
      <c r="G888" t="str" cm="1">
        <f t="array" ref="G888">_xlfn.TEXTJOIN("_",TRUE,TRIM(_xlfn.TEXTSPLIT(PartList[[#This Row],[GRID LOCATION]],{"PR01","/","-"})))</f>
        <v>13_14_A_B</v>
      </c>
      <c r="H888" t="str" cm="1">
        <f t="array" ref="H88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88" cm="1">
        <f t="array" ref="I88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88" t="str">
        <f>IF(IFERROR(SEARCH("&gt;",PartList[[#This Row],[ID]]),0),"O",IF(IFERROR(SEARCH("&lt;",PartList[[#This Row],[ID]]),0),"I",""))</f>
        <v/>
      </c>
      <c r="K888" t="str" cm="1">
        <f t="array" ref="K8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88" t="str" cm="1">
        <f t="array" ref="L8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88" t="str">
        <f>_xlfn.TEXTJOIN("#",TRUE,PartList[[#This Row],[ASSLY MARK]],PartList[[#This Row],[BOX NO]],PartList[[#This Row],[In/Out]],PartList[[#This Row],[O1-Grid]])</f>
        <v>4HB28#Box2#InB</v>
      </c>
      <c r="N888" t="str">
        <f>_xlfn.TEXTJOIN("#",TRUE,PartList[[#This Row],[ASSLY MARK]],PartList[[#This Row],[BOX NO]],PartList[[#This Row],[In/Out]],PartList[[#This Row],[O2-Grid]])</f>
        <v>4HB28#Box2#InB</v>
      </c>
      <c r="O888">
        <f>IF(PartList[[#This Row],[Unique]]="Yes",_xlfn.XLOOKUP(PartList[[#This Row],[ASSLY MARK]],FilteredPL!A:A,FilteredPL!B:B,0,0),0)</f>
        <v>0</v>
      </c>
      <c r="P888">
        <f>_xlfn.XLOOKUP(PartList[[#This Row],[ASSLY MARK]],MasterPL[SplitMarkNo],MasterPL[BILL WT.(KG)],0,0)</f>
        <v>0</v>
      </c>
      <c r="Q888" cm="1">
        <f t="array" ref="Q88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889" spans="1:28" x14ac:dyDescent="0.25">
      <c r="A889">
        <v>598</v>
      </c>
      <c r="B889" t="s">
        <v>836</v>
      </c>
      <c r="C889" t="s">
        <v>602</v>
      </c>
      <c r="D889" t="s">
        <v>819</v>
      </c>
      <c r="E889" t="s">
        <v>6</v>
      </c>
      <c r="F889" t="str" cm="1">
        <f t="array" ref="F889">IF(SUM(IF(PartList[ASSLY MARK]=PartList[[#This Row],[ASSLY MARK]],1,0))&gt;1,"No","Yes")</f>
        <v>Yes</v>
      </c>
      <c r="G889" t="str" cm="1">
        <f t="array" ref="G889">_xlfn.TEXTJOIN("_",TRUE,TRIM(_xlfn.TEXTSPLIT(PartList[[#This Row],[GRID LOCATION]],{"PR01","/","-"})))</f>
        <v>13_14_A_B</v>
      </c>
      <c r="H889" t="str" cm="1">
        <f t="array" ref="H88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89" cm="1">
        <f t="array" ref="I88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89" t="str">
        <f>IF(IFERROR(SEARCH("&gt;",PartList[[#This Row],[ID]]),0),"O",IF(IFERROR(SEARCH("&lt;",PartList[[#This Row],[ID]]),0),"I",""))</f>
        <v/>
      </c>
      <c r="K889" t="str" cm="1">
        <f t="array" ref="K8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89" t="str" cm="1">
        <f t="array" ref="L8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89" t="str">
        <f>_xlfn.TEXTJOIN("#",TRUE,PartList[[#This Row],[ASSLY MARK]],PartList[[#This Row],[BOX NO]],PartList[[#This Row],[In/Out]],PartList[[#This Row],[O1-Grid]])</f>
        <v>4HB29#Box2#InB</v>
      </c>
      <c r="N889" t="str">
        <f>_xlfn.TEXTJOIN("#",TRUE,PartList[[#This Row],[ASSLY MARK]],PartList[[#This Row],[BOX NO]],PartList[[#This Row],[In/Out]],PartList[[#This Row],[O2-Grid]])</f>
        <v>4HB29#Box2#InB</v>
      </c>
      <c r="O889">
        <f>IF(PartList[[#This Row],[Unique]]="Yes",_xlfn.XLOOKUP(PartList[[#This Row],[ASSLY MARK]],FilteredPL!A:A,FilteredPL!B:B,0,0),0)</f>
        <v>0</v>
      </c>
      <c r="P889">
        <f>_xlfn.XLOOKUP(PartList[[#This Row],[ASSLY MARK]],MasterPL[SplitMarkNo],MasterPL[BILL WT.(KG)],0,0)</f>
        <v>0</v>
      </c>
      <c r="Q889" cm="1">
        <f t="array" ref="Q88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890" spans="1:28" x14ac:dyDescent="0.25">
      <c r="A890">
        <v>599</v>
      </c>
      <c r="B890" t="s">
        <v>837</v>
      </c>
      <c r="C890" t="s">
        <v>602</v>
      </c>
      <c r="D890" t="s">
        <v>819</v>
      </c>
      <c r="E890" t="s">
        <v>6</v>
      </c>
      <c r="F890" t="str" cm="1">
        <f t="array" ref="F890">IF(SUM(IF(PartList[ASSLY MARK]=PartList[[#This Row],[ASSLY MARK]],1,0))&gt;1,"No","Yes")</f>
        <v>Yes</v>
      </c>
      <c r="G890" t="str" cm="1">
        <f t="array" ref="G890">_xlfn.TEXTJOIN("_",TRUE,TRIM(_xlfn.TEXTSPLIT(PartList[[#This Row],[GRID LOCATION]],{"PR01","/","-"})))</f>
        <v>13_14_A_B</v>
      </c>
      <c r="H890" t="str" cm="1">
        <f t="array" ref="H89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90" cm="1">
        <f t="array" ref="I89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90" t="str">
        <f>IF(IFERROR(SEARCH("&gt;",PartList[[#This Row],[ID]]),0),"O",IF(IFERROR(SEARCH("&lt;",PartList[[#This Row],[ID]]),0),"I",""))</f>
        <v/>
      </c>
      <c r="K890" t="str" cm="1">
        <f t="array" ref="K8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90" t="str" cm="1">
        <f t="array" ref="L8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90" t="str">
        <f>_xlfn.TEXTJOIN("#",TRUE,PartList[[#This Row],[ASSLY MARK]],PartList[[#This Row],[BOX NO]],PartList[[#This Row],[In/Out]],PartList[[#This Row],[O1-Grid]])</f>
        <v>4HB30#Box2#InB</v>
      </c>
      <c r="N890" t="str">
        <f>_xlfn.TEXTJOIN("#",TRUE,PartList[[#This Row],[ASSLY MARK]],PartList[[#This Row],[BOX NO]],PartList[[#This Row],[In/Out]],PartList[[#This Row],[O2-Grid]])</f>
        <v>4HB30#Box2#InB</v>
      </c>
      <c r="O890">
        <f>IF(PartList[[#This Row],[Unique]]="Yes",_xlfn.XLOOKUP(PartList[[#This Row],[ASSLY MARK]],FilteredPL!A:A,FilteredPL!B:B,0,0),0)</f>
        <v>0</v>
      </c>
      <c r="P890">
        <f>_xlfn.XLOOKUP(PartList[[#This Row],[ASSLY MARK]],MasterPL[SplitMarkNo],MasterPL[BILL WT.(KG)],0,0)</f>
        <v>0</v>
      </c>
      <c r="Q890" cm="1">
        <f t="array" ref="Q89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891" spans="1:28" x14ac:dyDescent="0.25">
      <c r="A891">
        <v>600</v>
      </c>
      <c r="B891" t="s">
        <v>838</v>
      </c>
      <c r="C891" t="s">
        <v>638</v>
      </c>
      <c r="D891" t="s">
        <v>819</v>
      </c>
      <c r="E891" t="s">
        <v>6</v>
      </c>
      <c r="F891" t="str" cm="1">
        <f t="array" ref="F891">IF(SUM(IF(PartList[ASSLY MARK]=PartList[[#This Row],[ASSLY MARK]],1,0))&gt;1,"No","Yes")</f>
        <v>Yes</v>
      </c>
      <c r="G891" t="str" cm="1">
        <f t="array" ref="G891">_xlfn.TEXTJOIN("_",TRUE,TRIM(_xlfn.TEXTSPLIT(PartList[[#This Row],[GRID LOCATION]],{"PR01","/","-"})))</f>
        <v>13_14_A'_A</v>
      </c>
      <c r="H891" t="str" cm="1">
        <f t="array" ref="H89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891" cm="1">
        <f t="array" ref="I89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91" t="str">
        <f>IF(IFERROR(SEARCH("&gt;",PartList[[#This Row],[ID]]),0),"O",IF(IFERROR(SEARCH("&lt;",PartList[[#This Row],[ID]]),0),"I",""))</f>
        <v/>
      </c>
      <c r="K891" t="str" cm="1">
        <f t="array" ref="K8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91" t="str" cm="1">
        <f t="array" ref="L8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91" t="str">
        <f>_xlfn.TEXTJOIN("#",TRUE,PartList[[#This Row],[ASSLY MARK]],PartList[[#This Row],[BOX NO]],PartList[[#This Row],[In/Out]],PartList[[#This Row],[O1-Grid]])</f>
        <v>4HB31#Box2_Box5_Box6#InBB</v>
      </c>
      <c r="N891" t="str">
        <f>_xlfn.TEXTJOIN("#",TRUE,PartList[[#This Row],[ASSLY MARK]],PartList[[#This Row],[BOX NO]],PartList[[#This Row],[In/Out]],PartList[[#This Row],[O2-Grid]])</f>
        <v>4HB31#Box2_Box5_Box6#InBB</v>
      </c>
      <c r="O891">
        <f>IF(PartList[[#This Row],[Unique]]="Yes",_xlfn.XLOOKUP(PartList[[#This Row],[ASSLY MARK]],FilteredPL!A:A,FilteredPL!B:B,0,0),0)</f>
        <v>0</v>
      </c>
      <c r="P891">
        <f>_xlfn.XLOOKUP(PartList[[#This Row],[ASSLY MARK]],MasterPL[SplitMarkNo],MasterPL[BILL WT.(KG)],0,0)</f>
        <v>0</v>
      </c>
      <c r="Q891" cm="1">
        <f t="array" ref="Q89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892" spans="1:28" x14ac:dyDescent="0.25">
      <c r="A892">
        <v>601</v>
      </c>
      <c r="B892" t="s">
        <v>839</v>
      </c>
      <c r="C892" t="s">
        <v>686</v>
      </c>
      <c r="D892" t="s">
        <v>819</v>
      </c>
      <c r="E892" t="s">
        <v>6</v>
      </c>
      <c r="F892" t="str" cm="1">
        <f t="array" ref="F892">IF(SUM(IF(PartList[ASSLY MARK]=PartList[[#This Row],[ASSLY MARK]],1,0))&gt;1,"No","Yes")</f>
        <v>Yes</v>
      </c>
      <c r="G892" t="str" cm="1">
        <f t="array" ref="G892">_xlfn.TEXTJOIN("_",TRUE,TRIM(_xlfn.TEXTSPLIT(PartList[[#This Row],[GRID LOCATION]],{"PR01","/","-"})))</f>
        <v>13_14_B&gt;</v>
      </c>
      <c r="H892" t="str" cm="1">
        <f t="array" ref="H89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92" cm="1">
        <f t="array" ref="I89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92" t="str">
        <f>IF(IFERROR(SEARCH("&gt;",PartList[[#This Row],[ID]]),0),"O",IF(IFERROR(SEARCH("&lt;",PartList[[#This Row],[ID]]),0),"I",""))</f>
        <v>O</v>
      </c>
      <c r="K892" t="str" cm="1">
        <f t="array" ref="K8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892" t="str" cm="1">
        <f t="array" ref="L8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892" t="str">
        <f>_xlfn.TEXTJOIN("#",TRUE,PartList[[#This Row],[ASSLY MARK]],PartList[[#This Row],[BOX NO]],PartList[[#This Row],[In/Out]],PartList[[#This Row],[O1-Grid]])</f>
        <v>4HB32#Box2#O</v>
      </c>
      <c r="N892" t="str">
        <f>_xlfn.TEXTJOIN("#",TRUE,PartList[[#This Row],[ASSLY MARK]],PartList[[#This Row],[BOX NO]],PartList[[#This Row],[In/Out]],PartList[[#This Row],[O2-Grid]])</f>
        <v>4HB32#Box2#O</v>
      </c>
      <c r="O892">
        <f>IF(PartList[[#This Row],[Unique]]="Yes",_xlfn.XLOOKUP(PartList[[#This Row],[ASSLY MARK]],FilteredPL!A:A,FilteredPL!B:B,0,0),0)</f>
        <v>0</v>
      </c>
      <c r="P892">
        <f>_xlfn.XLOOKUP(PartList[[#This Row],[ASSLY MARK]],MasterPL[SplitMarkNo],MasterPL[BILL WT.(KG)],0,0)</f>
        <v>0</v>
      </c>
      <c r="Q892" cm="1">
        <f t="array" ref="Q89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893" spans="1:28" x14ac:dyDescent="0.25">
      <c r="A893">
        <v>602</v>
      </c>
      <c r="B893" t="s">
        <v>840</v>
      </c>
      <c r="C893" t="s">
        <v>638</v>
      </c>
      <c r="D893" t="s">
        <v>819</v>
      </c>
      <c r="E893" t="s">
        <v>6</v>
      </c>
      <c r="F893" t="str" cm="1">
        <f t="array" ref="F893">IF(SUM(IF(PartList[ASSLY MARK]=PartList[[#This Row],[ASSLY MARK]],1,0))&gt;1,"No","Yes")</f>
        <v>Yes</v>
      </c>
      <c r="G893" t="str" cm="1">
        <f t="array" ref="G893">_xlfn.TEXTJOIN("_",TRUE,TRIM(_xlfn.TEXTSPLIT(PartList[[#This Row],[GRID LOCATION]],{"PR01","/","-"})))</f>
        <v>13_14_A'_A</v>
      </c>
      <c r="H893" t="str" cm="1">
        <f t="array" ref="H89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893" cm="1">
        <f t="array" ref="I89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93" t="str">
        <f>IF(IFERROR(SEARCH("&gt;",PartList[[#This Row],[ID]]),0),"O",IF(IFERROR(SEARCH("&lt;",PartList[[#This Row],[ID]]),0),"I",""))</f>
        <v/>
      </c>
      <c r="K893" t="str" cm="1">
        <f t="array" ref="K8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93" t="str" cm="1">
        <f t="array" ref="L8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93" t="str">
        <f>_xlfn.TEXTJOIN("#",TRUE,PartList[[#This Row],[ASSLY MARK]],PartList[[#This Row],[BOX NO]],PartList[[#This Row],[In/Out]],PartList[[#This Row],[O1-Grid]])</f>
        <v>4HB33#Box2_Box5_Box6#InBB</v>
      </c>
      <c r="N893" t="str">
        <f>_xlfn.TEXTJOIN("#",TRUE,PartList[[#This Row],[ASSLY MARK]],PartList[[#This Row],[BOX NO]],PartList[[#This Row],[In/Out]],PartList[[#This Row],[O2-Grid]])</f>
        <v>4HB33#Box2_Box5_Box6#InBB</v>
      </c>
      <c r="O893">
        <f>IF(PartList[[#This Row],[Unique]]="Yes",_xlfn.XLOOKUP(PartList[[#This Row],[ASSLY MARK]],FilteredPL!A:A,FilteredPL!B:B,0,0),0)</f>
        <v>0</v>
      </c>
      <c r="P893">
        <f>_xlfn.XLOOKUP(PartList[[#This Row],[ASSLY MARK]],MasterPL[SplitMarkNo],MasterPL[BILL WT.(KG)],0,0)</f>
        <v>0</v>
      </c>
      <c r="Q893" cm="1">
        <f t="array" ref="Q89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894" spans="1:28" x14ac:dyDescent="0.25">
      <c r="A894">
        <v>614</v>
      </c>
      <c r="B894" t="s">
        <v>853</v>
      </c>
      <c r="C894" t="s">
        <v>602</v>
      </c>
      <c r="D894" t="s">
        <v>818</v>
      </c>
      <c r="E894" t="s">
        <v>6</v>
      </c>
      <c r="F894" t="str" cm="1">
        <f t="array" ref="F894">IF(SUM(IF(PartList[ASSLY MARK]=PartList[[#This Row],[ASSLY MARK]],1,0))&gt;1,"No","Yes")</f>
        <v>Yes</v>
      </c>
      <c r="G894" t="str" cm="1">
        <f t="array" ref="G894">_xlfn.TEXTJOIN("_",TRUE,TRIM(_xlfn.TEXTSPLIT(PartList[[#This Row],[GRID LOCATION]],{"PR01","/","-"})))</f>
        <v>13_14_A_B</v>
      </c>
      <c r="H894" t="str" cm="1">
        <f t="array" ref="H89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94" cm="1">
        <f t="array" ref="I89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94" t="str">
        <f>IF(IFERROR(SEARCH("&gt;",PartList[[#This Row],[ID]]),0),"O",IF(IFERROR(SEARCH("&lt;",PartList[[#This Row],[ID]]),0),"I",""))</f>
        <v/>
      </c>
      <c r="K894" t="str" cm="1">
        <f t="array" ref="K8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94" t="str" cm="1">
        <f t="array" ref="L8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94" t="str">
        <f>_xlfn.TEXTJOIN("#",TRUE,PartList[[#This Row],[ASSLY MARK]],PartList[[#This Row],[BOX NO]],PartList[[#This Row],[In/Out]],PartList[[#This Row],[O1-Grid]])</f>
        <v>4HB45#Box2#InB</v>
      </c>
      <c r="N894" t="str">
        <f>_xlfn.TEXTJOIN("#",TRUE,PartList[[#This Row],[ASSLY MARK]],PartList[[#This Row],[BOX NO]],PartList[[#This Row],[In/Out]],PartList[[#This Row],[O2-Grid]])</f>
        <v>4HB45#Box2#InB</v>
      </c>
      <c r="O894">
        <f>IF(PartList[[#This Row],[Unique]]="Yes",_xlfn.XLOOKUP(PartList[[#This Row],[ASSLY MARK]],FilteredPL!A:A,FilteredPL!B:B,0,0),0)</f>
        <v>0</v>
      </c>
      <c r="P894">
        <f>_xlfn.XLOOKUP(PartList[[#This Row],[ASSLY MARK]],MasterPL[SplitMarkNo],MasterPL[BILL WT.(KG)],0,0)</f>
        <v>0</v>
      </c>
      <c r="Q894" cm="1">
        <f t="array" ref="Q89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895" spans="1:28" x14ac:dyDescent="0.25">
      <c r="A895">
        <v>616</v>
      </c>
      <c r="B895" t="s">
        <v>855</v>
      </c>
      <c r="C895" t="s">
        <v>638</v>
      </c>
      <c r="D895" t="s">
        <v>819</v>
      </c>
      <c r="E895" t="s">
        <v>6</v>
      </c>
      <c r="F895" t="str" cm="1">
        <f t="array" ref="F895">IF(SUM(IF(PartList[ASSLY MARK]=PartList[[#This Row],[ASSLY MARK]],1,0))&gt;1,"No","Yes")</f>
        <v>Yes</v>
      </c>
      <c r="G895" t="str" cm="1">
        <f t="array" ref="G895">_xlfn.TEXTJOIN("_",TRUE,TRIM(_xlfn.TEXTSPLIT(PartList[[#This Row],[GRID LOCATION]],{"PR01","/","-"})))</f>
        <v>13_14_A'_A</v>
      </c>
      <c r="H895" t="str" cm="1">
        <f t="array" ref="H89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895" cm="1">
        <f t="array" ref="I89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95" t="str">
        <f>IF(IFERROR(SEARCH("&gt;",PartList[[#This Row],[ID]]),0),"O",IF(IFERROR(SEARCH("&lt;",PartList[[#This Row],[ID]]),0),"I",""))</f>
        <v/>
      </c>
      <c r="K895" t="str" cm="1">
        <f t="array" ref="K8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95" t="str" cm="1">
        <f t="array" ref="L8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95" t="str">
        <f>_xlfn.TEXTJOIN("#",TRUE,PartList[[#This Row],[ASSLY MARK]],PartList[[#This Row],[BOX NO]],PartList[[#This Row],[In/Out]],PartList[[#This Row],[O1-Grid]])</f>
        <v>4HB47#Box2_Box5_Box6#InBB</v>
      </c>
      <c r="N895" t="str">
        <f>_xlfn.TEXTJOIN("#",TRUE,PartList[[#This Row],[ASSLY MARK]],PartList[[#This Row],[BOX NO]],PartList[[#This Row],[In/Out]],PartList[[#This Row],[O2-Grid]])</f>
        <v>4HB47#Box2_Box5_Box6#InBB</v>
      </c>
      <c r="O895">
        <f>IF(PartList[[#This Row],[Unique]]="Yes",_xlfn.XLOOKUP(PartList[[#This Row],[ASSLY MARK]],FilteredPL!A:A,FilteredPL!B:B,0,0),0)</f>
        <v>0</v>
      </c>
      <c r="P895">
        <f>_xlfn.XLOOKUP(PartList[[#This Row],[ASSLY MARK]],MasterPL[SplitMarkNo],MasterPL[BILL WT.(KG)],0,0)</f>
        <v>0</v>
      </c>
      <c r="Q895" cm="1">
        <f t="array" ref="Q89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896" spans="1:28" x14ac:dyDescent="0.25">
      <c r="A896">
        <v>617</v>
      </c>
      <c r="B896" t="s">
        <v>856</v>
      </c>
      <c r="C896" t="s">
        <v>638</v>
      </c>
      <c r="D896" t="s">
        <v>819</v>
      </c>
      <c r="E896" t="s">
        <v>6</v>
      </c>
      <c r="F896" t="str" cm="1">
        <f t="array" ref="F896">IF(SUM(IF(PartList[ASSLY MARK]=PartList[[#This Row],[ASSLY MARK]],1,0))&gt;1,"No","Yes")</f>
        <v>Yes</v>
      </c>
      <c r="G896" t="str" cm="1">
        <f t="array" ref="G896">_xlfn.TEXTJOIN("_",TRUE,TRIM(_xlfn.TEXTSPLIT(PartList[[#This Row],[GRID LOCATION]],{"PR01","/","-"})))</f>
        <v>13_14_A'_A</v>
      </c>
      <c r="H896" t="str" cm="1">
        <f t="array" ref="H89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896" cm="1">
        <f t="array" ref="I89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96" t="str">
        <f>IF(IFERROR(SEARCH("&gt;",PartList[[#This Row],[ID]]),0),"O",IF(IFERROR(SEARCH("&lt;",PartList[[#This Row],[ID]]),0),"I",""))</f>
        <v/>
      </c>
      <c r="K896" t="str" cm="1">
        <f t="array" ref="K8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96" t="str" cm="1">
        <f t="array" ref="L8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96" t="str">
        <f>_xlfn.TEXTJOIN("#",TRUE,PartList[[#This Row],[ASSLY MARK]],PartList[[#This Row],[BOX NO]],PartList[[#This Row],[In/Out]],PartList[[#This Row],[O1-Grid]])</f>
        <v>4HB48#Box2_Box5_Box6#InBB</v>
      </c>
      <c r="N896" t="str">
        <f>_xlfn.TEXTJOIN("#",TRUE,PartList[[#This Row],[ASSLY MARK]],PartList[[#This Row],[BOX NO]],PartList[[#This Row],[In/Out]],PartList[[#This Row],[O2-Grid]])</f>
        <v>4HB48#Box2_Box5_Box6#InBB</v>
      </c>
      <c r="O896">
        <f>IF(PartList[[#This Row],[Unique]]="Yes",_xlfn.XLOOKUP(PartList[[#This Row],[ASSLY MARK]],FilteredPL!A:A,FilteredPL!B:B,0,0),0)</f>
        <v>0</v>
      </c>
      <c r="P896">
        <f>_xlfn.XLOOKUP(PartList[[#This Row],[ASSLY MARK]],MasterPL[SplitMarkNo],MasterPL[BILL WT.(KG)],0,0)</f>
        <v>0</v>
      </c>
      <c r="Q896" cm="1">
        <f t="array" ref="Q89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897" spans="1:17" x14ac:dyDescent="0.25">
      <c r="A897">
        <v>619</v>
      </c>
      <c r="B897" t="s">
        <v>858</v>
      </c>
      <c r="C897" t="s">
        <v>547</v>
      </c>
      <c r="D897" t="s">
        <v>818</v>
      </c>
      <c r="E897" t="s">
        <v>6</v>
      </c>
      <c r="F897" t="str" cm="1">
        <f t="array" ref="F897">IF(SUM(IF(PartList[ASSLY MARK]=PartList[[#This Row],[ASSLY MARK]],1,0))&gt;1,"No","Yes")</f>
        <v>Yes</v>
      </c>
      <c r="G897" t="str" cm="1">
        <f t="array" ref="G897">_xlfn.TEXTJOIN("_",TRUE,TRIM(_xlfn.TEXTSPLIT(PartList[[#This Row],[GRID LOCATION]],{"PR01","/","-"})))</f>
        <v>12_13_A_B</v>
      </c>
      <c r="H897" t="str" cm="1">
        <f t="array" ref="H89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97" cm="1">
        <f t="array" ref="I89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97" t="str">
        <f>IF(IFERROR(SEARCH("&gt;",PartList[[#This Row],[ID]]),0),"O",IF(IFERROR(SEARCH("&lt;",PartList[[#This Row],[ID]]),0),"I",""))</f>
        <v/>
      </c>
      <c r="K897" t="str" cm="1">
        <f t="array" ref="K8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97" t="str" cm="1">
        <f t="array" ref="L8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97" t="str">
        <f>_xlfn.TEXTJOIN("#",TRUE,PartList[[#This Row],[ASSLY MARK]],PartList[[#This Row],[BOX NO]],PartList[[#This Row],[In/Out]],PartList[[#This Row],[O1-Grid]])</f>
        <v>4HB50#Box2#InB</v>
      </c>
      <c r="N897" t="str">
        <f>_xlfn.TEXTJOIN("#",TRUE,PartList[[#This Row],[ASSLY MARK]],PartList[[#This Row],[BOX NO]],PartList[[#This Row],[In/Out]],PartList[[#This Row],[O2-Grid]])</f>
        <v>4HB50#Box2#InB</v>
      </c>
      <c r="O897">
        <f>IF(PartList[[#This Row],[Unique]]="Yes",_xlfn.XLOOKUP(PartList[[#This Row],[ASSLY MARK]],FilteredPL!A:A,FilteredPL!B:B,0,0),0)</f>
        <v>0</v>
      </c>
      <c r="P897">
        <f>_xlfn.XLOOKUP(PartList[[#This Row],[ASSLY MARK]],MasterPL[SplitMarkNo],MasterPL[BILL WT.(KG)],0,0)</f>
        <v>0</v>
      </c>
      <c r="Q897" cm="1">
        <f t="array" ref="Q89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898" spans="1:17" x14ac:dyDescent="0.25">
      <c r="A898">
        <v>620</v>
      </c>
      <c r="B898" t="s">
        <v>859</v>
      </c>
      <c r="C898" t="s">
        <v>638</v>
      </c>
      <c r="D898" t="s">
        <v>819</v>
      </c>
      <c r="E898" t="s">
        <v>6</v>
      </c>
      <c r="F898" t="str" cm="1">
        <f t="array" ref="F898">IF(SUM(IF(PartList[ASSLY MARK]=PartList[[#This Row],[ASSLY MARK]],1,0))&gt;1,"No","Yes")</f>
        <v>Yes</v>
      </c>
      <c r="G898" t="str" cm="1">
        <f t="array" ref="G898">_xlfn.TEXTJOIN("_",TRUE,TRIM(_xlfn.TEXTSPLIT(PartList[[#This Row],[GRID LOCATION]],{"PR01","/","-"})))</f>
        <v>13_14_A'_A</v>
      </c>
      <c r="H898" t="str" cm="1">
        <f t="array" ref="H89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898" cm="1">
        <f t="array" ref="I89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98" t="str">
        <f>IF(IFERROR(SEARCH("&gt;",PartList[[#This Row],[ID]]),0),"O",IF(IFERROR(SEARCH("&lt;",PartList[[#This Row],[ID]]),0),"I",""))</f>
        <v/>
      </c>
      <c r="K898" t="str" cm="1">
        <f t="array" ref="K8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898" t="str" cm="1">
        <f t="array" ref="L8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898" t="str">
        <f>_xlfn.TEXTJOIN("#",TRUE,PartList[[#This Row],[ASSLY MARK]],PartList[[#This Row],[BOX NO]],PartList[[#This Row],[In/Out]],PartList[[#This Row],[O1-Grid]])</f>
        <v>4HB51#Box2_Box5_Box6#InBB</v>
      </c>
      <c r="N898" t="str">
        <f>_xlfn.TEXTJOIN("#",TRUE,PartList[[#This Row],[ASSLY MARK]],PartList[[#This Row],[BOX NO]],PartList[[#This Row],[In/Out]],PartList[[#This Row],[O2-Grid]])</f>
        <v>4HB51#Box2_Box5_Box6#InBB</v>
      </c>
      <c r="O898">
        <f>IF(PartList[[#This Row],[Unique]]="Yes",_xlfn.XLOOKUP(PartList[[#This Row],[ASSLY MARK]],FilteredPL!A:A,FilteredPL!B:B,0,0),0)</f>
        <v>0</v>
      </c>
      <c r="P898">
        <f>_xlfn.XLOOKUP(PartList[[#This Row],[ASSLY MARK]],MasterPL[SplitMarkNo],MasterPL[BILL WT.(KG)],0,0)</f>
        <v>0</v>
      </c>
      <c r="Q898" cm="1">
        <f t="array" ref="Q89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899" spans="1:17" x14ac:dyDescent="0.25">
      <c r="A899">
        <v>621</v>
      </c>
      <c r="B899" t="s">
        <v>860</v>
      </c>
      <c r="C899" t="s">
        <v>602</v>
      </c>
      <c r="D899" t="s">
        <v>819</v>
      </c>
      <c r="E899" t="s">
        <v>6</v>
      </c>
      <c r="F899" t="str" cm="1">
        <f t="array" ref="F899">IF(SUM(IF(PartList[ASSLY MARK]=PartList[[#This Row],[ASSLY MARK]],1,0))&gt;1,"No","Yes")</f>
        <v>No</v>
      </c>
      <c r="G899" t="str" cm="1">
        <f t="array" ref="G899">_xlfn.TEXTJOIN("_",TRUE,TRIM(_xlfn.TEXTSPLIT(PartList[[#This Row],[GRID LOCATION]],{"PR01","/","-"})))</f>
        <v>13_14_A_B</v>
      </c>
      <c r="H899" t="str" cm="1">
        <f t="array" ref="H89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899" cm="1">
        <f t="array" ref="I89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899" t="str">
        <f>IF(IFERROR(SEARCH("&gt;",PartList[[#This Row],[ID]]),0),"O",IF(IFERROR(SEARCH("&lt;",PartList[[#This Row],[ID]]),0),"I",""))</f>
        <v/>
      </c>
      <c r="K899" t="str" cm="1">
        <f t="array" ref="K8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899" t="str" cm="1">
        <f t="array" ref="L8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899" t="str">
        <f>_xlfn.TEXTJOIN("#",TRUE,PartList[[#This Row],[ASSLY MARK]],PartList[[#This Row],[BOX NO]],PartList[[#This Row],[In/Out]],PartList[[#This Row],[O1-Grid]])</f>
        <v>4HB52#Box2#InB</v>
      </c>
      <c r="N899" t="str">
        <f>_xlfn.TEXTJOIN("#",TRUE,PartList[[#This Row],[ASSLY MARK]],PartList[[#This Row],[BOX NO]],PartList[[#This Row],[In/Out]],PartList[[#This Row],[O2-Grid]])</f>
        <v>4HB52#Box2#InB</v>
      </c>
      <c r="O899">
        <f>IF(PartList[[#This Row],[Unique]]="Yes",_xlfn.XLOOKUP(PartList[[#This Row],[ASSLY MARK]],FilteredPL!A:A,FilteredPL!B:B,0,0),0)</f>
        <v>0</v>
      </c>
      <c r="P899">
        <f>_xlfn.XLOOKUP(PartList[[#This Row],[ASSLY MARK]],MasterPL[SplitMarkNo],MasterPL[BILL WT.(KG)],0,0)</f>
        <v>0</v>
      </c>
      <c r="Q899" cm="1">
        <f t="array" ref="Q89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00" spans="1:17" x14ac:dyDescent="0.25">
      <c r="A900">
        <v>622</v>
      </c>
      <c r="B900" t="s">
        <v>860</v>
      </c>
      <c r="C900" t="s">
        <v>602</v>
      </c>
      <c r="D900" t="s">
        <v>819</v>
      </c>
      <c r="E900" t="s">
        <v>6</v>
      </c>
      <c r="F900" t="str" cm="1">
        <f t="array" ref="F900">IF(SUM(IF(PartList[ASSLY MARK]=PartList[[#This Row],[ASSLY MARK]],1,0))&gt;1,"No","Yes")</f>
        <v>No</v>
      </c>
      <c r="G900" t="str" cm="1">
        <f t="array" ref="G900">_xlfn.TEXTJOIN("_",TRUE,TRIM(_xlfn.TEXTSPLIT(PartList[[#This Row],[GRID LOCATION]],{"PR01","/","-"})))</f>
        <v>13_14_A_B</v>
      </c>
      <c r="H900" t="str" cm="1">
        <f t="array" ref="H90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00" cm="1">
        <f t="array" ref="I90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00" t="str">
        <f>IF(IFERROR(SEARCH("&gt;",PartList[[#This Row],[ID]]),0),"O",IF(IFERROR(SEARCH("&lt;",PartList[[#This Row],[ID]]),0),"I",""))</f>
        <v/>
      </c>
      <c r="K900" t="str" cm="1">
        <f t="array" ref="K9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00" t="str" cm="1">
        <f t="array" ref="L9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00" t="str">
        <f>_xlfn.TEXTJOIN("#",TRUE,PartList[[#This Row],[ASSLY MARK]],PartList[[#This Row],[BOX NO]],PartList[[#This Row],[In/Out]],PartList[[#This Row],[O1-Grid]])</f>
        <v>4HB52#Box2#InB</v>
      </c>
      <c r="N900" t="str">
        <f>_xlfn.TEXTJOIN("#",TRUE,PartList[[#This Row],[ASSLY MARK]],PartList[[#This Row],[BOX NO]],PartList[[#This Row],[In/Out]],PartList[[#This Row],[O2-Grid]])</f>
        <v>4HB52#Box2#InB</v>
      </c>
      <c r="O900">
        <f>IF(PartList[[#This Row],[Unique]]="Yes",_xlfn.XLOOKUP(PartList[[#This Row],[ASSLY MARK]],FilteredPL!A:A,FilteredPL!B:B,0,0),0)</f>
        <v>0</v>
      </c>
      <c r="P900">
        <f>_xlfn.XLOOKUP(PartList[[#This Row],[ASSLY MARK]],MasterPL[SplitMarkNo],MasterPL[BILL WT.(KG)],0,0)</f>
        <v>0</v>
      </c>
      <c r="Q900" cm="1">
        <f t="array" ref="Q90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01" spans="1:17" x14ac:dyDescent="0.25">
      <c r="A901">
        <v>634</v>
      </c>
      <c r="B901" t="s">
        <v>347</v>
      </c>
      <c r="C901" t="s">
        <v>545</v>
      </c>
      <c r="D901" t="s">
        <v>862</v>
      </c>
      <c r="E901" t="s">
        <v>5</v>
      </c>
      <c r="F901" t="str" cm="1">
        <f t="array" ref="F901">IF(SUM(IF(PartList[ASSLY MARK]=PartList[[#This Row],[ASSLY MARK]],1,0))&gt;1,"No","Yes")</f>
        <v>Yes</v>
      </c>
      <c r="G901" t="str" cm="1">
        <f t="array" ref="G901">_xlfn.TEXTJOIN("_",TRUE,TRIM(_xlfn.TEXTSPLIT(PartList[[#This Row],[GRID LOCATION]],{"PR01","/","-"})))</f>
        <v>12_B&gt;</v>
      </c>
      <c r="H901" t="str" cm="1">
        <f t="array" ref="H90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01" cm="1">
        <f t="array" ref="I90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01" t="str">
        <f>IF(IFERROR(SEARCH("&gt;",PartList[[#This Row],[ID]]),0),"O",IF(IFERROR(SEARCH("&lt;",PartList[[#This Row],[ID]]),0),"I",""))</f>
        <v>O</v>
      </c>
      <c r="K901" t="str" cm="1">
        <f t="array" ref="K9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01" t="str" cm="1">
        <f t="array" ref="L9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01" t="str">
        <f>_xlfn.TEXTJOIN("#",TRUE,PartList[[#This Row],[ASSLY MARK]],PartList[[#This Row],[BOX NO]],PartList[[#This Row],[In/Out]],PartList[[#This Row],[O1-Grid]])</f>
        <v>5BE10#Box2#O</v>
      </c>
      <c r="N901" t="str">
        <f>_xlfn.TEXTJOIN("#",TRUE,PartList[[#This Row],[ASSLY MARK]],PartList[[#This Row],[BOX NO]],PartList[[#This Row],[In/Out]],PartList[[#This Row],[O2-Grid]])</f>
        <v>5BE10#Box2#O</v>
      </c>
      <c r="O901">
        <f>IF(PartList[[#This Row],[Unique]]="Yes",_xlfn.XLOOKUP(PartList[[#This Row],[ASSLY MARK]],FilteredPL!A:A,FilteredPL!B:B,0,0),0)</f>
        <v>0</v>
      </c>
      <c r="P901">
        <f>_xlfn.XLOOKUP(PartList[[#This Row],[ASSLY MARK]],MasterPL[SplitMarkNo],MasterPL[BILL WT.(KG)],0,0)</f>
        <v>0</v>
      </c>
      <c r="Q901" cm="1">
        <f t="array" ref="Q90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02" spans="1:17" x14ac:dyDescent="0.25">
      <c r="A902">
        <v>671</v>
      </c>
      <c r="B902" t="s">
        <v>880</v>
      </c>
      <c r="C902" t="s">
        <v>538</v>
      </c>
      <c r="D902" t="s">
        <v>734</v>
      </c>
      <c r="E902" t="s">
        <v>5</v>
      </c>
      <c r="F902" t="str" cm="1">
        <f t="array" ref="F902">IF(SUM(IF(PartList[ASSLY MARK]=PartList[[#This Row],[ASSLY MARK]],1,0))&gt;1,"No","Yes")</f>
        <v>Yes</v>
      </c>
      <c r="G902" t="str" cm="1">
        <f t="array" ref="G902">_xlfn.TEXTJOIN("_",TRUE,TRIM(_xlfn.TEXTSPLIT(PartList[[#This Row],[GRID LOCATION]],{"PR01","/","-"})))</f>
        <v>12_A'_A</v>
      </c>
      <c r="H902" t="str" cm="1">
        <f t="array" ref="H90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902" cm="1">
        <f t="array" ref="I90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02" t="str">
        <f>IF(IFERROR(SEARCH("&gt;",PartList[[#This Row],[ID]]),0),"O",IF(IFERROR(SEARCH("&lt;",PartList[[#This Row],[ID]]),0),"I",""))</f>
        <v/>
      </c>
      <c r="K902" t="str" cm="1">
        <f t="array" ref="K9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02" t="str" cm="1">
        <f t="array" ref="L9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02" t="str">
        <f>_xlfn.TEXTJOIN("#",TRUE,PartList[[#This Row],[ASSLY MARK]],PartList[[#This Row],[BOX NO]],PartList[[#This Row],[In/Out]],PartList[[#This Row],[O1-Grid]])</f>
        <v>5BE45#Box2_Box5#InBB</v>
      </c>
      <c r="N902" t="str">
        <f>_xlfn.TEXTJOIN("#",TRUE,PartList[[#This Row],[ASSLY MARK]],PartList[[#This Row],[BOX NO]],PartList[[#This Row],[In/Out]],PartList[[#This Row],[O2-Grid]])</f>
        <v>5BE45#Box2_Box5#InBB</v>
      </c>
      <c r="O902">
        <f>IF(PartList[[#This Row],[Unique]]="Yes",_xlfn.XLOOKUP(PartList[[#This Row],[ASSLY MARK]],FilteredPL!A:A,FilteredPL!B:B,0,0),0)</f>
        <v>0</v>
      </c>
      <c r="P902">
        <f>_xlfn.XLOOKUP(PartList[[#This Row],[ASSLY MARK]],MasterPL[SplitMarkNo],MasterPL[BILL WT.(KG)],0,0)</f>
        <v>0</v>
      </c>
      <c r="Q902" cm="1">
        <f t="array" ref="Q90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03" spans="1:17" x14ac:dyDescent="0.25">
      <c r="A903">
        <v>672</v>
      </c>
      <c r="B903" t="s">
        <v>881</v>
      </c>
      <c r="C903" t="s">
        <v>545</v>
      </c>
      <c r="D903" t="s">
        <v>660</v>
      </c>
      <c r="E903" t="s">
        <v>5</v>
      </c>
      <c r="F903" t="str" cm="1">
        <f t="array" ref="F903">IF(SUM(IF(PartList[ASSLY MARK]=PartList[[#This Row],[ASSLY MARK]],1,0))&gt;1,"No","Yes")</f>
        <v>Yes</v>
      </c>
      <c r="G903" t="str" cm="1">
        <f t="array" ref="G903">_xlfn.TEXTJOIN("_",TRUE,TRIM(_xlfn.TEXTSPLIT(PartList[[#This Row],[GRID LOCATION]],{"PR01","/","-"})))</f>
        <v>12_B&gt;</v>
      </c>
      <c r="H903" t="str" cm="1">
        <f t="array" ref="H90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03" cm="1">
        <f t="array" ref="I90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03" t="str">
        <f>IF(IFERROR(SEARCH("&gt;",PartList[[#This Row],[ID]]),0),"O",IF(IFERROR(SEARCH("&lt;",PartList[[#This Row],[ID]]),0),"I",""))</f>
        <v>O</v>
      </c>
      <c r="K903" t="str" cm="1">
        <f t="array" ref="K9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03" t="str" cm="1">
        <f t="array" ref="L9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03" t="str">
        <f>_xlfn.TEXTJOIN("#",TRUE,PartList[[#This Row],[ASSLY MARK]],PartList[[#This Row],[BOX NO]],PartList[[#This Row],[In/Out]],PartList[[#This Row],[O1-Grid]])</f>
        <v>5BE46#Box2#O</v>
      </c>
      <c r="N903" t="str">
        <f>_xlfn.TEXTJOIN("#",TRUE,PartList[[#This Row],[ASSLY MARK]],PartList[[#This Row],[BOX NO]],PartList[[#This Row],[In/Out]],PartList[[#This Row],[O2-Grid]])</f>
        <v>5BE46#Box2#O</v>
      </c>
      <c r="O903">
        <f>IF(PartList[[#This Row],[Unique]]="Yes",_xlfn.XLOOKUP(PartList[[#This Row],[ASSLY MARK]],FilteredPL!A:A,FilteredPL!B:B,0,0),0)</f>
        <v>0</v>
      </c>
      <c r="P903">
        <f>_xlfn.XLOOKUP(PartList[[#This Row],[ASSLY MARK]],MasterPL[SplitMarkNo],MasterPL[BILL WT.(KG)],0,0)</f>
        <v>0</v>
      </c>
      <c r="Q903" cm="1">
        <f t="array" ref="Q90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04" spans="1:17" x14ac:dyDescent="0.25">
      <c r="A904">
        <v>673</v>
      </c>
      <c r="B904" t="s">
        <v>882</v>
      </c>
      <c r="C904" t="s">
        <v>598</v>
      </c>
      <c r="D904" t="s">
        <v>862</v>
      </c>
      <c r="E904" t="s">
        <v>5</v>
      </c>
      <c r="F904" t="str" cm="1">
        <f t="array" ref="F904">IF(SUM(IF(PartList[ASSLY MARK]=PartList[[#This Row],[ASSLY MARK]],1,0))&gt;1,"No","Yes")</f>
        <v>Yes</v>
      </c>
      <c r="G904" t="str" cm="1">
        <f t="array" ref="G904">_xlfn.TEXTJOIN("_",TRUE,TRIM(_xlfn.TEXTSPLIT(PartList[[#This Row],[GRID LOCATION]],{"PR01","/","-"})))</f>
        <v>13_B&gt;</v>
      </c>
      <c r="H904" t="str" cm="1">
        <f t="array" ref="H90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04" cm="1">
        <f t="array" ref="I90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04" t="str">
        <f>IF(IFERROR(SEARCH("&gt;",PartList[[#This Row],[ID]]),0),"O",IF(IFERROR(SEARCH("&lt;",PartList[[#This Row],[ID]]),0),"I",""))</f>
        <v>O</v>
      </c>
      <c r="K904" t="str" cm="1">
        <f t="array" ref="K9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04" t="str" cm="1">
        <f t="array" ref="L9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04" t="str">
        <f>_xlfn.TEXTJOIN("#",TRUE,PartList[[#This Row],[ASSLY MARK]],PartList[[#This Row],[BOX NO]],PartList[[#This Row],[In/Out]],PartList[[#This Row],[O1-Grid]])</f>
        <v>5BE47#Box2#O</v>
      </c>
      <c r="N904" t="str">
        <f>_xlfn.TEXTJOIN("#",TRUE,PartList[[#This Row],[ASSLY MARK]],PartList[[#This Row],[BOX NO]],PartList[[#This Row],[In/Out]],PartList[[#This Row],[O2-Grid]])</f>
        <v>5BE47#Box2#O</v>
      </c>
      <c r="O904">
        <f>IF(PartList[[#This Row],[Unique]]="Yes",_xlfn.XLOOKUP(PartList[[#This Row],[ASSLY MARK]],FilteredPL!A:A,FilteredPL!B:B,0,0),0)</f>
        <v>0</v>
      </c>
      <c r="P904">
        <f>_xlfn.XLOOKUP(PartList[[#This Row],[ASSLY MARK]],MasterPL[SplitMarkNo],MasterPL[BILL WT.(KG)],0,0)</f>
        <v>0</v>
      </c>
      <c r="Q904" cm="1">
        <f t="array" ref="Q90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05" spans="1:17" x14ac:dyDescent="0.25">
      <c r="A905">
        <v>674</v>
      </c>
      <c r="B905" t="s">
        <v>883</v>
      </c>
      <c r="C905" t="s">
        <v>554</v>
      </c>
      <c r="D905" t="s">
        <v>734</v>
      </c>
      <c r="E905" t="s">
        <v>5</v>
      </c>
      <c r="F905" t="str" cm="1">
        <f t="array" ref="F905">IF(SUM(IF(PartList[ASSLY MARK]=PartList[[#This Row],[ASSLY MARK]],1,0))&gt;1,"No","Yes")</f>
        <v>Yes</v>
      </c>
      <c r="G905" t="str" cm="1">
        <f t="array" ref="G905">_xlfn.TEXTJOIN("_",TRUE,TRIM(_xlfn.TEXTSPLIT(PartList[[#This Row],[GRID LOCATION]],{"PR01","/","-"})))</f>
        <v>12_13_A</v>
      </c>
      <c r="H905" t="str" cm="1">
        <f t="array" ref="H90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05" cm="1">
        <f t="array" ref="I90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05" t="str">
        <f>IF(IFERROR(SEARCH("&gt;",PartList[[#This Row],[ID]]),0),"O",IF(IFERROR(SEARCH("&lt;",PartList[[#This Row],[ID]]),0),"I",""))</f>
        <v/>
      </c>
      <c r="K905" t="str" cm="1">
        <f t="array" ref="K9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05" t="str" cm="1">
        <f t="array" ref="L9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905" t="str">
        <f>_xlfn.TEXTJOIN("#",TRUE,PartList[[#This Row],[ASSLY MARK]],PartList[[#This Row],[BOX NO]],PartList[[#This Row],[In/Out]],PartList[[#This Row],[O1-Grid]])</f>
        <v>5BE48#Box2#InB</v>
      </c>
      <c r="N905" t="str">
        <f>_xlfn.TEXTJOIN("#",TRUE,PartList[[#This Row],[ASSLY MARK]],PartList[[#This Row],[BOX NO]],PartList[[#This Row],[In/Out]],PartList[[#This Row],[O2-Grid]])</f>
        <v>5BE48#Box2#12_13_A</v>
      </c>
      <c r="O905">
        <f>IF(PartList[[#This Row],[Unique]]="Yes",_xlfn.XLOOKUP(PartList[[#This Row],[ASSLY MARK]],FilteredPL!A:A,FilteredPL!B:B,0,0),0)</f>
        <v>0</v>
      </c>
      <c r="P905">
        <f>_xlfn.XLOOKUP(PartList[[#This Row],[ASSLY MARK]],MasterPL[SplitMarkNo],MasterPL[BILL WT.(KG)],0,0)</f>
        <v>0</v>
      </c>
      <c r="Q905" cm="1">
        <f t="array" ref="Q90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06" spans="1:17" x14ac:dyDescent="0.25">
      <c r="A906">
        <v>675</v>
      </c>
      <c r="B906" t="s">
        <v>884</v>
      </c>
      <c r="C906" t="s">
        <v>561</v>
      </c>
      <c r="D906" t="s">
        <v>862</v>
      </c>
      <c r="E906" t="s">
        <v>5</v>
      </c>
      <c r="F906" t="str" cm="1">
        <f t="array" ref="F906">IF(SUM(IF(PartList[ASSLY MARK]=PartList[[#This Row],[ASSLY MARK]],1,0))&gt;1,"No","Yes")</f>
        <v>Yes</v>
      </c>
      <c r="G906" t="str" cm="1">
        <f t="array" ref="G906">_xlfn.TEXTJOIN("_",TRUE,TRIM(_xlfn.TEXTSPLIT(PartList[[#This Row],[GRID LOCATION]],{"PR01","/","-"})))</f>
        <v>12_13_B&gt;</v>
      </c>
      <c r="H906" t="str" cm="1">
        <f t="array" ref="H90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06" cm="1">
        <f t="array" ref="I90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06" t="str">
        <f>IF(IFERROR(SEARCH("&gt;",PartList[[#This Row],[ID]]),0),"O",IF(IFERROR(SEARCH("&lt;",PartList[[#This Row],[ID]]),0),"I",""))</f>
        <v>O</v>
      </c>
      <c r="K906" t="str" cm="1">
        <f t="array" ref="K9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06" t="str" cm="1">
        <f t="array" ref="L9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06" t="str">
        <f>_xlfn.TEXTJOIN("#",TRUE,PartList[[#This Row],[ASSLY MARK]],PartList[[#This Row],[BOX NO]],PartList[[#This Row],[In/Out]],PartList[[#This Row],[O1-Grid]])</f>
        <v>5BE49#Box2#O</v>
      </c>
      <c r="N906" t="str">
        <f>_xlfn.TEXTJOIN("#",TRUE,PartList[[#This Row],[ASSLY MARK]],PartList[[#This Row],[BOX NO]],PartList[[#This Row],[In/Out]],PartList[[#This Row],[O2-Grid]])</f>
        <v>5BE49#Box2#O</v>
      </c>
      <c r="O906">
        <f>IF(PartList[[#This Row],[Unique]]="Yes",_xlfn.XLOOKUP(PartList[[#This Row],[ASSLY MARK]],FilteredPL!A:A,FilteredPL!B:B,0,0),0)</f>
        <v>0</v>
      </c>
      <c r="P906">
        <f>_xlfn.XLOOKUP(PartList[[#This Row],[ASSLY MARK]],MasterPL[SplitMarkNo],MasterPL[BILL WT.(KG)],0,0)</f>
        <v>0</v>
      </c>
      <c r="Q906" cm="1">
        <f t="array" ref="Q90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07" spans="1:17" x14ac:dyDescent="0.25">
      <c r="A907">
        <v>676</v>
      </c>
      <c r="B907" t="s">
        <v>885</v>
      </c>
      <c r="C907" t="s">
        <v>561</v>
      </c>
      <c r="D907" t="s">
        <v>734</v>
      </c>
      <c r="E907" t="s">
        <v>5</v>
      </c>
      <c r="F907" t="str" cm="1">
        <f t="array" ref="F907">IF(SUM(IF(PartList[ASSLY MARK]=PartList[[#This Row],[ASSLY MARK]],1,0))&gt;1,"No","Yes")</f>
        <v>Yes</v>
      </c>
      <c r="G907" t="str" cm="1">
        <f t="array" ref="G907">_xlfn.TEXTJOIN("_",TRUE,TRIM(_xlfn.TEXTSPLIT(PartList[[#This Row],[GRID LOCATION]],{"PR01","/","-"})))</f>
        <v>12_13_B&gt;</v>
      </c>
      <c r="H907" t="str" cm="1">
        <f t="array" ref="H90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07" cm="1">
        <f t="array" ref="I90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07" t="str">
        <f>IF(IFERROR(SEARCH("&gt;",PartList[[#This Row],[ID]]),0),"O",IF(IFERROR(SEARCH("&lt;",PartList[[#This Row],[ID]]),0),"I",""))</f>
        <v>O</v>
      </c>
      <c r="K907" t="str" cm="1">
        <f t="array" ref="K9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07" t="str" cm="1">
        <f t="array" ref="L9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07" t="str">
        <f>_xlfn.TEXTJOIN("#",TRUE,PartList[[#This Row],[ASSLY MARK]],PartList[[#This Row],[BOX NO]],PartList[[#This Row],[In/Out]],PartList[[#This Row],[O1-Grid]])</f>
        <v>5BE50#Box2#O</v>
      </c>
      <c r="N907" t="str">
        <f>_xlfn.TEXTJOIN("#",TRUE,PartList[[#This Row],[ASSLY MARK]],PartList[[#This Row],[BOX NO]],PartList[[#This Row],[In/Out]],PartList[[#This Row],[O2-Grid]])</f>
        <v>5BE50#Box2#O</v>
      </c>
      <c r="O907">
        <f>IF(PartList[[#This Row],[Unique]]="Yes",_xlfn.XLOOKUP(PartList[[#This Row],[ASSLY MARK]],FilteredPL!A:A,FilteredPL!B:B,0,0),0)</f>
        <v>0</v>
      </c>
      <c r="P907">
        <f>_xlfn.XLOOKUP(PartList[[#This Row],[ASSLY MARK]],MasterPL[SplitMarkNo],MasterPL[BILL WT.(KG)],0,0)</f>
        <v>0</v>
      </c>
      <c r="Q907" cm="1">
        <f t="array" ref="Q90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08" spans="1:17" x14ac:dyDescent="0.25">
      <c r="A908">
        <v>677</v>
      </c>
      <c r="B908" t="s">
        <v>886</v>
      </c>
      <c r="C908" t="s">
        <v>598</v>
      </c>
      <c r="D908" t="s">
        <v>663</v>
      </c>
      <c r="E908" t="s">
        <v>5</v>
      </c>
      <c r="F908" t="str" cm="1">
        <f t="array" ref="F908">IF(SUM(IF(PartList[ASSLY MARK]=PartList[[#This Row],[ASSLY MARK]],1,0))&gt;1,"No","Yes")</f>
        <v>Yes</v>
      </c>
      <c r="G908" t="str" cm="1">
        <f t="array" ref="G908">_xlfn.TEXTJOIN("_",TRUE,TRIM(_xlfn.TEXTSPLIT(PartList[[#This Row],[GRID LOCATION]],{"PR01","/","-"})))</f>
        <v>13_B&gt;</v>
      </c>
      <c r="H908" t="str" cm="1">
        <f t="array" ref="H90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08" cm="1">
        <f t="array" ref="I90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08" t="str">
        <f>IF(IFERROR(SEARCH("&gt;",PartList[[#This Row],[ID]]),0),"O",IF(IFERROR(SEARCH("&lt;",PartList[[#This Row],[ID]]),0),"I",""))</f>
        <v>O</v>
      </c>
      <c r="K908" t="str" cm="1">
        <f t="array" ref="K9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08" t="str" cm="1">
        <f t="array" ref="L9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08" t="str">
        <f>_xlfn.TEXTJOIN("#",TRUE,PartList[[#This Row],[ASSLY MARK]],PartList[[#This Row],[BOX NO]],PartList[[#This Row],[In/Out]],PartList[[#This Row],[O1-Grid]])</f>
        <v>5BE51#Box2#O</v>
      </c>
      <c r="N908" t="str">
        <f>_xlfn.TEXTJOIN("#",TRUE,PartList[[#This Row],[ASSLY MARK]],PartList[[#This Row],[BOX NO]],PartList[[#This Row],[In/Out]],PartList[[#This Row],[O2-Grid]])</f>
        <v>5BE51#Box2#O</v>
      </c>
      <c r="O908">
        <f>IF(PartList[[#This Row],[Unique]]="Yes",_xlfn.XLOOKUP(PartList[[#This Row],[ASSLY MARK]],FilteredPL!A:A,FilteredPL!B:B,0,0),0)</f>
        <v>0</v>
      </c>
      <c r="P908">
        <f>_xlfn.XLOOKUP(PartList[[#This Row],[ASSLY MARK]],MasterPL[SplitMarkNo],MasterPL[BILL WT.(KG)],0,0)</f>
        <v>0</v>
      </c>
      <c r="Q908" cm="1">
        <f t="array" ref="Q90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09" spans="1:17" x14ac:dyDescent="0.25">
      <c r="A909">
        <v>680</v>
      </c>
      <c r="B909" t="s">
        <v>367</v>
      </c>
      <c r="C909" t="s">
        <v>545</v>
      </c>
      <c r="D909" t="s">
        <v>889</v>
      </c>
      <c r="E909" t="s">
        <v>8</v>
      </c>
      <c r="F909" t="str" cm="1">
        <f t="array" ref="F909">IF(SUM(IF(PartList[ASSLY MARK]=PartList[[#This Row],[ASSLY MARK]],1,0))&gt;1,"No","Yes")</f>
        <v>Yes</v>
      </c>
      <c r="G909" t="str" cm="1">
        <f t="array" ref="G909">_xlfn.TEXTJOIN("_",TRUE,TRIM(_xlfn.TEXTSPLIT(PartList[[#This Row],[GRID LOCATION]],{"PR01","/","-"})))</f>
        <v>12_B&gt;</v>
      </c>
      <c r="H909" t="str" cm="1">
        <f t="array" ref="H90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09" cm="1">
        <f t="array" ref="I90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09" t="str">
        <f>IF(IFERROR(SEARCH("&gt;",PartList[[#This Row],[ID]]),0),"O",IF(IFERROR(SEARCH("&lt;",PartList[[#This Row],[ID]]),0),"I",""))</f>
        <v>O</v>
      </c>
      <c r="K909" t="str" cm="1">
        <f t="array" ref="K9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09" t="str" cm="1">
        <f t="array" ref="L9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09" t="str">
        <f>_xlfn.TEXTJOIN("#",TRUE,PartList[[#This Row],[ASSLY MARK]],PartList[[#This Row],[BOX NO]],PartList[[#This Row],[In/Out]],PartList[[#This Row],[O1-Grid]])</f>
        <v>5HA01#Box2#O</v>
      </c>
      <c r="N909" t="str">
        <f>_xlfn.TEXTJOIN("#",TRUE,PartList[[#This Row],[ASSLY MARK]],PartList[[#This Row],[BOX NO]],PartList[[#This Row],[In/Out]],PartList[[#This Row],[O2-Grid]])</f>
        <v>5HA01#Box2#O</v>
      </c>
      <c r="O909">
        <f>IF(PartList[[#This Row],[Unique]]="Yes",_xlfn.XLOOKUP(PartList[[#This Row],[ASSLY MARK]],FilteredPL!A:A,FilteredPL!B:B,0,0),0)</f>
        <v>0</v>
      </c>
      <c r="P909">
        <f>_xlfn.XLOOKUP(PartList[[#This Row],[ASSLY MARK]],MasterPL[SplitMarkNo],MasterPL[BILL WT.(KG)],0,0)</f>
        <v>0</v>
      </c>
      <c r="Q909" cm="1">
        <f t="array" ref="Q90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10" spans="1:17" x14ac:dyDescent="0.25">
      <c r="A910">
        <v>681</v>
      </c>
      <c r="B910" t="s">
        <v>890</v>
      </c>
      <c r="C910" t="s">
        <v>598</v>
      </c>
      <c r="D910" t="s">
        <v>891</v>
      </c>
      <c r="E910" t="s">
        <v>8</v>
      </c>
      <c r="F910" t="str" cm="1">
        <f t="array" ref="F910">IF(SUM(IF(PartList[ASSLY MARK]=PartList[[#This Row],[ASSLY MARK]],1,0))&gt;1,"No","Yes")</f>
        <v>Yes</v>
      </c>
      <c r="G910" t="str" cm="1">
        <f t="array" ref="G910">_xlfn.TEXTJOIN("_",TRUE,TRIM(_xlfn.TEXTSPLIT(PartList[[#This Row],[GRID LOCATION]],{"PR01","/","-"})))</f>
        <v>13_B&gt;</v>
      </c>
      <c r="H910" t="str" cm="1">
        <f t="array" ref="H91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10" cm="1">
        <f t="array" ref="I91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10" t="str">
        <f>IF(IFERROR(SEARCH("&gt;",PartList[[#This Row],[ID]]),0),"O",IF(IFERROR(SEARCH("&lt;",PartList[[#This Row],[ID]]),0),"I",""))</f>
        <v>O</v>
      </c>
      <c r="K910" t="str" cm="1">
        <f t="array" ref="K9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10" t="str" cm="1">
        <f t="array" ref="L9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10" t="str">
        <f>_xlfn.TEXTJOIN("#",TRUE,PartList[[#This Row],[ASSLY MARK]],PartList[[#This Row],[BOX NO]],PartList[[#This Row],[In/Out]],PartList[[#This Row],[O1-Grid]])</f>
        <v>5HA02#Box2#O</v>
      </c>
      <c r="N910" t="str">
        <f>_xlfn.TEXTJOIN("#",TRUE,PartList[[#This Row],[ASSLY MARK]],PartList[[#This Row],[BOX NO]],PartList[[#This Row],[In/Out]],PartList[[#This Row],[O2-Grid]])</f>
        <v>5HA02#Box2#O</v>
      </c>
      <c r="O910">
        <f>IF(PartList[[#This Row],[Unique]]="Yes",_xlfn.XLOOKUP(PartList[[#This Row],[ASSLY MARK]],FilteredPL!A:A,FilteredPL!B:B,0,0),0)</f>
        <v>0</v>
      </c>
      <c r="P910">
        <f>_xlfn.XLOOKUP(PartList[[#This Row],[ASSLY MARK]],MasterPL[SplitMarkNo],MasterPL[BILL WT.(KG)],0,0)</f>
        <v>0</v>
      </c>
      <c r="Q910" cm="1">
        <f t="array" ref="Q91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11" spans="1:17" x14ac:dyDescent="0.25">
      <c r="A911">
        <v>724</v>
      </c>
      <c r="B911" t="s">
        <v>910</v>
      </c>
      <c r="C911" t="s">
        <v>558</v>
      </c>
      <c r="D911" t="s">
        <v>353</v>
      </c>
      <c r="E911" t="s">
        <v>5</v>
      </c>
      <c r="F911" t="str" cm="1">
        <f t="array" ref="F911">IF(SUM(IF(PartList[ASSLY MARK]=PartList[[#This Row],[ASSLY MARK]],1,0))&gt;1,"No","Yes")</f>
        <v>No</v>
      </c>
      <c r="G911" t="str" cm="1">
        <f t="array" ref="G911">_xlfn.TEXTJOIN("_",TRUE,TRIM(_xlfn.TEXTSPLIT(PartList[[#This Row],[GRID LOCATION]],{"PR01","/","-"})))</f>
        <v>12_13_A'_A</v>
      </c>
      <c r="H911" t="str" cm="1">
        <f t="array" ref="H91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911" cm="1">
        <f t="array" ref="I91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11" t="str">
        <f>IF(IFERROR(SEARCH("&gt;",PartList[[#This Row],[ID]]),0),"O",IF(IFERROR(SEARCH("&lt;",PartList[[#This Row],[ID]]),0),"I",""))</f>
        <v/>
      </c>
      <c r="K911" t="str" cm="1">
        <f t="array" ref="K9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11" t="str" cm="1">
        <f t="array" ref="L9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11" t="str">
        <f>_xlfn.TEXTJOIN("#",TRUE,PartList[[#This Row],[ASSLY MARK]],PartList[[#This Row],[BOX NO]],PartList[[#This Row],[In/Out]],PartList[[#This Row],[O1-Grid]])</f>
        <v>6BE29#Box2_Box5#InBB</v>
      </c>
      <c r="N911" t="str">
        <f>_xlfn.TEXTJOIN("#",TRUE,PartList[[#This Row],[ASSLY MARK]],PartList[[#This Row],[BOX NO]],PartList[[#This Row],[In/Out]],PartList[[#This Row],[O2-Grid]])</f>
        <v>6BE29#Box2_Box5#InBB</v>
      </c>
      <c r="O911">
        <f>IF(PartList[[#This Row],[Unique]]="Yes",_xlfn.XLOOKUP(PartList[[#This Row],[ASSLY MARK]],FilteredPL!A:A,FilteredPL!B:B,0,0),0)</f>
        <v>0</v>
      </c>
      <c r="P911">
        <f>_xlfn.XLOOKUP(PartList[[#This Row],[ASSLY MARK]],MasterPL[SplitMarkNo],MasterPL[BILL WT.(KG)],0,0)</f>
        <v>0</v>
      </c>
      <c r="Q911" cm="1">
        <f t="array" ref="Q91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12" spans="1:17" x14ac:dyDescent="0.25">
      <c r="A912">
        <v>726</v>
      </c>
      <c r="B912" t="s">
        <v>911</v>
      </c>
      <c r="C912" t="s">
        <v>547</v>
      </c>
      <c r="D912" t="s">
        <v>912</v>
      </c>
      <c r="E912" t="s">
        <v>5</v>
      </c>
      <c r="F912" t="str" cm="1">
        <f t="array" ref="F912">IF(SUM(IF(PartList[ASSLY MARK]=PartList[[#This Row],[ASSLY MARK]],1,0))&gt;1,"No","Yes")</f>
        <v>No</v>
      </c>
      <c r="G912" t="str" cm="1">
        <f t="array" ref="G912">_xlfn.TEXTJOIN("_",TRUE,TRIM(_xlfn.TEXTSPLIT(PartList[[#This Row],[GRID LOCATION]],{"PR01","/","-"})))</f>
        <v>12_13_A_B</v>
      </c>
      <c r="H912" t="str" cm="1">
        <f t="array" ref="H91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12" cm="1">
        <f t="array" ref="I91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12" t="str">
        <f>IF(IFERROR(SEARCH("&gt;",PartList[[#This Row],[ID]]),0),"O",IF(IFERROR(SEARCH("&lt;",PartList[[#This Row],[ID]]),0),"I",""))</f>
        <v/>
      </c>
      <c r="K912" t="str" cm="1">
        <f t="array" ref="K9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12" t="str" cm="1">
        <f t="array" ref="L9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12" t="str">
        <f>_xlfn.TEXTJOIN("#",TRUE,PartList[[#This Row],[ASSLY MARK]],PartList[[#This Row],[BOX NO]],PartList[[#This Row],[In/Out]],PartList[[#This Row],[O1-Grid]])</f>
        <v>6BE30#Box2#InB</v>
      </c>
      <c r="N912" t="str">
        <f>_xlfn.TEXTJOIN("#",TRUE,PartList[[#This Row],[ASSLY MARK]],PartList[[#This Row],[BOX NO]],PartList[[#This Row],[In/Out]],PartList[[#This Row],[O2-Grid]])</f>
        <v>6BE30#Box2#InB</v>
      </c>
      <c r="O912">
        <f>IF(PartList[[#This Row],[Unique]]="Yes",_xlfn.XLOOKUP(PartList[[#This Row],[ASSLY MARK]],FilteredPL!A:A,FilteredPL!B:B,0,0),0)</f>
        <v>0</v>
      </c>
      <c r="P912">
        <f>_xlfn.XLOOKUP(PartList[[#This Row],[ASSLY MARK]],MasterPL[SplitMarkNo],MasterPL[BILL WT.(KG)],0,0)</f>
        <v>0</v>
      </c>
      <c r="Q912" cm="1">
        <f t="array" ref="Q91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13" spans="1:17" x14ac:dyDescent="0.25">
      <c r="A913">
        <v>728</v>
      </c>
      <c r="B913" t="s">
        <v>911</v>
      </c>
      <c r="C913" t="s">
        <v>547</v>
      </c>
      <c r="D913" t="s">
        <v>912</v>
      </c>
      <c r="E913" t="s">
        <v>5</v>
      </c>
      <c r="F913" t="str" cm="1">
        <f t="array" ref="F913">IF(SUM(IF(PartList[ASSLY MARK]=PartList[[#This Row],[ASSLY MARK]],1,0))&gt;1,"No","Yes")</f>
        <v>No</v>
      </c>
      <c r="G913" t="str" cm="1">
        <f t="array" ref="G913">_xlfn.TEXTJOIN("_",TRUE,TRIM(_xlfn.TEXTSPLIT(PartList[[#This Row],[GRID LOCATION]],{"PR01","/","-"})))</f>
        <v>12_13_A_B</v>
      </c>
      <c r="H913" t="str" cm="1">
        <f t="array" ref="H91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13" cm="1">
        <f t="array" ref="I91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13" t="str">
        <f>IF(IFERROR(SEARCH("&gt;",PartList[[#This Row],[ID]]),0),"O",IF(IFERROR(SEARCH("&lt;",PartList[[#This Row],[ID]]),0),"I",""))</f>
        <v/>
      </c>
      <c r="K913" t="str" cm="1">
        <f t="array" ref="K9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13" t="str" cm="1">
        <f t="array" ref="L9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13" t="str">
        <f>_xlfn.TEXTJOIN("#",TRUE,PartList[[#This Row],[ASSLY MARK]],PartList[[#This Row],[BOX NO]],PartList[[#This Row],[In/Out]],PartList[[#This Row],[O1-Grid]])</f>
        <v>6BE30#Box2#InB</v>
      </c>
      <c r="N913" t="str">
        <f>_xlfn.TEXTJOIN("#",TRUE,PartList[[#This Row],[ASSLY MARK]],PartList[[#This Row],[BOX NO]],PartList[[#This Row],[In/Out]],PartList[[#This Row],[O2-Grid]])</f>
        <v>6BE30#Box2#InB</v>
      </c>
      <c r="O913">
        <f>IF(PartList[[#This Row],[Unique]]="Yes",_xlfn.XLOOKUP(PartList[[#This Row],[ASSLY MARK]],FilteredPL!A:A,FilteredPL!B:B,0,0),0)</f>
        <v>0</v>
      </c>
      <c r="P913">
        <f>_xlfn.XLOOKUP(PartList[[#This Row],[ASSLY MARK]],MasterPL[SplitMarkNo],MasterPL[BILL WT.(KG)],0,0)</f>
        <v>0</v>
      </c>
      <c r="Q913" cm="1">
        <f t="array" ref="Q91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14" spans="1:17" x14ac:dyDescent="0.25">
      <c r="A914">
        <v>740</v>
      </c>
      <c r="B914" t="s">
        <v>923</v>
      </c>
      <c r="C914" t="s">
        <v>538</v>
      </c>
      <c r="D914" t="s">
        <v>353</v>
      </c>
      <c r="E914" t="s">
        <v>5</v>
      </c>
      <c r="F914" t="str" cm="1">
        <f t="array" ref="F914">IF(SUM(IF(PartList[ASSLY MARK]=PartList[[#This Row],[ASSLY MARK]],1,0))&gt;1,"No","Yes")</f>
        <v>Yes</v>
      </c>
      <c r="G914" t="str" cm="1">
        <f t="array" ref="G914">_xlfn.TEXTJOIN("_",TRUE,TRIM(_xlfn.TEXTSPLIT(PartList[[#This Row],[GRID LOCATION]],{"PR01","/","-"})))</f>
        <v>12_A'_A</v>
      </c>
      <c r="H914" t="str" cm="1">
        <f t="array" ref="H91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914" cm="1">
        <f t="array" ref="I91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14" t="str">
        <f>IF(IFERROR(SEARCH("&gt;",PartList[[#This Row],[ID]]),0),"O",IF(IFERROR(SEARCH("&lt;",PartList[[#This Row],[ID]]),0),"I",""))</f>
        <v/>
      </c>
      <c r="K914" t="str" cm="1">
        <f t="array" ref="K9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14" t="str" cm="1">
        <f t="array" ref="L9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14" t="str">
        <f>_xlfn.TEXTJOIN("#",TRUE,PartList[[#This Row],[ASSLY MARK]],PartList[[#This Row],[BOX NO]],PartList[[#This Row],[In/Out]],PartList[[#This Row],[O1-Grid]])</f>
        <v>6BE41#Box2_Box5#InBB</v>
      </c>
      <c r="N914" t="str">
        <f>_xlfn.TEXTJOIN("#",TRUE,PartList[[#This Row],[ASSLY MARK]],PartList[[#This Row],[BOX NO]],PartList[[#This Row],[In/Out]],PartList[[#This Row],[O2-Grid]])</f>
        <v>6BE41#Box2_Box5#InBB</v>
      </c>
      <c r="O914">
        <f>IF(PartList[[#This Row],[Unique]]="Yes",_xlfn.XLOOKUP(PartList[[#This Row],[ASSLY MARK]],FilteredPL!A:A,FilteredPL!B:B,0,0),0)</f>
        <v>0</v>
      </c>
      <c r="P914">
        <f>_xlfn.XLOOKUP(PartList[[#This Row],[ASSLY MARK]],MasterPL[SplitMarkNo],MasterPL[BILL WT.(KG)],0,0)</f>
        <v>0</v>
      </c>
      <c r="Q914" cm="1">
        <f t="array" ref="Q91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15" spans="1:17" x14ac:dyDescent="0.25">
      <c r="A915">
        <v>741</v>
      </c>
      <c r="B915" t="s">
        <v>924</v>
      </c>
      <c r="C915" t="s">
        <v>518</v>
      </c>
      <c r="D915" t="s">
        <v>353</v>
      </c>
      <c r="E915" t="s">
        <v>5</v>
      </c>
      <c r="F915" t="str" cm="1">
        <f t="array" ref="F915">IF(SUM(IF(PartList[ASSLY MARK]=PartList[[#This Row],[ASSLY MARK]],1,0))&gt;1,"No","Yes")</f>
        <v>Yes</v>
      </c>
      <c r="G915" t="str" cm="1">
        <f t="array" ref="G915">_xlfn.TEXTJOIN("_",TRUE,TRIM(_xlfn.TEXTSPLIT(PartList[[#This Row],[GRID LOCATION]],{"PR01","/","-"})))</f>
        <v>12_A_B</v>
      </c>
      <c r="H915" t="str" cm="1">
        <f t="array" ref="H91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15" cm="1">
        <f t="array" ref="I91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15" t="str">
        <f>IF(IFERROR(SEARCH("&gt;",PartList[[#This Row],[ID]]),0),"O",IF(IFERROR(SEARCH("&lt;",PartList[[#This Row],[ID]]),0),"I",""))</f>
        <v/>
      </c>
      <c r="K915" t="str" cm="1">
        <f t="array" ref="K9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12_A_B</v>
      </c>
      <c r="L915" t="str" cm="1">
        <f t="array" ref="L9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15" t="str">
        <f>_xlfn.TEXTJOIN("#",TRUE,PartList[[#This Row],[ASSLY MARK]],PartList[[#This Row],[BOX NO]],PartList[[#This Row],[In/Out]],PartList[[#This Row],[O1-Grid]])</f>
        <v>6BE42#Box2#12_A_B</v>
      </c>
      <c r="N915" t="str">
        <f>_xlfn.TEXTJOIN("#",TRUE,PartList[[#This Row],[ASSLY MARK]],PartList[[#This Row],[BOX NO]],PartList[[#This Row],[In/Out]],PartList[[#This Row],[O2-Grid]])</f>
        <v>6BE42#Box2#InB</v>
      </c>
      <c r="O915">
        <f>IF(PartList[[#This Row],[Unique]]="Yes",_xlfn.XLOOKUP(PartList[[#This Row],[ASSLY MARK]],FilteredPL!A:A,FilteredPL!B:B,0,0),0)</f>
        <v>0</v>
      </c>
      <c r="P915">
        <f>_xlfn.XLOOKUP(PartList[[#This Row],[ASSLY MARK]],MasterPL[SplitMarkNo],MasterPL[BILL WT.(KG)],0,0)</f>
        <v>0</v>
      </c>
      <c r="Q915" cm="1">
        <f t="array" ref="Q91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16" spans="1:17" x14ac:dyDescent="0.25">
      <c r="A916">
        <v>742</v>
      </c>
      <c r="B916" t="s">
        <v>925</v>
      </c>
      <c r="C916" t="s">
        <v>518</v>
      </c>
      <c r="D916" t="s">
        <v>378</v>
      </c>
      <c r="E916" t="s">
        <v>5</v>
      </c>
      <c r="F916" t="str" cm="1">
        <f t="array" ref="F916">IF(SUM(IF(PartList[ASSLY MARK]=PartList[[#This Row],[ASSLY MARK]],1,0))&gt;1,"No","Yes")</f>
        <v>Yes</v>
      </c>
      <c r="G916" t="str" cm="1">
        <f t="array" ref="G916">_xlfn.TEXTJOIN("_",TRUE,TRIM(_xlfn.TEXTSPLIT(PartList[[#This Row],[GRID LOCATION]],{"PR01","/","-"})))</f>
        <v>12_A_B</v>
      </c>
      <c r="H916" t="str" cm="1">
        <f t="array" ref="H91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16" cm="1">
        <f t="array" ref="I91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16" t="str">
        <f>IF(IFERROR(SEARCH("&gt;",PartList[[#This Row],[ID]]),0),"O",IF(IFERROR(SEARCH("&lt;",PartList[[#This Row],[ID]]),0),"I",""))</f>
        <v/>
      </c>
      <c r="K916" t="str" cm="1">
        <f t="array" ref="K9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12_A_B</v>
      </c>
      <c r="L916" t="str" cm="1">
        <f t="array" ref="L9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16" t="str">
        <f>_xlfn.TEXTJOIN("#",TRUE,PartList[[#This Row],[ASSLY MARK]],PartList[[#This Row],[BOX NO]],PartList[[#This Row],[In/Out]],PartList[[#This Row],[O1-Grid]])</f>
        <v>6BE43#Box2#12_A_B</v>
      </c>
      <c r="N916" t="str">
        <f>_xlfn.TEXTJOIN("#",TRUE,PartList[[#This Row],[ASSLY MARK]],PartList[[#This Row],[BOX NO]],PartList[[#This Row],[In/Out]],PartList[[#This Row],[O2-Grid]])</f>
        <v>6BE43#Box2#InB</v>
      </c>
      <c r="O916">
        <f>IF(PartList[[#This Row],[Unique]]="Yes",_xlfn.XLOOKUP(PartList[[#This Row],[ASSLY MARK]],FilteredPL!A:A,FilteredPL!B:B,0,0),0)</f>
        <v>0</v>
      </c>
      <c r="P916">
        <f>_xlfn.XLOOKUP(PartList[[#This Row],[ASSLY MARK]],MasterPL[SplitMarkNo],MasterPL[BILL WT.(KG)],0,0)</f>
        <v>0</v>
      </c>
      <c r="Q916" cm="1">
        <f t="array" ref="Q91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17" spans="1:17" x14ac:dyDescent="0.25">
      <c r="A917">
        <v>743</v>
      </c>
      <c r="B917" t="s">
        <v>926</v>
      </c>
      <c r="C917" t="s">
        <v>547</v>
      </c>
      <c r="D917" t="s">
        <v>355</v>
      </c>
      <c r="E917" t="s">
        <v>5</v>
      </c>
      <c r="F917" t="str" cm="1">
        <f t="array" ref="F917">IF(SUM(IF(PartList[ASSLY MARK]=PartList[[#This Row],[ASSLY MARK]],1,0))&gt;1,"No","Yes")</f>
        <v>No</v>
      </c>
      <c r="G917" t="str" cm="1">
        <f t="array" ref="G917">_xlfn.TEXTJOIN("_",TRUE,TRIM(_xlfn.TEXTSPLIT(PartList[[#This Row],[GRID LOCATION]],{"PR01","/","-"})))</f>
        <v>12_13_A_B</v>
      </c>
      <c r="H917" t="str" cm="1">
        <f t="array" ref="H91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17" cm="1">
        <f t="array" ref="I91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17" t="str">
        <f>IF(IFERROR(SEARCH("&gt;",PartList[[#This Row],[ID]]),0),"O",IF(IFERROR(SEARCH("&lt;",PartList[[#This Row],[ID]]),0),"I",""))</f>
        <v/>
      </c>
      <c r="K917" t="str" cm="1">
        <f t="array" ref="K9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17" t="str" cm="1">
        <f t="array" ref="L9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17" t="str">
        <f>_xlfn.TEXTJOIN("#",TRUE,PartList[[#This Row],[ASSLY MARK]],PartList[[#This Row],[BOX NO]],PartList[[#This Row],[In/Out]],PartList[[#This Row],[O1-Grid]])</f>
        <v>6BE44#Box2#InB</v>
      </c>
      <c r="N917" t="str">
        <f>_xlfn.TEXTJOIN("#",TRUE,PartList[[#This Row],[ASSLY MARK]],PartList[[#This Row],[BOX NO]],PartList[[#This Row],[In/Out]],PartList[[#This Row],[O2-Grid]])</f>
        <v>6BE44#Box2#InB</v>
      </c>
      <c r="O917">
        <f>IF(PartList[[#This Row],[Unique]]="Yes",_xlfn.XLOOKUP(PartList[[#This Row],[ASSLY MARK]],FilteredPL!A:A,FilteredPL!B:B,0,0),0)</f>
        <v>0</v>
      </c>
      <c r="P917">
        <f>_xlfn.XLOOKUP(PartList[[#This Row],[ASSLY MARK]],MasterPL[SplitMarkNo],MasterPL[BILL WT.(KG)],0,0)</f>
        <v>0</v>
      </c>
      <c r="Q917" cm="1">
        <f t="array" ref="Q91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18" spans="1:17" x14ac:dyDescent="0.25">
      <c r="A918">
        <v>744</v>
      </c>
      <c r="B918" t="s">
        <v>926</v>
      </c>
      <c r="C918" t="s">
        <v>547</v>
      </c>
      <c r="D918" t="s">
        <v>355</v>
      </c>
      <c r="E918" t="s">
        <v>5</v>
      </c>
      <c r="F918" t="str" cm="1">
        <f t="array" ref="F918">IF(SUM(IF(PartList[ASSLY MARK]=PartList[[#This Row],[ASSLY MARK]],1,0))&gt;1,"No","Yes")</f>
        <v>No</v>
      </c>
      <c r="G918" t="str" cm="1">
        <f t="array" ref="G918">_xlfn.TEXTJOIN("_",TRUE,TRIM(_xlfn.TEXTSPLIT(PartList[[#This Row],[GRID LOCATION]],{"PR01","/","-"})))</f>
        <v>12_13_A_B</v>
      </c>
      <c r="H918" t="str" cm="1">
        <f t="array" ref="H91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18" cm="1">
        <f t="array" ref="I91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18" t="str">
        <f>IF(IFERROR(SEARCH("&gt;",PartList[[#This Row],[ID]]),0),"O",IF(IFERROR(SEARCH("&lt;",PartList[[#This Row],[ID]]),0),"I",""))</f>
        <v/>
      </c>
      <c r="K918" t="str" cm="1">
        <f t="array" ref="K9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18" t="str" cm="1">
        <f t="array" ref="L9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18" t="str">
        <f>_xlfn.TEXTJOIN("#",TRUE,PartList[[#This Row],[ASSLY MARK]],PartList[[#This Row],[BOX NO]],PartList[[#This Row],[In/Out]],PartList[[#This Row],[O1-Grid]])</f>
        <v>6BE44#Box2#InB</v>
      </c>
      <c r="N918" t="str">
        <f>_xlfn.TEXTJOIN("#",TRUE,PartList[[#This Row],[ASSLY MARK]],PartList[[#This Row],[BOX NO]],PartList[[#This Row],[In/Out]],PartList[[#This Row],[O2-Grid]])</f>
        <v>6BE44#Box2#InB</v>
      </c>
      <c r="O918">
        <f>IF(PartList[[#This Row],[Unique]]="Yes",_xlfn.XLOOKUP(PartList[[#This Row],[ASSLY MARK]],FilteredPL!A:A,FilteredPL!B:B,0,0),0)</f>
        <v>0</v>
      </c>
      <c r="P918">
        <f>_xlfn.XLOOKUP(PartList[[#This Row],[ASSLY MARK]],MasterPL[SplitMarkNo],MasterPL[BILL WT.(KG)],0,0)</f>
        <v>0</v>
      </c>
      <c r="Q918" cm="1">
        <f t="array" ref="Q91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19" spans="1:17" x14ac:dyDescent="0.25">
      <c r="A919">
        <v>745</v>
      </c>
      <c r="B919" t="s">
        <v>927</v>
      </c>
      <c r="C919" t="s">
        <v>558</v>
      </c>
      <c r="D919" t="s">
        <v>353</v>
      </c>
      <c r="E919" t="s">
        <v>5</v>
      </c>
      <c r="F919" t="str" cm="1">
        <f t="array" ref="F919">IF(SUM(IF(PartList[ASSLY MARK]=PartList[[#This Row],[ASSLY MARK]],1,0))&gt;1,"No","Yes")</f>
        <v>Yes</v>
      </c>
      <c r="G919" t="str" cm="1">
        <f t="array" ref="G919">_xlfn.TEXTJOIN("_",TRUE,TRIM(_xlfn.TEXTSPLIT(PartList[[#This Row],[GRID LOCATION]],{"PR01","/","-"})))</f>
        <v>12_13_A'_A</v>
      </c>
      <c r="H919" t="str" cm="1">
        <f t="array" ref="H91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919" cm="1">
        <f t="array" ref="I91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19" t="str">
        <f>IF(IFERROR(SEARCH("&gt;",PartList[[#This Row],[ID]]),0),"O",IF(IFERROR(SEARCH("&lt;",PartList[[#This Row],[ID]]),0),"I",""))</f>
        <v/>
      </c>
      <c r="K919" t="str" cm="1">
        <f t="array" ref="K9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19" t="str" cm="1">
        <f t="array" ref="L9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19" t="str">
        <f>_xlfn.TEXTJOIN("#",TRUE,PartList[[#This Row],[ASSLY MARK]],PartList[[#This Row],[BOX NO]],PartList[[#This Row],[In/Out]],PartList[[#This Row],[O1-Grid]])</f>
        <v>6BE45#Box2_Box5#InBB</v>
      </c>
      <c r="N919" t="str">
        <f>_xlfn.TEXTJOIN("#",TRUE,PartList[[#This Row],[ASSLY MARK]],PartList[[#This Row],[BOX NO]],PartList[[#This Row],[In/Out]],PartList[[#This Row],[O2-Grid]])</f>
        <v>6BE45#Box2_Box5#InBB</v>
      </c>
      <c r="O919">
        <f>IF(PartList[[#This Row],[Unique]]="Yes",_xlfn.XLOOKUP(PartList[[#This Row],[ASSLY MARK]],FilteredPL!A:A,FilteredPL!B:B,0,0),0)</f>
        <v>0</v>
      </c>
      <c r="P919">
        <f>_xlfn.XLOOKUP(PartList[[#This Row],[ASSLY MARK]],MasterPL[SplitMarkNo],MasterPL[BILL WT.(KG)],0,0)</f>
        <v>0</v>
      </c>
      <c r="Q919" cm="1">
        <f t="array" ref="Q91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20" spans="1:17" x14ac:dyDescent="0.25">
      <c r="A920">
        <v>746</v>
      </c>
      <c r="B920" t="s">
        <v>928</v>
      </c>
      <c r="C920" t="s">
        <v>554</v>
      </c>
      <c r="D920" t="s">
        <v>353</v>
      </c>
      <c r="E920" t="s">
        <v>5</v>
      </c>
      <c r="F920" t="str" cm="1">
        <f t="array" ref="F920">IF(SUM(IF(PartList[ASSLY MARK]=PartList[[#This Row],[ASSLY MARK]],1,0))&gt;1,"No","Yes")</f>
        <v>Yes</v>
      </c>
      <c r="G920" t="str" cm="1">
        <f t="array" ref="G920">_xlfn.TEXTJOIN("_",TRUE,TRIM(_xlfn.TEXTSPLIT(PartList[[#This Row],[GRID LOCATION]],{"PR01","/","-"})))</f>
        <v>12_13_A</v>
      </c>
      <c r="H920" t="str" cm="1">
        <f t="array" ref="H92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20" cm="1">
        <f t="array" ref="I92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20" t="str">
        <f>IF(IFERROR(SEARCH("&gt;",PartList[[#This Row],[ID]]),0),"O",IF(IFERROR(SEARCH("&lt;",PartList[[#This Row],[ID]]),0),"I",""))</f>
        <v/>
      </c>
      <c r="K920" t="str" cm="1">
        <f t="array" ref="K9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20" t="str" cm="1">
        <f t="array" ref="L9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920" t="str">
        <f>_xlfn.TEXTJOIN("#",TRUE,PartList[[#This Row],[ASSLY MARK]],PartList[[#This Row],[BOX NO]],PartList[[#This Row],[In/Out]],PartList[[#This Row],[O1-Grid]])</f>
        <v>6BE46#Box2#InB</v>
      </c>
      <c r="N920" t="str">
        <f>_xlfn.TEXTJOIN("#",TRUE,PartList[[#This Row],[ASSLY MARK]],PartList[[#This Row],[BOX NO]],PartList[[#This Row],[In/Out]],PartList[[#This Row],[O2-Grid]])</f>
        <v>6BE46#Box2#12_13_A</v>
      </c>
      <c r="O920">
        <f>IF(PartList[[#This Row],[Unique]]="Yes",_xlfn.XLOOKUP(PartList[[#This Row],[ASSLY MARK]],FilteredPL!A:A,FilteredPL!B:B,0,0),0)</f>
        <v>0</v>
      </c>
      <c r="P920">
        <f>_xlfn.XLOOKUP(PartList[[#This Row],[ASSLY MARK]],MasterPL[SplitMarkNo],MasterPL[BILL WT.(KG)],0,0)</f>
        <v>0</v>
      </c>
      <c r="Q920" cm="1">
        <f t="array" ref="Q92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21" spans="1:17" x14ac:dyDescent="0.25">
      <c r="A921">
        <v>747</v>
      </c>
      <c r="B921" t="s">
        <v>929</v>
      </c>
      <c r="C921" t="s">
        <v>554</v>
      </c>
      <c r="D921" t="s">
        <v>378</v>
      </c>
      <c r="E921" t="s">
        <v>5</v>
      </c>
      <c r="F921" t="str" cm="1">
        <f t="array" ref="F921">IF(SUM(IF(PartList[ASSLY MARK]=PartList[[#This Row],[ASSLY MARK]],1,0))&gt;1,"No","Yes")</f>
        <v>Yes</v>
      </c>
      <c r="G921" t="str" cm="1">
        <f t="array" ref="G921">_xlfn.TEXTJOIN("_",TRUE,TRIM(_xlfn.TEXTSPLIT(PartList[[#This Row],[GRID LOCATION]],{"PR01","/","-"})))</f>
        <v>12_13_A</v>
      </c>
      <c r="H921" t="str" cm="1">
        <f t="array" ref="H92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21" cm="1">
        <f t="array" ref="I92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21" t="str">
        <f>IF(IFERROR(SEARCH("&gt;",PartList[[#This Row],[ID]]),0),"O",IF(IFERROR(SEARCH("&lt;",PartList[[#This Row],[ID]]),0),"I",""))</f>
        <v/>
      </c>
      <c r="K921" t="str" cm="1">
        <f t="array" ref="K9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21" t="str" cm="1">
        <f t="array" ref="L9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921" t="str">
        <f>_xlfn.TEXTJOIN("#",TRUE,PartList[[#This Row],[ASSLY MARK]],PartList[[#This Row],[BOX NO]],PartList[[#This Row],[In/Out]],PartList[[#This Row],[O1-Grid]])</f>
        <v>6BE47#Box2#InB</v>
      </c>
      <c r="N921" t="str">
        <f>_xlfn.TEXTJOIN("#",TRUE,PartList[[#This Row],[ASSLY MARK]],PartList[[#This Row],[BOX NO]],PartList[[#This Row],[In/Out]],PartList[[#This Row],[O2-Grid]])</f>
        <v>6BE47#Box2#12_13_A</v>
      </c>
      <c r="O921">
        <f>IF(PartList[[#This Row],[Unique]]="Yes",_xlfn.XLOOKUP(PartList[[#This Row],[ASSLY MARK]],FilteredPL!A:A,FilteredPL!B:B,0,0),0)</f>
        <v>0</v>
      </c>
      <c r="P921">
        <f>_xlfn.XLOOKUP(PartList[[#This Row],[ASSLY MARK]],MasterPL[SplitMarkNo],MasterPL[BILL WT.(KG)],0,0)</f>
        <v>0</v>
      </c>
      <c r="Q921" cm="1">
        <f t="array" ref="Q92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22" spans="1:17" x14ac:dyDescent="0.25">
      <c r="A922">
        <v>748</v>
      </c>
      <c r="B922" t="s">
        <v>930</v>
      </c>
      <c r="C922" t="s">
        <v>547</v>
      </c>
      <c r="D922" t="s">
        <v>353</v>
      </c>
      <c r="E922" t="s">
        <v>5</v>
      </c>
      <c r="F922" t="str" cm="1">
        <f t="array" ref="F922">IF(SUM(IF(PartList[ASSLY MARK]=PartList[[#This Row],[ASSLY MARK]],1,0))&gt;1,"No","Yes")</f>
        <v>Yes</v>
      </c>
      <c r="G922" t="str" cm="1">
        <f t="array" ref="G922">_xlfn.TEXTJOIN("_",TRUE,TRIM(_xlfn.TEXTSPLIT(PartList[[#This Row],[GRID LOCATION]],{"PR01","/","-"})))</f>
        <v>12_13_A_B</v>
      </c>
      <c r="H922" t="str" cm="1">
        <f t="array" ref="H92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22" cm="1">
        <f t="array" ref="I92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22" t="str">
        <f>IF(IFERROR(SEARCH("&gt;",PartList[[#This Row],[ID]]),0),"O",IF(IFERROR(SEARCH("&lt;",PartList[[#This Row],[ID]]),0),"I",""))</f>
        <v/>
      </c>
      <c r="K922" t="str" cm="1">
        <f t="array" ref="K9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22" t="str" cm="1">
        <f t="array" ref="L9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22" t="str">
        <f>_xlfn.TEXTJOIN("#",TRUE,PartList[[#This Row],[ASSLY MARK]],PartList[[#This Row],[BOX NO]],PartList[[#This Row],[In/Out]],PartList[[#This Row],[O1-Grid]])</f>
        <v>6BE48#Box2#InB</v>
      </c>
      <c r="N922" t="str">
        <f>_xlfn.TEXTJOIN("#",TRUE,PartList[[#This Row],[ASSLY MARK]],PartList[[#This Row],[BOX NO]],PartList[[#This Row],[In/Out]],PartList[[#This Row],[O2-Grid]])</f>
        <v>6BE48#Box2#InB</v>
      </c>
      <c r="O922">
        <f>IF(PartList[[#This Row],[Unique]]="Yes",_xlfn.XLOOKUP(PartList[[#This Row],[ASSLY MARK]],FilteredPL!A:A,FilteredPL!B:B,0,0),0)</f>
        <v>0</v>
      </c>
      <c r="P922">
        <f>_xlfn.XLOOKUP(PartList[[#This Row],[ASSLY MARK]],MasterPL[SplitMarkNo],MasterPL[BILL WT.(KG)],0,0)</f>
        <v>0</v>
      </c>
      <c r="Q922" cm="1">
        <f t="array" ref="Q92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23" spans="1:17" x14ac:dyDescent="0.25">
      <c r="A923">
        <v>749</v>
      </c>
      <c r="B923" t="s">
        <v>931</v>
      </c>
      <c r="C923" t="s">
        <v>547</v>
      </c>
      <c r="D923" t="s">
        <v>378</v>
      </c>
      <c r="E923" t="s">
        <v>5</v>
      </c>
      <c r="F923" t="str" cm="1">
        <f t="array" ref="F923">IF(SUM(IF(PartList[ASSLY MARK]=PartList[[#This Row],[ASSLY MARK]],1,0))&gt;1,"No","Yes")</f>
        <v>Yes</v>
      </c>
      <c r="G923" t="str" cm="1">
        <f t="array" ref="G923">_xlfn.TEXTJOIN("_",TRUE,TRIM(_xlfn.TEXTSPLIT(PartList[[#This Row],[GRID LOCATION]],{"PR01","/","-"})))</f>
        <v>12_13_A_B</v>
      </c>
      <c r="H923" t="str" cm="1">
        <f t="array" ref="H92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23" cm="1">
        <f t="array" ref="I92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23" t="str">
        <f>IF(IFERROR(SEARCH("&gt;",PartList[[#This Row],[ID]]),0),"O",IF(IFERROR(SEARCH("&lt;",PartList[[#This Row],[ID]]),0),"I",""))</f>
        <v/>
      </c>
      <c r="K923" t="str" cm="1">
        <f t="array" ref="K9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23" t="str" cm="1">
        <f t="array" ref="L9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23" t="str">
        <f>_xlfn.TEXTJOIN("#",TRUE,PartList[[#This Row],[ASSLY MARK]],PartList[[#This Row],[BOX NO]],PartList[[#This Row],[In/Out]],PartList[[#This Row],[O1-Grid]])</f>
        <v>6BE49#Box2#InB</v>
      </c>
      <c r="N923" t="str">
        <f>_xlfn.TEXTJOIN("#",TRUE,PartList[[#This Row],[ASSLY MARK]],PartList[[#This Row],[BOX NO]],PartList[[#This Row],[In/Out]],PartList[[#This Row],[O2-Grid]])</f>
        <v>6BE49#Box2#InB</v>
      </c>
      <c r="O923">
        <f>IF(PartList[[#This Row],[Unique]]="Yes",_xlfn.XLOOKUP(PartList[[#This Row],[ASSLY MARK]],FilteredPL!A:A,FilteredPL!B:B,0,0),0)</f>
        <v>0</v>
      </c>
      <c r="P923">
        <f>_xlfn.XLOOKUP(PartList[[#This Row],[ASSLY MARK]],MasterPL[SplitMarkNo],MasterPL[BILL WT.(KG)],0,0)</f>
        <v>0</v>
      </c>
      <c r="Q923" cm="1">
        <f t="array" ref="Q92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24" spans="1:17" x14ac:dyDescent="0.25">
      <c r="A924">
        <v>750</v>
      </c>
      <c r="B924" t="s">
        <v>932</v>
      </c>
      <c r="C924" t="s">
        <v>556</v>
      </c>
      <c r="D924" t="s">
        <v>353</v>
      </c>
      <c r="E924" t="s">
        <v>5</v>
      </c>
      <c r="F924" t="str" cm="1">
        <f t="array" ref="F924">IF(SUM(IF(PartList[ASSLY MARK]=PartList[[#This Row],[ASSLY MARK]],1,0))&gt;1,"No","Yes")</f>
        <v>Yes</v>
      </c>
      <c r="G924" t="str" cm="1">
        <f t="array" ref="G924">_xlfn.TEXTJOIN("_",TRUE,TRIM(_xlfn.TEXTSPLIT(PartList[[#This Row],[GRID LOCATION]],{"PR01","/","-"})))</f>
        <v>12_13_B</v>
      </c>
      <c r="H924" t="str" cm="1">
        <f t="array" ref="H92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24" cm="1">
        <f t="array" ref="I92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24" t="str">
        <f>IF(IFERROR(SEARCH("&gt;",PartList[[#This Row],[ID]]),0),"O",IF(IFERROR(SEARCH("&lt;",PartList[[#This Row],[ID]]),0),"I",""))</f>
        <v/>
      </c>
      <c r="K924" t="str" cm="1">
        <f t="array" ref="K9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24" t="str" cm="1">
        <f t="array" ref="L9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924" t="str">
        <f>_xlfn.TEXTJOIN("#",TRUE,PartList[[#This Row],[ASSLY MARK]],PartList[[#This Row],[BOX NO]],PartList[[#This Row],[In/Out]],PartList[[#This Row],[O1-Grid]])</f>
        <v>6BE50#Box2#InB</v>
      </c>
      <c r="N924" t="str">
        <f>_xlfn.TEXTJOIN("#",TRUE,PartList[[#This Row],[ASSLY MARK]],PartList[[#This Row],[BOX NO]],PartList[[#This Row],[In/Out]],PartList[[#This Row],[O2-Grid]])</f>
        <v>6BE50#Box2#12_13_B</v>
      </c>
      <c r="O924">
        <f>IF(PartList[[#This Row],[Unique]]="Yes",_xlfn.XLOOKUP(PartList[[#This Row],[ASSLY MARK]],FilteredPL!A:A,FilteredPL!B:B,0,0),0)</f>
        <v>0</v>
      </c>
      <c r="P924">
        <f>_xlfn.XLOOKUP(PartList[[#This Row],[ASSLY MARK]],MasterPL[SplitMarkNo],MasterPL[BILL WT.(KG)],0,0)</f>
        <v>0</v>
      </c>
      <c r="Q924" cm="1">
        <f t="array" ref="Q92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25" spans="1:17" x14ac:dyDescent="0.25">
      <c r="A925">
        <v>751</v>
      </c>
      <c r="B925" t="s">
        <v>933</v>
      </c>
      <c r="C925" t="s">
        <v>556</v>
      </c>
      <c r="D925" t="s">
        <v>378</v>
      </c>
      <c r="E925" t="s">
        <v>5</v>
      </c>
      <c r="F925" t="str" cm="1">
        <f t="array" ref="F925">IF(SUM(IF(PartList[ASSLY MARK]=PartList[[#This Row],[ASSLY MARK]],1,0))&gt;1,"No","Yes")</f>
        <v>Yes</v>
      </c>
      <c r="G925" t="str" cm="1">
        <f t="array" ref="G925">_xlfn.TEXTJOIN("_",TRUE,TRIM(_xlfn.TEXTSPLIT(PartList[[#This Row],[GRID LOCATION]],{"PR01","/","-"})))</f>
        <v>12_13_B</v>
      </c>
      <c r="H925" t="str" cm="1">
        <f t="array" ref="H92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25" cm="1">
        <f t="array" ref="I92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25" t="str">
        <f>IF(IFERROR(SEARCH("&gt;",PartList[[#This Row],[ID]]),0),"O",IF(IFERROR(SEARCH("&lt;",PartList[[#This Row],[ID]]),0),"I",""))</f>
        <v/>
      </c>
      <c r="K925" t="str" cm="1">
        <f t="array" ref="K9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25" t="str" cm="1">
        <f t="array" ref="L9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925" t="str">
        <f>_xlfn.TEXTJOIN("#",TRUE,PartList[[#This Row],[ASSLY MARK]],PartList[[#This Row],[BOX NO]],PartList[[#This Row],[In/Out]],PartList[[#This Row],[O1-Grid]])</f>
        <v>6BE51#Box2#InB</v>
      </c>
      <c r="N925" t="str">
        <f>_xlfn.TEXTJOIN("#",TRUE,PartList[[#This Row],[ASSLY MARK]],PartList[[#This Row],[BOX NO]],PartList[[#This Row],[In/Out]],PartList[[#This Row],[O2-Grid]])</f>
        <v>6BE51#Box2#12_13_B</v>
      </c>
      <c r="O925">
        <f>IF(PartList[[#This Row],[Unique]]="Yes",_xlfn.XLOOKUP(PartList[[#This Row],[ASSLY MARK]],FilteredPL!A:A,FilteredPL!B:B,0,0),0)</f>
        <v>0</v>
      </c>
      <c r="P925">
        <f>_xlfn.XLOOKUP(PartList[[#This Row],[ASSLY MARK]],MasterPL[SplitMarkNo],MasterPL[BILL WT.(KG)],0,0)</f>
        <v>0</v>
      </c>
      <c r="Q925" cm="1">
        <f t="array" ref="Q92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26" spans="1:17" x14ac:dyDescent="0.25">
      <c r="A926">
        <v>754</v>
      </c>
      <c r="B926" t="s">
        <v>936</v>
      </c>
      <c r="C926" t="s">
        <v>593</v>
      </c>
      <c r="D926" t="s">
        <v>353</v>
      </c>
      <c r="E926" t="s">
        <v>5</v>
      </c>
      <c r="F926" t="str" cm="1">
        <f t="array" ref="F926">IF(SUM(IF(PartList[ASSLY MARK]=PartList[[#This Row],[ASSLY MARK]],1,0))&gt;1,"No","Yes")</f>
        <v>Yes</v>
      </c>
      <c r="G926" t="str" cm="1">
        <f t="array" ref="G926">_xlfn.TEXTJOIN("_",TRUE,TRIM(_xlfn.TEXTSPLIT(PartList[[#This Row],[GRID LOCATION]],{"PR01","/","-"})))</f>
        <v>13_A"_A</v>
      </c>
      <c r="H926" t="str" cm="1">
        <f t="array" ref="H92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926" cm="1">
        <f t="array" ref="I92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26" t="str">
        <f>IF(IFERROR(SEARCH("&gt;",PartList[[#This Row],[ID]]),0),"O",IF(IFERROR(SEARCH("&lt;",PartList[[#This Row],[ID]]),0),"I",""))</f>
        <v/>
      </c>
      <c r="K926" t="str" cm="1">
        <f t="array" ref="K9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26" t="str" cm="1">
        <f t="array" ref="L9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26" t="str">
        <f>_xlfn.TEXTJOIN("#",TRUE,PartList[[#This Row],[ASSLY MARK]],PartList[[#This Row],[BOX NO]],PartList[[#This Row],[In/Out]],PartList[[#This Row],[O1-Grid]])</f>
        <v>6BE54#Box2_Box5#InBB</v>
      </c>
      <c r="N926" t="str">
        <f>_xlfn.TEXTJOIN("#",TRUE,PartList[[#This Row],[ASSLY MARK]],PartList[[#This Row],[BOX NO]],PartList[[#This Row],[In/Out]],PartList[[#This Row],[O2-Grid]])</f>
        <v>6BE54#Box2_Box5#InBB</v>
      </c>
      <c r="O926">
        <f>IF(PartList[[#This Row],[Unique]]="Yes",_xlfn.XLOOKUP(PartList[[#This Row],[ASSLY MARK]],FilteredPL!A:A,FilteredPL!B:B,0,0),0)</f>
        <v>0</v>
      </c>
      <c r="P926">
        <f>_xlfn.XLOOKUP(PartList[[#This Row],[ASSLY MARK]],MasterPL[SplitMarkNo],MasterPL[BILL WT.(KG)],0,0)</f>
        <v>0</v>
      </c>
      <c r="Q926" cm="1">
        <f t="array" ref="Q92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27" spans="1:17" x14ac:dyDescent="0.25">
      <c r="A927">
        <v>756</v>
      </c>
      <c r="B927" t="s">
        <v>938</v>
      </c>
      <c r="C927" t="s">
        <v>520</v>
      </c>
      <c r="D927" t="s">
        <v>353</v>
      </c>
      <c r="E927" t="s">
        <v>5</v>
      </c>
      <c r="F927" t="str" cm="1">
        <f t="array" ref="F927">IF(SUM(IF(PartList[ASSLY MARK]=PartList[[#This Row],[ASSLY MARK]],1,0))&gt;1,"No","Yes")</f>
        <v>Yes</v>
      </c>
      <c r="G927" t="str" cm="1">
        <f t="array" ref="G927">_xlfn.TEXTJOIN("_",TRUE,TRIM(_xlfn.TEXTSPLIT(PartList[[#This Row],[GRID LOCATION]],{"PR01","/","-"})))</f>
        <v>13_A_B</v>
      </c>
      <c r="H927" t="str" cm="1">
        <f t="array" ref="H92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27" cm="1">
        <f t="array" ref="I92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27" t="str">
        <f>IF(IFERROR(SEARCH("&gt;",PartList[[#This Row],[ID]]),0),"O",IF(IFERROR(SEARCH("&lt;",PartList[[#This Row],[ID]]),0),"I",""))</f>
        <v/>
      </c>
      <c r="K927" t="str" cm="1">
        <f t="array" ref="K9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13_A_B</v>
      </c>
      <c r="L927" t="str" cm="1">
        <f t="array" ref="L9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27" t="str">
        <f>_xlfn.TEXTJOIN("#",TRUE,PartList[[#This Row],[ASSLY MARK]],PartList[[#This Row],[BOX NO]],PartList[[#This Row],[In/Out]],PartList[[#This Row],[O1-Grid]])</f>
        <v>6BE56#Box2#13_A_B</v>
      </c>
      <c r="N927" t="str">
        <f>_xlfn.TEXTJOIN("#",TRUE,PartList[[#This Row],[ASSLY MARK]],PartList[[#This Row],[BOX NO]],PartList[[#This Row],[In/Out]],PartList[[#This Row],[O2-Grid]])</f>
        <v>6BE56#Box2#InB</v>
      </c>
      <c r="O927">
        <f>IF(PartList[[#This Row],[Unique]]="Yes",_xlfn.XLOOKUP(PartList[[#This Row],[ASSLY MARK]],FilteredPL!A:A,FilteredPL!B:B,0,0),0)</f>
        <v>0</v>
      </c>
      <c r="P927">
        <f>_xlfn.XLOOKUP(PartList[[#This Row],[ASSLY MARK]],MasterPL[SplitMarkNo],MasterPL[BILL WT.(KG)],0,0)</f>
        <v>0</v>
      </c>
      <c r="Q927" cm="1">
        <f t="array" ref="Q92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28" spans="1:17" x14ac:dyDescent="0.25">
      <c r="A928">
        <v>757</v>
      </c>
      <c r="B928" t="s">
        <v>939</v>
      </c>
      <c r="C928" t="s">
        <v>520</v>
      </c>
      <c r="D928" t="s">
        <v>378</v>
      </c>
      <c r="E928" t="s">
        <v>5</v>
      </c>
      <c r="F928" t="str" cm="1">
        <f t="array" ref="F928">IF(SUM(IF(PartList[ASSLY MARK]=PartList[[#This Row],[ASSLY MARK]],1,0))&gt;1,"No","Yes")</f>
        <v>Yes</v>
      </c>
      <c r="G928" t="str" cm="1">
        <f t="array" ref="G928">_xlfn.TEXTJOIN("_",TRUE,TRIM(_xlfn.TEXTSPLIT(PartList[[#This Row],[GRID LOCATION]],{"PR01","/","-"})))</f>
        <v>13_A_B</v>
      </c>
      <c r="H928" t="str" cm="1">
        <f t="array" ref="H92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28" cm="1">
        <f t="array" ref="I92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28" t="str">
        <f>IF(IFERROR(SEARCH("&gt;",PartList[[#This Row],[ID]]),0),"O",IF(IFERROR(SEARCH("&lt;",PartList[[#This Row],[ID]]),0),"I",""))</f>
        <v/>
      </c>
      <c r="K928" t="str" cm="1">
        <f t="array" ref="K9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13_A_B</v>
      </c>
      <c r="L928" t="str" cm="1">
        <f t="array" ref="L9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28" t="str">
        <f>_xlfn.TEXTJOIN("#",TRUE,PartList[[#This Row],[ASSLY MARK]],PartList[[#This Row],[BOX NO]],PartList[[#This Row],[In/Out]],PartList[[#This Row],[O1-Grid]])</f>
        <v>6BE57#Box2#13_A_B</v>
      </c>
      <c r="N928" t="str">
        <f>_xlfn.TEXTJOIN("#",TRUE,PartList[[#This Row],[ASSLY MARK]],PartList[[#This Row],[BOX NO]],PartList[[#This Row],[In/Out]],PartList[[#This Row],[O2-Grid]])</f>
        <v>6BE57#Box2#InB</v>
      </c>
      <c r="O928">
        <f>IF(PartList[[#This Row],[Unique]]="Yes",_xlfn.XLOOKUP(PartList[[#This Row],[ASSLY MARK]],FilteredPL!A:A,FilteredPL!B:B,0,0),0)</f>
        <v>0</v>
      </c>
      <c r="P928">
        <f>_xlfn.XLOOKUP(PartList[[#This Row],[ASSLY MARK]],MasterPL[SplitMarkNo],MasterPL[BILL WT.(KG)],0,0)</f>
        <v>0</v>
      </c>
      <c r="Q928" cm="1">
        <f t="array" ref="Q92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29" spans="1:17" x14ac:dyDescent="0.25">
      <c r="A929">
        <v>758</v>
      </c>
      <c r="B929" t="s">
        <v>940</v>
      </c>
      <c r="C929" t="s">
        <v>598</v>
      </c>
      <c r="D929" t="s">
        <v>378</v>
      </c>
      <c r="E929" t="s">
        <v>5</v>
      </c>
      <c r="F929" t="str" cm="1">
        <f t="array" ref="F929">IF(SUM(IF(PartList[ASSLY MARK]=PartList[[#This Row],[ASSLY MARK]],1,0))&gt;1,"No","Yes")</f>
        <v>Yes</v>
      </c>
      <c r="G929" t="str" cm="1">
        <f t="array" ref="G929">_xlfn.TEXTJOIN("_",TRUE,TRIM(_xlfn.TEXTSPLIT(PartList[[#This Row],[GRID LOCATION]],{"PR01","/","-"})))</f>
        <v>13_B&gt;</v>
      </c>
      <c r="H929" t="str" cm="1">
        <f t="array" ref="H92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29" cm="1">
        <f t="array" ref="I92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29" t="str">
        <f>IF(IFERROR(SEARCH("&gt;",PartList[[#This Row],[ID]]),0),"O",IF(IFERROR(SEARCH("&lt;",PartList[[#This Row],[ID]]),0),"I",""))</f>
        <v>O</v>
      </c>
      <c r="K929" t="str" cm="1">
        <f t="array" ref="K9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29" t="str" cm="1">
        <f t="array" ref="L9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29" t="str">
        <f>_xlfn.TEXTJOIN("#",TRUE,PartList[[#This Row],[ASSLY MARK]],PartList[[#This Row],[BOX NO]],PartList[[#This Row],[In/Out]],PartList[[#This Row],[O1-Grid]])</f>
        <v>6BE58#Box2#O</v>
      </c>
      <c r="N929" t="str">
        <f>_xlfn.TEXTJOIN("#",TRUE,PartList[[#This Row],[ASSLY MARK]],PartList[[#This Row],[BOX NO]],PartList[[#This Row],[In/Out]],PartList[[#This Row],[O2-Grid]])</f>
        <v>6BE58#Box2#O</v>
      </c>
      <c r="O929">
        <f>IF(PartList[[#This Row],[Unique]]="Yes",_xlfn.XLOOKUP(PartList[[#This Row],[ASSLY MARK]],FilteredPL!A:A,FilteredPL!B:B,0,0),0)</f>
        <v>0</v>
      </c>
      <c r="P929">
        <f>_xlfn.XLOOKUP(PartList[[#This Row],[ASSLY MARK]],MasterPL[SplitMarkNo],MasterPL[BILL WT.(KG)],0,0)</f>
        <v>0</v>
      </c>
      <c r="Q929" cm="1">
        <f t="array" ref="Q92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30" spans="1:17" x14ac:dyDescent="0.25">
      <c r="A930">
        <v>759</v>
      </c>
      <c r="B930" t="s">
        <v>941</v>
      </c>
      <c r="C930" t="s">
        <v>602</v>
      </c>
      <c r="D930" t="s">
        <v>378</v>
      </c>
      <c r="E930" t="s">
        <v>5</v>
      </c>
      <c r="F930" t="str" cm="1">
        <f t="array" ref="F930">IF(SUM(IF(PartList[ASSLY MARK]=PartList[[#This Row],[ASSLY MARK]],1,0))&gt;1,"No","Yes")</f>
        <v>Yes</v>
      </c>
      <c r="G930" t="str" cm="1">
        <f t="array" ref="G930">_xlfn.TEXTJOIN("_",TRUE,TRIM(_xlfn.TEXTSPLIT(PartList[[#This Row],[GRID LOCATION]],{"PR01","/","-"})))</f>
        <v>13_14_A_B</v>
      </c>
      <c r="H930" t="str" cm="1">
        <f t="array" ref="H93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30" cm="1">
        <f t="array" ref="I93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30" t="str">
        <f>IF(IFERROR(SEARCH("&gt;",PartList[[#This Row],[ID]]),0),"O",IF(IFERROR(SEARCH("&lt;",PartList[[#This Row],[ID]]),0),"I",""))</f>
        <v/>
      </c>
      <c r="K930" t="str" cm="1">
        <f t="array" ref="K9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30" t="str" cm="1">
        <f t="array" ref="L9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30" t="str">
        <f>_xlfn.TEXTJOIN("#",TRUE,PartList[[#This Row],[ASSLY MARK]],PartList[[#This Row],[BOX NO]],PartList[[#This Row],[In/Out]],PartList[[#This Row],[O1-Grid]])</f>
        <v>6BE59#Box2#InB</v>
      </c>
      <c r="N930" t="str">
        <f>_xlfn.TEXTJOIN("#",TRUE,PartList[[#This Row],[ASSLY MARK]],PartList[[#This Row],[BOX NO]],PartList[[#This Row],[In/Out]],PartList[[#This Row],[O2-Grid]])</f>
        <v>6BE59#Box2#InB</v>
      </c>
      <c r="O930">
        <f>IF(PartList[[#This Row],[Unique]]="Yes",_xlfn.XLOOKUP(PartList[[#This Row],[ASSLY MARK]],FilteredPL!A:A,FilteredPL!B:B,0,0),0)</f>
        <v>0</v>
      </c>
      <c r="P930">
        <f>_xlfn.XLOOKUP(PartList[[#This Row],[ASSLY MARK]],MasterPL[SplitMarkNo],MasterPL[BILL WT.(KG)],0,0)</f>
        <v>0</v>
      </c>
      <c r="Q930" cm="1">
        <f t="array" ref="Q93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31" spans="1:17" x14ac:dyDescent="0.25">
      <c r="A931">
        <v>760</v>
      </c>
      <c r="B931" t="s">
        <v>942</v>
      </c>
      <c r="C931" t="s">
        <v>686</v>
      </c>
      <c r="D931" t="s">
        <v>378</v>
      </c>
      <c r="E931" t="s">
        <v>5</v>
      </c>
      <c r="F931" t="str" cm="1">
        <f t="array" ref="F931">IF(SUM(IF(PartList[ASSLY MARK]=PartList[[#This Row],[ASSLY MARK]],1,0))&gt;1,"No","Yes")</f>
        <v>No</v>
      </c>
      <c r="G931" t="str" cm="1">
        <f t="array" ref="G931">_xlfn.TEXTJOIN("_",TRUE,TRIM(_xlfn.TEXTSPLIT(PartList[[#This Row],[GRID LOCATION]],{"PR01","/","-"})))</f>
        <v>13_14_B&gt;</v>
      </c>
      <c r="H931" t="str" cm="1">
        <f t="array" ref="H93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31" cm="1">
        <f t="array" ref="I93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31" t="str">
        <f>IF(IFERROR(SEARCH("&gt;",PartList[[#This Row],[ID]]),0),"O",IF(IFERROR(SEARCH("&lt;",PartList[[#This Row],[ID]]),0),"I",""))</f>
        <v>O</v>
      </c>
      <c r="K931" t="str" cm="1">
        <f t="array" ref="K9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31" t="str" cm="1">
        <f t="array" ref="L9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31" t="str">
        <f>_xlfn.TEXTJOIN("#",TRUE,PartList[[#This Row],[ASSLY MARK]],PartList[[#This Row],[BOX NO]],PartList[[#This Row],[In/Out]],PartList[[#This Row],[O1-Grid]])</f>
        <v>6BE60#Box2#O</v>
      </c>
      <c r="N931" t="str">
        <f>_xlfn.TEXTJOIN("#",TRUE,PartList[[#This Row],[ASSLY MARK]],PartList[[#This Row],[BOX NO]],PartList[[#This Row],[In/Out]],PartList[[#This Row],[O2-Grid]])</f>
        <v>6BE60#Box2#O</v>
      </c>
      <c r="O931">
        <f>IF(PartList[[#This Row],[Unique]]="Yes",_xlfn.XLOOKUP(PartList[[#This Row],[ASSLY MARK]],FilteredPL!A:A,FilteredPL!B:B,0,0),0)</f>
        <v>0</v>
      </c>
      <c r="P931">
        <f>_xlfn.XLOOKUP(PartList[[#This Row],[ASSLY MARK]],MasterPL[SplitMarkNo],MasterPL[BILL WT.(KG)],0,0)</f>
        <v>0</v>
      </c>
      <c r="Q931" cm="1">
        <f t="array" ref="Q93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32" spans="1:17" x14ac:dyDescent="0.25">
      <c r="A932">
        <v>761</v>
      </c>
      <c r="B932" t="s">
        <v>942</v>
      </c>
      <c r="C932" t="s">
        <v>686</v>
      </c>
      <c r="D932" t="s">
        <v>378</v>
      </c>
      <c r="E932" t="s">
        <v>5</v>
      </c>
      <c r="F932" t="str" cm="1">
        <f t="array" ref="F932">IF(SUM(IF(PartList[ASSLY MARK]=PartList[[#This Row],[ASSLY MARK]],1,0))&gt;1,"No","Yes")</f>
        <v>No</v>
      </c>
      <c r="G932" t="str" cm="1">
        <f t="array" ref="G932">_xlfn.TEXTJOIN("_",TRUE,TRIM(_xlfn.TEXTSPLIT(PartList[[#This Row],[GRID LOCATION]],{"PR01","/","-"})))</f>
        <v>13_14_B&gt;</v>
      </c>
      <c r="H932" t="str" cm="1">
        <f t="array" ref="H93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32" cm="1">
        <f t="array" ref="I93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32" t="str">
        <f>IF(IFERROR(SEARCH("&gt;",PartList[[#This Row],[ID]]),0),"O",IF(IFERROR(SEARCH("&lt;",PartList[[#This Row],[ID]]),0),"I",""))</f>
        <v>O</v>
      </c>
      <c r="K932" t="str" cm="1">
        <f t="array" ref="K9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32" t="str" cm="1">
        <f t="array" ref="L9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32" t="str">
        <f>_xlfn.TEXTJOIN("#",TRUE,PartList[[#This Row],[ASSLY MARK]],PartList[[#This Row],[BOX NO]],PartList[[#This Row],[In/Out]],PartList[[#This Row],[O1-Grid]])</f>
        <v>6BE60#Box2#O</v>
      </c>
      <c r="N932" t="str">
        <f>_xlfn.TEXTJOIN("#",TRUE,PartList[[#This Row],[ASSLY MARK]],PartList[[#This Row],[BOX NO]],PartList[[#This Row],[In/Out]],PartList[[#This Row],[O2-Grid]])</f>
        <v>6BE60#Box2#O</v>
      </c>
      <c r="O932">
        <f>IF(PartList[[#This Row],[Unique]]="Yes",_xlfn.XLOOKUP(PartList[[#This Row],[ASSLY MARK]],FilteredPL!A:A,FilteredPL!B:B,0,0),0)</f>
        <v>0</v>
      </c>
      <c r="P932">
        <f>_xlfn.XLOOKUP(PartList[[#This Row],[ASSLY MARK]],MasterPL[SplitMarkNo],MasterPL[BILL WT.(KG)],0,0)</f>
        <v>0</v>
      </c>
      <c r="Q932" cm="1">
        <f t="array" ref="Q93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33" spans="1:17" x14ac:dyDescent="0.25">
      <c r="A933">
        <v>762</v>
      </c>
      <c r="B933" t="s">
        <v>942</v>
      </c>
      <c r="C933" t="s">
        <v>686</v>
      </c>
      <c r="D933" t="s">
        <v>378</v>
      </c>
      <c r="E933" t="s">
        <v>5</v>
      </c>
      <c r="F933" t="str" cm="1">
        <f t="array" ref="F933">IF(SUM(IF(PartList[ASSLY MARK]=PartList[[#This Row],[ASSLY MARK]],1,0))&gt;1,"No","Yes")</f>
        <v>No</v>
      </c>
      <c r="G933" t="str" cm="1">
        <f t="array" ref="G933">_xlfn.TEXTJOIN("_",TRUE,TRIM(_xlfn.TEXTSPLIT(PartList[[#This Row],[GRID LOCATION]],{"PR01","/","-"})))</f>
        <v>13_14_B&gt;</v>
      </c>
      <c r="H933" t="str" cm="1">
        <f t="array" ref="H93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33" cm="1">
        <f t="array" ref="I93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33" t="str">
        <f>IF(IFERROR(SEARCH("&gt;",PartList[[#This Row],[ID]]),0),"O",IF(IFERROR(SEARCH("&lt;",PartList[[#This Row],[ID]]),0),"I",""))</f>
        <v>O</v>
      </c>
      <c r="K933" t="str" cm="1">
        <f t="array" ref="K9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33" t="str" cm="1">
        <f t="array" ref="L9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33" t="str">
        <f>_xlfn.TEXTJOIN("#",TRUE,PartList[[#This Row],[ASSLY MARK]],PartList[[#This Row],[BOX NO]],PartList[[#This Row],[In/Out]],PartList[[#This Row],[O1-Grid]])</f>
        <v>6BE60#Box2#O</v>
      </c>
      <c r="N933" t="str">
        <f>_xlfn.TEXTJOIN("#",TRUE,PartList[[#This Row],[ASSLY MARK]],PartList[[#This Row],[BOX NO]],PartList[[#This Row],[In/Out]],PartList[[#This Row],[O2-Grid]])</f>
        <v>6BE60#Box2#O</v>
      </c>
      <c r="O933">
        <f>IF(PartList[[#This Row],[Unique]]="Yes",_xlfn.XLOOKUP(PartList[[#This Row],[ASSLY MARK]],FilteredPL!A:A,FilteredPL!B:B,0,0),0)</f>
        <v>0</v>
      </c>
      <c r="P933">
        <f>_xlfn.XLOOKUP(PartList[[#This Row],[ASSLY MARK]],MasterPL[SplitMarkNo],MasterPL[BILL WT.(KG)],0,0)</f>
        <v>0</v>
      </c>
      <c r="Q933" cm="1">
        <f t="array" ref="Q93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34" spans="1:17" x14ac:dyDescent="0.25">
      <c r="A934">
        <v>763</v>
      </c>
      <c r="B934" t="s">
        <v>942</v>
      </c>
      <c r="C934" t="s">
        <v>686</v>
      </c>
      <c r="D934" t="s">
        <v>378</v>
      </c>
      <c r="E934" t="s">
        <v>5</v>
      </c>
      <c r="F934" t="str" cm="1">
        <f t="array" ref="F934">IF(SUM(IF(PartList[ASSLY MARK]=PartList[[#This Row],[ASSLY MARK]],1,0))&gt;1,"No","Yes")</f>
        <v>No</v>
      </c>
      <c r="G934" t="str" cm="1">
        <f t="array" ref="G934">_xlfn.TEXTJOIN("_",TRUE,TRIM(_xlfn.TEXTSPLIT(PartList[[#This Row],[GRID LOCATION]],{"PR01","/","-"})))</f>
        <v>13_14_B&gt;</v>
      </c>
      <c r="H934" t="str" cm="1">
        <f t="array" ref="H93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34" cm="1">
        <f t="array" ref="I93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34" t="str">
        <f>IF(IFERROR(SEARCH("&gt;",PartList[[#This Row],[ID]]),0),"O",IF(IFERROR(SEARCH("&lt;",PartList[[#This Row],[ID]]),0),"I",""))</f>
        <v>O</v>
      </c>
      <c r="K934" t="str" cm="1">
        <f t="array" ref="K9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34" t="str" cm="1">
        <f t="array" ref="L9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34" t="str">
        <f>_xlfn.TEXTJOIN("#",TRUE,PartList[[#This Row],[ASSLY MARK]],PartList[[#This Row],[BOX NO]],PartList[[#This Row],[In/Out]],PartList[[#This Row],[O1-Grid]])</f>
        <v>6BE60#Box2#O</v>
      </c>
      <c r="N934" t="str">
        <f>_xlfn.TEXTJOIN("#",TRUE,PartList[[#This Row],[ASSLY MARK]],PartList[[#This Row],[BOX NO]],PartList[[#This Row],[In/Out]],PartList[[#This Row],[O2-Grid]])</f>
        <v>6BE60#Box2#O</v>
      </c>
      <c r="O934">
        <f>IF(PartList[[#This Row],[Unique]]="Yes",_xlfn.XLOOKUP(PartList[[#This Row],[ASSLY MARK]],FilteredPL!A:A,FilteredPL!B:B,0,0),0)</f>
        <v>0</v>
      </c>
      <c r="P934">
        <f>_xlfn.XLOOKUP(PartList[[#This Row],[ASSLY MARK]],MasterPL[SplitMarkNo],MasterPL[BILL WT.(KG)],0,0)</f>
        <v>0</v>
      </c>
      <c r="Q934" cm="1">
        <f t="array" ref="Q93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35" spans="1:17" x14ac:dyDescent="0.25">
      <c r="A935">
        <v>764</v>
      </c>
      <c r="B935" t="s">
        <v>943</v>
      </c>
      <c r="C935" t="s">
        <v>600</v>
      </c>
      <c r="D935" t="s">
        <v>353</v>
      </c>
      <c r="E935" t="s">
        <v>5</v>
      </c>
      <c r="F935" t="str" cm="1">
        <f t="array" ref="F935">IF(SUM(IF(PartList[ASSLY MARK]=PartList[[#This Row],[ASSLY MARK]],1,0))&gt;1,"No","Yes")</f>
        <v>Yes</v>
      </c>
      <c r="G935" t="str" cm="1">
        <f t="array" ref="G935">_xlfn.TEXTJOIN("_",TRUE,TRIM(_xlfn.TEXTSPLIT(PartList[[#This Row],[GRID LOCATION]],{"PR01","/","-"})))</f>
        <v>13_14_A"_A</v>
      </c>
      <c r="H935" t="str" cm="1">
        <f t="array" ref="H93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935" cm="1">
        <f t="array" ref="I93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35" t="str">
        <f>IF(IFERROR(SEARCH("&gt;",PartList[[#This Row],[ID]]),0),"O",IF(IFERROR(SEARCH("&lt;",PartList[[#This Row],[ID]]),0),"I",""))</f>
        <v/>
      </c>
      <c r="K935" t="str" cm="1">
        <f t="array" ref="K9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35" t="str" cm="1">
        <f t="array" ref="L9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35" t="str">
        <f>_xlfn.TEXTJOIN("#",TRUE,PartList[[#This Row],[ASSLY MARK]],PartList[[#This Row],[BOX NO]],PartList[[#This Row],[In/Out]],PartList[[#This Row],[O1-Grid]])</f>
        <v>6BE61#Box2_Box5_Box6#InBB</v>
      </c>
      <c r="N935" t="str">
        <f>_xlfn.TEXTJOIN("#",TRUE,PartList[[#This Row],[ASSLY MARK]],PartList[[#This Row],[BOX NO]],PartList[[#This Row],[In/Out]],PartList[[#This Row],[O2-Grid]])</f>
        <v>6BE61#Box2_Box5_Box6#InBB</v>
      </c>
      <c r="O935">
        <f>IF(PartList[[#This Row],[Unique]]="Yes",_xlfn.XLOOKUP(PartList[[#This Row],[ASSLY MARK]],FilteredPL!A:A,FilteredPL!B:B,0,0),0)</f>
        <v>0</v>
      </c>
      <c r="P935">
        <f>_xlfn.XLOOKUP(PartList[[#This Row],[ASSLY MARK]],MasterPL[SplitMarkNo],MasterPL[BILL WT.(KG)],0,0)</f>
        <v>0</v>
      </c>
      <c r="Q935" cm="1">
        <f t="array" ref="Q93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36" spans="1:17" x14ac:dyDescent="0.25">
      <c r="A936">
        <v>765</v>
      </c>
      <c r="B936" t="s">
        <v>944</v>
      </c>
      <c r="C936" t="s">
        <v>638</v>
      </c>
      <c r="D936" t="s">
        <v>378</v>
      </c>
      <c r="E936" t="s">
        <v>5</v>
      </c>
      <c r="F936" t="str" cm="1">
        <f t="array" ref="F936">IF(SUM(IF(PartList[ASSLY MARK]=PartList[[#This Row],[ASSLY MARK]],1,0))&gt;1,"No","Yes")</f>
        <v>Yes</v>
      </c>
      <c r="G936" t="str" cm="1">
        <f t="array" ref="G936">_xlfn.TEXTJOIN("_",TRUE,TRIM(_xlfn.TEXTSPLIT(PartList[[#This Row],[GRID LOCATION]],{"PR01","/","-"})))</f>
        <v>13_14_A'_A</v>
      </c>
      <c r="H936" t="str" cm="1">
        <f t="array" ref="H93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936" cm="1">
        <f t="array" ref="I93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36" t="str">
        <f>IF(IFERROR(SEARCH("&gt;",PartList[[#This Row],[ID]]),0),"O",IF(IFERROR(SEARCH("&lt;",PartList[[#This Row],[ID]]),0),"I",""))</f>
        <v/>
      </c>
      <c r="K936" t="str" cm="1">
        <f t="array" ref="K9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36" t="str" cm="1">
        <f t="array" ref="L9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36" t="str">
        <f>_xlfn.TEXTJOIN("#",TRUE,PartList[[#This Row],[ASSLY MARK]],PartList[[#This Row],[BOX NO]],PartList[[#This Row],[In/Out]],PartList[[#This Row],[O1-Grid]])</f>
        <v>6BE62#Box2_Box5_Box6#InBB</v>
      </c>
      <c r="N936" t="str">
        <f>_xlfn.TEXTJOIN("#",TRUE,PartList[[#This Row],[ASSLY MARK]],PartList[[#This Row],[BOX NO]],PartList[[#This Row],[In/Out]],PartList[[#This Row],[O2-Grid]])</f>
        <v>6BE62#Box2_Box5_Box6#InBB</v>
      </c>
      <c r="O936">
        <f>IF(PartList[[#This Row],[Unique]]="Yes",_xlfn.XLOOKUP(PartList[[#This Row],[ASSLY MARK]],FilteredPL!A:A,FilteredPL!B:B,0,0),0)</f>
        <v>0</v>
      </c>
      <c r="P936">
        <f>_xlfn.XLOOKUP(PartList[[#This Row],[ASSLY MARK]],MasterPL[SplitMarkNo],MasterPL[BILL WT.(KG)],0,0)</f>
        <v>0</v>
      </c>
      <c r="Q936" cm="1">
        <f t="array" ref="Q93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37" spans="1:17" x14ac:dyDescent="0.25">
      <c r="A937">
        <v>766</v>
      </c>
      <c r="B937" t="s">
        <v>945</v>
      </c>
      <c r="C937" t="s">
        <v>602</v>
      </c>
      <c r="D937" t="s">
        <v>355</v>
      </c>
      <c r="E937" t="s">
        <v>5</v>
      </c>
      <c r="F937" t="str" cm="1">
        <f t="array" ref="F937">IF(SUM(IF(PartList[ASSLY MARK]=PartList[[#This Row],[ASSLY MARK]],1,0))&gt;1,"No","Yes")</f>
        <v>Yes</v>
      </c>
      <c r="G937" t="str" cm="1">
        <f t="array" ref="G937">_xlfn.TEXTJOIN("_",TRUE,TRIM(_xlfn.TEXTSPLIT(PartList[[#This Row],[GRID LOCATION]],{"PR01","/","-"})))</f>
        <v>13_14_A_B</v>
      </c>
      <c r="H937" t="str" cm="1">
        <f t="array" ref="H93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37" cm="1">
        <f t="array" ref="I93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37" t="str">
        <f>IF(IFERROR(SEARCH("&gt;",PartList[[#This Row],[ID]]),0),"O",IF(IFERROR(SEARCH("&lt;",PartList[[#This Row],[ID]]),0),"I",""))</f>
        <v/>
      </c>
      <c r="K937" t="str" cm="1">
        <f t="array" ref="K9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37" t="str" cm="1">
        <f t="array" ref="L9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37" t="str">
        <f>_xlfn.TEXTJOIN("#",TRUE,PartList[[#This Row],[ASSLY MARK]],PartList[[#This Row],[BOX NO]],PartList[[#This Row],[In/Out]],PartList[[#This Row],[O1-Grid]])</f>
        <v>6BE63#Box2#InB</v>
      </c>
      <c r="N937" t="str">
        <f>_xlfn.TEXTJOIN("#",TRUE,PartList[[#This Row],[ASSLY MARK]],PartList[[#This Row],[BOX NO]],PartList[[#This Row],[In/Out]],PartList[[#This Row],[O2-Grid]])</f>
        <v>6BE63#Box2#InB</v>
      </c>
      <c r="O937">
        <f>IF(PartList[[#This Row],[Unique]]="Yes",_xlfn.XLOOKUP(PartList[[#This Row],[ASSLY MARK]],FilteredPL!A:A,FilteredPL!B:B,0,0),0)</f>
        <v>0</v>
      </c>
      <c r="P937">
        <f>_xlfn.XLOOKUP(PartList[[#This Row],[ASSLY MARK]],MasterPL[SplitMarkNo],MasterPL[BILL WT.(KG)],0,0)</f>
        <v>0</v>
      </c>
      <c r="Q937" cm="1">
        <f t="array" ref="Q93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38" spans="1:17" x14ac:dyDescent="0.25">
      <c r="A938">
        <v>767</v>
      </c>
      <c r="B938" t="s">
        <v>946</v>
      </c>
      <c r="C938" t="s">
        <v>638</v>
      </c>
      <c r="D938" t="s">
        <v>378</v>
      </c>
      <c r="E938" t="s">
        <v>5</v>
      </c>
      <c r="F938" t="str" cm="1">
        <f t="array" ref="F938">IF(SUM(IF(PartList[ASSLY MARK]=PartList[[#This Row],[ASSLY MARK]],1,0))&gt;1,"No","Yes")</f>
        <v>No</v>
      </c>
      <c r="G938" t="str" cm="1">
        <f t="array" ref="G938">_xlfn.TEXTJOIN("_",TRUE,TRIM(_xlfn.TEXTSPLIT(PartList[[#This Row],[GRID LOCATION]],{"PR01","/","-"})))</f>
        <v>13_14_A'_A</v>
      </c>
      <c r="H938" t="str" cm="1">
        <f t="array" ref="H93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938" cm="1">
        <f t="array" ref="I93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38" t="str">
        <f>IF(IFERROR(SEARCH("&gt;",PartList[[#This Row],[ID]]),0),"O",IF(IFERROR(SEARCH("&lt;",PartList[[#This Row],[ID]]),0),"I",""))</f>
        <v/>
      </c>
      <c r="K938" t="str" cm="1">
        <f t="array" ref="K9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38" t="str" cm="1">
        <f t="array" ref="L9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38" t="str">
        <f>_xlfn.TEXTJOIN("#",TRUE,PartList[[#This Row],[ASSLY MARK]],PartList[[#This Row],[BOX NO]],PartList[[#This Row],[In/Out]],PartList[[#This Row],[O1-Grid]])</f>
        <v>6BE64#Box2_Box5_Box6#InBB</v>
      </c>
      <c r="N938" t="str">
        <f>_xlfn.TEXTJOIN("#",TRUE,PartList[[#This Row],[ASSLY MARK]],PartList[[#This Row],[BOX NO]],PartList[[#This Row],[In/Out]],PartList[[#This Row],[O2-Grid]])</f>
        <v>6BE64#Box2_Box5_Box6#InBB</v>
      </c>
      <c r="O938">
        <f>IF(PartList[[#This Row],[Unique]]="Yes",_xlfn.XLOOKUP(PartList[[#This Row],[ASSLY MARK]],FilteredPL!A:A,FilteredPL!B:B,0,0),0)</f>
        <v>0</v>
      </c>
      <c r="P938">
        <f>_xlfn.XLOOKUP(PartList[[#This Row],[ASSLY MARK]],MasterPL[SplitMarkNo],MasterPL[BILL WT.(KG)],0,0)</f>
        <v>0</v>
      </c>
      <c r="Q938" cm="1">
        <f t="array" ref="Q93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39" spans="1:17" x14ac:dyDescent="0.25">
      <c r="A939">
        <v>768</v>
      </c>
      <c r="B939" t="s">
        <v>946</v>
      </c>
      <c r="C939" t="s">
        <v>638</v>
      </c>
      <c r="D939" t="s">
        <v>378</v>
      </c>
      <c r="E939" t="s">
        <v>5</v>
      </c>
      <c r="F939" t="str" cm="1">
        <f t="array" ref="F939">IF(SUM(IF(PartList[ASSLY MARK]=PartList[[#This Row],[ASSLY MARK]],1,0))&gt;1,"No","Yes")</f>
        <v>No</v>
      </c>
      <c r="G939" t="str" cm="1">
        <f t="array" ref="G939">_xlfn.TEXTJOIN("_",TRUE,TRIM(_xlfn.TEXTSPLIT(PartList[[#This Row],[GRID LOCATION]],{"PR01","/","-"})))</f>
        <v>13_14_A'_A</v>
      </c>
      <c r="H939" t="str" cm="1">
        <f t="array" ref="H93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939" cm="1">
        <f t="array" ref="I93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39" t="str">
        <f>IF(IFERROR(SEARCH("&gt;",PartList[[#This Row],[ID]]),0),"O",IF(IFERROR(SEARCH("&lt;",PartList[[#This Row],[ID]]),0),"I",""))</f>
        <v/>
      </c>
      <c r="K939" t="str" cm="1">
        <f t="array" ref="K9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39" t="str" cm="1">
        <f t="array" ref="L9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39" t="str">
        <f>_xlfn.TEXTJOIN("#",TRUE,PartList[[#This Row],[ASSLY MARK]],PartList[[#This Row],[BOX NO]],PartList[[#This Row],[In/Out]],PartList[[#This Row],[O1-Grid]])</f>
        <v>6BE64#Box2_Box5_Box6#InBB</v>
      </c>
      <c r="N939" t="str">
        <f>_xlfn.TEXTJOIN("#",TRUE,PartList[[#This Row],[ASSLY MARK]],PartList[[#This Row],[BOX NO]],PartList[[#This Row],[In/Out]],PartList[[#This Row],[O2-Grid]])</f>
        <v>6BE64#Box2_Box5_Box6#InBB</v>
      </c>
      <c r="O939">
        <f>IF(PartList[[#This Row],[Unique]]="Yes",_xlfn.XLOOKUP(PartList[[#This Row],[ASSLY MARK]],FilteredPL!A:A,FilteredPL!B:B,0,0),0)</f>
        <v>0</v>
      </c>
      <c r="P939">
        <f>_xlfn.XLOOKUP(PartList[[#This Row],[ASSLY MARK]],MasterPL[SplitMarkNo],MasterPL[BILL WT.(KG)],0,0)</f>
        <v>0</v>
      </c>
      <c r="Q939" cm="1">
        <f t="array" ref="Q93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40" spans="1:17" x14ac:dyDescent="0.25">
      <c r="A940">
        <v>769</v>
      </c>
      <c r="B940" t="s">
        <v>947</v>
      </c>
      <c r="C940" t="s">
        <v>602</v>
      </c>
      <c r="D940" t="s">
        <v>378</v>
      </c>
      <c r="E940" t="s">
        <v>5</v>
      </c>
      <c r="F940" t="str" cm="1">
        <f t="array" ref="F940">IF(SUM(IF(PartList[ASSLY MARK]=PartList[[#This Row],[ASSLY MARK]],1,0))&gt;1,"No","Yes")</f>
        <v>Yes</v>
      </c>
      <c r="G940" t="str" cm="1">
        <f t="array" ref="G940">_xlfn.TEXTJOIN("_",TRUE,TRIM(_xlfn.TEXTSPLIT(PartList[[#This Row],[GRID LOCATION]],{"PR01","/","-"})))</f>
        <v>13_14_A_B</v>
      </c>
      <c r="H940" t="str" cm="1">
        <f t="array" ref="H94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40" cm="1">
        <f t="array" ref="I94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40" t="str">
        <f>IF(IFERROR(SEARCH("&gt;",PartList[[#This Row],[ID]]),0),"O",IF(IFERROR(SEARCH("&lt;",PartList[[#This Row],[ID]]),0),"I",""))</f>
        <v/>
      </c>
      <c r="K940" t="str" cm="1">
        <f t="array" ref="K9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40" t="str" cm="1">
        <f t="array" ref="L9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40" t="str">
        <f>_xlfn.TEXTJOIN("#",TRUE,PartList[[#This Row],[ASSLY MARK]],PartList[[#This Row],[BOX NO]],PartList[[#This Row],[In/Out]],PartList[[#This Row],[O1-Grid]])</f>
        <v>6BE65#Box2#InB</v>
      </c>
      <c r="N940" t="str">
        <f>_xlfn.TEXTJOIN("#",TRUE,PartList[[#This Row],[ASSLY MARK]],PartList[[#This Row],[BOX NO]],PartList[[#This Row],[In/Out]],PartList[[#This Row],[O2-Grid]])</f>
        <v>6BE65#Box2#InB</v>
      </c>
      <c r="O940">
        <f>IF(PartList[[#This Row],[Unique]]="Yes",_xlfn.XLOOKUP(PartList[[#This Row],[ASSLY MARK]],FilteredPL!A:A,FilteredPL!B:B,0,0),0)</f>
        <v>0</v>
      </c>
      <c r="P940">
        <f>_xlfn.XLOOKUP(PartList[[#This Row],[ASSLY MARK]],MasterPL[SplitMarkNo],MasterPL[BILL WT.(KG)],0,0)</f>
        <v>0</v>
      </c>
      <c r="Q940" cm="1">
        <f t="array" ref="Q94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41" spans="1:17" x14ac:dyDescent="0.25">
      <c r="A941">
        <v>770</v>
      </c>
      <c r="B941" t="s">
        <v>948</v>
      </c>
      <c r="C941" t="s">
        <v>602</v>
      </c>
      <c r="D941" t="s">
        <v>378</v>
      </c>
      <c r="E941" t="s">
        <v>5</v>
      </c>
      <c r="F941" t="str" cm="1">
        <f t="array" ref="F941">IF(SUM(IF(PartList[ASSLY MARK]=PartList[[#This Row],[ASSLY MARK]],1,0))&gt;1,"No","Yes")</f>
        <v>No</v>
      </c>
      <c r="G941" t="str" cm="1">
        <f t="array" ref="G941">_xlfn.TEXTJOIN("_",TRUE,TRIM(_xlfn.TEXTSPLIT(PartList[[#This Row],[GRID LOCATION]],{"PR01","/","-"})))</f>
        <v>13_14_A_B</v>
      </c>
      <c r="H941" t="str" cm="1">
        <f t="array" ref="H94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41" cm="1">
        <f t="array" ref="I94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41" t="str">
        <f>IF(IFERROR(SEARCH("&gt;",PartList[[#This Row],[ID]]),0),"O",IF(IFERROR(SEARCH("&lt;",PartList[[#This Row],[ID]]),0),"I",""))</f>
        <v/>
      </c>
      <c r="K941" t="str" cm="1">
        <f t="array" ref="K9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41" t="str" cm="1">
        <f t="array" ref="L9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41" t="str">
        <f>_xlfn.TEXTJOIN("#",TRUE,PartList[[#This Row],[ASSLY MARK]],PartList[[#This Row],[BOX NO]],PartList[[#This Row],[In/Out]],PartList[[#This Row],[O1-Grid]])</f>
        <v>6BE66#Box2#InB</v>
      </c>
      <c r="N941" t="str">
        <f>_xlfn.TEXTJOIN("#",TRUE,PartList[[#This Row],[ASSLY MARK]],PartList[[#This Row],[BOX NO]],PartList[[#This Row],[In/Out]],PartList[[#This Row],[O2-Grid]])</f>
        <v>6BE66#Box2#InB</v>
      </c>
      <c r="O941">
        <f>IF(PartList[[#This Row],[Unique]]="Yes",_xlfn.XLOOKUP(PartList[[#This Row],[ASSLY MARK]],FilteredPL!A:A,FilteredPL!B:B,0,0),0)</f>
        <v>0</v>
      </c>
      <c r="P941">
        <f>_xlfn.XLOOKUP(PartList[[#This Row],[ASSLY MARK]],MasterPL[SplitMarkNo],MasterPL[BILL WT.(KG)],0,0)</f>
        <v>0</v>
      </c>
      <c r="Q941" cm="1">
        <f t="array" ref="Q94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42" spans="1:17" x14ac:dyDescent="0.25">
      <c r="A942">
        <v>771</v>
      </c>
      <c r="B942" t="s">
        <v>948</v>
      </c>
      <c r="C942" t="s">
        <v>602</v>
      </c>
      <c r="D942" t="s">
        <v>378</v>
      </c>
      <c r="E942" t="s">
        <v>5</v>
      </c>
      <c r="F942" t="str" cm="1">
        <f t="array" ref="F942">IF(SUM(IF(PartList[ASSLY MARK]=PartList[[#This Row],[ASSLY MARK]],1,0))&gt;1,"No","Yes")</f>
        <v>No</v>
      </c>
      <c r="G942" t="str" cm="1">
        <f t="array" ref="G942">_xlfn.TEXTJOIN("_",TRUE,TRIM(_xlfn.TEXTSPLIT(PartList[[#This Row],[GRID LOCATION]],{"PR01","/","-"})))</f>
        <v>13_14_A_B</v>
      </c>
      <c r="H942" t="str" cm="1">
        <f t="array" ref="H94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42" cm="1">
        <f t="array" ref="I94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42" t="str">
        <f>IF(IFERROR(SEARCH("&gt;",PartList[[#This Row],[ID]]),0),"O",IF(IFERROR(SEARCH("&lt;",PartList[[#This Row],[ID]]),0),"I",""))</f>
        <v/>
      </c>
      <c r="K942" t="str" cm="1">
        <f t="array" ref="K9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42" t="str" cm="1">
        <f t="array" ref="L9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42" t="str">
        <f>_xlfn.TEXTJOIN("#",TRUE,PartList[[#This Row],[ASSLY MARK]],PartList[[#This Row],[BOX NO]],PartList[[#This Row],[In/Out]],PartList[[#This Row],[O1-Grid]])</f>
        <v>6BE66#Box2#InB</v>
      </c>
      <c r="N942" t="str">
        <f>_xlfn.TEXTJOIN("#",TRUE,PartList[[#This Row],[ASSLY MARK]],PartList[[#This Row],[BOX NO]],PartList[[#This Row],[In/Out]],PartList[[#This Row],[O2-Grid]])</f>
        <v>6BE66#Box2#InB</v>
      </c>
      <c r="O942">
        <f>IF(PartList[[#This Row],[Unique]]="Yes",_xlfn.XLOOKUP(PartList[[#This Row],[ASSLY MARK]],FilteredPL!A:A,FilteredPL!B:B,0,0),0)</f>
        <v>0</v>
      </c>
      <c r="P942">
        <f>_xlfn.XLOOKUP(PartList[[#This Row],[ASSLY MARK]],MasterPL[SplitMarkNo],MasterPL[BILL WT.(KG)],0,0)</f>
        <v>0</v>
      </c>
      <c r="Q942" cm="1">
        <f t="array" ref="Q94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43" spans="1:17" x14ac:dyDescent="0.25">
      <c r="A943">
        <v>772</v>
      </c>
      <c r="B943" t="s">
        <v>948</v>
      </c>
      <c r="C943" t="s">
        <v>602</v>
      </c>
      <c r="D943" t="s">
        <v>378</v>
      </c>
      <c r="E943" t="s">
        <v>5</v>
      </c>
      <c r="F943" t="str" cm="1">
        <f t="array" ref="F943">IF(SUM(IF(PartList[ASSLY MARK]=PartList[[#This Row],[ASSLY MARK]],1,0))&gt;1,"No","Yes")</f>
        <v>No</v>
      </c>
      <c r="G943" t="str" cm="1">
        <f t="array" ref="G943">_xlfn.TEXTJOIN("_",TRUE,TRIM(_xlfn.TEXTSPLIT(PartList[[#This Row],[GRID LOCATION]],{"PR01","/","-"})))</f>
        <v>13_14_A_B</v>
      </c>
      <c r="H943" t="str" cm="1">
        <f t="array" ref="H94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43" cm="1">
        <f t="array" ref="I94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43" t="str">
        <f>IF(IFERROR(SEARCH("&gt;",PartList[[#This Row],[ID]]),0),"O",IF(IFERROR(SEARCH("&lt;",PartList[[#This Row],[ID]]),0),"I",""))</f>
        <v/>
      </c>
      <c r="K943" t="str" cm="1">
        <f t="array" ref="K9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43" t="str" cm="1">
        <f t="array" ref="L9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43" t="str">
        <f>_xlfn.TEXTJOIN("#",TRUE,PartList[[#This Row],[ASSLY MARK]],PartList[[#This Row],[BOX NO]],PartList[[#This Row],[In/Out]],PartList[[#This Row],[O1-Grid]])</f>
        <v>6BE66#Box2#InB</v>
      </c>
      <c r="N943" t="str">
        <f>_xlfn.TEXTJOIN("#",TRUE,PartList[[#This Row],[ASSLY MARK]],PartList[[#This Row],[BOX NO]],PartList[[#This Row],[In/Out]],PartList[[#This Row],[O2-Grid]])</f>
        <v>6BE66#Box2#InB</v>
      </c>
      <c r="O943">
        <f>IF(PartList[[#This Row],[Unique]]="Yes",_xlfn.XLOOKUP(PartList[[#This Row],[ASSLY MARK]],FilteredPL!A:A,FilteredPL!B:B,0,0),0)</f>
        <v>0</v>
      </c>
      <c r="P943">
        <f>_xlfn.XLOOKUP(PartList[[#This Row],[ASSLY MARK]],MasterPL[SplitMarkNo],MasterPL[BILL WT.(KG)],0,0)</f>
        <v>0</v>
      </c>
      <c r="Q943" cm="1">
        <f t="array" ref="Q94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44" spans="1:17" x14ac:dyDescent="0.25">
      <c r="A944">
        <v>773</v>
      </c>
      <c r="B944" t="s">
        <v>949</v>
      </c>
      <c r="C944" t="s">
        <v>602</v>
      </c>
      <c r="D944" t="s">
        <v>378</v>
      </c>
      <c r="E944" t="s">
        <v>5</v>
      </c>
      <c r="F944" t="str" cm="1">
        <f t="array" ref="F944">IF(SUM(IF(PartList[ASSLY MARK]=PartList[[#This Row],[ASSLY MARK]],1,0))&gt;1,"No","Yes")</f>
        <v>Yes</v>
      </c>
      <c r="G944" t="str" cm="1">
        <f t="array" ref="G944">_xlfn.TEXTJOIN("_",TRUE,TRIM(_xlfn.TEXTSPLIT(PartList[[#This Row],[GRID LOCATION]],{"PR01","/","-"})))</f>
        <v>13_14_A_B</v>
      </c>
      <c r="H944" t="str" cm="1">
        <f t="array" ref="H94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44" cm="1">
        <f t="array" ref="I94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44" t="str">
        <f>IF(IFERROR(SEARCH("&gt;",PartList[[#This Row],[ID]]),0),"O",IF(IFERROR(SEARCH("&lt;",PartList[[#This Row],[ID]]),0),"I",""))</f>
        <v/>
      </c>
      <c r="K944" t="str" cm="1">
        <f t="array" ref="K9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44" t="str" cm="1">
        <f t="array" ref="L9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44" t="str">
        <f>_xlfn.TEXTJOIN("#",TRUE,PartList[[#This Row],[ASSLY MARK]],PartList[[#This Row],[BOX NO]],PartList[[#This Row],[In/Out]],PartList[[#This Row],[O1-Grid]])</f>
        <v>6BE67#Box2#InB</v>
      </c>
      <c r="N944" t="str">
        <f>_xlfn.TEXTJOIN("#",TRUE,PartList[[#This Row],[ASSLY MARK]],PartList[[#This Row],[BOX NO]],PartList[[#This Row],[In/Out]],PartList[[#This Row],[O2-Grid]])</f>
        <v>6BE67#Box2#InB</v>
      </c>
      <c r="O944">
        <f>IF(PartList[[#This Row],[Unique]]="Yes",_xlfn.XLOOKUP(PartList[[#This Row],[ASSLY MARK]],FilteredPL!A:A,FilteredPL!B:B,0,0),0)</f>
        <v>0</v>
      </c>
      <c r="P944">
        <f>_xlfn.XLOOKUP(PartList[[#This Row],[ASSLY MARK]],MasterPL[SplitMarkNo],MasterPL[BILL WT.(KG)],0,0)</f>
        <v>0</v>
      </c>
      <c r="Q944" cm="1">
        <f t="array" ref="Q94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45" spans="1:17" x14ac:dyDescent="0.25">
      <c r="A945">
        <v>774</v>
      </c>
      <c r="B945" t="s">
        <v>950</v>
      </c>
      <c r="C945" t="s">
        <v>602</v>
      </c>
      <c r="D945" t="s">
        <v>378</v>
      </c>
      <c r="E945" t="s">
        <v>5</v>
      </c>
      <c r="F945" t="str" cm="1">
        <f t="array" ref="F945">IF(SUM(IF(PartList[ASSLY MARK]=PartList[[#This Row],[ASSLY MARK]],1,0))&gt;1,"No","Yes")</f>
        <v>Yes</v>
      </c>
      <c r="G945" t="str" cm="1">
        <f t="array" ref="G945">_xlfn.TEXTJOIN("_",TRUE,TRIM(_xlfn.TEXTSPLIT(PartList[[#This Row],[GRID LOCATION]],{"PR01","/","-"})))</f>
        <v>13_14_A_B</v>
      </c>
      <c r="H945" t="str" cm="1">
        <f t="array" ref="H94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45" cm="1">
        <f t="array" ref="I94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45" t="str">
        <f>IF(IFERROR(SEARCH("&gt;",PartList[[#This Row],[ID]]),0),"O",IF(IFERROR(SEARCH("&lt;",PartList[[#This Row],[ID]]),0),"I",""))</f>
        <v/>
      </c>
      <c r="K945" t="str" cm="1">
        <f t="array" ref="K9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45" t="str" cm="1">
        <f t="array" ref="L9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45" t="str">
        <f>_xlfn.TEXTJOIN("#",TRUE,PartList[[#This Row],[ASSLY MARK]],PartList[[#This Row],[BOX NO]],PartList[[#This Row],[In/Out]],PartList[[#This Row],[O1-Grid]])</f>
        <v>6BE68#Box2#InB</v>
      </c>
      <c r="N945" t="str">
        <f>_xlfn.TEXTJOIN("#",TRUE,PartList[[#This Row],[ASSLY MARK]],PartList[[#This Row],[BOX NO]],PartList[[#This Row],[In/Out]],PartList[[#This Row],[O2-Grid]])</f>
        <v>6BE68#Box2#InB</v>
      </c>
      <c r="O945">
        <f>IF(PartList[[#This Row],[Unique]]="Yes",_xlfn.XLOOKUP(PartList[[#This Row],[ASSLY MARK]],FilteredPL!A:A,FilteredPL!B:B,0,0),0)</f>
        <v>0</v>
      </c>
      <c r="P945">
        <f>_xlfn.XLOOKUP(PartList[[#This Row],[ASSLY MARK]],MasterPL[SplitMarkNo],MasterPL[BILL WT.(KG)],0,0)</f>
        <v>0</v>
      </c>
      <c r="Q945" cm="1">
        <f t="array" ref="Q94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46" spans="1:17" x14ac:dyDescent="0.25">
      <c r="A946">
        <v>775</v>
      </c>
      <c r="B946" t="s">
        <v>951</v>
      </c>
      <c r="C946" t="s">
        <v>602</v>
      </c>
      <c r="D946" t="s">
        <v>378</v>
      </c>
      <c r="E946" t="s">
        <v>5</v>
      </c>
      <c r="F946" t="str" cm="1">
        <f t="array" ref="F946">IF(SUM(IF(PartList[ASSLY MARK]=PartList[[#This Row],[ASSLY MARK]],1,0))&gt;1,"No","Yes")</f>
        <v>Yes</v>
      </c>
      <c r="G946" t="str" cm="1">
        <f t="array" ref="G946">_xlfn.TEXTJOIN("_",TRUE,TRIM(_xlfn.TEXTSPLIT(PartList[[#This Row],[GRID LOCATION]],{"PR01","/","-"})))</f>
        <v>13_14_A_B</v>
      </c>
      <c r="H946" t="str" cm="1">
        <f t="array" ref="H94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46" cm="1">
        <f t="array" ref="I94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46" t="str">
        <f>IF(IFERROR(SEARCH("&gt;",PartList[[#This Row],[ID]]),0),"O",IF(IFERROR(SEARCH("&lt;",PartList[[#This Row],[ID]]),0),"I",""))</f>
        <v/>
      </c>
      <c r="K946" t="str" cm="1">
        <f t="array" ref="K9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46" t="str" cm="1">
        <f t="array" ref="L9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46" t="str">
        <f>_xlfn.TEXTJOIN("#",TRUE,PartList[[#This Row],[ASSLY MARK]],PartList[[#This Row],[BOX NO]],PartList[[#This Row],[In/Out]],PartList[[#This Row],[O1-Grid]])</f>
        <v>6BE69#Box2#InB</v>
      </c>
      <c r="N946" t="str">
        <f>_xlfn.TEXTJOIN("#",TRUE,PartList[[#This Row],[ASSLY MARK]],PartList[[#This Row],[BOX NO]],PartList[[#This Row],[In/Out]],PartList[[#This Row],[O2-Grid]])</f>
        <v>6BE69#Box2#InB</v>
      </c>
      <c r="O946">
        <f>IF(PartList[[#This Row],[Unique]]="Yes",_xlfn.XLOOKUP(PartList[[#This Row],[ASSLY MARK]],FilteredPL!A:A,FilteredPL!B:B,0,0),0)</f>
        <v>0</v>
      </c>
      <c r="P946">
        <f>_xlfn.XLOOKUP(PartList[[#This Row],[ASSLY MARK]],MasterPL[SplitMarkNo],MasterPL[BILL WT.(KG)],0,0)</f>
        <v>0</v>
      </c>
      <c r="Q946" cm="1">
        <f t="array" ref="Q94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47" spans="1:17" x14ac:dyDescent="0.25">
      <c r="A947">
        <v>778</v>
      </c>
      <c r="B947" t="s">
        <v>954</v>
      </c>
      <c r="C947" t="s">
        <v>609</v>
      </c>
      <c r="D947" t="s">
        <v>353</v>
      </c>
      <c r="E947" t="s">
        <v>5</v>
      </c>
      <c r="F947" t="str" cm="1">
        <f t="array" ref="F947">IF(SUM(IF(PartList[ASSLY MARK]=PartList[[#This Row],[ASSLY MARK]],1,0))&gt;1,"No","Yes")</f>
        <v>Yes</v>
      </c>
      <c r="G947" t="str" cm="1">
        <f t="array" ref="G947">_xlfn.TEXTJOIN("_",TRUE,TRIM(_xlfn.TEXTSPLIT(PartList[[#This Row],[GRID LOCATION]],{"PR01","/","-"})))</f>
        <v>13_14_A</v>
      </c>
      <c r="H947" t="str" cm="1">
        <f t="array" ref="H94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47" cm="1">
        <f t="array" ref="I94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47" t="str">
        <f>IF(IFERROR(SEARCH("&gt;",PartList[[#This Row],[ID]]),0),"O",IF(IFERROR(SEARCH("&lt;",PartList[[#This Row],[ID]]),0),"I",""))</f>
        <v/>
      </c>
      <c r="K947" t="str" cm="1">
        <f t="array" ref="K9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47" t="str" cm="1">
        <f t="array" ref="L9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13_14_A</v>
      </c>
      <c r="M947" t="str">
        <f>_xlfn.TEXTJOIN("#",TRUE,PartList[[#This Row],[ASSLY MARK]],PartList[[#This Row],[BOX NO]],PartList[[#This Row],[In/Out]],PartList[[#This Row],[O1-Grid]])</f>
        <v>6BE72#Box2#InB</v>
      </c>
      <c r="N947" t="str">
        <f>_xlfn.TEXTJOIN("#",TRUE,PartList[[#This Row],[ASSLY MARK]],PartList[[#This Row],[BOX NO]],PartList[[#This Row],[In/Out]],PartList[[#This Row],[O2-Grid]])</f>
        <v>6BE72#Box2#13_14_A</v>
      </c>
      <c r="O947">
        <f>IF(PartList[[#This Row],[Unique]]="Yes",_xlfn.XLOOKUP(PartList[[#This Row],[ASSLY MARK]],FilteredPL!A:A,FilteredPL!B:B,0,0),0)</f>
        <v>0</v>
      </c>
      <c r="P947">
        <f>_xlfn.XLOOKUP(PartList[[#This Row],[ASSLY MARK]],MasterPL[SplitMarkNo],MasterPL[BILL WT.(KG)],0,0)</f>
        <v>0</v>
      </c>
      <c r="Q947" cm="1">
        <f t="array" ref="Q94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48" spans="1:17" x14ac:dyDescent="0.25">
      <c r="A948">
        <v>779</v>
      </c>
      <c r="B948" t="s">
        <v>955</v>
      </c>
      <c r="C948" t="s">
        <v>609</v>
      </c>
      <c r="D948" t="s">
        <v>378</v>
      </c>
      <c r="E948" t="s">
        <v>5</v>
      </c>
      <c r="F948" t="str" cm="1">
        <f t="array" ref="F948">IF(SUM(IF(PartList[ASSLY MARK]=PartList[[#This Row],[ASSLY MARK]],1,0))&gt;1,"No","Yes")</f>
        <v>Yes</v>
      </c>
      <c r="G948" t="str" cm="1">
        <f t="array" ref="G948">_xlfn.TEXTJOIN("_",TRUE,TRIM(_xlfn.TEXTSPLIT(PartList[[#This Row],[GRID LOCATION]],{"PR01","/","-"})))</f>
        <v>13_14_A</v>
      </c>
      <c r="H948" t="str" cm="1">
        <f t="array" ref="H94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48" cm="1">
        <f t="array" ref="I94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48" t="str">
        <f>IF(IFERROR(SEARCH("&gt;",PartList[[#This Row],[ID]]),0),"O",IF(IFERROR(SEARCH("&lt;",PartList[[#This Row],[ID]]),0),"I",""))</f>
        <v/>
      </c>
      <c r="K948" t="str" cm="1">
        <f t="array" ref="K9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48" t="str" cm="1">
        <f t="array" ref="L9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13_14_A</v>
      </c>
      <c r="M948" t="str">
        <f>_xlfn.TEXTJOIN("#",TRUE,PartList[[#This Row],[ASSLY MARK]],PartList[[#This Row],[BOX NO]],PartList[[#This Row],[In/Out]],PartList[[#This Row],[O1-Grid]])</f>
        <v>6BE73#Box2#InB</v>
      </c>
      <c r="N948" t="str">
        <f>_xlfn.TEXTJOIN("#",TRUE,PartList[[#This Row],[ASSLY MARK]],PartList[[#This Row],[BOX NO]],PartList[[#This Row],[In/Out]],PartList[[#This Row],[O2-Grid]])</f>
        <v>6BE73#Box2#13_14_A</v>
      </c>
      <c r="O948">
        <f>IF(PartList[[#This Row],[Unique]]="Yes",_xlfn.XLOOKUP(PartList[[#This Row],[ASSLY MARK]],FilteredPL!A:A,FilteredPL!B:B,0,0),0)</f>
        <v>0</v>
      </c>
      <c r="P948">
        <f>_xlfn.XLOOKUP(PartList[[#This Row],[ASSLY MARK]],MasterPL[SplitMarkNo],MasterPL[BILL WT.(KG)],0,0)</f>
        <v>0</v>
      </c>
      <c r="Q948" cm="1">
        <f t="array" ref="Q94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49" spans="1:17" x14ac:dyDescent="0.25">
      <c r="A949">
        <v>780</v>
      </c>
      <c r="B949" t="s">
        <v>956</v>
      </c>
      <c r="C949" t="s">
        <v>613</v>
      </c>
      <c r="D949" t="s">
        <v>353</v>
      </c>
      <c r="E949" t="s">
        <v>5</v>
      </c>
      <c r="F949" t="str" cm="1">
        <f t="array" ref="F949">IF(SUM(IF(PartList[ASSLY MARK]=PartList[[#This Row],[ASSLY MARK]],1,0))&gt;1,"No","Yes")</f>
        <v>Yes</v>
      </c>
      <c r="G949" t="str" cm="1">
        <f t="array" ref="G949">_xlfn.TEXTJOIN("_",TRUE,TRIM(_xlfn.TEXTSPLIT(PartList[[#This Row],[GRID LOCATION]],{"PR01","/","-"})))</f>
        <v>13_14_B</v>
      </c>
      <c r="H949" t="str" cm="1">
        <f t="array" ref="H94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49" cm="1">
        <f t="array" ref="I94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49" t="str">
        <f>IF(IFERROR(SEARCH("&gt;",PartList[[#This Row],[ID]]),0),"O",IF(IFERROR(SEARCH("&lt;",PartList[[#This Row],[ID]]),0),"I",""))</f>
        <v/>
      </c>
      <c r="K949" t="str" cm="1">
        <f t="array" ref="K9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49" t="str" cm="1">
        <f t="array" ref="L9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13_14_B</v>
      </c>
      <c r="M949" t="str">
        <f>_xlfn.TEXTJOIN("#",TRUE,PartList[[#This Row],[ASSLY MARK]],PartList[[#This Row],[BOX NO]],PartList[[#This Row],[In/Out]],PartList[[#This Row],[O1-Grid]])</f>
        <v>6BE74#Box2#InB</v>
      </c>
      <c r="N949" t="str">
        <f>_xlfn.TEXTJOIN("#",TRUE,PartList[[#This Row],[ASSLY MARK]],PartList[[#This Row],[BOX NO]],PartList[[#This Row],[In/Out]],PartList[[#This Row],[O2-Grid]])</f>
        <v>6BE74#Box2#13_14_B</v>
      </c>
      <c r="O949">
        <f>IF(PartList[[#This Row],[Unique]]="Yes",_xlfn.XLOOKUP(PartList[[#This Row],[ASSLY MARK]],FilteredPL!A:A,FilteredPL!B:B,0,0),0)</f>
        <v>0</v>
      </c>
      <c r="P949">
        <f>_xlfn.XLOOKUP(PartList[[#This Row],[ASSLY MARK]],MasterPL[SplitMarkNo],MasterPL[BILL WT.(KG)],0,0)</f>
        <v>0</v>
      </c>
      <c r="Q949" cm="1">
        <f t="array" ref="Q94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50" spans="1:17" x14ac:dyDescent="0.25">
      <c r="A950">
        <v>781</v>
      </c>
      <c r="B950" t="s">
        <v>957</v>
      </c>
      <c r="C950" t="s">
        <v>613</v>
      </c>
      <c r="D950" t="s">
        <v>378</v>
      </c>
      <c r="E950" t="s">
        <v>5</v>
      </c>
      <c r="F950" t="str" cm="1">
        <f t="array" ref="F950">IF(SUM(IF(PartList[ASSLY MARK]=PartList[[#This Row],[ASSLY MARK]],1,0))&gt;1,"No","Yes")</f>
        <v>Yes</v>
      </c>
      <c r="G950" t="str" cm="1">
        <f t="array" ref="G950">_xlfn.TEXTJOIN("_",TRUE,TRIM(_xlfn.TEXTSPLIT(PartList[[#This Row],[GRID LOCATION]],{"PR01","/","-"})))</f>
        <v>13_14_B</v>
      </c>
      <c r="H950" t="str" cm="1">
        <f t="array" ref="H95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50" cm="1">
        <f t="array" ref="I95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50" t="str">
        <f>IF(IFERROR(SEARCH("&gt;",PartList[[#This Row],[ID]]),0),"O",IF(IFERROR(SEARCH("&lt;",PartList[[#This Row],[ID]]),0),"I",""))</f>
        <v/>
      </c>
      <c r="K950" t="str" cm="1">
        <f t="array" ref="K9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50" t="str" cm="1">
        <f t="array" ref="L9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13_14_B</v>
      </c>
      <c r="M950" t="str">
        <f>_xlfn.TEXTJOIN("#",TRUE,PartList[[#This Row],[ASSLY MARK]],PartList[[#This Row],[BOX NO]],PartList[[#This Row],[In/Out]],PartList[[#This Row],[O1-Grid]])</f>
        <v>6BE75#Box2#InB</v>
      </c>
      <c r="N950" t="str">
        <f>_xlfn.TEXTJOIN("#",TRUE,PartList[[#This Row],[ASSLY MARK]],PartList[[#This Row],[BOX NO]],PartList[[#This Row],[In/Out]],PartList[[#This Row],[O2-Grid]])</f>
        <v>6BE75#Box2#13_14_B</v>
      </c>
      <c r="O950">
        <f>IF(PartList[[#This Row],[Unique]]="Yes",_xlfn.XLOOKUP(PartList[[#This Row],[ASSLY MARK]],FilteredPL!A:A,FilteredPL!B:B,0,0),0)</f>
        <v>0</v>
      </c>
      <c r="P950">
        <f>_xlfn.XLOOKUP(PartList[[#This Row],[ASSLY MARK]],MasterPL[SplitMarkNo],MasterPL[BILL WT.(KG)],0,0)</f>
        <v>0</v>
      </c>
      <c r="Q950" cm="1">
        <f t="array" ref="Q95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51" spans="1:17" x14ac:dyDescent="0.25">
      <c r="A951">
        <v>782</v>
      </c>
      <c r="B951" t="s">
        <v>958</v>
      </c>
      <c r="C951" t="s">
        <v>686</v>
      </c>
      <c r="D951" t="s">
        <v>378</v>
      </c>
      <c r="E951" t="s">
        <v>5</v>
      </c>
      <c r="F951" t="str" cm="1">
        <f t="array" ref="F951">IF(SUM(IF(PartList[ASSLY MARK]=PartList[[#This Row],[ASSLY MARK]],1,0))&gt;1,"No","Yes")</f>
        <v>Yes</v>
      </c>
      <c r="G951" t="str" cm="1">
        <f t="array" ref="G951">_xlfn.TEXTJOIN("_",TRUE,TRIM(_xlfn.TEXTSPLIT(PartList[[#This Row],[GRID LOCATION]],{"PR01","/","-"})))</f>
        <v>13_14_B&gt;</v>
      </c>
      <c r="H951" t="str" cm="1">
        <f t="array" ref="H95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51" cm="1">
        <f t="array" ref="I95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51" t="str">
        <f>IF(IFERROR(SEARCH("&gt;",PartList[[#This Row],[ID]]),0),"O",IF(IFERROR(SEARCH("&lt;",PartList[[#This Row],[ID]]),0),"I",""))</f>
        <v>O</v>
      </c>
      <c r="K951" t="str" cm="1">
        <f t="array" ref="K9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51" t="str" cm="1">
        <f t="array" ref="L9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51" t="str">
        <f>_xlfn.TEXTJOIN("#",TRUE,PartList[[#This Row],[ASSLY MARK]],PartList[[#This Row],[BOX NO]],PartList[[#This Row],[In/Out]],PartList[[#This Row],[O1-Grid]])</f>
        <v>6BE76#Box2#O</v>
      </c>
      <c r="N951" t="str">
        <f>_xlfn.TEXTJOIN("#",TRUE,PartList[[#This Row],[ASSLY MARK]],PartList[[#This Row],[BOX NO]],PartList[[#This Row],[In/Out]],PartList[[#This Row],[O2-Grid]])</f>
        <v>6BE76#Box2#O</v>
      </c>
      <c r="O951">
        <f>IF(PartList[[#This Row],[Unique]]="Yes",_xlfn.XLOOKUP(PartList[[#This Row],[ASSLY MARK]],FilteredPL!A:A,FilteredPL!B:B,0,0),0)</f>
        <v>0</v>
      </c>
      <c r="P951">
        <f>_xlfn.XLOOKUP(PartList[[#This Row],[ASSLY MARK]],MasterPL[SplitMarkNo],MasterPL[BILL WT.(KG)],0,0)</f>
        <v>0</v>
      </c>
      <c r="Q951" cm="1">
        <f t="array" ref="Q95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52" spans="1:17" x14ac:dyDescent="0.25">
      <c r="A952">
        <v>783</v>
      </c>
      <c r="B952" t="s">
        <v>959</v>
      </c>
      <c r="C952" t="s">
        <v>638</v>
      </c>
      <c r="D952" t="s">
        <v>378</v>
      </c>
      <c r="E952" t="s">
        <v>5</v>
      </c>
      <c r="F952" t="str" cm="1">
        <f t="array" ref="F952">IF(SUM(IF(PartList[ASSLY MARK]=PartList[[#This Row],[ASSLY MARK]],1,0))&gt;1,"No","Yes")</f>
        <v>Yes</v>
      </c>
      <c r="G952" t="str" cm="1">
        <f t="array" ref="G952">_xlfn.TEXTJOIN("_",TRUE,TRIM(_xlfn.TEXTSPLIT(PartList[[#This Row],[GRID LOCATION]],{"PR01","/","-"})))</f>
        <v>13_14_A'_A</v>
      </c>
      <c r="H952" t="str" cm="1">
        <f t="array" ref="H95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952" cm="1">
        <f t="array" ref="I95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52" t="str">
        <f>IF(IFERROR(SEARCH("&gt;",PartList[[#This Row],[ID]]),0),"O",IF(IFERROR(SEARCH("&lt;",PartList[[#This Row],[ID]]),0),"I",""))</f>
        <v/>
      </c>
      <c r="K952" t="str" cm="1">
        <f t="array" ref="K9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52" t="str" cm="1">
        <f t="array" ref="L9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52" t="str">
        <f>_xlfn.TEXTJOIN("#",TRUE,PartList[[#This Row],[ASSLY MARK]],PartList[[#This Row],[BOX NO]],PartList[[#This Row],[In/Out]],PartList[[#This Row],[O1-Grid]])</f>
        <v>6BE77#Box2_Box5_Box6#InBB</v>
      </c>
      <c r="N952" t="str">
        <f>_xlfn.TEXTJOIN("#",TRUE,PartList[[#This Row],[ASSLY MARK]],PartList[[#This Row],[BOX NO]],PartList[[#This Row],[In/Out]],PartList[[#This Row],[O2-Grid]])</f>
        <v>6BE77#Box2_Box5_Box6#InBB</v>
      </c>
      <c r="O952">
        <f>IF(PartList[[#This Row],[Unique]]="Yes",_xlfn.XLOOKUP(PartList[[#This Row],[ASSLY MARK]],FilteredPL!A:A,FilteredPL!B:B,0,0),0)</f>
        <v>0</v>
      </c>
      <c r="P952">
        <f>_xlfn.XLOOKUP(PartList[[#This Row],[ASSLY MARK]],MasterPL[SplitMarkNo],MasterPL[BILL WT.(KG)],0,0)</f>
        <v>0</v>
      </c>
      <c r="Q952" cm="1">
        <f t="array" ref="Q95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53" spans="1:17" x14ac:dyDescent="0.25">
      <c r="A953">
        <v>784</v>
      </c>
      <c r="B953" t="s">
        <v>960</v>
      </c>
      <c r="C953" t="s">
        <v>602</v>
      </c>
      <c r="D953" t="s">
        <v>378</v>
      </c>
      <c r="E953" t="s">
        <v>5</v>
      </c>
      <c r="F953" t="str" cm="1">
        <f t="array" ref="F953">IF(SUM(IF(PartList[ASSLY MARK]=PartList[[#This Row],[ASSLY MARK]],1,0))&gt;1,"No","Yes")</f>
        <v>Yes</v>
      </c>
      <c r="G953" t="str" cm="1">
        <f t="array" ref="G953">_xlfn.TEXTJOIN("_",TRUE,TRIM(_xlfn.TEXTSPLIT(PartList[[#This Row],[GRID LOCATION]],{"PR01","/","-"})))</f>
        <v>13_14_A_B</v>
      </c>
      <c r="H953" t="str" cm="1">
        <f t="array" ref="H95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53" cm="1">
        <f t="array" ref="I95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53" t="str">
        <f>IF(IFERROR(SEARCH("&gt;",PartList[[#This Row],[ID]]),0),"O",IF(IFERROR(SEARCH("&lt;",PartList[[#This Row],[ID]]),0),"I",""))</f>
        <v/>
      </c>
      <c r="K953" t="str" cm="1">
        <f t="array" ref="K9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53" t="str" cm="1">
        <f t="array" ref="L9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53" t="str">
        <f>_xlfn.TEXTJOIN("#",TRUE,PartList[[#This Row],[ASSLY MARK]],PartList[[#This Row],[BOX NO]],PartList[[#This Row],[In/Out]],PartList[[#This Row],[O1-Grid]])</f>
        <v>6BE78#Box2#InB</v>
      </c>
      <c r="N953" t="str">
        <f>_xlfn.TEXTJOIN("#",TRUE,PartList[[#This Row],[ASSLY MARK]],PartList[[#This Row],[BOX NO]],PartList[[#This Row],[In/Out]],PartList[[#This Row],[O2-Grid]])</f>
        <v>6BE78#Box2#InB</v>
      </c>
      <c r="O953">
        <f>IF(PartList[[#This Row],[Unique]]="Yes",_xlfn.XLOOKUP(PartList[[#This Row],[ASSLY MARK]],FilteredPL!A:A,FilteredPL!B:B,0,0),0)</f>
        <v>0</v>
      </c>
      <c r="P953">
        <f>_xlfn.XLOOKUP(PartList[[#This Row],[ASSLY MARK]],MasterPL[SplitMarkNo],MasterPL[BILL WT.(KG)],0,0)</f>
        <v>0</v>
      </c>
      <c r="Q953" cm="1">
        <f t="array" ref="Q95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54" spans="1:17" x14ac:dyDescent="0.25">
      <c r="A954">
        <v>785</v>
      </c>
      <c r="B954" t="s">
        <v>961</v>
      </c>
      <c r="C954" t="s">
        <v>602</v>
      </c>
      <c r="D954" t="s">
        <v>353</v>
      </c>
      <c r="E954" t="s">
        <v>5</v>
      </c>
      <c r="F954" t="str" cm="1">
        <f t="array" ref="F954">IF(SUM(IF(PartList[ASSLY MARK]=PartList[[#This Row],[ASSLY MARK]],1,0))&gt;1,"No","Yes")</f>
        <v>Yes</v>
      </c>
      <c r="G954" t="str" cm="1">
        <f t="array" ref="G954">_xlfn.TEXTJOIN("_",TRUE,TRIM(_xlfn.TEXTSPLIT(PartList[[#This Row],[GRID LOCATION]],{"PR01","/","-"})))</f>
        <v>13_14_A_B</v>
      </c>
      <c r="H954" t="str" cm="1">
        <f t="array" ref="H95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54" cm="1">
        <f t="array" ref="I95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54" t="str">
        <f>IF(IFERROR(SEARCH("&gt;",PartList[[#This Row],[ID]]),0),"O",IF(IFERROR(SEARCH("&lt;",PartList[[#This Row],[ID]]),0),"I",""))</f>
        <v/>
      </c>
      <c r="K954" t="str" cm="1">
        <f t="array" ref="K9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54" t="str" cm="1">
        <f t="array" ref="L9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54" t="str">
        <f>_xlfn.TEXTJOIN("#",TRUE,PartList[[#This Row],[ASSLY MARK]],PartList[[#This Row],[BOX NO]],PartList[[#This Row],[In/Out]],PartList[[#This Row],[O1-Grid]])</f>
        <v>6BE79#Box2#InB</v>
      </c>
      <c r="N954" t="str">
        <f>_xlfn.TEXTJOIN("#",TRUE,PartList[[#This Row],[ASSLY MARK]],PartList[[#This Row],[BOX NO]],PartList[[#This Row],[In/Out]],PartList[[#This Row],[O2-Grid]])</f>
        <v>6BE79#Box2#InB</v>
      </c>
      <c r="O954">
        <f>IF(PartList[[#This Row],[Unique]]="Yes",_xlfn.XLOOKUP(PartList[[#This Row],[ASSLY MARK]],FilteredPL!A:A,FilteredPL!B:B,0,0),0)</f>
        <v>0</v>
      </c>
      <c r="P954">
        <f>_xlfn.XLOOKUP(PartList[[#This Row],[ASSLY MARK]],MasterPL[SplitMarkNo],MasterPL[BILL WT.(KG)],0,0)</f>
        <v>0</v>
      </c>
      <c r="Q954" cm="1">
        <f t="array" ref="Q95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55" spans="1:17" x14ac:dyDescent="0.25">
      <c r="A955">
        <v>786</v>
      </c>
      <c r="B955" t="s">
        <v>962</v>
      </c>
      <c r="C955" t="s">
        <v>602</v>
      </c>
      <c r="D955" t="s">
        <v>378</v>
      </c>
      <c r="E955" t="s">
        <v>5</v>
      </c>
      <c r="F955" t="str" cm="1">
        <f t="array" ref="F955">IF(SUM(IF(PartList[ASSLY MARK]=PartList[[#This Row],[ASSLY MARK]],1,0))&gt;1,"No","Yes")</f>
        <v>Yes</v>
      </c>
      <c r="G955" t="str" cm="1">
        <f t="array" ref="G955">_xlfn.TEXTJOIN("_",TRUE,TRIM(_xlfn.TEXTSPLIT(PartList[[#This Row],[GRID LOCATION]],{"PR01","/","-"})))</f>
        <v>13_14_A_B</v>
      </c>
      <c r="H955" t="str" cm="1">
        <f t="array" ref="H95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55" cm="1">
        <f t="array" ref="I95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55" t="str">
        <f>IF(IFERROR(SEARCH("&gt;",PartList[[#This Row],[ID]]),0),"O",IF(IFERROR(SEARCH("&lt;",PartList[[#This Row],[ID]]),0),"I",""))</f>
        <v/>
      </c>
      <c r="K955" t="str" cm="1">
        <f t="array" ref="K9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55" t="str" cm="1">
        <f t="array" ref="L9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55" t="str">
        <f>_xlfn.TEXTJOIN("#",TRUE,PartList[[#This Row],[ASSLY MARK]],PartList[[#This Row],[BOX NO]],PartList[[#This Row],[In/Out]],PartList[[#This Row],[O1-Grid]])</f>
        <v>6BE80#Box2#InB</v>
      </c>
      <c r="N955" t="str">
        <f>_xlfn.TEXTJOIN("#",TRUE,PartList[[#This Row],[ASSLY MARK]],PartList[[#This Row],[BOX NO]],PartList[[#This Row],[In/Out]],PartList[[#This Row],[O2-Grid]])</f>
        <v>6BE80#Box2#InB</v>
      </c>
      <c r="O955">
        <f>IF(PartList[[#This Row],[Unique]]="Yes",_xlfn.XLOOKUP(PartList[[#This Row],[ASSLY MARK]],FilteredPL!A:A,FilteredPL!B:B,0,0),0)</f>
        <v>0</v>
      </c>
      <c r="P955">
        <f>_xlfn.XLOOKUP(PartList[[#This Row],[ASSLY MARK]],MasterPL[SplitMarkNo],MasterPL[BILL WT.(KG)],0,0)</f>
        <v>0</v>
      </c>
      <c r="Q955" cm="1">
        <f t="array" ref="Q95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56" spans="1:17" x14ac:dyDescent="0.25">
      <c r="A956">
        <v>787</v>
      </c>
      <c r="B956" t="s">
        <v>963</v>
      </c>
      <c r="C956" t="s">
        <v>602</v>
      </c>
      <c r="D956" t="s">
        <v>355</v>
      </c>
      <c r="E956" t="s">
        <v>5</v>
      </c>
      <c r="F956" t="str" cm="1">
        <f t="array" ref="F956">IF(SUM(IF(PartList[ASSLY MARK]=PartList[[#This Row],[ASSLY MARK]],1,0))&gt;1,"No","Yes")</f>
        <v>Yes</v>
      </c>
      <c r="G956" t="str" cm="1">
        <f t="array" ref="G956">_xlfn.TEXTJOIN("_",TRUE,TRIM(_xlfn.TEXTSPLIT(PartList[[#This Row],[GRID LOCATION]],{"PR01","/","-"})))</f>
        <v>13_14_A_B</v>
      </c>
      <c r="H956" t="str" cm="1">
        <f t="array" ref="H95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56" cm="1">
        <f t="array" ref="I95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56" t="str">
        <f>IF(IFERROR(SEARCH("&gt;",PartList[[#This Row],[ID]]),0),"O",IF(IFERROR(SEARCH("&lt;",PartList[[#This Row],[ID]]),0),"I",""))</f>
        <v/>
      </c>
      <c r="K956" t="str" cm="1">
        <f t="array" ref="K9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56" t="str" cm="1">
        <f t="array" ref="L9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56" t="str">
        <f>_xlfn.TEXTJOIN("#",TRUE,PartList[[#This Row],[ASSLY MARK]],PartList[[#This Row],[BOX NO]],PartList[[#This Row],[In/Out]],PartList[[#This Row],[O1-Grid]])</f>
        <v>6BE81#Box2#InB</v>
      </c>
      <c r="N956" t="str">
        <f>_xlfn.TEXTJOIN("#",TRUE,PartList[[#This Row],[ASSLY MARK]],PartList[[#This Row],[BOX NO]],PartList[[#This Row],[In/Out]],PartList[[#This Row],[O2-Grid]])</f>
        <v>6BE81#Box2#InB</v>
      </c>
      <c r="O956">
        <f>IF(PartList[[#This Row],[Unique]]="Yes",_xlfn.XLOOKUP(PartList[[#This Row],[ASSLY MARK]],FilteredPL!A:A,FilteredPL!B:B,0,0),0)</f>
        <v>0</v>
      </c>
      <c r="P956">
        <f>_xlfn.XLOOKUP(PartList[[#This Row],[ASSLY MARK]],MasterPL[SplitMarkNo],MasterPL[BILL WT.(KG)],0,0)</f>
        <v>0</v>
      </c>
      <c r="Q956" cm="1">
        <f t="array" ref="Q95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57" spans="1:17" x14ac:dyDescent="0.25">
      <c r="A957">
        <v>788</v>
      </c>
      <c r="B957" t="s">
        <v>964</v>
      </c>
      <c r="C957" t="s">
        <v>600</v>
      </c>
      <c r="D957" t="s">
        <v>378</v>
      </c>
      <c r="E957" t="s">
        <v>5</v>
      </c>
      <c r="F957" t="str" cm="1">
        <f t="array" ref="F957">IF(SUM(IF(PartList[ASSLY MARK]=PartList[[#This Row],[ASSLY MARK]],1,0))&gt;1,"No","Yes")</f>
        <v>Yes</v>
      </c>
      <c r="G957" t="str" cm="1">
        <f t="array" ref="G957">_xlfn.TEXTJOIN("_",TRUE,TRIM(_xlfn.TEXTSPLIT(PartList[[#This Row],[GRID LOCATION]],{"PR01","/","-"})))</f>
        <v>13_14_A"_A</v>
      </c>
      <c r="H957" t="str" cm="1">
        <f t="array" ref="H95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957" cm="1">
        <f t="array" ref="I95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57" t="str">
        <f>IF(IFERROR(SEARCH("&gt;",PartList[[#This Row],[ID]]),0),"O",IF(IFERROR(SEARCH("&lt;",PartList[[#This Row],[ID]]),0),"I",""))</f>
        <v/>
      </c>
      <c r="K957" t="str" cm="1">
        <f t="array" ref="K9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57" t="str" cm="1">
        <f t="array" ref="L9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57" t="str">
        <f>_xlfn.TEXTJOIN("#",TRUE,PartList[[#This Row],[ASSLY MARK]],PartList[[#This Row],[BOX NO]],PartList[[#This Row],[In/Out]],PartList[[#This Row],[O1-Grid]])</f>
        <v>6BE82#Box2_Box5_Box6#InBB</v>
      </c>
      <c r="N957" t="str">
        <f>_xlfn.TEXTJOIN("#",TRUE,PartList[[#This Row],[ASSLY MARK]],PartList[[#This Row],[BOX NO]],PartList[[#This Row],[In/Out]],PartList[[#This Row],[O2-Grid]])</f>
        <v>6BE82#Box2_Box5_Box6#InBB</v>
      </c>
      <c r="O957">
        <f>IF(PartList[[#This Row],[Unique]]="Yes",_xlfn.XLOOKUP(PartList[[#This Row],[ASSLY MARK]],FilteredPL!A:A,FilteredPL!B:B,0,0),0)</f>
        <v>0</v>
      </c>
      <c r="P957">
        <f>_xlfn.XLOOKUP(PartList[[#This Row],[ASSLY MARK]],MasterPL[SplitMarkNo],MasterPL[BILL WT.(KG)],0,0)</f>
        <v>0</v>
      </c>
      <c r="Q957" cm="1">
        <f t="array" ref="Q95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58" spans="1:17" x14ac:dyDescent="0.25">
      <c r="A958">
        <v>847</v>
      </c>
      <c r="B958" t="s">
        <v>1001</v>
      </c>
      <c r="C958" t="s">
        <v>547</v>
      </c>
      <c r="D958" t="s">
        <v>355</v>
      </c>
      <c r="E958" t="s">
        <v>6</v>
      </c>
      <c r="F958" t="str" cm="1">
        <f t="array" ref="F958">IF(SUM(IF(PartList[ASSLY MARK]=PartList[[#This Row],[ASSLY MARK]],1,0))&gt;1,"No","Yes")</f>
        <v>No</v>
      </c>
      <c r="G958" t="str" cm="1">
        <f t="array" ref="G958">_xlfn.TEXTJOIN("_",TRUE,TRIM(_xlfn.TEXTSPLIT(PartList[[#This Row],[GRID LOCATION]],{"PR01","/","-"})))</f>
        <v>12_13_A_B</v>
      </c>
      <c r="H958" t="str" cm="1">
        <f t="array" ref="H95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58" cm="1">
        <f t="array" ref="I95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58" t="str">
        <f>IF(IFERROR(SEARCH("&gt;",PartList[[#This Row],[ID]]),0),"O",IF(IFERROR(SEARCH("&lt;",PartList[[#This Row],[ID]]),0),"I",""))</f>
        <v/>
      </c>
      <c r="K958" t="str" cm="1">
        <f t="array" ref="K9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58" t="str" cm="1">
        <f t="array" ref="L9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58" t="str">
        <f>_xlfn.TEXTJOIN("#",TRUE,PartList[[#This Row],[ASSLY MARK]],PartList[[#This Row],[BOX NO]],PartList[[#This Row],[In/Out]],PartList[[#This Row],[O1-Grid]])</f>
        <v>6HB18#Box2#InB</v>
      </c>
      <c r="N958" t="str">
        <f>_xlfn.TEXTJOIN("#",TRUE,PartList[[#This Row],[ASSLY MARK]],PartList[[#This Row],[BOX NO]],PartList[[#This Row],[In/Out]],PartList[[#This Row],[O2-Grid]])</f>
        <v>6HB18#Box2#InB</v>
      </c>
      <c r="O958">
        <f>IF(PartList[[#This Row],[Unique]]="Yes",_xlfn.XLOOKUP(PartList[[#This Row],[ASSLY MARK]],FilteredPL!A:A,FilteredPL!B:B,0,0),0)</f>
        <v>0</v>
      </c>
      <c r="P958">
        <f>_xlfn.XLOOKUP(PartList[[#This Row],[ASSLY MARK]],MasterPL[SplitMarkNo],MasterPL[BILL WT.(KG)],0,0)</f>
        <v>0</v>
      </c>
      <c r="Q958" cm="1">
        <f t="array" ref="Q95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59" spans="1:17" x14ac:dyDescent="0.25">
      <c r="A959">
        <v>848</v>
      </c>
      <c r="B959" t="s">
        <v>1001</v>
      </c>
      <c r="C959" t="s">
        <v>547</v>
      </c>
      <c r="D959" t="s">
        <v>355</v>
      </c>
      <c r="E959" t="s">
        <v>6</v>
      </c>
      <c r="F959" t="str" cm="1">
        <f t="array" ref="F959">IF(SUM(IF(PartList[ASSLY MARK]=PartList[[#This Row],[ASSLY MARK]],1,0))&gt;1,"No","Yes")</f>
        <v>No</v>
      </c>
      <c r="G959" t="str" cm="1">
        <f t="array" ref="G959">_xlfn.TEXTJOIN("_",TRUE,TRIM(_xlfn.TEXTSPLIT(PartList[[#This Row],[GRID LOCATION]],{"PR01","/","-"})))</f>
        <v>12_13_A_B</v>
      </c>
      <c r="H959" t="str" cm="1">
        <f t="array" ref="H95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59" cm="1">
        <f t="array" ref="I95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59" t="str">
        <f>IF(IFERROR(SEARCH("&gt;",PartList[[#This Row],[ID]]),0),"O",IF(IFERROR(SEARCH("&lt;",PartList[[#This Row],[ID]]),0),"I",""))</f>
        <v/>
      </c>
      <c r="K959" t="str" cm="1">
        <f t="array" ref="K9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59" t="str" cm="1">
        <f t="array" ref="L9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59" t="str">
        <f>_xlfn.TEXTJOIN("#",TRUE,PartList[[#This Row],[ASSLY MARK]],PartList[[#This Row],[BOX NO]],PartList[[#This Row],[In/Out]],PartList[[#This Row],[O1-Grid]])</f>
        <v>6HB18#Box2#InB</v>
      </c>
      <c r="N959" t="str">
        <f>_xlfn.TEXTJOIN("#",TRUE,PartList[[#This Row],[ASSLY MARK]],PartList[[#This Row],[BOX NO]],PartList[[#This Row],[In/Out]],PartList[[#This Row],[O2-Grid]])</f>
        <v>6HB18#Box2#InB</v>
      </c>
      <c r="O959">
        <f>IF(PartList[[#This Row],[Unique]]="Yes",_xlfn.XLOOKUP(PartList[[#This Row],[ASSLY MARK]],FilteredPL!A:A,FilteredPL!B:B,0,0),0)</f>
        <v>0</v>
      </c>
      <c r="P959">
        <f>_xlfn.XLOOKUP(PartList[[#This Row],[ASSLY MARK]],MasterPL[SplitMarkNo],MasterPL[BILL WT.(KG)],0,0)</f>
        <v>0</v>
      </c>
      <c r="Q959" cm="1">
        <f t="array" ref="Q95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60" spans="1:17" x14ac:dyDescent="0.25">
      <c r="A960">
        <v>849</v>
      </c>
      <c r="B960" t="s">
        <v>1002</v>
      </c>
      <c r="C960" t="s">
        <v>547</v>
      </c>
      <c r="D960" t="s">
        <v>912</v>
      </c>
      <c r="E960" t="s">
        <v>6</v>
      </c>
      <c r="F960" t="str" cm="1">
        <f t="array" ref="F960">IF(SUM(IF(PartList[ASSLY MARK]=PartList[[#This Row],[ASSLY MARK]],1,0))&gt;1,"No","Yes")</f>
        <v>Yes</v>
      </c>
      <c r="G960" t="str" cm="1">
        <f t="array" ref="G960">_xlfn.TEXTJOIN("_",TRUE,TRIM(_xlfn.TEXTSPLIT(PartList[[#This Row],[GRID LOCATION]],{"PR01","/","-"})))</f>
        <v>12_13_A_B</v>
      </c>
      <c r="H960" t="str" cm="1">
        <f t="array" ref="H96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60" cm="1">
        <f t="array" ref="I96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60" t="str">
        <f>IF(IFERROR(SEARCH("&gt;",PartList[[#This Row],[ID]]),0),"O",IF(IFERROR(SEARCH("&lt;",PartList[[#This Row],[ID]]),0),"I",""))</f>
        <v/>
      </c>
      <c r="K960" t="str" cm="1">
        <f t="array" ref="K9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60" t="str" cm="1">
        <f t="array" ref="L9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60" t="str">
        <f>_xlfn.TEXTJOIN("#",TRUE,PartList[[#This Row],[ASSLY MARK]],PartList[[#This Row],[BOX NO]],PartList[[#This Row],[In/Out]],PartList[[#This Row],[O1-Grid]])</f>
        <v>6HB19#Box2#InB</v>
      </c>
      <c r="N960" t="str">
        <f>_xlfn.TEXTJOIN("#",TRUE,PartList[[#This Row],[ASSLY MARK]],PartList[[#This Row],[BOX NO]],PartList[[#This Row],[In/Out]],PartList[[#This Row],[O2-Grid]])</f>
        <v>6HB19#Box2#InB</v>
      </c>
      <c r="O960">
        <f>IF(PartList[[#This Row],[Unique]]="Yes",_xlfn.XLOOKUP(PartList[[#This Row],[ASSLY MARK]],FilteredPL!A:A,FilteredPL!B:B,0,0),0)</f>
        <v>0</v>
      </c>
      <c r="P960">
        <f>_xlfn.XLOOKUP(PartList[[#This Row],[ASSLY MARK]],MasterPL[SplitMarkNo],MasterPL[BILL WT.(KG)],0,0)</f>
        <v>0</v>
      </c>
      <c r="Q960" cm="1">
        <f t="array" ref="Q96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61" spans="1:17" x14ac:dyDescent="0.25">
      <c r="A961">
        <v>850</v>
      </c>
      <c r="B961" t="s">
        <v>1003</v>
      </c>
      <c r="C961" t="s">
        <v>686</v>
      </c>
      <c r="D961" t="s">
        <v>393</v>
      </c>
      <c r="E961" t="s">
        <v>6</v>
      </c>
      <c r="F961" t="str" cm="1">
        <f t="array" ref="F961">IF(SUM(IF(PartList[ASSLY MARK]=PartList[[#This Row],[ASSLY MARK]],1,0))&gt;1,"No","Yes")</f>
        <v>Yes</v>
      </c>
      <c r="G961" t="str" cm="1">
        <f t="array" ref="G961">_xlfn.TEXTJOIN("_",TRUE,TRIM(_xlfn.TEXTSPLIT(PartList[[#This Row],[GRID LOCATION]],{"PR01","/","-"})))</f>
        <v>13_14_B&gt;</v>
      </c>
      <c r="H961" t="str" cm="1">
        <f t="array" ref="H96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61" cm="1">
        <f t="array" ref="I96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61" t="str">
        <f>IF(IFERROR(SEARCH("&gt;",PartList[[#This Row],[ID]]),0),"O",IF(IFERROR(SEARCH("&lt;",PartList[[#This Row],[ID]]),0),"I",""))</f>
        <v>O</v>
      </c>
      <c r="K961" t="str" cm="1">
        <f t="array" ref="K9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61" t="str" cm="1">
        <f t="array" ref="L9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61" t="str">
        <f>_xlfn.TEXTJOIN("#",TRUE,PartList[[#This Row],[ASSLY MARK]],PartList[[#This Row],[BOX NO]],PartList[[#This Row],[In/Out]],PartList[[#This Row],[O1-Grid]])</f>
        <v>6HB20#Box2#O</v>
      </c>
      <c r="N961" t="str">
        <f>_xlfn.TEXTJOIN("#",TRUE,PartList[[#This Row],[ASSLY MARK]],PartList[[#This Row],[BOX NO]],PartList[[#This Row],[In/Out]],PartList[[#This Row],[O2-Grid]])</f>
        <v>6HB20#Box2#O</v>
      </c>
      <c r="O961">
        <f>IF(PartList[[#This Row],[Unique]]="Yes",_xlfn.XLOOKUP(PartList[[#This Row],[ASSLY MARK]],FilteredPL!A:A,FilteredPL!B:B,0,0),0)</f>
        <v>0</v>
      </c>
      <c r="P961">
        <f>_xlfn.XLOOKUP(PartList[[#This Row],[ASSLY MARK]],MasterPL[SplitMarkNo],MasterPL[BILL WT.(KG)],0,0)</f>
        <v>0</v>
      </c>
      <c r="Q961" cm="1">
        <f t="array" ref="Q96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62" spans="1:17" x14ac:dyDescent="0.25">
      <c r="A962">
        <v>851</v>
      </c>
      <c r="B962" t="s">
        <v>1004</v>
      </c>
      <c r="C962" t="s">
        <v>638</v>
      </c>
      <c r="D962" t="s">
        <v>995</v>
      </c>
      <c r="E962" t="s">
        <v>6</v>
      </c>
      <c r="F962" t="str" cm="1">
        <f t="array" ref="F962">IF(SUM(IF(PartList[ASSLY MARK]=PartList[[#This Row],[ASSLY MARK]],1,0))&gt;1,"No","Yes")</f>
        <v>Yes</v>
      </c>
      <c r="G962" t="str" cm="1">
        <f t="array" ref="G962">_xlfn.TEXTJOIN("_",TRUE,TRIM(_xlfn.TEXTSPLIT(PartList[[#This Row],[GRID LOCATION]],{"PR01","/","-"})))</f>
        <v>13_14_A'_A</v>
      </c>
      <c r="H962" t="str" cm="1">
        <f t="array" ref="H96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962" cm="1">
        <f t="array" ref="I96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62" t="str">
        <f>IF(IFERROR(SEARCH("&gt;",PartList[[#This Row],[ID]]),0),"O",IF(IFERROR(SEARCH("&lt;",PartList[[#This Row],[ID]]),0),"I",""))</f>
        <v/>
      </c>
      <c r="K962" t="str" cm="1">
        <f t="array" ref="K9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62" t="str" cm="1">
        <f t="array" ref="L9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62" t="str">
        <f>_xlfn.TEXTJOIN("#",TRUE,PartList[[#This Row],[ASSLY MARK]],PartList[[#This Row],[BOX NO]],PartList[[#This Row],[In/Out]],PartList[[#This Row],[O1-Grid]])</f>
        <v>6HB21#Box2_Box5_Box6#InBB</v>
      </c>
      <c r="N962" t="str">
        <f>_xlfn.TEXTJOIN("#",TRUE,PartList[[#This Row],[ASSLY MARK]],PartList[[#This Row],[BOX NO]],PartList[[#This Row],[In/Out]],PartList[[#This Row],[O2-Grid]])</f>
        <v>6HB21#Box2_Box5_Box6#InBB</v>
      </c>
      <c r="O962">
        <f>IF(PartList[[#This Row],[Unique]]="Yes",_xlfn.XLOOKUP(PartList[[#This Row],[ASSLY MARK]],FilteredPL!A:A,FilteredPL!B:B,0,0),0)</f>
        <v>0</v>
      </c>
      <c r="P962">
        <f>_xlfn.XLOOKUP(PartList[[#This Row],[ASSLY MARK]],MasterPL[SplitMarkNo],MasterPL[BILL WT.(KG)],0,0)</f>
        <v>0</v>
      </c>
      <c r="Q962" cm="1">
        <f t="array" ref="Q96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63" spans="1:17" x14ac:dyDescent="0.25">
      <c r="A963">
        <v>852</v>
      </c>
      <c r="B963" t="s">
        <v>1005</v>
      </c>
      <c r="C963" t="s">
        <v>638</v>
      </c>
      <c r="D963" t="s">
        <v>995</v>
      </c>
      <c r="E963" t="s">
        <v>6</v>
      </c>
      <c r="F963" t="str" cm="1">
        <f t="array" ref="F963">IF(SUM(IF(PartList[ASSLY MARK]=PartList[[#This Row],[ASSLY MARK]],1,0))&gt;1,"No","Yes")</f>
        <v>Yes</v>
      </c>
      <c r="G963" t="str" cm="1">
        <f t="array" ref="G963">_xlfn.TEXTJOIN("_",TRUE,TRIM(_xlfn.TEXTSPLIT(PartList[[#This Row],[GRID LOCATION]],{"PR01","/","-"})))</f>
        <v>13_14_A'_A</v>
      </c>
      <c r="H963" t="str" cm="1">
        <f t="array" ref="H96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963" cm="1">
        <f t="array" ref="I96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63" t="str">
        <f>IF(IFERROR(SEARCH("&gt;",PartList[[#This Row],[ID]]),0),"O",IF(IFERROR(SEARCH("&lt;",PartList[[#This Row],[ID]]),0),"I",""))</f>
        <v/>
      </c>
      <c r="K963" t="str" cm="1">
        <f t="array" ref="K9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63" t="str" cm="1">
        <f t="array" ref="L9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63" t="str">
        <f>_xlfn.TEXTJOIN("#",TRUE,PartList[[#This Row],[ASSLY MARK]],PartList[[#This Row],[BOX NO]],PartList[[#This Row],[In/Out]],PartList[[#This Row],[O1-Grid]])</f>
        <v>6HB22#Box2_Box5_Box6#InBB</v>
      </c>
      <c r="N963" t="str">
        <f>_xlfn.TEXTJOIN("#",TRUE,PartList[[#This Row],[ASSLY MARK]],PartList[[#This Row],[BOX NO]],PartList[[#This Row],[In/Out]],PartList[[#This Row],[O2-Grid]])</f>
        <v>6HB22#Box2_Box5_Box6#InBB</v>
      </c>
      <c r="O963">
        <f>IF(PartList[[#This Row],[Unique]]="Yes",_xlfn.XLOOKUP(PartList[[#This Row],[ASSLY MARK]],FilteredPL!A:A,FilteredPL!B:B,0,0),0)</f>
        <v>0</v>
      </c>
      <c r="P963">
        <f>_xlfn.XLOOKUP(PartList[[#This Row],[ASSLY MARK]],MasterPL[SplitMarkNo],MasterPL[BILL WT.(KG)],0,0)</f>
        <v>0</v>
      </c>
      <c r="Q963" cm="1">
        <f t="array" ref="Q96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64" spans="1:17" x14ac:dyDescent="0.25">
      <c r="A964">
        <v>853</v>
      </c>
      <c r="B964" t="s">
        <v>1006</v>
      </c>
      <c r="C964" t="s">
        <v>638</v>
      </c>
      <c r="D964" t="s">
        <v>995</v>
      </c>
      <c r="E964" t="s">
        <v>6</v>
      </c>
      <c r="F964" t="str" cm="1">
        <f t="array" ref="F964">IF(SUM(IF(PartList[ASSLY MARK]=PartList[[#This Row],[ASSLY MARK]],1,0))&gt;1,"No","Yes")</f>
        <v>Yes</v>
      </c>
      <c r="G964" t="str" cm="1">
        <f t="array" ref="G964">_xlfn.TEXTJOIN("_",TRUE,TRIM(_xlfn.TEXTSPLIT(PartList[[#This Row],[GRID LOCATION]],{"PR01","/","-"})))</f>
        <v>13_14_A'_A</v>
      </c>
      <c r="H964" t="str" cm="1">
        <f t="array" ref="H96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964" cm="1">
        <f t="array" ref="I96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64" t="str">
        <f>IF(IFERROR(SEARCH("&gt;",PartList[[#This Row],[ID]]),0),"O",IF(IFERROR(SEARCH("&lt;",PartList[[#This Row],[ID]]),0),"I",""))</f>
        <v/>
      </c>
      <c r="K964" t="str" cm="1">
        <f t="array" ref="K9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64" t="str" cm="1">
        <f t="array" ref="L9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64" t="str">
        <f>_xlfn.TEXTJOIN("#",TRUE,PartList[[#This Row],[ASSLY MARK]],PartList[[#This Row],[BOX NO]],PartList[[#This Row],[In/Out]],PartList[[#This Row],[O1-Grid]])</f>
        <v>6HB23#Box2_Box5_Box6#InBB</v>
      </c>
      <c r="N964" t="str">
        <f>_xlfn.TEXTJOIN("#",TRUE,PartList[[#This Row],[ASSLY MARK]],PartList[[#This Row],[BOX NO]],PartList[[#This Row],[In/Out]],PartList[[#This Row],[O2-Grid]])</f>
        <v>6HB23#Box2_Box5_Box6#InBB</v>
      </c>
      <c r="O964">
        <f>IF(PartList[[#This Row],[Unique]]="Yes",_xlfn.XLOOKUP(PartList[[#This Row],[ASSLY MARK]],FilteredPL!A:A,FilteredPL!B:B,0,0),0)</f>
        <v>0</v>
      </c>
      <c r="P964">
        <f>_xlfn.XLOOKUP(PartList[[#This Row],[ASSLY MARK]],MasterPL[SplitMarkNo],MasterPL[BILL WT.(KG)],0,0)</f>
        <v>0</v>
      </c>
      <c r="Q964" cm="1">
        <f t="array" ref="Q96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65" spans="1:17" x14ac:dyDescent="0.25">
      <c r="A965">
        <v>854</v>
      </c>
      <c r="B965" t="s">
        <v>1007</v>
      </c>
      <c r="C965" t="s">
        <v>686</v>
      </c>
      <c r="D965" t="s">
        <v>393</v>
      </c>
      <c r="E965" t="s">
        <v>6</v>
      </c>
      <c r="F965" t="str" cm="1">
        <f t="array" ref="F965">IF(SUM(IF(PartList[ASSLY MARK]=PartList[[#This Row],[ASSLY MARK]],1,0))&gt;1,"No","Yes")</f>
        <v>Yes</v>
      </c>
      <c r="G965" t="str" cm="1">
        <f t="array" ref="G965">_xlfn.TEXTJOIN("_",TRUE,TRIM(_xlfn.TEXTSPLIT(PartList[[#This Row],[GRID LOCATION]],{"PR01","/","-"})))</f>
        <v>13_14_B&gt;</v>
      </c>
      <c r="H965" t="str" cm="1">
        <f t="array" ref="H96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65" cm="1">
        <f t="array" ref="I96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65" t="str">
        <f>IF(IFERROR(SEARCH("&gt;",PartList[[#This Row],[ID]]),0),"O",IF(IFERROR(SEARCH("&lt;",PartList[[#This Row],[ID]]),0),"I",""))</f>
        <v>O</v>
      </c>
      <c r="K965" t="str" cm="1">
        <f t="array" ref="K9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65" t="str" cm="1">
        <f t="array" ref="L9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65" t="str">
        <f>_xlfn.TEXTJOIN("#",TRUE,PartList[[#This Row],[ASSLY MARK]],PartList[[#This Row],[BOX NO]],PartList[[#This Row],[In/Out]],PartList[[#This Row],[O1-Grid]])</f>
        <v>6HB24#Box2#O</v>
      </c>
      <c r="N965" t="str">
        <f>_xlfn.TEXTJOIN("#",TRUE,PartList[[#This Row],[ASSLY MARK]],PartList[[#This Row],[BOX NO]],PartList[[#This Row],[In/Out]],PartList[[#This Row],[O2-Grid]])</f>
        <v>6HB24#Box2#O</v>
      </c>
      <c r="O965">
        <f>IF(PartList[[#This Row],[Unique]]="Yes",_xlfn.XLOOKUP(PartList[[#This Row],[ASSLY MARK]],FilteredPL!A:A,FilteredPL!B:B,0,0),0)</f>
        <v>0</v>
      </c>
      <c r="P965">
        <f>_xlfn.XLOOKUP(PartList[[#This Row],[ASSLY MARK]],MasterPL[SplitMarkNo],MasterPL[BILL WT.(KG)],0,0)</f>
        <v>0</v>
      </c>
      <c r="Q965" cm="1">
        <f t="array" ref="Q96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66" spans="1:17" x14ac:dyDescent="0.25">
      <c r="A966">
        <v>855</v>
      </c>
      <c r="B966" t="s">
        <v>1008</v>
      </c>
      <c r="C966" t="s">
        <v>602</v>
      </c>
      <c r="D966" t="s">
        <v>393</v>
      </c>
      <c r="E966" t="s">
        <v>6</v>
      </c>
      <c r="F966" t="str" cm="1">
        <f t="array" ref="F966">IF(SUM(IF(PartList[ASSLY MARK]=PartList[[#This Row],[ASSLY MARK]],1,0))&gt;1,"No","Yes")</f>
        <v>No</v>
      </c>
      <c r="G966" t="str" cm="1">
        <f t="array" ref="G966">_xlfn.TEXTJOIN("_",TRUE,TRIM(_xlfn.TEXTSPLIT(PartList[[#This Row],[GRID LOCATION]],{"PR01","/","-"})))</f>
        <v>13_14_A_B</v>
      </c>
      <c r="H966" t="str" cm="1">
        <f t="array" ref="H96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66" cm="1">
        <f t="array" ref="I96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66" t="str">
        <f>IF(IFERROR(SEARCH("&gt;",PartList[[#This Row],[ID]]),0),"O",IF(IFERROR(SEARCH("&lt;",PartList[[#This Row],[ID]]),0),"I",""))</f>
        <v/>
      </c>
      <c r="K966" t="str" cm="1">
        <f t="array" ref="K9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66" t="str" cm="1">
        <f t="array" ref="L9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66" t="str">
        <f>_xlfn.TEXTJOIN("#",TRUE,PartList[[#This Row],[ASSLY MARK]],PartList[[#This Row],[BOX NO]],PartList[[#This Row],[In/Out]],PartList[[#This Row],[O1-Grid]])</f>
        <v>6HB25#Box2#InB</v>
      </c>
      <c r="N966" t="str">
        <f>_xlfn.TEXTJOIN("#",TRUE,PartList[[#This Row],[ASSLY MARK]],PartList[[#This Row],[BOX NO]],PartList[[#This Row],[In/Out]],PartList[[#This Row],[O2-Grid]])</f>
        <v>6HB25#Box2#InB</v>
      </c>
      <c r="O966">
        <f>IF(PartList[[#This Row],[Unique]]="Yes",_xlfn.XLOOKUP(PartList[[#This Row],[ASSLY MARK]],FilteredPL!A:A,FilteredPL!B:B,0,0),0)</f>
        <v>0</v>
      </c>
      <c r="P966">
        <f>_xlfn.XLOOKUP(PartList[[#This Row],[ASSLY MARK]],MasterPL[SplitMarkNo],MasterPL[BILL WT.(KG)],0,0)</f>
        <v>0</v>
      </c>
      <c r="Q966" cm="1">
        <f t="array" ref="Q96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67" spans="1:17" x14ac:dyDescent="0.25">
      <c r="A967">
        <v>856</v>
      </c>
      <c r="B967" t="s">
        <v>1008</v>
      </c>
      <c r="C967" t="s">
        <v>602</v>
      </c>
      <c r="D967" t="s">
        <v>393</v>
      </c>
      <c r="E967" t="s">
        <v>6</v>
      </c>
      <c r="F967" t="str" cm="1">
        <f t="array" ref="F967">IF(SUM(IF(PartList[ASSLY MARK]=PartList[[#This Row],[ASSLY MARK]],1,0))&gt;1,"No","Yes")</f>
        <v>No</v>
      </c>
      <c r="G967" t="str" cm="1">
        <f t="array" ref="G967">_xlfn.TEXTJOIN("_",TRUE,TRIM(_xlfn.TEXTSPLIT(PartList[[#This Row],[GRID LOCATION]],{"PR01","/","-"})))</f>
        <v>13_14_A_B</v>
      </c>
      <c r="H967" t="str" cm="1">
        <f t="array" ref="H96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67" cm="1">
        <f t="array" ref="I96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67" t="str">
        <f>IF(IFERROR(SEARCH("&gt;",PartList[[#This Row],[ID]]),0),"O",IF(IFERROR(SEARCH("&lt;",PartList[[#This Row],[ID]]),0),"I",""))</f>
        <v/>
      </c>
      <c r="K967" t="str" cm="1">
        <f t="array" ref="K9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67" t="str" cm="1">
        <f t="array" ref="L9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67" t="str">
        <f>_xlfn.TEXTJOIN("#",TRUE,PartList[[#This Row],[ASSLY MARK]],PartList[[#This Row],[BOX NO]],PartList[[#This Row],[In/Out]],PartList[[#This Row],[O1-Grid]])</f>
        <v>6HB25#Box2#InB</v>
      </c>
      <c r="N967" t="str">
        <f>_xlfn.TEXTJOIN("#",TRUE,PartList[[#This Row],[ASSLY MARK]],PartList[[#This Row],[BOX NO]],PartList[[#This Row],[In/Out]],PartList[[#This Row],[O2-Grid]])</f>
        <v>6HB25#Box2#InB</v>
      </c>
      <c r="O967">
        <f>IF(PartList[[#This Row],[Unique]]="Yes",_xlfn.XLOOKUP(PartList[[#This Row],[ASSLY MARK]],FilteredPL!A:A,FilteredPL!B:B,0,0),0)</f>
        <v>0</v>
      </c>
      <c r="P967">
        <f>_xlfn.XLOOKUP(PartList[[#This Row],[ASSLY MARK]],MasterPL[SplitMarkNo],MasterPL[BILL WT.(KG)],0,0)</f>
        <v>0</v>
      </c>
      <c r="Q967" cm="1">
        <f t="array" ref="Q96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68" spans="1:17" x14ac:dyDescent="0.25">
      <c r="A968">
        <v>857</v>
      </c>
      <c r="B968" t="s">
        <v>1009</v>
      </c>
      <c r="C968" t="s">
        <v>602</v>
      </c>
      <c r="D968" t="s">
        <v>393</v>
      </c>
      <c r="E968" t="s">
        <v>6</v>
      </c>
      <c r="F968" t="str" cm="1">
        <f t="array" ref="F968">IF(SUM(IF(PartList[ASSLY MARK]=PartList[[#This Row],[ASSLY MARK]],1,0))&gt;1,"No","Yes")</f>
        <v>Yes</v>
      </c>
      <c r="G968" t="str" cm="1">
        <f t="array" ref="G968">_xlfn.TEXTJOIN("_",TRUE,TRIM(_xlfn.TEXTSPLIT(PartList[[#This Row],[GRID LOCATION]],{"PR01","/","-"})))</f>
        <v>13_14_A_B</v>
      </c>
      <c r="H968" t="str" cm="1">
        <f t="array" ref="H96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68" cm="1">
        <f t="array" ref="I96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68" t="str">
        <f>IF(IFERROR(SEARCH("&gt;",PartList[[#This Row],[ID]]),0),"O",IF(IFERROR(SEARCH("&lt;",PartList[[#This Row],[ID]]),0),"I",""))</f>
        <v/>
      </c>
      <c r="K968" t="str" cm="1">
        <f t="array" ref="K9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68" t="str" cm="1">
        <f t="array" ref="L9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68" t="str">
        <f>_xlfn.TEXTJOIN("#",TRUE,PartList[[#This Row],[ASSLY MARK]],PartList[[#This Row],[BOX NO]],PartList[[#This Row],[In/Out]],PartList[[#This Row],[O1-Grid]])</f>
        <v>6HB26#Box2#InB</v>
      </c>
      <c r="N968" t="str">
        <f>_xlfn.TEXTJOIN("#",TRUE,PartList[[#This Row],[ASSLY MARK]],PartList[[#This Row],[BOX NO]],PartList[[#This Row],[In/Out]],PartList[[#This Row],[O2-Grid]])</f>
        <v>6HB26#Box2#InB</v>
      </c>
      <c r="O968">
        <f>IF(PartList[[#This Row],[Unique]]="Yes",_xlfn.XLOOKUP(PartList[[#This Row],[ASSLY MARK]],FilteredPL!A:A,FilteredPL!B:B,0,0),0)</f>
        <v>0</v>
      </c>
      <c r="P968">
        <f>_xlfn.XLOOKUP(PartList[[#This Row],[ASSLY MARK]],MasterPL[SplitMarkNo],MasterPL[BILL WT.(KG)],0,0)</f>
        <v>0</v>
      </c>
      <c r="Q968" cm="1">
        <f t="array" ref="Q96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69" spans="1:17" x14ac:dyDescent="0.25">
      <c r="A969">
        <v>858</v>
      </c>
      <c r="B969" t="s">
        <v>1010</v>
      </c>
      <c r="C969" t="s">
        <v>602</v>
      </c>
      <c r="D969" t="s">
        <v>393</v>
      </c>
      <c r="E969" t="s">
        <v>6</v>
      </c>
      <c r="F969" t="str" cm="1">
        <f t="array" ref="F969">IF(SUM(IF(PartList[ASSLY MARK]=PartList[[#This Row],[ASSLY MARK]],1,0))&gt;1,"No","Yes")</f>
        <v>Yes</v>
      </c>
      <c r="G969" t="str" cm="1">
        <f t="array" ref="G969">_xlfn.TEXTJOIN("_",TRUE,TRIM(_xlfn.TEXTSPLIT(PartList[[#This Row],[GRID LOCATION]],{"PR01","/","-"})))</f>
        <v>13_14_A_B</v>
      </c>
      <c r="H969" t="str" cm="1">
        <f t="array" ref="H96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69" cm="1">
        <f t="array" ref="I96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69" t="str">
        <f>IF(IFERROR(SEARCH("&gt;",PartList[[#This Row],[ID]]),0),"O",IF(IFERROR(SEARCH("&lt;",PartList[[#This Row],[ID]]),0),"I",""))</f>
        <v/>
      </c>
      <c r="K969" t="str" cm="1">
        <f t="array" ref="K9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69" t="str" cm="1">
        <f t="array" ref="L9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69" t="str">
        <f>_xlfn.TEXTJOIN("#",TRUE,PartList[[#This Row],[ASSLY MARK]],PartList[[#This Row],[BOX NO]],PartList[[#This Row],[In/Out]],PartList[[#This Row],[O1-Grid]])</f>
        <v>6HB27#Box2#InB</v>
      </c>
      <c r="N969" t="str">
        <f>_xlfn.TEXTJOIN("#",TRUE,PartList[[#This Row],[ASSLY MARK]],PartList[[#This Row],[BOX NO]],PartList[[#This Row],[In/Out]],PartList[[#This Row],[O2-Grid]])</f>
        <v>6HB27#Box2#InB</v>
      </c>
      <c r="O969">
        <f>IF(PartList[[#This Row],[Unique]]="Yes",_xlfn.XLOOKUP(PartList[[#This Row],[ASSLY MARK]],FilteredPL!A:A,FilteredPL!B:B,0,0),0)</f>
        <v>0</v>
      </c>
      <c r="P969">
        <f>_xlfn.XLOOKUP(PartList[[#This Row],[ASSLY MARK]],MasterPL[SplitMarkNo],MasterPL[BILL WT.(KG)],0,0)</f>
        <v>0</v>
      </c>
      <c r="Q969" cm="1">
        <f t="array" ref="Q96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70" spans="1:17" x14ac:dyDescent="0.25">
      <c r="A970">
        <v>859</v>
      </c>
      <c r="B970" t="s">
        <v>1011</v>
      </c>
      <c r="C970" t="s">
        <v>638</v>
      </c>
      <c r="D970" t="s">
        <v>393</v>
      </c>
      <c r="E970" t="s">
        <v>6</v>
      </c>
      <c r="F970" t="str" cm="1">
        <f t="array" ref="F970">IF(SUM(IF(PartList[ASSLY MARK]=PartList[[#This Row],[ASSLY MARK]],1,0))&gt;1,"No","Yes")</f>
        <v>Yes</v>
      </c>
      <c r="G970" t="str" cm="1">
        <f t="array" ref="G970">_xlfn.TEXTJOIN("_",TRUE,TRIM(_xlfn.TEXTSPLIT(PartList[[#This Row],[GRID LOCATION]],{"PR01","/","-"})))</f>
        <v>13_14_A'_A</v>
      </c>
      <c r="H970" t="str" cm="1">
        <f t="array" ref="H97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970" cm="1">
        <f t="array" ref="I97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70" t="str">
        <f>IF(IFERROR(SEARCH("&gt;",PartList[[#This Row],[ID]]),0),"O",IF(IFERROR(SEARCH("&lt;",PartList[[#This Row],[ID]]),0),"I",""))</f>
        <v/>
      </c>
      <c r="K970" t="str" cm="1">
        <f t="array" ref="K9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70" t="str" cm="1">
        <f t="array" ref="L9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70" t="str">
        <f>_xlfn.TEXTJOIN("#",TRUE,PartList[[#This Row],[ASSLY MARK]],PartList[[#This Row],[BOX NO]],PartList[[#This Row],[In/Out]],PartList[[#This Row],[O1-Grid]])</f>
        <v>6HB28#Box2_Box5_Box6#InBB</v>
      </c>
      <c r="N970" t="str">
        <f>_xlfn.TEXTJOIN("#",TRUE,PartList[[#This Row],[ASSLY MARK]],PartList[[#This Row],[BOX NO]],PartList[[#This Row],[In/Out]],PartList[[#This Row],[O2-Grid]])</f>
        <v>6HB28#Box2_Box5_Box6#InBB</v>
      </c>
      <c r="O970">
        <f>IF(PartList[[#This Row],[Unique]]="Yes",_xlfn.XLOOKUP(PartList[[#This Row],[ASSLY MARK]],FilteredPL!A:A,FilteredPL!B:B,0,0),0)</f>
        <v>0</v>
      </c>
      <c r="P970">
        <f>_xlfn.XLOOKUP(PartList[[#This Row],[ASSLY MARK]],MasterPL[SplitMarkNo],MasterPL[BILL WT.(KG)],0,0)</f>
        <v>0</v>
      </c>
      <c r="Q970" cm="1">
        <f t="array" ref="Q97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71" spans="1:17" x14ac:dyDescent="0.25">
      <c r="A971">
        <v>860</v>
      </c>
      <c r="B971" t="s">
        <v>1012</v>
      </c>
      <c r="C971" t="s">
        <v>638</v>
      </c>
      <c r="D971" t="s">
        <v>393</v>
      </c>
      <c r="E971" t="s">
        <v>6</v>
      </c>
      <c r="F971" t="str" cm="1">
        <f t="array" ref="F971">IF(SUM(IF(PartList[ASSLY MARK]=PartList[[#This Row],[ASSLY MARK]],1,0))&gt;1,"No","Yes")</f>
        <v>Yes</v>
      </c>
      <c r="G971" t="str" cm="1">
        <f t="array" ref="G971">_xlfn.TEXTJOIN("_",TRUE,TRIM(_xlfn.TEXTSPLIT(PartList[[#This Row],[GRID LOCATION]],{"PR01","/","-"})))</f>
        <v>13_14_A'_A</v>
      </c>
      <c r="H971" t="str" cm="1">
        <f t="array" ref="H97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971" cm="1">
        <f t="array" ref="I97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71" t="str">
        <f>IF(IFERROR(SEARCH("&gt;",PartList[[#This Row],[ID]]),0),"O",IF(IFERROR(SEARCH("&lt;",PartList[[#This Row],[ID]]),0),"I",""))</f>
        <v/>
      </c>
      <c r="K971" t="str" cm="1">
        <f t="array" ref="K9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71" t="str" cm="1">
        <f t="array" ref="L9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71" t="str">
        <f>_xlfn.TEXTJOIN("#",TRUE,PartList[[#This Row],[ASSLY MARK]],PartList[[#This Row],[BOX NO]],PartList[[#This Row],[In/Out]],PartList[[#This Row],[O1-Grid]])</f>
        <v>6HB29#Box2_Box5_Box6#InBB</v>
      </c>
      <c r="N971" t="str">
        <f>_xlfn.TEXTJOIN("#",TRUE,PartList[[#This Row],[ASSLY MARK]],PartList[[#This Row],[BOX NO]],PartList[[#This Row],[In/Out]],PartList[[#This Row],[O2-Grid]])</f>
        <v>6HB29#Box2_Box5_Box6#InBB</v>
      </c>
      <c r="O971">
        <f>IF(PartList[[#This Row],[Unique]]="Yes",_xlfn.XLOOKUP(PartList[[#This Row],[ASSLY MARK]],FilteredPL!A:A,FilteredPL!B:B,0,0),0)</f>
        <v>0</v>
      </c>
      <c r="P971">
        <f>_xlfn.XLOOKUP(PartList[[#This Row],[ASSLY MARK]],MasterPL[SplitMarkNo],MasterPL[BILL WT.(KG)],0,0)</f>
        <v>0</v>
      </c>
      <c r="Q971" cm="1">
        <f t="array" ref="Q97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72" spans="1:17" x14ac:dyDescent="0.25">
      <c r="A972">
        <v>861</v>
      </c>
      <c r="B972" t="s">
        <v>1013</v>
      </c>
      <c r="C972" t="s">
        <v>602</v>
      </c>
      <c r="D972" t="s">
        <v>393</v>
      </c>
      <c r="E972" t="s">
        <v>6</v>
      </c>
      <c r="F972" t="str" cm="1">
        <f t="array" ref="F972">IF(SUM(IF(PartList[ASSLY MARK]=PartList[[#This Row],[ASSLY MARK]],1,0))&gt;1,"No","Yes")</f>
        <v>Yes</v>
      </c>
      <c r="G972" t="str" cm="1">
        <f t="array" ref="G972">_xlfn.TEXTJOIN("_",TRUE,TRIM(_xlfn.TEXTSPLIT(PartList[[#This Row],[GRID LOCATION]],{"PR01","/","-"})))</f>
        <v>13_14_A_B</v>
      </c>
      <c r="H972" t="str" cm="1">
        <f t="array" ref="H97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72" cm="1">
        <f t="array" ref="I97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72" t="str">
        <f>IF(IFERROR(SEARCH("&gt;",PartList[[#This Row],[ID]]),0),"O",IF(IFERROR(SEARCH("&lt;",PartList[[#This Row],[ID]]),0),"I",""))</f>
        <v/>
      </c>
      <c r="K972" t="str" cm="1">
        <f t="array" ref="K9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72" t="str" cm="1">
        <f t="array" ref="L9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72" t="str">
        <f>_xlfn.TEXTJOIN("#",TRUE,PartList[[#This Row],[ASSLY MARK]],PartList[[#This Row],[BOX NO]],PartList[[#This Row],[In/Out]],PartList[[#This Row],[O1-Grid]])</f>
        <v>6HB30#Box2#InB</v>
      </c>
      <c r="N972" t="str">
        <f>_xlfn.TEXTJOIN("#",TRUE,PartList[[#This Row],[ASSLY MARK]],PartList[[#This Row],[BOX NO]],PartList[[#This Row],[In/Out]],PartList[[#This Row],[O2-Grid]])</f>
        <v>6HB30#Box2#InB</v>
      </c>
      <c r="O972">
        <f>IF(PartList[[#This Row],[Unique]]="Yes",_xlfn.XLOOKUP(PartList[[#This Row],[ASSLY MARK]],FilteredPL!A:A,FilteredPL!B:B,0,0),0)</f>
        <v>0</v>
      </c>
      <c r="P972">
        <f>_xlfn.XLOOKUP(PartList[[#This Row],[ASSLY MARK]],MasterPL[SplitMarkNo],MasterPL[BILL WT.(KG)],0,0)</f>
        <v>0</v>
      </c>
      <c r="Q972" cm="1">
        <f t="array" ref="Q97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73" spans="1:17" x14ac:dyDescent="0.25">
      <c r="A973">
        <v>862</v>
      </c>
      <c r="B973" t="s">
        <v>1014</v>
      </c>
      <c r="C973" t="s">
        <v>602</v>
      </c>
      <c r="D973" t="s">
        <v>393</v>
      </c>
      <c r="E973" t="s">
        <v>6</v>
      </c>
      <c r="F973" t="str" cm="1">
        <f t="array" ref="F973">IF(SUM(IF(PartList[ASSLY MARK]=PartList[[#This Row],[ASSLY MARK]],1,0))&gt;1,"No","Yes")</f>
        <v>Yes</v>
      </c>
      <c r="G973" t="str" cm="1">
        <f t="array" ref="G973">_xlfn.TEXTJOIN("_",TRUE,TRIM(_xlfn.TEXTSPLIT(PartList[[#This Row],[GRID LOCATION]],{"PR01","/","-"})))</f>
        <v>13_14_A_B</v>
      </c>
      <c r="H973" t="str" cm="1">
        <f t="array" ref="H97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73" cm="1">
        <f t="array" ref="I97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73" t="str">
        <f>IF(IFERROR(SEARCH("&gt;",PartList[[#This Row],[ID]]),0),"O",IF(IFERROR(SEARCH("&lt;",PartList[[#This Row],[ID]]),0),"I",""))</f>
        <v/>
      </c>
      <c r="K973" t="str" cm="1">
        <f t="array" ref="K9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73" t="str" cm="1">
        <f t="array" ref="L9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73" t="str">
        <f>_xlfn.TEXTJOIN("#",TRUE,PartList[[#This Row],[ASSLY MARK]],PartList[[#This Row],[BOX NO]],PartList[[#This Row],[In/Out]],PartList[[#This Row],[O1-Grid]])</f>
        <v>6HB31#Box2#InB</v>
      </c>
      <c r="N973" t="str">
        <f>_xlfn.TEXTJOIN("#",TRUE,PartList[[#This Row],[ASSLY MARK]],PartList[[#This Row],[BOX NO]],PartList[[#This Row],[In/Out]],PartList[[#This Row],[O2-Grid]])</f>
        <v>6HB31#Box2#InB</v>
      </c>
      <c r="O973">
        <f>IF(PartList[[#This Row],[Unique]]="Yes",_xlfn.XLOOKUP(PartList[[#This Row],[ASSLY MARK]],FilteredPL!A:A,FilteredPL!B:B,0,0),0)</f>
        <v>0</v>
      </c>
      <c r="P973">
        <f>_xlfn.XLOOKUP(PartList[[#This Row],[ASSLY MARK]],MasterPL[SplitMarkNo],MasterPL[BILL WT.(KG)],0,0)</f>
        <v>0</v>
      </c>
      <c r="Q973" cm="1">
        <f t="array" ref="Q97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74" spans="1:17" x14ac:dyDescent="0.25">
      <c r="A974">
        <v>863</v>
      </c>
      <c r="B974" t="s">
        <v>1015</v>
      </c>
      <c r="C974" t="s">
        <v>602</v>
      </c>
      <c r="D974" t="s">
        <v>393</v>
      </c>
      <c r="E974" t="s">
        <v>6</v>
      </c>
      <c r="F974" t="str" cm="1">
        <f t="array" ref="F974">IF(SUM(IF(PartList[ASSLY MARK]=PartList[[#This Row],[ASSLY MARK]],1,0))&gt;1,"No","Yes")</f>
        <v>Yes</v>
      </c>
      <c r="G974" t="str" cm="1">
        <f t="array" ref="G974">_xlfn.TEXTJOIN("_",TRUE,TRIM(_xlfn.TEXTSPLIT(PartList[[#This Row],[GRID LOCATION]],{"PR01","/","-"})))</f>
        <v>13_14_A_B</v>
      </c>
      <c r="H974" t="str" cm="1">
        <f t="array" ref="H97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74" cm="1">
        <f t="array" ref="I97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74" t="str">
        <f>IF(IFERROR(SEARCH("&gt;",PartList[[#This Row],[ID]]),0),"O",IF(IFERROR(SEARCH("&lt;",PartList[[#This Row],[ID]]),0),"I",""))</f>
        <v/>
      </c>
      <c r="K974" t="str" cm="1">
        <f t="array" ref="K9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74" t="str" cm="1">
        <f t="array" ref="L9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74" t="str">
        <f>_xlfn.TEXTJOIN("#",TRUE,PartList[[#This Row],[ASSLY MARK]],PartList[[#This Row],[BOX NO]],PartList[[#This Row],[In/Out]],PartList[[#This Row],[O1-Grid]])</f>
        <v>6HB32#Box2#InB</v>
      </c>
      <c r="N974" t="str">
        <f>_xlfn.TEXTJOIN("#",TRUE,PartList[[#This Row],[ASSLY MARK]],PartList[[#This Row],[BOX NO]],PartList[[#This Row],[In/Out]],PartList[[#This Row],[O2-Grid]])</f>
        <v>6HB32#Box2#InB</v>
      </c>
      <c r="O974">
        <f>IF(PartList[[#This Row],[Unique]]="Yes",_xlfn.XLOOKUP(PartList[[#This Row],[ASSLY MARK]],FilteredPL!A:A,FilteredPL!B:B,0,0),0)</f>
        <v>0</v>
      </c>
      <c r="P974">
        <f>_xlfn.XLOOKUP(PartList[[#This Row],[ASSLY MARK]],MasterPL[SplitMarkNo],MasterPL[BILL WT.(KG)],0,0)</f>
        <v>0</v>
      </c>
      <c r="Q974" cm="1">
        <f t="array" ref="Q97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75" spans="1:17" x14ac:dyDescent="0.25">
      <c r="A975">
        <v>864</v>
      </c>
      <c r="B975" t="s">
        <v>1016</v>
      </c>
      <c r="C975" t="s">
        <v>602</v>
      </c>
      <c r="D975" t="s">
        <v>393</v>
      </c>
      <c r="E975" t="s">
        <v>6</v>
      </c>
      <c r="F975" t="str" cm="1">
        <f t="array" ref="F975">IF(SUM(IF(PartList[ASSLY MARK]=PartList[[#This Row],[ASSLY MARK]],1,0))&gt;1,"No","Yes")</f>
        <v>Yes</v>
      </c>
      <c r="G975" t="str" cm="1">
        <f t="array" ref="G975">_xlfn.TEXTJOIN("_",TRUE,TRIM(_xlfn.TEXTSPLIT(PartList[[#This Row],[GRID LOCATION]],{"PR01","/","-"})))</f>
        <v>13_14_A_B</v>
      </c>
      <c r="H975" t="str" cm="1">
        <f t="array" ref="H97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75" cm="1">
        <f t="array" ref="I97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75" t="str">
        <f>IF(IFERROR(SEARCH("&gt;",PartList[[#This Row],[ID]]),0),"O",IF(IFERROR(SEARCH("&lt;",PartList[[#This Row],[ID]]),0),"I",""))</f>
        <v/>
      </c>
      <c r="K975" t="str" cm="1">
        <f t="array" ref="K9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75" t="str" cm="1">
        <f t="array" ref="L9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75" t="str">
        <f>_xlfn.TEXTJOIN("#",TRUE,PartList[[#This Row],[ASSLY MARK]],PartList[[#This Row],[BOX NO]],PartList[[#This Row],[In/Out]],PartList[[#This Row],[O1-Grid]])</f>
        <v>6HB33#Box2#InB</v>
      </c>
      <c r="N975" t="str">
        <f>_xlfn.TEXTJOIN("#",TRUE,PartList[[#This Row],[ASSLY MARK]],PartList[[#This Row],[BOX NO]],PartList[[#This Row],[In/Out]],PartList[[#This Row],[O2-Grid]])</f>
        <v>6HB33#Box2#InB</v>
      </c>
      <c r="O975">
        <f>IF(PartList[[#This Row],[Unique]]="Yes",_xlfn.XLOOKUP(PartList[[#This Row],[ASSLY MARK]],FilteredPL!A:A,FilteredPL!B:B,0,0),0)</f>
        <v>0</v>
      </c>
      <c r="P975">
        <f>_xlfn.XLOOKUP(PartList[[#This Row],[ASSLY MARK]],MasterPL[SplitMarkNo],MasterPL[BILL WT.(KG)],0,0)</f>
        <v>0</v>
      </c>
      <c r="Q975" cm="1">
        <f t="array" ref="Q97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76" spans="1:17" x14ac:dyDescent="0.25">
      <c r="A976">
        <v>865</v>
      </c>
      <c r="B976" t="s">
        <v>1017</v>
      </c>
      <c r="C976" t="s">
        <v>686</v>
      </c>
      <c r="D976" t="s">
        <v>393</v>
      </c>
      <c r="E976" t="s">
        <v>6</v>
      </c>
      <c r="F976" t="str" cm="1">
        <f t="array" ref="F976">IF(SUM(IF(PartList[ASSLY MARK]=PartList[[#This Row],[ASSLY MARK]],1,0))&gt;1,"No","Yes")</f>
        <v>Yes</v>
      </c>
      <c r="G976" t="str" cm="1">
        <f t="array" ref="G976">_xlfn.TEXTJOIN("_",TRUE,TRIM(_xlfn.TEXTSPLIT(PartList[[#This Row],[GRID LOCATION]],{"PR01","/","-"})))</f>
        <v>13_14_B&gt;</v>
      </c>
      <c r="H976" t="str" cm="1">
        <f t="array" ref="H97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76" cm="1">
        <f t="array" ref="I97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76" t="str">
        <f>IF(IFERROR(SEARCH("&gt;",PartList[[#This Row],[ID]]),0),"O",IF(IFERROR(SEARCH("&lt;",PartList[[#This Row],[ID]]),0),"I",""))</f>
        <v>O</v>
      </c>
      <c r="K976" t="str" cm="1">
        <f t="array" ref="K9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76" t="str" cm="1">
        <f t="array" ref="L9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76" t="str">
        <f>_xlfn.TEXTJOIN("#",TRUE,PartList[[#This Row],[ASSLY MARK]],PartList[[#This Row],[BOX NO]],PartList[[#This Row],[In/Out]],PartList[[#This Row],[O1-Grid]])</f>
        <v>6HB34#Box2#O</v>
      </c>
      <c r="N976" t="str">
        <f>_xlfn.TEXTJOIN("#",TRUE,PartList[[#This Row],[ASSLY MARK]],PartList[[#This Row],[BOX NO]],PartList[[#This Row],[In/Out]],PartList[[#This Row],[O2-Grid]])</f>
        <v>6HB34#Box2#O</v>
      </c>
      <c r="O976">
        <f>IF(PartList[[#This Row],[Unique]]="Yes",_xlfn.XLOOKUP(PartList[[#This Row],[ASSLY MARK]],FilteredPL!A:A,FilteredPL!B:B,0,0),0)</f>
        <v>0</v>
      </c>
      <c r="P976">
        <f>_xlfn.XLOOKUP(PartList[[#This Row],[ASSLY MARK]],MasterPL[SplitMarkNo],MasterPL[BILL WT.(KG)],0,0)</f>
        <v>0</v>
      </c>
      <c r="Q976" cm="1">
        <f t="array" ref="Q97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77" spans="1:17" x14ac:dyDescent="0.25">
      <c r="A977">
        <v>866</v>
      </c>
      <c r="B977" t="s">
        <v>1018</v>
      </c>
      <c r="C977" t="s">
        <v>638</v>
      </c>
      <c r="D977" t="s">
        <v>393</v>
      </c>
      <c r="E977" t="s">
        <v>6</v>
      </c>
      <c r="F977" t="str" cm="1">
        <f t="array" ref="F977">IF(SUM(IF(PartList[ASSLY MARK]=PartList[[#This Row],[ASSLY MARK]],1,0))&gt;1,"No","Yes")</f>
        <v>Yes</v>
      </c>
      <c r="G977" t="str" cm="1">
        <f t="array" ref="G977">_xlfn.TEXTJOIN("_",TRUE,TRIM(_xlfn.TEXTSPLIT(PartList[[#This Row],[GRID LOCATION]],{"PR01","/","-"})))</f>
        <v>13_14_A'_A</v>
      </c>
      <c r="H977" t="str" cm="1">
        <f t="array" ref="H97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977" cm="1">
        <f t="array" ref="I97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77" t="str">
        <f>IF(IFERROR(SEARCH("&gt;",PartList[[#This Row],[ID]]),0),"O",IF(IFERROR(SEARCH("&lt;",PartList[[#This Row],[ID]]),0),"I",""))</f>
        <v/>
      </c>
      <c r="K977" t="str" cm="1">
        <f t="array" ref="K9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77" t="str" cm="1">
        <f t="array" ref="L9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77" t="str">
        <f>_xlfn.TEXTJOIN("#",TRUE,PartList[[#This Row],[ASSLY MARK]],PartList[[#This Row],[BOX NO]],PartList[[#This Row],[In/Out]],PartList[[#This Row],[O1-Grid]])</f>
        <v>6HB35#Box2_Box5_Box6#InBB</v>
      </c>
      <c r="N977" t="str">
        <f>_xlfn.TEXTJOIN("#",TRUE,PartList[[#This Row],[ASSLY MARK]],PartList[[#This Row],[BOX NO]],PartList[[#This Row],[In/Out]],PartList[[#This Row],[O2-Grid]])</f>
        <v>6HB35#Box2_Box5_Box6#InBB</v>
      </c>
      <c r="O977">
        <f>IF(PartList[[#This Row],[Unique]]="Yes",_xlfn.XLOOKUP(PartList[[#This Row],[ASSLY MARK]],FilteredPL!A:A,FilteredPL!B:B,0,0),0)</f>
        <v>0</v>
      </c>
      <c r="P977">
        <f>_xlfn.XLOOKUP(PartList[[#This Row],[ASSLY MARK]],MasterPL[SplitMarkNo],MasterPL[BILL WT.(KG)],0,0)</f>
        <v>0</v>
      </c>
      <c r="Q977" cm="1">
        <f t="array" ref="Q97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78" spans="1:17" x14ac:dyDescent="0.25">
      <c r="A978">
        <v>867</v>
      </c>
      <c r="B978" t="s">
        <v>1019</v>
      </c>
      <c r="C978" t="s">
        <v>686</v>
      </c>
      <c r="D978" t="s">
        <v>393</v>
      </c>
      <c r="E978" t="s">
        <v>6</v>
      </c>
      <c r="F978" t="str" cm="1">
        <f t="array" ref="F978">IF(SUM(IF(PartList[ASSLY MARK]=PartList[[#This Row],[ASSLY MARK]],1,0))&gt;1,"No","Yes")</f>
        <v>Yes</v>
      </c>
      <c r="G978" t="str" cm="1">
        <f t="array" ref="G978">_xlfn.TEXTJOIN("_",TRUE,TRIM(_xlfn.TEXTSPLIT(PartList[[#This Row],[GRID LOCATION]],{"PR01","/","-"})))</f>
        <v>13_14_B&gt;</v>
      </c>
      <c r="H978" t="str" cm="1">
        <f t="array" ref="H97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78" cm="1">
        <f t="array" ref="I97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78" t="str">
        <f>IF(IFERROR(SEARCH("&gt;",PartList[[#This Row],[ID]]),0),"O",IF(IFERROR(SEARCH("&lt;",PartList[[#This Row],[ID]]),0),"I",""))</f>
        <v>O</v>
      </c>
      <c r="K978" t="str" cm="1">
        <f t="array" ref="K9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78" t="str" cm="1">
        <f t="array" ref="L9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78" t="str">
        <f>_xlfn.TEXTJOIN("#",TRUE,PartList[[#This Row],[ASSLY MARK]],PartList[[#This Row],[BOX NO]],PartList[[#This Row],[In/Out]],PartList[[#This Row],[O1-Grid]])</f>
        <v>6HB36#Box2#O</v>
      </c>
      <c r="N978" t="str">
        <f>_xlfn.TEXTJOIN("#",TRUE,PartList[[#This Row],[ASSLY MARK]],PartList[[#This Row],[BOX NO]],PartList[[#This Row],[In/Out]],PartList[[#This Row],[O2-Grid]])</f>
        <v>6HB36#Box2#O</v>
      </c>
      <c r="O978">
        <f>IF(PartList[[#This Row],[Unique]]="Yes",_xlfn.XLOOKUP(PartList[[#This Row],[ASSLY MARK]],FilteredPL!A:A,FilteredPL!B:B,0,0),0)</f>
        <v>0</v>
      </c>
      <c r="P978">
        <f>_xlfn.XLOOKUP(PartList[[#This Row],[ASSLY MARK]],MasterPL[SplitMarkNo],MasterPL[BILL WT.(KG)],0,0)</f>
        <v>0</v>
      </c>
      <c r="Q978" cm="1">
        <f t="array" ref="Q97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79" spans="1:17" x14ac:dyDescent="0.25">
      <c r="A979">
        <v>868</v>
      </c>
      <c r="B979" t="s">
        <v>1020</v>
      </c>
      <c r="C979" t="s">
        <v>602</v>
      </c>
      <c r="D979" t="s">
        <v>355</v>
      </c>
      <c r="E979" t="s">
        <v>6</v>
      </c>
      <c r="F979" t="str" cm="1">
        <f t="array" ref="F979">IF(SUM(IF(PartList[ASSLY MARK]=PartList[[#This Row],[ASSLY MARK]],1,0))&gt;1,"No","Yes")</f>
        <v>Yes</v>
      </c>
      <c r="G979" t="str" cm="1">
        <f t="array" ref="G979">_xlfn.TEXTJOIN("_",TRUE,TRIM(_xlfn.TEXTSPLIT(PartList[[#This Row],[GRID LOCATION]],{"PR01","/","-"})))</f>
        <v>13_14_A_B</v>
      </c>
      <c r="H979" t="str" cm="1">
        <f t="array" ref="H97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79" cm="1">
        <f t="array" ref="I97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79" t="str">
        <f>IF(IFERROR(SEARCH("&gt;",PartList[[#This Row],[ID]]),0),"O",IF(IFERROR(SEARCH("&lt;",PartList[[#This Row],[ID]]),0),"I",""))</f>
        <v/>
      </c>
      <c r="K979" t="str" cm="1">
        <f t="array" ref="K9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79" t="str" cm="1">
        <f t="array" ref="L9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79" t="str">
        <f>_xlfn.TEXTJOIN("#",TRUE,PartList[[#This Row],[ASSLY MARK]],PartList[[#This Row],[BOX NO]],PartList[[#This Row],[In/Out]],PartList[[#This Row],[O1-Grid]])</f>
        <v>6HB37#Box2#InB</v>
      </c>
      <c r="N979" t="str">
        <f>_xlfn.TEXTJOIN("#",TRUE,PartList[[#This Row],[ASSLY MARK]],PartList[[#This Row],[BOX NO]],PartList[[#This Row],[In/Out]],PartList[[#This Row],[O2-Grid]])</f>
        <v>6HB37#Box2#InB</v>
      </c>
      <c r="O979">
        <f>IF(PartList[[#This Row],[Unique]]="Yes",_xlfn.XLOOKUP(PartList[[#This Row],[ASSLY MARK]],FilteredPL!A:A,FilteredPL!B:B,0,0),0)</f>
        <v>0</v>
      </c>
      <c r="P979">
        <f>_xlfn.XLOOKUP(PartList[[#This Row],[ASSLY MARK]],MasterPL[SplitMarkNo],MasterPL[BILL WT.(KG)],0,0)</f>
        <v>0</v>
      </c>
      <c r="Q979" cm="1">
        <f t="array" ref="Q97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80" spans="1:17" x14ac:dyDescent="0.25">
      <c r="A980">
        <v>869</v>
      </c>
      <c r="B980" t="s">
        <v>1021</v>
      </c>
      <c r="C980" t="s">
        <v>602</v>
      </c>
      <c r="D980" t="s">
        <v>355</v>
      </c>
      <c r="E980" t="s">
        <v>6</v>
      </c>
      <c r="F980" t="str" cm="1">
        <f t="array" ref="F980">IF(SUM(IF(PartList[ASSLY MARK]=PartList[[#This Row],[ASSLY MARK]],1,0))&gt;1,"No","Yes")</f>
        <v>Yes</v>
      </c>
      <c r="G980" t="str" cm="1">
        <f t="array" ref="G980">_xlfn.TEXTJOIN("_",TRUE,TRIM(_xlfn.TEXTSPLIT(PartList[[#This Row],[GRID LOCATION]],{"PR01","/","-"})))</f>
        <v>13_14_A_B</v>
      </c>
      <c r="H980" t="str" cm="1">
        <f t="array" ref="H98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80" cm="1">
        <f t="array" ref="I98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80" t="str">
        <f>IF(IFERROR(SEARCH("&gt;",PartList[[#This Row],[ID]]),0),"O",IF(IFERROR(SEARCH("&lt;",PartList[[#This Row],[ID]]),0),"I",""))</f>
        <v/>
      </c>
      <c r="K980" t="str" cm="1">
        <f t="array" ref="K9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80" t="str" cm="1">
        <f t="array" ref="L9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980" t="str">
        <f>_xlfn.TEXTJOIN("#",TRUE,PartList[[#This Row],[ASSLY MARK]],PartList[[#This Row],[BOX NO]],PartList[[#This Row],[In/Out]],PartList[[#This Row],[O1-Grid]])</f>
        <v>6HB38#Box2#InB</v>
      </c>
      <c r="N980" t="str">
        <f>_xlfn.TEXTJOIN("#",TRUE,PartList[[#This Row],[ASSLY MARK]],PartList[[#This Row],[BOX NO]],PartList[[#This Row],[In/Out]],PartList[[#This Row],[O2-Grid]])</f>
        <v>6HB38#Box2#InB</v>
      </c>
      <c r="O980">
        <f>IF(PartList[[#This Row],[Unique]]="Yes",_xlfn.XLOOKUP(PartList[[#This Row],[ASSLY MARK]],FilteredPL!A:A,FilteredPL!B:B,0,0),0)</f>
        <v>0</v>
      </c>
      <c r="P980">
        <f>_xlfn.XLOOKUP(PartList[[#This Row],[ASSLY MARK]],MasterPL[SplitMarkNo],MasterPL[BILL WT.(KG)],0,0)</f>
        <v>0</v>
      </c>
      <c r="Q980" cm="1">
        <f t="array" ref="Q98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81" spans="1:17" x14ac:dyDescent="0.25">
      <c r="A981">
        <v>870</v>
      </c>
      <c r="B981" t="s">
        <v>1022</v>
      </c>
      <c r="C981" t="s">
        <v>638</v>
      </c>
      <c r="D981" t="s">
        <v>393</v>
      </c>
      <c r="E981" t="s">
        <v>6</v>
      </c>
      <c r="F981" t="str" cm="1">
        <f t="array" ref="F981">IF(SUM(IF(PartList[ASSLY MARK]=PartList[[#This Row],[ASSLY MARK]],1,0))&gt;1,"No","Yes")</f>
        <v>Yes</v>
      </c>
      <c r="G981" t="str" cm="1">
        <f t="array" ref="G981">_xlfn.TEXTJOIN("_",TRUE,TRIM(_xlfn.TEXTSPLIT(PartList[[#This Row],[GRID LOCATION]],{"PR01","/","-"})))</f>
        <v>13_14_A'_A</v>
      </c>
      <c r="H981" t="str" cm="1">
        <f t="array" ref="H98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981" cm="1">
        <f t="array" ref="I98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81" t="str">
        <f>IF(IFERROR(SEARCH("&gt;",PartList[[#This Row],[ID]]),0),"O",IF(IFERROR(SEARCH("&lt;",PartList[[#This Row],[ID]]),0),"I",""))</f>
        <v/>
      </c>
      <c r="K981" t="str" cm="1">
        <f t="array" ref="K9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81" t="str" cm="1">
        <f t="array" ref="L9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81" t="str">
        <f>_xlfn.TEXTJOIN("#",TRUE,PartList[[#This Row],[ASSLY MARK]],PartList[[#This Row],[BOX NO]],PartList[[#This Row],[In/Out]],PartList[[#This Row],[O1-Grid]])</f>
        <v>6HB39#Box2_Box5_Box6#InBB</v>
      </c>
      <c r="N981" t="str">
        <f>_xlfn.TEXTJOIN("#",TRUE,PartList[[#This Row],[ASSLY MARK]],PartList[[#This Row],[BOX NO]],PartList[[#This Row],[In/Out]],PartList[[#This Row],[O2-Grid]])</f>
        <v>6HB39#Box2_Box5_Box6#InBB</v>
      </c>
      <c r="O981">
        <f>IF(PartList[[#This Row],[Unique]]="Yes",_xlfn.XLOOKUP(PartList[[#This Row],[ASSLY MARK]],FilteredPL!A:A,FilteredPL!B:B,0,0),0)</f>
        <v>0</v>
      </c>
      <c r="P981">
        <f>_xlfn.XLOOKUP(PartList[[#This Row],[ASSLY MARK]],MasterPL[SplitMarkNo],MasterPL[BILL WT.(KG)],0,0)</f>
        <v>0</v>
      </c>
      <c r="Q981" cm="1">
        <f t="array" ref="Q98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82" spans="1:17" x14ac:dyDescent="0.25">
      <c r="A982">
        <v>871</v>
      </c>
      <c r="B982" t="s">
        <v>1023</v>
      </c>
      <c r="C982" t="s">
        <v>638</v>
      </c>
      <c r="D982" t="s">
        <v>393</v>
      </c>
      <c r="E982" t="s">
        <v>6</v>
      </c>
      <c r="F982" t="str" cm="1">
        <f t="array" ref="F982">IF(SUM(IF(PartList[ASSLY MARK]=PartList[[#This Row],[ASSLY MARK]],1,0))&gt;1,"No","Yes")</f>
        <v>Yes</v>
      </c>
      <c r="G982" t="str" cm="1">
        <f t="array" ref="G982">_xlfn.TEXTJOIN("_",TRUE,TRIM(_xlfn.TEXTSPLIT(PartList[[#This Row],[GRID LOCATION]],{"PR01","/","-"})))</f>
        <v>13_14_A'_A</v>
      </c>
      <c r="H982" t="str" cm="1">
        <f t="array" ref="H98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982" cm="1">
        <f t="array" ref="I98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82" t="str">
        <f>IF(IFERROR(SEARCH("&gt;",PartList[[#This Row],[ID]]),0),"O",IF(IFERROR(SEARCH("&lt;",PartList[[#This Row],[ID]]),0),"I",""))</f>
        <v/>
      </c>
      <c r="K982" t="str" cm="1">
        <f t="array" ref="K9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82" t="str" cm="1">
        <f t="array" ref="L9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82" t="str">
        <f>_xlfn.TEXTJOIN("#",TRUE,PartList[[#This Row],[ASSLY MARK]],PartList[[#This Row],[BOX NO]],PartList[[#This Row],[In/Out]],PartList[[#This Row],[O1-Grid]])</f>
        <v>6HB40#Box2_Box5_Box6#InBB</v>
      </c>
      <c r="N982" t="str">
        <f>_xlfn.TEXTJOIN("#",TRUE,PartList[[#This Row],[ASSLY MARK]],PartList[[#This Row],[BOX NO]],PartList[[#This Row],[In/Out]],PartList[[#This Row],[O2-Grid]])</f>
        <v>6HB40#Box2_Box5_Box6#InBB</v>
      </c>
      <c r="O982">
        <f>IF(PartList[[#This Row],[Unique]]="Yes",_xlfn.XLOOKUP(PartList[[#This Row],[ASSLY MARK]],FilteredPL!A:A,FilteredPL!B:B,0,0),0)</f>
        <v>0</v>
      </c>
      <c r="P982">
        <f>_xlfn.XLOOKUP(PartList[[#This Row],[ASSLY MARK]],MasterPL[SplitMarkNo],MasterPL[BILL WT.(KG)],0,0)</f>
        <v>0</v>
      </c>
      <c r="Q982" cm="1">
        <f t="array" ref="Q98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83" spans="1:17" x14ac:dyDescent="0.25">
      <c r="A983">
        <v>872</v>
      </c>
      <c r="B983" t="s">
        <v>1024</v>
      </c>
      <c r="C983" t="s">
        <v>686</v>
      </c>
      <c r="D983" t="s">
        <v>393</v>
      </c>
      <c r="E983" t="s">
        <v>6</v>
      </c>
      <c r="F983" t="str" cm="1">
        <f t="array" ref="F983">IF(SUM(IF(PartList[ASSLY MARK]=PartList[[#This Row],[ASSLY MARK]],1,0))&gt;1,"No","Yes")</f>
        <v>Yes</v>
      </c>
      <c r="G983" t="str" cm="1">
        <f t="array" ref="G983">_xlfn.TEXTJOIN("_",TRUE,TRIM(_xlfn.TEXTSPLIT(PartList[[#This Row],[GRID LOCATION]],{"PR01","/","-"})))</f>
        <v>13_14_B&gt;</v>
      </c>
      <c r="H983" t="str" cm="1">
        <f t="array" ref="H98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83" cm="1">
        <f t="array" ref="I98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83" t="str">
        <f>IF(IFERROR(SEARCH("&gt;",PartList[[#This Row],[ID]]),0),"O",IF(IFERROR(SEARCH("&lt;",PartList[[#This Row],[ID]]),0),"I",""))</f>
        <v>O</v>
      </c>
      <c r="K983" t="str" cm="1">
        <f t="array" ref="K9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983" t="str" cm="1">
        <f t="array" ref="L9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983" t="str">
        <f>_xlfn.TEXTJOIN("#",TRUE,PartList[[#This Row],[ASSLY MARK]],PartList[[#This Row],[BOX NO]],PartList[[#This Row],[In/Out]],PartList[[#This Row],[O1-Grid]])</f>
        <v>6HB41#Box2#O</v>
      </c>
      <c r="N983" t="str">
        <f>_xlfn.TEXTJOIN("#",TRUE,PartList[[#This Row],[ASSLY MARK]],PartList[[#This Row],[BOX NO]],PartList[[#This Row],[In/Out]],PartList[[#This Row],[O2-Grid]])</f>
        <v>6HB41#Box2#O</v>
      </c>
      <c r="O983">
        <f>IF(PartList[[#This Row],[Unique]]="Yes",_xlfn.XLOOKUP(PartList[[#This Row],[ASSLY MARK]],FilteredPL!A:A,FilteredPL!B:B,0,0),0)</f>
        <v>0</v>
      </c>
      <c r="P983">
        <f>_xlfn.XLOOKUP(PartList[[#This Row],[ASSLY MARK]],MasterPL[SplitMarkNo],MasterPL[BILL WT.(KG)],0,0)</f>
        <v>0</v>
      </c>
      <c r="Q983" cm="1">
        <f t="array" ref="Q98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84" spans="1:17" x14ac:dyDescent="0.25">
      <c r="A984">
        <v>873</v>
      </c>
      <c r="B984" t="s">
        <v>1025</v>
      </c>
      <c r="C984" t="s">
        <v>600</v>
      </c>
      <c r="D984" t="s">
        <v>393</v>
      </c>
      <c r="E984" t="s">
        <v>6</v>
      </c>
      <c r="F984" t="str" cm="1">
        <f t="array" ref="F984">IF(SUM(IF(PartList[ASSLY MARK]=PartList[[#This Row],[ASSLY MARK]],1,0))&gt;1,"No","Yes")</f>
        <v>Yes</v>
      </c>
      <c r="G984" t="str" cm="1">
        <f t="array" ref="G984">_xlfn.TEXTJOIN("_",TRUE,TRIM(_xlfn.TEXTSPLIT(PartList[[#This Row],[GRID LOCATION]],{"PR01","/","-"})))</f>
        <v>13_14_A"_A</v>
      </c>
      <c r="H984" t="str" cm="1">
        <f t="array" ref="H98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984" cm="1">
        <f t="array" ref="I98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84" t="str">
        <f>IF(IFERROR(SEARCH("&gt;",PartList[[#This Row],[ID]]),0),"O",IF(IFERROR(SEARCH("&lt;",PartList[[#This Row],[ID]]),0),"I",""))</f>
        <v/>
      </c>
      <c r="K984" t="str" cm="1">
        <f t="array" ref="K9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84" t="str" cm="1">
        <f t="array" ref="L9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84" t="str">
        <f>_xlfn.TEXTJOIN("#",TRUE,PartList[[#This Row],[ASSLY MARK]],PartList[[#This Row],[BOX NO]],PartList[[#This Row],[In/Out]],PartList[[#This Row],[O1-Grid]])</f>
        <v>6HB42#Box2_Box5_Box6#InBB</v>
      </c>
      <c r="N984" t="str">
        <f>_xlfn.TEXTJOIN("#",TRUE,PartList[[#This Row],[ASSLY MARK]],PartList[[#This Row],[BOX NO]],PartList[[#This Row],[In/Out]],PartList[[#This Row],[O2-Grid]])</f>
        <v>6HB42#Box2_Box5_Box6#InBB</v>
      </c>
      <c r="O984">
        <f>IF(PartList[[#This Row],[Unique]]="Yes",_xlfn.XLOOKUP(PartList[[#This Row],[ASSLY MARK]],FilteredPL!A:A,FilteredPL!B:B,0,0),0)</f>
        <v>0</v>
      </c>
      <c r="P984">
        <f>_xlfn.XLOOKUP(PartList[[#This Row],[ASSLY MARK]],MasterPL[SplitMarkNo],MasterPL[BILL WT.(KG)],0,0)</f>
        <v>0</v>
      </c>
      <c r="Q984" cm="1">
        <f t="array" ref="Q98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85" spans="1:17" x14ac:dyDescent="0.25">
      <c r="A985">
        <v>874</v>
      </c>
      <c r="B985" t="s">
        <v>1026</v>
      </c>
      <c r="C985" t="s">
        <v>638</v>
      </c>
      <c r="D985" t="s">
        <v>393</v>
      </c>
      <c r="E985" t="s">
        <v>6</v>
      </c>
      <c r="F985" t="str" cm="1">
        <f t="array" ref="F985">IF(SUM(IF(PartList[ASSLY MARK]=PartList[[#This Row],[ASSLY MARK]],1,0))&gt;1,"No","Yes")</f>
        <v>Yes</v>
      </c>
      <c r="G985" t="str" cm="1">
        <f t="array" ref="G985">_xlfn.TEXTJOIN("_",TRUE,TRIM(_xlfn.TEXTSPLIT(PartList[[#This Row],[GRID LOCATION]],{"PR01","/","-"})))</f>
        <v>13_14_A'_A</v>
      </c>
      <c r="H985" t="str" cm="1">
        <f t="array" ref="H98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985" cm="1">
        <f t="array" ref="I98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85" t="str">
        <f>IF(IFERROR(SEARCH("&gt;",PartList[[#This Row],[ID]]),0),"O",IF(IFERROR(SEARCH("&lt;",PartList[[#This Row],[ID]]),0),"I",""))</f>
        <v/>
      </c>
      <c r="K985" t="str" cm="1">
        <f t="array" ref="K9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85" t="str" cm="1">
        <f t="array" ref="L9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85" t="str">
        <f>_xlfn.TEXTJOIN("#",TRUE,PartList[[#This Row],[ASSLY MARK]],PartList[[#This Row],[BOX NO]],PartList[[#This Row],[In/Out]],PartList[[#This Row],[O1-Grid]])</f>
        <v>6HB43#Box2_Box5_Box6#InBB</v>
      </c>
      <c r="N985" t="str">
        <f>_xlfn.TEXTJOIN("#",TRUE,PartList[[#This Row],[ASSLY MARK]],PartList[[#This Row],[BOX NO]],PartList[[#This Row],[In/Out]],PartList[[#This Row],[O2-Grid]])</f>
        <v>6HB43#Box2_Box5_Box6#InBB</v>
      </c>
      <c r="O985">
        <f>IF(PartList[[#This Row],[Unique]]="Yes",_xlfn.XLOOKUP(PartList[[#This Row],[ASSLY MARK]],FilteredPL!A:A,FilteredPL!B:B,0,0),0)</f>
        <v>0</v>
      </c>
      <c r="P985">
        <f>_xlfn.XLOOKUP(PartList[[#This Row],[ASSLY MARK]],MasterPL[SplitMarkNo],MasterPL[BILL WT.(KG)],0,0)</f>
        <v>0</v>
      </c>
      <c r="Q985" cm="1">
        <f t="array" ref="Q98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86" spans="1:17" x14ac:dyDescent="0.25">
      <c r="A986">
        <v>875</v>
      </c>
      <c r="B986" t="s">
        <v>1027</v>
      </c>
      <c r="C986" t="s">
        <v>638</v>
      </c>
      <c r="D986" t="s">
        <v>393</v>
      </c>
      <c r="E986" t="s">
        <v>6</v>
      </c>
      <c r="F986" t="str" cm="1">
        <f t="array" ref="F986">IF(SUM(IF(PartList[ASSLY MARK]=PartList[[#This Row],[ASSLY MARK]],1,0))&gt;1,"No","Yes")</f>
        <v>Yes</v>
      </c>
      <c r="G986" t="str" cm="1">
        <f t="array" ref="G986">_xlfn.TEXTJOIN("_",TRUE,TRIM(_xlfn.TEXTSPLIT(PartList[[#This Row],[GRID LOCATION]],{"PR01","/","-"})))</f>
        <v>13_14_A'_A</v>
      </c>
      <c r="H986" t="str" cm="1">
        <f t="array" ref="H98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986" cm="1">
        <f t="array" ref="I98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86" t="str">
        <f>IF(IFERROR(SEARCH("&gt;",PartList[[#This Row],[ID]]),0),"O",IF(IFERROR(SEARCH("&lt;",PartList[[#This Row],[ID]]),0),"I",""))</f>
        <v/>
      </c>
      <c r="K986" t="str" cm="1">
        <f t="array" ref="K9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86" t="str" cm="1">
        <f t="array" ref="L9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86" t="str">
        <f>_xlfn.TEXTJOIN("#",TRUE,PartList[[#This Row],[ASSLY MARK]],PartList[[#This Row],[BOX NO]],PartList[[#This Row],[In/Out]],PartList[[#This Row],[O1-Grid]])</f>
        <v>6HB44#Box2_Box5_Box6#InBB</v>
      </c>
      <c r="N986" t="str">
        <f>_xlfn.TEXTJOIN("#",TRUE,PartList[[#This Row],[ASSLY MARK]],PartList[[#This Row],[BOX NO]],PartList[[#This Row],[In/Out]],PartList[[#This Row],[O2-Grid]])</f>
        <v>6HB44#Box2_Box5_Box6#InBB</v>
      </c>
      <c r="O986">
        <f>IF(PartList[[#This Row],[Unique]]="Yes",_xlfn.XLOOKUP(PartList[[#This Row],[ASSLY MARK]],FilteredPL!A:A,FilteredPL!B:B,0,0),0)</f>
        <v>0</v>
      </c>
      <c r="P986">
        <f>_xlfn.XLOOKUP(PartList[[#This Row],[ASSLY MARK]],MasterPL[SplitMarkNo],MasterPL[BILL WT.(KG)],0,0)</f>
        <v>0</v>
      </c>
      <c r="Q986" cm="1">
        <f t="array" ref="Q98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87" spans="1:17" x14ac:dyDescent="0.25">
      <c r="A987">
        <v>888</v>
      </c>
      <c r="B987" t="s">
        <v>1036</v>
      </c>
      <c r="C987" t="s">
        <v>638</v>
      </c>
      <c r="D987" t="s">
        <v>378</v>
      </c>
      <c r="E987" t="s">
        <v>645</v>
      </c>
      <c r="F987" t="str" cm="1">
        <f t="array" ref="F987">IF(SUM(IF(PartList[ASSLY MARK]=PartList[[#This Row],[ASSLY MARK]],1,0))&gt;1,"No","Yes")</f>
        <v>Yes</v>
      </c>
      <c r="G987" t="str" cm="1">
        <f t="array" ref="G987">_xlfn.TEXTJOIN("_",TRUE,TRIM(_xlfn.TEXTSPLIT(PartList[[#This Row],[GRID LOCATION]],{"PR01","/","-"})))</f>
        <v>13_14_A'_A</v>
      </c>
      <c r="H987" t="str" cm="1">
        <f t="array" ref="H98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Box2_Box5_Box6</v>
      </c>
      <c r="I987" cm="1">
        <f t="array" ref="I98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87" t="str">
        <f>IF(IFERROR(SEARCH("&gt;",PartList[[#This Row],[ID]]),0),"O",IF(IFERROR(SEARCH("&lt;",PartList[[#This Row],[ID]]),0),"I",""))</f>
        <v/>
      </c>
      <c r="K987" t="str" cm="1">
        <f t="array" ref="K9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987" t="str" cm="1">
        <f t="array" ref="L9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987" t="str">
        <f>_xlfn.TEXTJOIN("#",TRUE,PartList[[#This Row],[ASSLY MARK]],PartList[[#This Row],[BOX NO]],PartList[[#This Row],[In/Out]],PartList[[#This Row],[O1-Grid]])</f>
        <v>6SC01#Box2_Box5_Box6#InBB</v>
      </c>
      <c r="N987" t="str">
        <f>_xlfn.TEXTJOIN("#",TRUE,PartList[[#This Row],[ASSLY MARK]],PartList[[#This Row],[BOX NO]],PartList[[#This Row],[In/Out]],PartList[[#This Row],[O2-Grid]])</f>
        <v>6SC01#Box2_Box5_Box6#InBB</v>
      </c>
      <c r="O987">
        <f>IF(PartList[[#This Row],[Unique]]="Yes",_xlfn.XLOOKUP(PartList[[#This Row],[ASSLY MARK]],FilteredPL!A:A,FilteredPL!B:B,0,0),0)</f>
        <v>0</v>
      </c>
      <c r="P987">
        <f>_xlfn.XLOOKUP(PartList[[#This Row],[ASSLY MARK]],MasterPL[SplitMarkNo],MasterPL[BILL WT.(KG)],0,0)</f>
        <v>0</v>
      </c>
      <c r="Q987" cm="1">
        <f t="array" ref="Q98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88" spans="1:17" x14ac:dyDescent="0.25">
      <c r="A988">
        <v>889</v>
      </c>
      <c r="B988" t="s">
        <v>1037</v>
      </c>
      <c r="C988" t="s">
        <v>609</v>
      </c>
      <c r="D988" t="s">
        <v>376</v>
      </c>
      <c r="E988" t="s">
        <v>645</v>
      </c>
      <c r="F988" t="str" cm="1">
        <f t="array" ref="F988">IF(SUM(IF(PartList[ASSLY MARK]=PartList[[#This Row],[ASSLY MARK]],1,0))&gt;1,"No","Yes")</f>
        <v>Yes</v>
      </c>
      <c r="G988" t="str" cm="1">
        <f t="array" ref="G988">_xlfn.TEXTJOIN("_",TRUE,TRIM(_xlfn.TEXTSPLIT(PartList[[#This Row],[GRID LOCATION]],{"PR01","/","-"})))</f>
        <v>13_14_A</v>
      </c>
      <c r="H988" t="str" cm="1">
        <f t="array" ref="H98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88" cm="1">
        <f t="array" ref="I98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88" t="str">
        <f>IF(IFERROR(SEARCH("&gt;",PartList[[#This Row],[ID]]),0),"O",IF(IFERROR(SEARCH("&lt;",PartList[[#This Row],[ID]]),0),"I",""))</f>
        <v/>
      </c>
      <c r="K988" t="str" cm="1">
        <f t="array" ref="K9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988" t="str" cm="1">
        <f t="array" ref="L9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13_14_A</v>
      </c>
      <c r="M988" t="str">
        <f>_xlfn.TEXTJOIN("#",TRUE,PartList[[#This Row],[ASSLY MARK]],PartList[[#This Row],[BOX NO]],PartList[[#This Row],[In/Out]],PartList[[#This Row],[O1-Grid]])</f>
        <v>6SC02#Box2#InB</v>
      </c>
      <c r="N988" t="str">
        <f>_xlfn.TEXTJOIN("#",TRUE,PartList[[#This Row],[ASSLY MARK]],PartList[[#This Row],[BOX NO]],PartList[[#This Row],[In/Out]],PartList[[#This Row],[O2-Grid]])</f>
        <v>6SC02#Box2#13_14_A</v>
      </c>
      <c r="O988">
        <f>IF(PartList[[#This Row],[Unique]]="Yes",_xlfn.XLOOKUP(PartList[[#This Row],[ASSLY MARK]],FilteredPL!A:A,FilteredPL!B:B,0,0),0)</f>
        <v>0</v>
      </c>
      <c r="P988">
        <f>_xlfn.XLOOKUP(PartList[[#This Row],[ASSLY MARK]],MasterPL[SplitMarkNo],MasterPL[BILL WT.(KG)],0,0)</f>
        <v>0</v>
      </c>
      <c r="Q988" cm="1">
        <f t="array" ref="Q98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89" spans="1:17" x14ac:dyDescent="0.25">
      <c r="A989">
        <v>907</v>
      </c>
      <c r="B989" t="s">
        <v>424</v>
      </c>
      <c r="C989" t="s">
        <v>1053</v>
      </c>
      <c r="D989" t="s">
        <v>1054</v>
      </c>
      <c r="E989" t="s">
        <v>7</v>
      </c>
      <c r="F989" t="str" cm="1">
        <f t="array" ref="F989">IF(SUM(IF(PartList[ASSLY MARK]=PartList[[#This Row],[ASSLY MARK]],1,0))&gt;1,"No","Yes")</f>
        <v>Yes</v>
      </c>
      <c r="G989" t="str" cm="1">
        <f t="array" ref="G989">_xlfn.TEXTJOIN("_",TRUE,TRIM(_xlfn.TEXTSPLIT(PartList[[#This Row],[GRID LOCATION]],{"PR01","/","-"})))</f>
        <v>12_A</v>
      </c>
      <c r="H989" t="str" cm="1">
        <f t="array" ref="H98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89" cm="1">
        <f t="array" ref="I98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89" t="str">
        <f>IF(IFERROR(SEARCH("&gt;",PartList[[#This Row],[ID]]),0),"O",IF(IFERROR(SEARCH("&lt;",PartList[[#This Row],[ID]]),0),"I",""))</f>
        <v/>
      </c>
      <c r="K989" t="str" cm="1">
        <f t="array" ref="K9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989" t="str" cm="1">
        <f t="array" ref="L9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989" t="str">
        <f>_xlfn.TEXTJOIN("#",TRUE,PartList[[#This Row],[ASSLY MARK]],PartList[[#This Row],[BOX NO]],PartList[[#This Row],[In/Out]],PartList[[#This Row],[O1-Grid]])</f>
        <v>C18#Box2#12_B_A</v>
      </c>
      <c r="N989" t="str">
        <f>_xlfn.TEXTJOIN("#",TRUE,PartList[[#This Row],[ASSLY MARK]],PartList[[#This Row],[BOX NO]],PartList[[#This Row],[In/Out]],PartList[[#This Row],[O2-Grid]])</f>
        <v>C18#Box2#12_13_A</v>
      </c>
      <c r="O989">
        <f>IF(PartList[[#This Row],[Unique]]="Yes",_xlfn.XLOOKUP(PartList[[#This Row],[ASSLY MARK]],FilteredPL!A:A,FilteredPL!B:B,0,0),0)</f>
        <v>0</v>
      </c>
      <c r="P989">
        <f>_xlfn.XLOOKUP(PartList[[#This Row],[ASSLY MARK]],MasterPL[SplitMarkNo],MasterPL[BILL WT.(KG)],0,0)</f>
        <v>0</v>
      </c>
      <c r="Q989" cm="1">
        <f t="array" ref="Q98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90" spans="1:17" x14ac:dyDescent="0.25">
      <c r="A990">
        <v>908</v>
      </c>
      <c r="B990" t="s">
        <v>1055</v>
      </c>
      <c r="C990" t="s">
        <v>1053</v>
      </c>
      <c r="D990" t="s">
        <v>1040</v>
      </c>
      <c r="E990" t="s">
        <v>7</v>
      </c>
      <c r="F990" t="str" cm="1">
        <f t="array" ref="F990">IF(SUM(IF(PartList[ASSLY MARK]=PartList[[#This Row],[ASSLY MARK]],1,0))&gt;1,"No","Yes")</f>
        <v>Yes</v>
      </c>
      <c r="G990" t="str" cm="1">
        <f t="array" ref="G990">_xlfn.TEXTJOIN("_",TRUE,TRIM(_xlfn.TEXTSPLIT(PartList[[#This Row],[GRID LOCATION]],{"PR01","/","-"})))</f>
        <v>12_A</v>
      </c>
      <c r="H990" t="str" cm="1">
        <f t="array" ref="H99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90" cm="1">
        <f t="array" ref="I99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90" t="str">
        <f>IF(IFERROR(SEARCH("&gt;",PartList[[#This Row],[ID]]),0),"O",IF(IFERROR(SEARCH("&lt;",PartList[[#This Row],[ID]]),0),"I",""))</f>
        <v/>
      </c>
      <c r="K990" t="str" cm="1">
        <f t="array" ref="K9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990" t="str" cm="1">
        <f t="array" ref="L9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990" t="str">
        <f>_xlfn.TEXTJOIN("#",TRUE,PartList[[#This Row],[ASSLY MARK]],PartList[[#This Row],[BOX NO]],PartList[[#This Row],[In/Out]],PartList[[#This Row],[O1-Grid]])</f>
        <v>C19#Box2#12_B_A</v>
      </c>
      <c r="N990" t="str">
        <f>_xlfn.TEXTJOIN("#",TRUE,PartList[[#This Row],[ASSLY MARK]],PartList[[#This Row],[BOX NO]],PartList[[#This Row],[In/Out]],PartList[[#This Row],[O2-Grid]])</f>
        <v>C19#Box2#12_13_A</v>
      </c>
      <c r="O990">
        <f>IF(PartList[[#This Row],[Unique]]="Yes",_xlfn.XLOOKUP(PartList[[#This Row],[ASSLY MARK]],FilteredPL!A:A,FilteredPL!B:B,0,0),0)</f>
        <v>0</v>
      </c>
      <c r="P990">
        <f>_xlfn.XLOOKUP(PartList[[#This Row],[ASSLY MARK]],MasterPL[SplitMarkNo],MasterPL[BILL WT.(KG)],0,0)</f>
        <v>0</v>
      </c>
      <c r="Q990" cm="1">
        <f t="array" ref="Q99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91" spans="1:17" x14ac:dyDescent="0.25">
      <c r="A991">
        <v>909</v>
      </c>
      <c r="B991" t="s">
        <v>1056</v>
      </c>
      <c r="C991" t="s">
        <v>1053</v>
      </c>
      <c r="D991" t="s">
        <v>407</v>
      </c>
      <c r="E991" t="s">
        <v>7</v>
      </c>
      <c r="F991" t="str" cm="1">
        <f t="array" ref="F991">IF(SUM(IF(PartList[ASSLY MARK]=PartList[[#This Row],[ASSLY MARK]],1,0))&gt;1,"No","Yes")</f>
        <v>Yes</v>
      </c>
      <c r="G991" t="str" cm="1">
        <f t="array" ref="G991">_xlfn.TEXTJOIN("_",TRUE,TRIM(_xlfn.TEXTSPLIT(PartList[[#This Row],[GRID LOCATION]],{"PR01","/","-"})))</f>
        <v>12_A</v>
      </c>
      <c r="H991" t="str" cm="1">
        <f t="array" ref="H99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91" cm="1">
        <f t="array" ref="I99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91" t="str">
        <f>IF(IFERROR(SEARCH("&gt;",PartList[[#This Row],[ID]]),0),"O",IF(IFERROR(SEARCH("&lt;",PartList[[#This Row],[ID]]),0),"I",""))</f>
        <v/>
      </c>
      <c r="K991" t="str" cm="1">
        <f t="array" ref="K9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991" t="str" cm="1">
        <f t="array" ref="L9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991" t="str">
        <f>_xlfn.TEXTJOIN("#",TRUE,PartList[[#This Row],[ASSLY MARK]],PartList[[#This Row],[BOX NO]],PartList[[#This Row],[In/Out]],PartList[[#This Row],[O1-Grid]])</f>
        <v>C20#Box2#12_B_A</v>
      </c>
      <c r="N991" t="str">
        <f>_xlfn.TEXTJOIN("#",TRUE,PartList[[#This Row],[ASSLY MARK]],PartList[[#This Row],[BOX NO]],PartList[[#This Row],[In/Out]],PartList[[#This Row],[O2-Grid]])</f>
        <v>C20#Box2#12_13_A</v>
      </c>
      <c r="O991">
        <f>IF(PartList[[#This Row],[Unique]]="Yes",_xlfn.XLOOKUP(PartList[[#This Row],[ASSLY MARK]],FilteredPL!A:A,FilteredPL!B:B,0,0),0)</f>
        <v>0</v>
      </c>
      <c r="P991">
        <f>_xlfn.XLOOKUP(PartList[[#This Row],[ASSLY MARK]],MasterPL[SplitMarkNo],MasterPL[BILL WT.(KG)],0,0)</f>
        <v>0</v>
      </c>
      <c r="Q991" cm="1">
        <f t="array" ref="Q99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92" spans="1:17" x14ac:dyDescent="0.25">
      <c r="A992">
        <v>911</v>
      </c>
      <c r="B992" t="s">
        <v>1058</v>
      </c>
      <c r="C992" t="s">
        <v>1059</v>
      </c>
      <c r="D992" t="s">
        <v>1054</v>
      </c>
      <c r="E992" t="s">
        <v>7</v>
      </c>
      <c r="F992" t="str" cm="1">
        <f t="array" ref="F992">IF(SUM(IF(PartList[ASSLY MARK]=PartList[[#This Row],[ASSLY MARK]],1,0))&gt;1,"No","Yes")</f>
        <v>Yes</v>
      </c>
      <c r="G992" t="str" cm="1">
        <f t="array" ref="G992">_xlfn.TEXTJOIN("_",TRUE,TRIM(_xlfn.TEXTSPLIT(PartList[[#This Row],[GRID LOCATION]],{"PR01","/","-"})))</f>
        <v>12_B</v>
      </c>
      <c r="H992" t="str" cm="1">
        <f t="array" ref="H99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92" cm="1">
        <f t="array" ref="I99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92" t="str">
        <f>IF(IFERROR(SEARCH("&gt;",PartList[[#This Row],[ID]]),0),"O",IF(IFERROR(SEARCH("&lt;",PartList[[#This Row],[ID]]),0),"I",""))</f>
        <v/>
      </c>
      <c r="K992" t="str" cm="1">
        <f t="array" ref="K9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992" t="str" cm="1">
        <f t="array" ref="L9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992" t="str">
        <f>_xlfn.TEXTJOIN("#",TRUE,PartList[[#This Row],[ASSLY MARK]],PartList[[#This Row],[BOX NO]],PartList[[#This Row],[In/Out]],PartList[[#This Row],[O1-Grid]])</f>
        <v>C22#Box2#12_B_A</v>
      </c>
      <c r="N992" t="str">
        <f>_xlfn.TEXTJOIN("#",TRUE,PartList[[#This Row],[ASSLY MARK]],PartList[[#This Row],[BOX NO]],PartList[[#This Row],[In/Out]],PartList[[#This Row],[O2-Grid]])</f>
        <v>C22#Box2#12_13_B</v>
      </c>
      <c r="O992">
        <f>IF(PartList[[#This Row],[Unique]]="Yes",_xlfn.XLOOKUP(PartList[[#This Row],[ASSLY MARK]],FilteredPL!A:A,FilteredPL!B:B,0,0),0)</f>
        <v>0</v>
      </c>
      <c r="P992">
        <f>_xlfn.XLOOKUP(PartList[[#This Row],[ASSLY MARK]],MasterPL[SplitMarkNo],MasterPL[BILL WT.(KG)],0,0)</f>
        <v>0</v>
      </c>
      <c r="Q992" cm="1">
        <f t="array" ref="Q99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93" spans="1:17" x14ac:dyDescent="0.25">
      <c r="A993">
        <v>912</v>
      </c>
      <c r="B993" t="s">
        <v>1060</v>
      </c>
      <c r="C993" t="s">
        <v>1059</v>
      </c>
      <c r="D993" t="s">
        <v>421</v>
      </c>
      <c r="E993" t="s">
        <v>7</v>
      </c>
      <c r="F993" t="str" cm="1">
        <f t="array" ref="F993">IF(SUM(IF(PartList[ASSLY MARK]=PartList[[#This Row],[ASSLY MARK]],1,0))&gt;1,"No","Yes")</f>
        <v>Yes</v>
      </c>
      <c r="G993" t="str" cm="1">
        <f t="array" ref="G993">_xlfn.TEXTJOIN("_",TRUE,TRIM(_xlfn.TEXTSPLIT(PartList[[#This Row],[GRID LOCATION]],{"PR01","/","-"})))</f>
        <v>12_B</v>
      </c>
      <c r="H993" t="str" cm="1">
        <f t="array" ref="H99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93" cm="1">
        <f t="array" ref="I99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93" t="str">
        <f>IF(IFERROR(SEARCH("&gt;",PartList[[#This Row],[ID]]),0),"O",IF(IFERROR(SEARCH("&lt;",PartList[[#This Row],[ID]]),0),"I",""))</f>
        <v/>
      </c>
      <c r="K993" t="str" cm="1">
        <f t="array" ref="K9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993" t="str" cm="1">
        <f t="array" ref="L9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993" t="str">
        <f>_xlfn.TEXTJOIN("#",TRUE,PartList[[#This Row],[ASSLY MARK]],PartList[[#This Row],[BOX NO]],PartList[[#This Row],[In/Out]],PartList[[#This Row],[O1-Grid]])</f>
        <v>C23#Box2#12_B_A</v>
      </c>
      <c r="N993" t="str">
        <f>_xlfn.TEXTJOIN("#",TRUE,PartList[[#This Row],[ASSLY MARK]],PartList[[#This Row],[BOX NO]],PartList[[#This Row],[In/Out]],PartList[[#This Row],[O2-Grid]])</f>
        <v>C23#Box2#12_13_B</v>
      </c>
      <c r="O993">
        <f>IF(PartList[[#This Row],[Unique]]="Yes",_xlfn.XLOOKUP(PartList[[#This Row],[ASSLY MARK]],FilteredPL!A:A,FilteredPL!B:B,0,0),0)</f>
        <v>0</v>
      </c>
      <c r="P993">
        <f>_xlfn.XLOOKUP(PartList[[#This Row],[ASSLY MARK]],MasterPL[SplitMarkNo],MasterPL[BILL WT.(KG)],0,0)</f>
        <v>0</v>
      </c>
      <c r="Q993" cm="1">
        <f t="array" ref="Q99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94" spans="1:17" x14ac:dyDescent="0.25">
      <c r="A994">
        <v>918</v>
      </c>
      <c r="B994" t="s">
        <v>1070</v>
      </c>
      <c r="C994" t="s">
        <v>1071</v>
      </c>
      <c r="D994" t="s">
        <v>1072</v>
      </c>
      <c r="E994" t="s">
        <v>7</v>
      </c>
      <c r="F994" t="str" cm="1">
        <f t="array" ref="F994">IF(SUM(IF(PartList[ASSLY MARK]=PartList[[#This Row],[ASSLY MARK]],1,0))&gt;1,"No","Yes")</f>
        <v>Yes</v>
      </c>
      <c r="G994" t="str" cm="1">
        <f t="array" ref="G994">_xlfn.TEXTJOIN("_",TRUE,TRIM(_xlfn.TEXTSPLIT(PartList[[#This Row],[GRID LOCATION]],{"PR01","/","-"})))</f>
        <v>13_A</v>
      </c>
      <c r="H994" t="str" cm="1">
        <f t="array" ref="H99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94" cm="1">
        <f t="array" ref="I99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94" t="str">
        <f>IF(IFERROR(SEARCH("&gt;",PartList[[#This Row],[ID]]),0),"O",IF(IFERROR(SEARCH("&lt;",PartList[[#This Row],[ID]]),0),"I",""))</f>
        <v/>
      </c>
      <c r="K994" t="str" cm="1">
        <f t="array" ref="K9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994" t="str" cm="1">
        <f t="array" ref="L9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994" t="str">
        <f>_xlfn.TEXTJOIN("#",TRUE,PartList[[#This Row],[ASSLY MARK]],PartList[[#This Row],[BOX NO]],PartList[[#This Row],[In/Out]],PartList[[#This Row],[O1-Grid]])</f>
        <v>C29#Box2#13_B_A</v>
      </c>
      <c r="N994" t="str">
        <f>_xlfn.TEXTJOIN("#",TRUE,PartList[[#This Row],[ASSLY MARK]],PartList[[#This Row],[BOX NO]],PartList[[#This Row],[In/Out]],PartList[[#This Row],[O2-Grid]])</f>
        <v>C29#Box2#12_13_A</v>
      </c>
      <c r="O994">
        <f>IF(PartList[[#This Row],[Unique]]="Yes",_xlfn.XLOOKUP(PartList[[#This Row],[ASSLY MARK]],FilteredPL!A:A,FilteredPL!B:B,0,0),0)</f>
        <v>0</v>
      </c>
      <c r="P994">
        <f>_xlfn.XLOOKUP(PartList[[#This Row],[ASSLY MARK]],MasterPL[SplitMarkNo],MasterPL[BILL WT.(KG)],0,0)</f>
        <v>0</v>
      </c>
      <c r="Q994" cm="1">
        <f t="array" ref="Q99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95" spans="1:17" x14ac:dyDescent="0.25">
      <c r="A995">
        <v>919</v>
      </c>
      <c r="B995" t="s">
        <v>1073</v>
      </c>
      <c r="C995" t="s">
        <v>1071</v>
      </c>
      <c r="D995" t="s">
        <v>1074</v>
      </c>
      <c r="E995" t="s">
        <v>7</v>
      </c>
      <c r="F995" t="str" cm="1">
        <f t="array" ref="F995">IF(SUM(IF(PartList[ASSLY MARK]=PartList[[#This Row],[ASSLY MARK]],1,0))&gt;1,"No","Yes")</f>
        <v>Yes</v>
      </c>
      <c r="G995" t="str" cm="1">
        <f t="array" ref="G995">_xlfn.TEXTJOIN("_",TRUE,TRIM(_xlfn.TEXTSPLIT(PartList[[#This Row],[GRID LOCATION]],{"PR01","/","-"})))</f>
        <v>13_A</v>
      </c>
      <c r="H995" t="str" cm="1">
        <f t="array" ref="H99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95" cm="1">
        <f t="array" ref="I99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95" t="str">
        <f>IF(IFERROR(SEARCH("&gt;",PartList[[#This Row],[ID]]),0),"O",IF(IFERROR(SEARCH("&lt;",PartList[[#This Row],[ID]]),0),"I",""))</f>
        <v/>
      </c>
      <c r="K995" t="str" cm="1">
        <f t="array" ref="K9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995" t="str" cm="1">
        <f t="array" ref="L9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995" t="str">
        <f>_xlfn.TEXTJOIN("#",TRUE,PartList[[#This Row],[ASSLY MARK]],PartList[[#This Row],[BOX NO]],PartList[[#This Row],[In/Out]],PartList[[#This Row],[O1-Grid]])</f>
        <v>C30#Box2#13_B_A</v>
      </c>
      <c r="N995" t="str">
        <f>_xlfn.TEXTJOIN("#",TRUE,PartList[[#This Row],[ASSLY MARK]],PartList[[#This Row],[BOX NO]],PartList[[#This Row],[In/Out]],PartList[[#This Row],[O2-Grid]])</f>
        <v>C30#Box2#12_13_A</v>
      </c>
      <c r="O995">
        <f>IF(PartList[[#This Row],[Unique]]="Yes",_xlfn.XLOOKUP(PartList[[#This Row],[ASSLY MARK]],FilteredPL!A:A,FilteredPL!B:B,0,0),0)</f>
        <v>0</v>
      </c>
      <c r="P995">
        <f>_xlfn.XLOOKUP(PartList[[#This Row],[ASSLY MARK]],MasterPL[SplitMarkNo],MasterPL[BILL WT.(KG)],0,0)</f>
        <v>0</v>
      </c>
      <c r="Q995" cm="1">
        <f t="array" ref="Q99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96" spans="1:17" x14ac:dyDescent="0.25">
      <c r="A996">
        <v>921</v>
      </c>
      <c r="B996" t="s">
        <v>1076</v>
      </c>
      <c r="C996" t="s">
        <v>1077</v>
      </c>
      <c r="D996" t="s">
        <v>1072</v>
      </c>
      <c r="E996" t="s">
        <v>7</v>
      </c>
      <c r="F996" t="str" cm="1">
        <f t="array" ref="F996">IF(SUM(IF(PartList[ASSLY MARK]=PartList[[#This Row],[ASSLY MARK]],1,0))&gt;1,"No","Yes")</f>
        <v>Yes</v>
      </c>
      <c r="G996" t="str" cm="1">
        <f t="array" ref="G996">_xlfn.TEXTJOIN("_",TRUE,TRIM(_xlfn.TEXTSPLIT(PartList[[#This Row],[GRID LOCATION]],{"PR01","/","-"})))</f>
        <v>13_B</v>
      </c>
      <c r="H996" t="str" cm="1">
        <f t="array" ref="H99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96" cm="1">
        <f t="array" ref="I99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96" t="str">
        <f>IF(IFERROR(SEARCH("&gt;",PartList[[#This Row],[ID]]),0),"O",IF(IFERROR(SEARCH("&lt;",PartList[[#This Row],[ID]]),0),"I",""))</f>
        <v/>
      </c>
      <c r="K996" t="str" cm="1">
        <f t="array" ref="K9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996" t="str" cm="1">
        <f t="array" ref="L9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996" t="str">
        <f>_xlfn.TEXTJOIN("#",TRUE,PartList[[#This Row],[ASSLY MARK]],PartList[[#This Row],[BOX NO]],PartList[[#This Row],[In/Out]],PartList[[#This Row],[O1-Grid]])</f>
        <v>C32#Box2#13_B_A</v>
      </c>
      <c r="N996" t="str">
        <f>_xlfn.TEXTJOIN("#",TRUE,PartList[[#This Row],[ASSLY MARK]],PartList[[#This Row],[BOX NO]],PartList[[#This Row],[In/Out]],PartList[[#This Row],[O2-Grid]])</f>
        <v>C32#Box2#12_13_B</v>
      </c>
      <c r="O996">
        <f>IF(PartList[[#This Row],[Unique]]="Yes",_xlfn.XLOOKUP(PartList[[#This Row],[ASSLY MARK]],FilteredPL!A:A,FilteredPL!B:B,0,0),0)</f>
        <v>0</v>
      </c>
      <c r="P996">
        <f>_xlfn.XLOOKUP(PartList[[#This Row],[ASSLY MARK]],MasterPL[SplitMarkNo],MasterPL[BILL WT.(KG)],0,0)</f>
        <v>0</v>
      </c>
      <c r="Q996" cm="1">
        <f t="array" ref="Q99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97" spans="1:17" x14ac:dyDescent="0.25">
      <c r="A997">
        <v>922</v>
      </c>
      <c r="B997" t="s">
        <v>1078</v>
      </c>
      <c r="C997" t="s">
        <v>1077</v>
      </c>
      <c r="D997" t="s">
        <v>421</v>
      </c>
      <c r="E997" t="s">
        <v>7</v>
      </c>
      <c r="F997" t="str" cm="1">
        <f t="array" ref="F997">IF(SUM(IF(PartList[ASSLY MARK]=PartList[[#This Row],[ASSLY MARK]],1,0))&gt;1,"No","Yes")</f>
        <v>Yes</v>
      </c>
      <c r="G997" t="str" cm="1">
        <f t="array" ref="G997">_xlfn.TEXTJOIN("_",TRUE,TRIM(_xlfn.TEXTSPLIT(PartList[[#This Row],[GRID LOCATION]],{"PR01","/","-"})))</f>
        <v>13_B</v>
      </c>
      <c r="H997" t="str" cm="1">
        <f t="array" ref="H99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97" cm="1">
        <f t="array" ref="I99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97" t="str">
        <f>IF(IFERROR(SEARCH("&gt;",PartList[[#This Row],[ID]]),0),"O",IF(IFERROR(SEARCH("&lt;",PartList[[#This Row],[ID]]),0),"I",""))</f>
        <v/>
      </c>
      <c r="K997" t="str" cm="1">
        <f t="array" ref="K9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997" t="str" cm="1">
        <f t="array" ref="L9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997" t="str">
        <f>_xlfn.TEXTJOIN("#",TRUE,PartList[[#This Row],[ASSLY MARK]],PartList[[#This Row],[BOX NO]],PartList[[#This Row],[In/Out]],PartList[[#This Row],[O1-Grid]])</f>
        <v>C33#Box2#13_B_A</v>
      </c>
      <c r="N997" t="str">
        <f>_xlfn.TEXTJOIN("#",TRUE,PartList[[#This Row],[ASSLY MARK]],PartList[[#This Row],[BOX NO]],PartList[[#This Row],[In/Out]],PartList[[#This Row],[O2-Grid]])</f>
        <v>C33#Box2#12_13_B</v>
      </c>
      <c r="O997">
        <f>IF(PartList[[#This Row],[Unique]]="Yes",_xlfn.XLOOKUP(PartList[[#This Row],[ASSLY MARK]],FilteredPL!A:A,FilteredPL!B:B,0,0),0)</f>
        <v>0</v>
      </c>
      <c r="P997">
        <f>_xlfn.XLOOKUP(PartList[[#This Row],[ASSLY MARK]],MasterPL[SplitMarkNo],MasterPL[BILL WT.(KG)],0,0)</f>
        <v>0</v>
      </c>
      <c r="Q997" cm="1">
        <f t="array" ref="Q99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98" spans="1:17" x14ac:dyDescent="0.25">
      <c r="A998">
        <v>924</v>
      </c>
      <c r="B998" t="s">
        <v>1081</v>
      </c>
      <c r="C998" t="s">
        <v>1071</v>
      </c>
      <c r="D998" t="s">
        <v>1080</v>
      </c>
      <c r="E998" t="s">
        <v>7</v>
      </c>
      <c r="F998" t="str" cm="1">
        <f t="array" ref="F998">IF(SUM(IF(PartList[ASSLY MARK]=PartList[[#This Row],[ASSLY MARK]],1,0))&gt;1,"No","Yes")</f>
        <v>Yes</v>
      </c>
      <c r="G998" t="str" cm="1">
        <f t="array" ref="G998">_xlfn.TEXTJOIN("_",TRUE,TRIM(_xlfn.TEXTSPLIT(PartList[[#This Row],[GRID LOCATION]],{"PR01","/","-"})))</f>
        <v>13_A</v>
      </c>
      <c r="H998" t="str" cm="1">
        <f t="array" ref="H99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98" cm="1">
        <f t="array" ref="I99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98" t="str">
        <f>IF(IFERROR(SEARCH("&gt;",PartList[[#This Row],[ID]]),0),"O",IF(IFERROR(SEARCH("&lt;",PartList[[#This Row],[ID]]),0),"I",""))</f>
        <v/>
      </c>
      <c r="K998" t="str" cm="1">
        <f t="array" ref="K9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998" t="str" cm="1">
        <f t="array" ref="L9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998" t="str">
        <f>_xlfn.TEXTJOIN("#",TRUE,PartList[[#This Row],[ASSLY MARK]],PartList[[#This Row],[BOX NO]],PartList[[#This Row],[In/Out]],PartList[[#This Row],[O1-Grid]])</f>
        <v>C35#Box2#13_B_A</v>
      </c>
      <c r="N998" t="str">
        <f>_xlfn.TEXTJOIN("#",TRUE,PartList[[#This Row],[ASSLY MARK]],PartList[[#This Row],[BOX NO]],PartList[[#This Row],[In/Out]],PartList[[#This Row],[O2-Grid]])</f>
        <v>C35#Box2#12_13_A</v>
      </c>
      <c r="O998">
        <f>IF(PartList[[#This Row],[Unique]]="Yes",_xlfn.XLOOKUP(PartList[[#This Row],[ASSLY MARK]],FilteredPL!A:A,FilteredPL!B:B,0,0),0)</f>
        <v>1</v>
      </c>
      <c r="P998">
        <f>_xlfn.XLOOKUP(PartList[[#This Row],[ASSLY MARK]],MasterPL[SplitMarkNo],MasterPL[BILL WT.(KG)],0,0)</f>
        <v>2423.25</v>
      </c>
      <c r="Q998" cm="1">
        <f t="array" ref="Q99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999" spans="1:17" x14ac:dyDescent="0.25">
      <c r="A999">
        <v>930</v>
      </c>
      <c r="B999" t="s">
        <v>425</v>
      </c>
      <c r="C999" t="s">
        <v>1071</v>
      </c>
      <c r="D999" t="s">
        <v>1088</v>
      </c>
      <c r="E999" t="s">
        <v>1086</v>
      </c>
      <c r="F999" t="str" cm="1">
        <f t="array" ref="F999">IF(SUM(IF(PartList[ASSLY MARK]=PartList[[#This Row],[ASSLY MARK]],1,0))&gt;1,"No","Yes")</f>
        <v>No</v>
      </c>
      <c r="G999" t="str" cm="1">
        <f t="array" ref="G999">_xlfn.TEXTJOIN("_",TRUE,TRIM(_xlfn.TEXTSPLIT(PartList[[#This Row],[GRID LOCATION]],{"PR01","/","-"})))</f>
        <v>13_A</v>
      </c>
      <c r="H999" t="str" cm="1">
        <f t="array" ref="H99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999" cm="1">
        <f t="array" ref="I99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999" t="str">
        <f>IF(IFERROR(SEARCH("&gt;",PartList[[#This Row],[ID]]),0),"O",IF(IFERROR(SEARCH("&lt;",PartList[[#This Row],[ID]]),0),"I",""))</f>
        <v/>
      </c>
      <c r="K999" t="str" cm="1">
        <f t="array" ref="K9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999" t="str" cm="1">
        <f t="array" ref="L9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999" t="str">
        <f>_xlfn.TEXTJOIN("#",TRUE,PartList[[#This Row],[ASSLY MARK]],PartList[[#This Row],[BOX NO]],PartList[[#This Row],[In/Out]],PartList[[#This Row],[O1-Grid]])</f>
        <v>SF01#Box2#13_B_A</v>
      </c>
      <c r="N999" t="str">
        <f>_xlfn.TEXTJOIN("#",TRUE,PartList[[#This Row],[ASSLY MARK]],PartList[[#This Row],[BOX NO]],PartList[[#This Row],[In/Out]],PartList[[#This Row],[O2-Grid]])</f>
        <v>SF01#Box2#12_13_A</v>
      </c>
      <c r="O999">
        <v>1</v>
      </c>
      <c r="P999">
        <f>_xlfn.XLOOKUP(PartList[[#This Row],[ASSLY MARK]],MasterPL[SplitMarkNo],MasterPL[BILL WT.(KG)],0,0)</f>
        <v>877.94</v>
      </c>
      <c r="Q999" cm="1">
        <f t="array" ref="Q99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00" spans="1:17" x14ac:dyDescent="0.25">
      <c r="A1000">
        <v>933</v>
      </c>
      <c r="B1000" t="s">
        <v>425</v>
      </c>
      <c r="C1000" t="s">
        <v>1071</v>
      </c>
      <c r="D1000" t="s">
        <v>1088</v>
      </c>
      <c r="E1000" t="s">
        <v>1086</v>
      </c>
      <c r="F1000" t="str" cm="1">
        <f t="array" ref="F1000">IF(SUM(IF(PartList[ASSLY MARK]=PartList[[#This Row],[ASSLY MARK]],1,0))&gt;1,"No","Yes")</f>
        <v>No</v>
      </c>
      <c r="G1000" t="str" cm="1">
        <f t="array" ref="G1000">_xlfn.TEXTJOIN("_",TRUE,TRIM(_xlfn.TEXTSPLIT(PartList[[#This Row],[GRID LOCATION]],{"PR01","/","-"})))</f>
        <v>13_A</v>
      </c>
      <c r="H1000" t="str" cm="1">
        <f t="array" ref="H100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00" cm="1">
        <f t="array" ref="I100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00" t="str">
        <f>IF(IFERROR(SEARCH("&gt;",PartList[[#This Row],[ID]]),0),"O",IF(IFERROR(SEARCH("&lt;",PartList[[#This Row],[ID]]),0),"I",""))</f>
        <v/>
      </c>
      <c r="K1000" t="str" cm="1">
        <f t="array" ref="K10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00" t="str" cm="1">
        <f t="array" ref="L10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00" t="str">
        <f>_xlfn.TEXTJOIN("#",TRUE,PartList[[#This Row],[ASSLY MARK]],PartList[[#This Row],[BOX NO]],PartList[[#This Row],[In/Out]],PartList[[#This Row],[O1-Grid]])</f>
        <v>SF01#Box2#13_B_A</v>
      </c>
      <c r="N1000" t="str">
        <f>_xlfn.TEXTJOIN("#",TRUE,PartList[[#This Row],[ASSLY MARK]],PartList[[#This Row],[BOX NO]],PartList[[#This Row],[In/Out]],PartList[[#This Row],[O2-Grid]])</f>
        <v>SF01#Box2#12_13_A</v>
      </c>
      <c r="O1000">
        <v>1</v>
      </c>
      <c r="P1000">
        <f>_xlfn.XLOOKUP(PartList[[#This Row],[ASSLY MARK]],MasterPL[SplitMarkNo],MasterPL[BILL WT.(KG)],0,0)</f>
        <v>877.94</v>
      </c>
      <c r="Q1000" cm="1">
        <f t="array" ref="Q100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01" spans="1:17" x14ac:dyDescent="0.25">
      <c r="A1001">
        <v>935</v>
      </c>
      <c r="B1001" t="s">
        <v>425</v>
      </c>
      <c r="C1001" t="s">
        <v>1071</v>
      </c>
      <c r="D1001" t="s">
        <v>1088</v>
      </c>
      <c r="E1001" t="s">
        <v>1086</v>
      </c>
      <c r="F1001" t="str" cm="1">
        <f t="array" ref="F1001">IF(SUM(IF(PartList[ASSLY MARK]=PartList[[#This Row],[ASSLY MARK]],1,0))&gt;1,"No","Yes")</f>
        <v>No</v>
      </c>
      <c r="G1001" t="str" cm="1">
        <f t="array" ref="G1001">_xlfn.TEXTJOIN("_",TRUE,TRIM(_xlfn.TEXTSPLIT(PartList[[#This Row],[GRID LOCATION]],{"PR01","/","-"})))</f>
        <v>13_A</v>
      </c>
      <c r="H1001" t="str" cm="1">
        <f t="array" ref="H100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01" cm="1">
        <f t="array" ref="I100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01" t="str">
        <f>IF(IFERROR(SEARCH("&gt;",PartList[[#This Row],[ID]]),0),"O",IF(IFERROR(SEARCH("&lt;",PartList[[#This Row],[ID]]),0),"I",""))</f>
        <v/>
      </c>
      <c r="K1001" t="str" cm="1">
        <f t="array" ref="K10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01" t="str" cm="1">
        <f t="array" ref="L10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01" t="str">
        <f>_xlfn.TEXTJOIN("#",TRUE,PartList[[#This Row],[ASSLY MARK]],PartList[[#This Row],[BOX NO]],PartList[[#This Row],[In/Out]],PartList[[#This Row],[O1-Grid]])</f>
        <v>SF01#Box2#13_B_A</v>
      </c>
      <c r="N1001" t="str">
        <f>_xlfn.TEXTJOIN("#",TRUE,PartList[[#This Row],[ASSLY MARK]],PartList[[#This Row],[BOX NO]],PartList[[#This Row],[In/Out]],PartList[[#This Row],[O2-Grid]])</f>
        <v>SF01#Box2#12_13_A</v>
      </c>
      <c r="O1001">
        <v>1</v>
      </c>
      <c r="P1001">
        <f>_xlfn.XLOOKUP(PartList[[#This Row],[ASSLY MARK]],MasterPL[SplitMarkNo],MasterPL[BILL WT.(KG)],0,0)</f>
        <v>877.94</v>
      </c>
      <c r="Q1001" cm="1">
        <f t="array" ref="Q100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02" spans="1:17" x14ac:dyDescent="0.25">
      <c r="A1002">
        <v>937</v>
      </c>
      <c r="B1002" t="s">
        <v>425</v>
      </c>
      <c r="C1002" t="s">
        <v>1077</v>
      </c>
      <c r="D1002" t="s">
        <v>1088</v>
      </c>
      <c r="E1002" t="s">
        <v>1086</v>
      </c>
      <c r="F1002" t="str" cm="1">
        <f t="array" ref="F1002">IF(SUM(IF(PartList[ASSLY MARK]=PartList[[#This Row],[ASSLY MARK]],1,0))&gt;1,"No","Yes")</f>
        <v>No</v>
      </c>
      <c r="G1002" t="str" cm="1">
        <f t="array" ref="G1002">_xlfn.TEXTJOIN("_",TRUE,TRIM(_xlfn.TEXTSPLIT(PartList[[#This Row],[GRID LOCATION]],{"PR01","/","-"})))</f>
        <v>13_B</v>
      </c>
      <c r="H1002" t="str" cm="1">
        <f t="array" ref="H100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02" cm="1">
        <f t="array" ref="I100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02" t="str">
        <f>IF(IFERROR(SEARCH("&gt;",PartList[[#This Row],[ID]]),0),"O",IF(IFERROR(SEARCH("&lt;",PartList[[#This Row],[ID]]),0),"I",""))</f>
        <v/>
      </c>
      <c r="K1002" t="str" cm="1">
        <f t="array" ref="K10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02" t="str" cm="1">
        <f t="array" ref="L10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02" t="str">
        <f>_xlfn.TEXTJOIN("#",TRUE,PartList[[#This Row],[ASSLY MARK]],PartList[[#This Row],[BOX NO]],PartList[[#This Row],[In/Out]],PartList[[#This Row],[O1-Grid]])</f>
        <v>SF01#Box2#13_B_A</v>
      </c>
      <c r="N1002" t="str">
        <f>_xlfn.TEXTJOIN("#",TRUE,PartList[[#This Row],[ASSLY MARK]],PartList[[#This Row],[BOX NO]],PartList[[#This Row],[In/Out]],PartList[[#This Row],[O2-Grid]])</f>
        <v>SF01#Box2#12_13_B</v>
      </c>
      <c r="O1002">
        <v>1</v>
      </c>
      <c r="P1002">
        <f>_xlfn.XLOOKUP(PartList[[#This Row],[ASSLY MARK]],MasterPL[SplitMarkNo],MasterPL[BILL WT.(KG)],0,0)</f>
        <v>877.94</v>
      </c>
      <c r="Q1002" cm="1">
        <f t="array" ref="Q100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03" spans="1:17" x14ac:dyDescent="0.25">
      <c r="A1003">
        <v>938</v>
      </c>
      <c r="B1003" t="s">
        <v>425</v>
      </c>
      <c r="C1003" t="s">
        <v>1071</v>
      </c>
      <c r="D1003" t="s">
        <v>1088</v>
      </c>
      <c r="E1003" t="s">
        <v>1086</v>
      </c>
      <c r="F1003" t="str" cm="1">
        <f t="array" ref="F1003">IF(SUM(IF(PartList[ASSLY MARK]=PartList[[#This Row],[ASSLY MARK]],1,0))&gt;1,"No","Yes")</f>
        <v>No</v>
      </c>
      <c r="G1003" t="str" cm="1">
        <f t="array" ref="G1003">_xlfn.TEXTJOIN("_",TRUE,TRIM(_xlfn.TEXTSPLIT(PartList[[#This Row],[GRID LOCATION]],{"PR01","/","-"})))</f>
        <v>13_A</v>
      </c>
      <c r="H1003" t="str" cm="1">
        <f t="array" ref="H100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03" cm="1">
        <f t="array" ref="I100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03" t="str">
        <f>IF(IFERROR(SEARCH("&gt;",PartList[[#This Row],[ID]]),0),"O",IF(IFERROR(SEARCH("&lt;",PartList[[#This Row],[ID]]),0),"I",""))</f>
        <v/>
      </c>
      <c r="K1003" t="str" cm="1">
        <f t="array" ref="K10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03" t="str" cm="1">
        <f t="array" ref="L10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03" t="str">
        <f>_xlfn.TEXTJOIN("#",TRUE,PartList[[#This Row],[ASSLY MARK]],PartList[[#This Row],[BOX NO]],PartList[[#This Row],[In/Out]],PartList[[#This Row],[O1-Grid]])</f>
        <v>SF01#Box2#13_B_A</v>
      </c>
      <c r="N1003" t="str">
        <f>_xlfn.TEXTJOIN("#",TRUE,PartList[[#This Row],[ASSLY MARK]],PartList[[#This Row],[BOX NO]],PartList[[#This Row],[In/Out]],PartList[[#This Row],[O2-Grid]])</f>
        <v>SF01#Box2#12_13_A</v>
      </c>
      <c r="O1003">
        <v>1</v>
      </c>
      <c r="P1003">
        <f>_xlfn.XLOOKUP(PartList[[#This Row],[ASSLY MARK]],MasterPL[SplitMarkNo],MasterPL[BILL WT.(KG)],0,0)</f>
        <v>877.94</v>
      </c>
      <c r="Q1003" cm="1">
        <f t="array" ref="Q100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04" spans="1:17" x14ac:dyDescent="0.25">
      <c r="A1004">
        <v>943</v>
      </c>
      <c r="B1004" t="s">
        <v>425</v>
      </c>
      <c r="C1004" t="s">
        <v>1077</v>
      </c>
      <c r="D1004" t="s">
        <v>1088</v>
      </c>
      <c r="E1004" t="s">
        <v>1086</v>
      </c>
      <c r="F1004" t="str" cm="1">
        <f t="array" ref="F1004">IF(SUM(IF(PartList[ASSLY MARK]=PartList[[#This Row],[ASSLY MARK]],1,0))&gt;1,"No","Yes")</f>
        <v>No</v>
      </c>
      <c r="G1004" t="str" cm="1">
        <f t="array" ref="G1004">_xlfn.TEXTJOIN("_",TRUE,TRIM(_xlfn.TEXTSPLIT(PartList[[#This Row],[GRID LOCATION]],{"PR01","/","-"})))</f>
        <v>13_B</v>
      </c>
      <c r="H1004" t="str" cm="1">
        <f t="array" ref="H100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04" cm="1">
        <f t="array" ref="I100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04" t="str">
        <f>IF(IFERROR(SEARCH("&gt;",PartList[[#This Row],[ID]]),0),"O",IF(IFERROR(SEARCH("&lt;",PartList[[#This Row],[ID]]),0),"I",""))</f>
        <v/>
      </c>
      <c r="K1004" t="str" cm="1">
        <f t="array" ref="K10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04" t="str" cm="1">
        <f t="array" ref="L10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04" t="str">
        <f>_xlfn.TEXTJOIN("#",TRUE,PartList[[#This Row],[ASSLY MARK]],PartList[[#This Row],[BOX NO]],PartList[[#This Row],[In/Out]],PartList[[#This Row],[O1-Grid]])</f>
        <v>SF01#Box2#13_B_A</v>
      </c>
      <c r="N1004" t="str">
        <f>_xlfn.TEXTJOIN("#",TRUE,PartList[[#This Row],[ASSLY MARK]],PartList[[#This Row],[BOX NO]],PartList[[#This Row],[In/Out]],PartList[[#This Row],[O2-Grid]])</f>
        <v>SF01#Box2#12_13_B</v>
      </c>
      <c r="O1004">
        <v>1</v>
      </c>
      <c r="P1004">
        <f>_xlfn.XLOOKUP(PartList[[#This Row],[ASSLY MARK]],MasterPL[SplitMarkNo],MasterPL[BILL WT.(KG)],0,0)</f>
        <v>877.94</v>
      </c>
      <c r="Q1004" cm="1">
        <f t="array" ref="Q100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05" spans="1:17" x14ac:dyDescent="0.25">
      <c r="A1005">
        <v>947</v>
      </c>
      <c r="B1005" t="s">
        <v>425</v>
      </c>
      <c r="C1005" t="s">
        <v>1077</v>
      </c>
      <c r="D1005" t="s">
        <v>1088</v>
      </c>
      <c r="E1005" t="s">
        <v>1086</v>
      </c>
      <c r="F1005" t="str" cm="1">
        <f t="array" ref="F1005">IF(SUM(IF(PartList[ASSLY MARK]=PartList[[#This Row],[ASSLY MARK]],1,0))&gt;1,"No","Yes")</f>
        <v>No</v>
      </c>
      <c r="G1005" t="str" cm="1">
        <f t="array" ref="G1005">_xlfn.TEXTJOIN("_",TRUE,TRIM(_xlfn.TEXTSPLIT(PartList[[#This Row],[GRID LOCATION]],{"PR01","/","-"})))</f>
        <v>13_B</v>
      </c>
      <c r="H1005" t="str" cm="1">
        <f t="array" ref="H100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05" cm="1">
        <f t="array" ref="I100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05" t="str">
        <f>IF(IFERROR(SEARCH("&gt;",PartList[[#This Row],[ID]]),0),"O",IF(IFERROR(SEARCH("&lt;",PartList[[#This Row],[ID]]),0),"I",""))</f>
        <v/>
      </c>
      <c r="K1005" t="str" cm="1">
        <f t="array" ref="K10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05" t="str" cm="1">
        <f t="array" ref="L10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05" t="str">
        <f>_xlfn.TEXTJOIN("#",TRUE,PartList[[#This Row],[ASSLY MARK]],PartList[[#This Row],[BOX NO]],PartList[[#This Row],[In/Out]],PartList[[#This Row],[O1-Grid]])</f>
        <v>SF01#Box2#13_B_A</v>
      </c>
      <c r="N1005" t="str">
        <f>_xlfn.TEXTJOIN("#",TRUE,PartList[[#This Row],[ASSLY MARK]],PartList[[#This Row],[BOX NO]],PartList[[#This Row],[In/Out]],PartList[[#This Row],[O2-Grid]])</f>
        <v>SF01#Box2#12_13_B</v>
      </c>
      <c r="O1005">
        <v>1</v>
      </c>
      <c r="P1005">
        <f>_xlfn.XLOOKUP(PartList[[#This Row],[ASSLY MARK]],MasterPL[SplitMarkNo],MasterPL[BILL WT.(KG)],0,0)</f>
        <v>877.94</v>
      </c>
      <c r="Q1005" cm="1">
        <f t="array" ref="Q100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06" spans="1:17" x14ac:dyDescent="0.25">
      <c r="A1006">
        <v>950</v>
      </c>
      <c r="B1006" t="s">
        <v>425</v>
      </c>
      <c r="C1006" t="s">
        <v>1077</v>
      </c>
      <c r="D1006" t="s">
        <v>1088</v>
      </c>
      <c r="E1006" t="s">
        <v>1086</v>
      </c>
      <c r="F1006" t="str" cm="1">
        <f t="array" ref="F1006">IF(SUM(IF(PartList[ASSLY MARK]=PartList[[#This Row],[ASSLY MARK]],1,0))&gt;1,"No","Yes")</f>
        <v>No</v>
      </c>
      <c r="G1006" t="str" cm="1">
        <f t="array" ref="G1006">_xlfn.TEXTJOIN("_",TRUE,TRIM(_xlfn.TEXTSPLIT(PartList[[#This Row],[GRID LOCATION]],{"PR01","/","-"})))</f>
        <v>13_B</v>
      </c>
      <c r="H1006" t="str" cm="1">
        <f t="array" ref="H100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06" cm="1">
        <f t="array" ref="I100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06" t="str">
        <f>IF(IFERROR(SEARCH("&gt;",PartList[[#This Row],[ID]]),0),"O",IF(IFERROR(SEARCH("&lt;",PartList[[#This Row],[ID]]),0),"I",""))</f>
        <v/>
      </c>
      <c r="K1006" t="str" cm="1">
        <f t="array" ref="K10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06" t="str" cm="1">
        <f t="array" ref="L10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06" t="str">
        <f>_xlfn.TEXTJOIN("#",TRUE,PartList[[#This Row],[ASSLY MARK]],PartList[[#This Row],[BOX NO]],PartList[[#This Row],[In/Out]],PartList[[#This Row],[O1-Grid]])</f>
        <v>SF01#Box2#13_B_A</v>
      </c>
      <c r="N1006" t="str">
        <f>_xlfn.TEXTJOIN("#",TRUE,PartList[[#This Row],[ASSLY MARK]],PartList[[#This Row],[BOX NO]],PartList[[#This Row],[In/Out]],PartList[[#This Row],[O2-Grid]])</f>
        <v>SF01#Box2#12_13_B</v>
      </c>
      <c r="O1006">
        <v>1</v>
      </c>
      <c r="P1006">
        <f>_xlfn.XLOOKUP(PartList[[#This Row],[ASSLY MARK]],MasterPL[SplitMarkNo],MasterPL[BILL WT.(KG)],0,0)</f>
        <v>877.94</v>
      </c>
      <c r="Q1006" cm="1">
        <f t="array" ref="Q100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07" spans="1:17" x14ac:dyDescent="0.25">
      <c r="A1007">
        <v>954</v>
      </c>
      <c r="B1007" t="s">
        <v>427</v>
      </c>
      <c r="C1007" t="s">
        <v>1053</v>
      </c>
      <c r="D1007" t="s">
        <v>1090</v>
      </c>
      <c r="E1007" t="s">
        <v>1086</v>
      </c>
      <c r="F1007" t="str" cm="1">
        <f t="array" ref="F1007">IF(SUM(IF(PartList[ASSLY MARK]=PartList[[#This Row],[ASSLY MARK]],1,0))&gt;1,"No","Yes")</f>
        <v>No</v>
      </c>
      <c r="G1007" t="str" cm="1">
        <f t="array" ref="G1007">_xlfn.TEXTJOIN("_",TRUE,TRIM(_xlfn.TEXTSPLIT(PartList[[#This Row],[GRID LOCATION]],{"PR01","/","-"})))</f>
        <v>12_A</v>
      </c>
      <c r="H1007" t="str" cm="1">
        <f t="array" ref="H100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07" cm="1">
        <f t="array" ref="I100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07" t="str">
        <f>IF(IFERROR(SEARCH("&gt;",PartList[[#This Row],[ID]]),0),"O",IF(IFERROR(SEARCH("&lt;",PartList[[#This Row],[ID]]),0),"I",""))</f>
        <v/>
      </c>
      <c r="K1007" t="str" cm="1">
        <f t="array" ref="K10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07" t="str" cm="1">
        <f t="array" ref="L10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07" t="str">
        <f>_xlfn.TEXTJOIN("#",TRUE,PartList[[#This Row],[ASSLY MARK]],PartList[[#This Row],[BOX NO]],PartList[[#This Row],[In/Out]],PartList[[#This Row],[O1-Grid]])</f>
        <v>SF02#Box2#12_B_A</v>
      </c>
      <c r="N1007" t="str">
        <f>_xlfn.TEXTJOIN("#",TRUE,PartList[[#This Row],[ASSLY MARK]],PartList[[#This Row],[BOX NO]],PartList[[#This Row],[In/Out]],PartList[[#This Row],[O2-Grid]])</f>
        <v>SF02#Box2#12_13_A</v>
      </c>
      <c r="O1007">
        <v>1</v>
      </c>
      <c r="P1007">
        <f>_xlfn.XLOOKUP(PartList[[#This Row],[ASSLY MARK]],MasterPL[SplitMarkNo],MasterPL[BILL WT.(KG)],0,0)</f>
        <v>1440.79</v>
      </c>
      <c r="Q1007" cm="1">
        <f t="array" ref="Q100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08" spans="1:17" x14ac:dyDescent="0.25">
      <c r="A1008">
        <v>955</v>
      </c>
      <c r="B1008" t="s">
        <v>427</v>
      </c>
      <c r="C1008" t="s">
        <v>1053</v>
      </c>
      <c r="D1008" t="s">
        <v>1090</v>
      </c>
      <c r="E1008" t="s">
        <v>1086</v>
      </c>
      <c r="F1008" t="str" cm="1">
        <f t="array" ref="F1008">IF(SUM(IF(PartList[ASSLY MARK]=PartList[[#This Row],[ASSLY MARK]],1,0))&gt;1,"No","Yes")</f>
        <v>No</v>
      </c>
      <c r="G1008" t="str" cm="1">
        <f t="array" ref="G1008">_xlfn.TEXTJOIN("_",TRUE,TRIM(_xlfn.TEXTSPLIT(PartList[[#This Row],[GRID LOCATION]],{"PR01","/","-"})))</f>
        <v>12_A</v>
      </c>
      <c r="H1008" t="str" cm="1">
        <f t="array" ref="H100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08" cm="1">
        <f t="array" ref="I100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08" t="str">
        <f>IF(IFERROR(SEARCH("&gt;",PartList[[#This Row],[ID]]),0),"O",IF(IFERROR(SEARCH("&lt;",PartList[[#This Row],[ID]]),0),"I",""))</f>
        <v/>
      </c>
      <c r="K1008" t="str" cm="1">
        <f t="array" ref="K10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08" t="str" cm="1">
        <f t="array" ref="L10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08" t="str">
        <f>_xlfn.TEXTJOIN("#",TRUE,PartList[[#This Row],[ASSLY MARK]],PartList[[#This Row],[BOX NO]],PartList[[#This Row],[In/Out]],PartList[[#This Row],[O1-Grid]])</f>
        <v>SF02#Box2#12_B_A</v>
      </c>
      <c r="N1008" t="str">
        <f>_xlfn.TEXTJOIN("#",TRUE,PartList[[#This Row],[ASSLY MARK]],PartList[[#This Row],[BOX NO]],PartList[[#This Row],[In/Out]],PartList[[#This Row],[O2-Grid]])</f>
        <v>SF02#Box2#12_13_A</v>
      </c>
      <c r="O1008">
        <v>1</v>
      </c>
      <c r="P1008">
        <f>_xlfn.XLOOKUP(PartList[[#This Row],[ASSLY MARK]],MasterPL[SplitMarkNo],MasterPL[BILL WT.(KG)],0,0)</f>
        <v>1440.79</v>
      </c>
      <c r="Q1008" cm="1">
        <f t="array" ref="Q100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09" spans="1:17" x14ac:dyDescent="0.25">
      <c r="A1009">
        <v>957</v>
      </c>
      <c r="B1009" t="s">
        <v>427</v>
      </c>
      <c r="C1009" t="s">
        <v>1053</v>
      </c>
      <c r="D1009" t="s">
        <v>1090</v>
      </c>
      <c r="E1009" t="s">
        <v>1086</v>
      </c>
      <c r="F1009" t="str" cm="1">
        <f t="array" ref="F1009">IF(SUM(IF(PartList[ASSLY MARK]=PartList[[#This Row],[ASSLY MARK]],1,0))&gt;1,"No","Yes")</f>
        <v>No</v>
      </c>
      <c r="G1009" t="str" cm="1">
        <f t="array" ref="G1009">_xlfn.TEXTJOIN("_",TRUE,TRIM(_xlfn.TEXTSPLIT(PartList[[#This Row],[GRID LOCATION]],{"PR01","/","-"})))</f>
        <v>12_A</v>
      </c>
      <c r="H1009" t="str" cm="1">
        <f t="array" ref="H100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09" cm="1">
        <f t="array" ref="I100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09" t="str">
        <f>IF(IFERROR(SEARCH("&gt;",PartList[[#This Row],[ID]]),0),"O",IF(IFERROR(SEARCH("&lt;",PartList[[#This Row],[ID]]),0),"I",""))</f>
        <v/>
      </c>
      <c r="K1009" t="str" cm="1">
        <f t="array" ref="K10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09" t="str" cm="1">
        <f t="array" ref="L10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09" t="str">
        <f>_xlfn.TEXTJOIN("#",TRUE,PartList[[#This Row],[ASSLY MARK]],PartList[[#This Row],[BOX NO]],PartList[[#This Row],[In/Out]],PartList[[#This Row],[O1-Grid]])</f>
        <v>SF02#Box2#12_B_A</v>
      </c>
      <c r="N1009" t="str">
        <f>_xlfn.TEXTJOIN("#",TRUE,PartList[[#This Row],[ASSLY MARK]],PartList[[#This Row],[BOX NO]],PartList[[#This Row],[In/Out]],PartList[[#This Row],[O2-Grid]])</f>
        <v>SF02#Box2#12_13_A</v>
      </c>
      <c r="O1009">
        <v>1</v>
      </c>
      <c r="P1009">
        <f>_xlfn.XLOOKUP(PartList[[#This Row],[ASSLY MARK]],MasterPL[SplitMarkNo],MasterPL[BILL WT.(KG)],0,0)</f>
        <v>1440.79</v>
      </c>
      <c r="Q1009" cm="1">
        <f t="array" ref="Q100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10" spans="1:17" x14ac:dyDescent="0.25">
      <c r="A1010">
        <v>960</v>
      </c>
      <c r="B1010" t="s">
        <v>427</v>
      </c>
      <c r="C1010" t="s">
        <v>1053</v>
      </c>
      <c r="D1010" t="s">
        <v>1090</v>
      </c>
      <c r="E1010" t="s">
        <v>1086</v>
      </c>
      <c r="F1010" t="str" cm="1">
        <f t="array" ref="F1010">IF(SUM(IF(PartList[ASSLY MARK]=PartList[[#This Row],[ASSLY MARK]],1,0))&gt;1,"No","Yes")</f>
        <v>No</v>
      </c>
      <c r="G1010" t="str" cm="1">
        <f t="array" ref="G1010">_xlfn.TEXTJOIN("_",TRUE,TRIM(_xlfn.TEXTSPLIT(PartList[[#This Row],[GRID LOCATION]],{"PR01","/","-"})))</f>
        <v>12_A</v>
      </c>
      <c r="H1010" t="str" cm="1">
        <f t="array" ref="H101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10" cm="1">
        <f t="array" ref="I101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10" t="str">
        <f>IF(IFERROR(SEARCH("&gt;",PartList[[#This Row],[ID]]),0),"O",IF(IFERROR(SEARCH("&lt;",PartList[[#This Row],[ID]]),0),"I",""))</f>
        <v/>
      </c>
      <c r="K1010" t="str" cm="1">
        <f t="array" ref="K10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10" t="str" cm="1">
        <f t="array" ref="L10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10" t="str">
        <f>_xlfn.TEXTJOIN("#",TRUE,PartList[[#This Row],[ASSLY MARK]],PartList[[#This Row],[BOX NO]],PartList[[#This Row],[In/Out]],PartList[[#This Row],[O1-Grid]])</f>
        <v>SF02#Box2#12_B_A</v>
      </c>
      <c r="N1010" t="str">
        <f>_xlfn.TEXTJOIN("#",TRUE,PartList[[#This Row],[ASSLY MARK]],PartList[[#This Row],[BOX NO]],PartList[[#This Row],[In/Out]],PartList[[#This Row],[O2-Grid]])</f>
        <v>SF02#Box2#12_13_A</v>
      </c>
      <c r="O1010">
        <v>1</v>
      </c>
      <c r="P1010">
        <f>_xlfn.XLOOKUP(PartList[[#This Row],[ASSLY MARK]],MasterPL[SplitMarkNo],MasterPL[BILL WT.(KG)],0,0)</f>
        <v>1440.79</v>
      </c>
      <c r="Q1010" cm="1">
        <f t="array" ref="Q101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11" spans="1:17" x14ac:dyDescent="0.25">
      <c r="A1011">
        <v>962</v>
      </c>
      <c r="B1011" t="s">
        <v>427</v>
      </c>
      <c r="C1011" t="s">
        <v>1059</v>
      </c>
      <c r="D1011" t="s">
        <v>431</v>
      </c>
      <c r="E1011" t="s">
        <v>1086</v>
      </c>
      <c r="F1011" t="str" cm="1">
        <f t="array" ref="F1011">IF(SUM(IF(PartList[ASSLY MARK]=PartList[[#This Row],[ASSLY MARK]],1,0))&gt;1,"No","Yes")</f>
        <v>No</v>
      </c>
      <c r="G1011" t="str" cm="1">
        <f t="array" ref="G1011">_xlfn.TEXTJOIN("_",TRUE,TRIM(_xlfn.TEXTSPLIT(PartList[[#This Row],[GRID LOCATION]],{"PR01","/","-"})))</f>
        <v>12_B</v>
      </c>
      <c r="H1011" t="str" cm="1">
        <f t="array" ref="H101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11" cm="1">
        <f t="array" ref="I101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11" t="str">
        <f>IF(IFERROR(SEARCH("&gt;",PartList[[#This Row],[ID]]),0),"O",IF(IFERROR(SEARCH("&lt;",PartList[[#This Row],[ID]]),0),"I",""))</f>
        <v/>
      </c>
      <c r="K1011" t="str" cm="1">
        <f t="array" ref="K10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11" t="str" cm="1">
        <f t="array" ref="L10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11" t="str">
        <f>_xlfn.TEXTJOIN("#",TRUE,PartList[[#This Row],[ASSLY MARK]],PartList[[#This Row],[BOX NO]],PartList[[#This Row],[In/Out]],PartList[[#This Row],[O1-Grid]])</f>
        <v>SF02#Box2#12_B_A</v>
      </c>
      <c r="N1011" t="str">
        <f>_xlfn.TEXTJOIN("#",TRUE,PartList[[#This Row],[ASSLY MARK]],PartList[[#This Row],[BOX NO]],PartList[[#This Row],[In/Out]],PartList[[#This Row],[O2-Grid]])</f>
        <v>SF02#Box2#12_13_B</v>
      </c>
      <c r="O1011">
        <v>1</v>
      </c>
      <c r="P1011">
        <f>_xlfn.XLOOKUP(PartList[[#This Row],[ASSLY MARK]],MasterPL[SplitMarkNo],MasterPL[BILL WT.(KG)],0,0)</f>
        <v>1440.79</v>
      </c>
      <c r="Q1011" cm="1">
        <f t="array" ref="Q101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12" spans="1:17" x14ac:dyDescent="0.25">
      <c r="A1012">
        <v>963</v>
      </c>
      <c r="B1012" t="s">
        <v>427</v>
      </c>
      <c r="C1012" t="s">
        <v>1059</v>
      </c>
      <c r="D1012" t="s">
        <v>431</v>
      </c>
      <c r="E1012" t="s">
        <v>1086</v>
      </c>
      <c r="F1012" t="str" cm="1">
        <f t="array" ref="F1012">IF(SUM(IF(PartList[ASSLY MARK]=PartList[[#This Row],[ASSLY MARK]],1,0))&gt;1,"No","Yes")</f>
        <v>No</v>
      </c>
      <c r="G1012" t="str" cm="1">
        <f t="array" ref="G1012">_xlfn.TEXTJOIN("_",TRUE,TRIM(_xlfn.TEXTSPLIT(PartList[[#This Row],[GRID LOCATION]],{"PR01","/","-"})))</f>
        <v>12_B</v>
      </c>
      <c r="H1012" t="str" cm="1">
        <f t="array" ref="H101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12" cm="1">
        <f t="array" ref="I101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12" t="str">
        <f>IF(IFERROR(SEARCH("&gt;",PartList[[#This Row],[ID]]),0),"O",IF(IFERROR(SEARCH("&lt;",PartList[[#This Row],[ID]]),0),"I",""))</f>
        <v/>
      </c>
      <c r="K1012" t="str" cm="1">
        <f t="array" ref="K10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12" t="str" cm="1">
        <f t="array" ref="L10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12" t="str">
        <f>_xlfn.TEXTJOIN("#",TRUE,PartList[[#This Row],[ASSLY MARK]],PartList[[#This Row],[BOX NO]],PartList[[#This Row],[In/Out]],PartList[[#This Row],[O1-Grid]])</f>
        <v>SF02#Box2#12_B_A</v>
      </c>
      <c r="N1012" t="str">
        <f>_xlfn.TEXTJOIN("#",TRUE,PartList[[#This Row],[ASSLY MARK]],PartList[[#This Row],[BOX NO]],PartList[[#This Row],[In/Out]],PartList[[#This Row],[O2-Grid]])</f>
        <v>SF02#Box2#12_13_B</v>
      </c>
      <c r="O1012">
        <v>1</v>
      </c>
      <c r="P1012">
        <f>_xlfn.XLOOKUP(PartList[[#This Row],[ASSLY MARK]],MasterPL[SplitMarkNo],MasterPL[BILL WT.(KG)],0,0)</f>
        <v>1440.79</v>
      </c>
      <c r="Q1012" cm="1">
        <f t="array" ref="Q101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13" spans="1:17" x14ac:dyDescent="0.25">
      <c r="A1013">
        <v>965</v>
      </c>
      <c r="B1013" t="s">
        <v>427</v>
      </c>
      <c r="C1013" t="s">
        <v>1059</v>
      </c>
      <c r="D1013" t="s">
        <v>431</v>
      </c>
      <c r="E1013" t="s">
        <v>1086</v>
      </c>
      <c r="F1013" t="str" cm="1">
        <f t="array" ref="F1013">IF(SUM(IF(PartList[ASSLY MARK]=PartList[[#This Row],[ASSLY MARK]],1,0))&gt;1,"No","Yes")</f>
        <v>No</v>
      </c>
      <c r="G1013" t="str" cm="1">
        <f t="array" ref="G1013">_xlfn.TEXTJOIN("_",TRUE,TRIM(_xlfn.TEXTSPLIT(PartList[[#This Row],[GRID LOCATION]],{"PR01","/","-"})))</f>
        <v>12_B</v>
      </c>
      <c r="H1013" t="str" cm="1">
        <f t="array" ref="H101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13" cm="1">
        <f t="array" ref="I101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13" t="str">
        <f>IF(IFERROR(SEARCH("&gt;",PartList[[#This Row],[ID]]),0),"O",IF(IFERROR(SEARCH("&lt;",PartList[[#This Row],[ID]]),0),"I",""))</f>
        <v/>
      </c>
      <c r="K1013" t="str" cm="1">
        <f t="array" ref="K10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13" t="str" cm="1">
        <f t="array" ref="L10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13" t="str">
        <f>_xlfn.TEXTJOIN("#",TRUE,PartList[[#This Row],[ASSLY MARK]],PartList[[#This Row],[BOX NO]],PartList[[#This Row],[In/Out]],PartList[[#This Row],[O1-Grid]])</f>
        <v>SF02#Box2#12_B_A</v>
      </c>
      <c r="N1013" t="str">
        <f>_xlfn.TEXTJOIN("#",TRUE,PartList[[#This Row],[ASSLY MARK]],PartList[[#This Row],[BOX NO]],PartList[[#This Row],[In/Out]],PartList[[#This Row],[O2-Grid]])</f>
        <v>SF02#Box2#12_13_B</v>
      </c>
      <c r="O1013">
        <v>1</v>
      </c>
      <c r="P1013">
        <f>_xlfn.XLOOKUP(PartList[[#This Row],[ASSLY MARK]],MasterPL[SplitMarkNo],MasterPL[BILL WT.(KG)],0,0)</f>
        <v>1440.79</v>
      </c>
      <c r="Q1013" cm="1">
        <f t="array" ref="Q101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14" spans="1:17" x14ac:dyDescent="0.25">
      <c r="A1014">
        <v>966</v>
      </c>
      <c r="B1014" t="s">
        <v>427</v>
      </c>
      <c r="C1014" t="s">
        <v>1059</v>
      </c>
      <c r="D1014" t="s">
        <v>431</v>
      </c>
      <c r="E1014" t="s">
        <v>1086</v>
      </c>
      <c r="F1014" t="str" cm="1">
        <f t="array" ref="F1014">IF(SUM(IF(PartList[ASSLY MARK]=PartList[[#This Row],[ASSLY MARK]],1,0))&gt;1,"No","Yes")</f>
        <v>No</v>
      </c>
      <c r="G1014" t="str" cm="1">
        <f t="array" ref="G1014">_xlfn.TEXTJOIN("_",TRUE,TRIM(_xlfn.TEXTSPLIT(PartList[[#This Row],[GRID LOCATION]],{"PR01","/","-"})))</f>
        <v>12_B</v>
      </c>
      <c r="H1014" t="str" cm="1">
        <f t="array" ref="H101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14" cm="1">
        <f t="array" ref="I101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14" t="str">
        <f>IF(IFERROR(SEARCH("&gt;",PartList[[#This Row],[ID]]),0),"O",IF(IFERROR(SEARCH("&lt;",PartList[[#This Row],[ID]]),0),"I",""))</f>
        <v/>
      </c>
      <c r="K1014" t="str" cm="1">
        <f t="array" ref="K10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14" t="str" cm="1">
        <f t="array" ref="L10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14" t="str">
        <f>_xlfn.TEXTJOIN("#",TRUE,PartList[[#This Row],[ASSLY MARK]],PartList[[#This Row],[BOX NO]],PartList[[#This Row],[In/Out]],PartList[[#This Row],[O1-Grid]])</f>
        <v>SF02#Box2#12_B_A</v>
      </c>
      <c r="N1014" t="str">
        <f>_xlfn.TEXTJOIN("#",TRUE,PartList[[#This Row],[ASSLY MARK]],PartList[[#This Row],[BOX NO]],PartList[[#This Row],[In/Out]],PartList[[#This Row],[O2-Grid]])</f>
        <v>SF02#Box2#12_13_B</v>
      </c>
      <c r="O1014">
        <v>1</v>
      </c>
      <c r="P1014">
        <f>_xlfn.XLOOKUP(PartList[[#This Row],[ASSLY MARK]],MasterPL[SplitMarkNo],MasterPL[BILL WT.(KG)],0,0)</f>
        <v>1440.79</v>
      </c>
      <c r="Q1014" cm="1">
        <f t="array" ref="Q101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15" spans="1:17" x14ac:dyDescent="0.25">
      <c r="A1015">
        <v>968</v>
      </c>
      <c r="B1015" t="s">
        <v>427</v>
      </c>
      <c r="C1015" t="s">
        <v>1053</v>
      </c>
      <c r="D1015" t="s">
        <v>1091</v>
      </c>
      <c r="E1015" t="s">
        <v>1086</v>
      </c>
      <c r="F1015" t="str" cm="1">
        <f t="array" ref="F1015">IF(SUM(IF(PartList[ASSLY MARK]=PartList[[#This Row],[ASSLY MARK]],1,0))&gt;1,"No","Yes")</f>
        <v>No</v>
      </c>
      <c r="G1015" t="str" cm="1">
        <f t="array" ref="G1015">_xlfn.TEXTJOIN("_",TRUE,TRIM(_xlfn.TEXTSPLIT(PartList[[#This Row],[GRID LOCATION]],{"PR01","/","-"})))</f>
        <v>12_A</v>
      </c>
      <c r="H1015" t="str" cm="1">
        <f t="array" ref="H101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15" cm="1">
        <f t="array" ref="I101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15" t="str">
        <f>IF(IFERROR(SEARCH("&gt;",PartList[[#This Row],[ID]]),0),"O",IF(IFERROR(SEARCH("&lt;",PartList[[#This Row],[ID]]),0),"I",""))</f>
        <v/>
      </c>
      <c r="K1015" t="str" cm="1">
        <f t="array" ref="K10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15" t="str" cm="1">
        <f t="array" ref="L10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15" t="str">
        <f>_xlfn.TEXTJOIN("#",TRUE,PartList[[#This Row],[ASSLY MARK]],PartList[[#This Row],[BOX NO]],PartList[[#This Row],[In/Out]],PartList[[#This Row],[O1-Grid]])</f>
        <v>SF02#Box2#12_B_A</v>
      </c>
      <c r="N1015" t="str">
        <f>_xlfn.TEXTJOIN("#",TRUE,PartList[[#This Row],[ASSLY MARK]],PartList[[#This Row],[BOX NO]],PartList[[#This Row],[In/Out]],PartList[[#This Row],[O2-Grid]])</f>
        <v>SF02#Box2#12_13_A</v>
      </c>
      <c r="O1015">
        <v>1</v>
      </c>
      <c r="P1015">
        <f>_xlfn.XLOOKUP(PartList[[#This Row],[ASSLY MARK]],MasterPL[SplitMarkNo],MasterPL[BILL WT.(KG)],0,0)</f>
        <v>1440.79</v>
      </c>
      <c r="Q1015" cm="1">
        <f t="array" ref="Q101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16" spans="1:17" x14ac:dyDescent="0.25">
      <c r="A1016">
        <v>969</v>
      </c>
      <c r="B1016" t="s">
        <v>427</v>
      </c>
      <c r="C1016" t="s">
        <v>1053</v>
      </c>
      <c r="D1016" t="s">
        <v>1091</v>
      </c>
      <c r="E1016" t="s">
        <v>1086</v>
      </c>
      <c r="F1016" t="str" cm="1">
        <f t="array" ref="F1016">IF(SUM(IF(PartList[ASSLY MARK]=PartList[[#This Row],[ASSLY MARK]],1,0))&gt;1,"No","Yes")</f>
        <v>No</v>
      </c>
      <c r="G1016" t="str" cm="1">
        <f t="array" ref="G1016">_xlfn.TEXTJOIN("_",TRUE,TRIM(_xlfn.TEXTSPLIT(PartList[[#This Row],[GRID LOCATION]],{"PR01","/","-"})))</f>
        <v>12_A</v>
      </c>
      <c r="H1016" t="str" cm="1">
        <f t="array" ref="H101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16" cm="1">
        <f t="array" ref="I101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16" t="str">
        <f>IF(IFERROR(SEARCH("&gt;",PartList[[#This Row],[ID]]),0),"O",IF(IFERROR(SEARCH("&lt;",PartList[[#This Row],[ID]]),0),"I",""))</f>
        <v/>
      </c>
      <c r="K1016" t="str" cm="1">
        <f t="array" ref="K10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16" t="str" cm="1">
        <f t="array" ref="L10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16" t="str">
        <f>_xlfn.TEXTJOIN("#",TRUE,PartList[[#This Row],[ASSLY MARK]],PartList[[#This Row],[BOX NO]],PartList[[#This Row],[In/Out]],PartList[[#This Row],[O1-Grid]])</f>
        <v>SF02#Box2#12_B_A</v>
      </c>
      <c r="N1016" t="str">
        <f>_xlfn.TEXTJOIN("#",TRUE,PartList[[#This Row],[ASSLY MARK]],PartList[[#This Row],[BOX NO]],PartList[[#This Row],[In/Out]],PartList[[#This Row],[O2-Grid]])</f>
        <v>SF02#Box2#12_13_A</v>
      </c>
      <c r="O1016">
        <v>1</v>
      </c>
      <c r="P1016">
        <f>_xlfn.XLOOKUP(PartList[[#This Row],[ASSLY MARK]],MasterPL[SplitMarkNo],MasterPL[BILL WT.(KG)],0,0)</f>
        <v>1440.79</v>
      </c>
      <c r="Q1016" cm="1">
        <f t="array" ref="Q101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17" spans="1:17" x14ac:dyDescent="0.25">
      <c r="A1017">
        <v>971</v>
      </c>
      <c r="B1017" t="s">
        <v>427</v>
      </c>
      <c r="C1017" t="s">
        <v>1053</v>
      </c>
      <c r="D1017" t="s">
        <v>1091</v>
      </c>
      <c r="E1017" t="s">
        <v>1086</v>
      </c>
      <c r="F1017" t="str" cm="1">
        <f t="array" ref="F1017">IF(SUM(IF(PartList[ASSLY MARK]=PartList[[#This Row],[ASSLY MARK]],1,0))&gt;1,"No","Yes")</f>
        <v>No</v>
      </c>
      <c r="G1017" t="str" cm="1">
        <f t="array" ref="G1017">_xlfn.TEXTJOIN("_",TRUE,TRIM(_xlfn.TEXTSPLIT(PartList[[#This Row],[GRID LOCATION]],{"PR01","/","-"})))</f>
        <v>12_A</v>
      </c>
      <c r="H1017" t="str" cm="1">
        <f t="array" ref="H101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17" cm="1">
        <f t="array" ref="I101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17" t="str">
        <f>IF(IFERROR(SEARCH("&gt;",PartList[[#This Row],[ID]]),0),"O",IF(IFERROR(SEARCH("&lt;",PartList[[#This Row],[ID]]),0),"I",""))</f>
        <v/>
      </c>
      <c r="K1017" t="str" cm="1">
        <f t="array" ref="K10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17" t="str" cm="1">
        <f t="array" ref="L10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17" t="str">
        <f>_xlfn.TEXTJOIN("#",TRUE,PartList[[#This Row],[ASSLY MARK]],PartList[[#This Row],[BOX NO]],PartList[[#This Row],[In/Out]],PartList[[#This Row],[O1-Grid]])</f>
        <v>SF02#Box2#12_B_A</v>
      </c>
      <c r="N1017" t="str">
        <f>_xlfn.TEXTJOIN("#",TRUE,PartList[[#This Row],[ASSLY MARK]],PartList[[#This Row],[BOX NO]],PartList[[#This Row],[In/Out]],PartList[[#This Row],[O2-Grid]])</f>
        <v>SF02#Box2#12_13_A</v>
      </c>
      <c r="O1017">
        <v>1</v>
      </c>
      <c r="P1017">
        <f>_xlfn.XLOOKUP(PartList[[#This Row],[ASSLY MARK]],MasterPL[SplitMarkNo],MasterPL[BILL WT.(KG)],0,0)</f>
        <v>1440.79</v>
      </c>
      <c r="Q1017" cm="1">
        <f t="array" ref="Q101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18" spans="1:17" x14ac:dyDescent="0.25">
      <c r="A1018">
        <v>972</v>
      </c>
      <c r="B1018" t="s">
        <v>427</v>
      </c>
      <c r="C1018" t="s">
        <v>1071</v>
      </c>
      <c r="D1018" t="s">
        <v>1092</v>
      </c>
      <c r="E1018" t="s">
        <v>1086</v>
      </c>
      <c r="F1018" t="str" cm="1">
        <f t="array" ref="F1018">IF(SUM(IF(PartList[ASSLY MARK]=PartList[[#This Row],[ASSLY MARK]],1,0))&gt;1,"No","Yes")</f>
        <v>No</v>
      </c>
      <c r="G1018" t="str" cm="1">
        <f t="array" ref="G1018">_xlfn.TEXTJOIN("_",TRUE,TRIM(_xlfn.TEXTSPLIT(PartList[[#This Row],[GRID LOCATION]],{"PR01","/","-"})))</f>
        <v>13_A</v>
      </c>
      <c r="H1018" t="str" cm="1">
        <f t="array" ref="H101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18" cm="1">
        <f t="array" ref="I101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18" t="str">
        <f>IF(IFERROR(SEARCH("&gt;",PartList[[#This Row],[ID]]),0),"O",IF(IFERROR(SEARCH("&lt;",PartList[[#This Row],[ID]]),0),"I",""))</f>
        <v/>
      </c>
      <c r="K1018" t="str" cm="1">
        <f t="array" ref="K10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18" t="str" cm="1">
        <f t="array" ref="L10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18" t="str">
        <f>_xlfn.TEXTJOIN("#",TRUE,PartList[[#This Row],[ASSLY MARK]],PartList[[#This Row],[BOX NO]],PartList[[#This Row],[In/Out]],PartList[[#This Row],[O1-Grid]])</f>
        <v>SF02#Box2#13_B_A</v>
      </c>
      <c r="N1018" t="str">
        <f>_xlfn.TEXTJOIN("#",TRUE,PartList[[#This Row],[ASSLY MARK]],PartList[[#This Row],[BOX NO]],PartList[[#This Row],[In/Out]],PartList[[#This Row],[O2-Grid]])</f>
        <v>SF02#Box2#12_13_A</v>
      </c>
      <c r="O1018">
        <v>1</v>
      </c>
      <c r="P1018">
        <f>_xlfn.XLOOKUP(PartList[[#This Row],[ASSLY MARK]],MasterPL[SplitMarkNo],MasterPL[BILL WT.(KG)],0,0)</f>
        <v>1440.79</v>
      </c>
      <c r="Q1018" cm="1">
        <f t="array" ref="Q101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19" spans="1:17" x14ac:dyDescent="0.25">
      <c r="A1019">
        <v>974</v>
      </c>
      <c r="B1019" t="s">
        <v>427</v>
      </c>
      <c r="C1019" t="s">
        <v>1053</v>
      </c>
      <c r="D1019" t="s">
        <v>1091</v>
      </c>
      <c r="E1019" t="s">
        <v>1086</v>
      </c>
      <c r="F1019" t="str" cm="1">
        <f t="array" ref="F1019">IF(SUM(IF(PartList[ASSLY MARK]=PartList[[#This Row],[ASSLY MARK]],1,0))&gt;1,"No","Yes")</f>
        <v>No</v>
      </c>
      <c r="G1019" t="str" cm="1">
        <f t="array" ref="G1019">_xlfn.TEXTJOIN("_",TRUE,TRIM(_xlfn.TEXTSPLIT(PartList[[#This Row],[GRID LOCATION]],{"PR01","/","-"})))</f>
        <v>12_A</v>
      </c>
      <c r="H1019" t="str" cm="1">
        <f t="array" ref="H101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19" cm="1">
        <f t="array" ref="I101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19" t="str">
        <f>IF(IFERROR(SEARCH("&gt;",PartList[[#This Row],[ID]]),0),"O",IF(IFERROR(SEARCH("&lt;",PartList[[#This Row],[ID]]),0),"I",""))</f>
        <v/>
      </c>
      <c r="K1019" t="str" cm="1">
        <f t="array" ref="K10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19" t="str" cm="1">
        <f t="array" ref="L10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19" t="str">
        <f>_xlfn.TEXTJOIN("#",TRUE,PartList[[#This Row],[ASSLY MARK]],PartList[[#This Row],[BOX NO]],PartList[[#This Row],[In/Out]],PartList[[#This Row],[O1-Grid]])</f>
        <v>SF02#Box2#12_B_A</v>
      </c>
      <c r="N1019" t="str">
        <f>_xlfn.TEXTJOIN("#",TRUE,PartList[[#This Row],[ASSLY MARK]],PartList[[#This Row],[BOX NO]],PartList[[#This Row],[In/Out]],PartList[[#This Row],[O2-Grid]])</f>
        <v>SF02#Box2#12_13_A</v>
      </c>
      <c r="O1019">
        <v>1</v>
      </c>
      <c r="P1019">
        <f>_xlfn.XLOOKUP(PartList[[#This Row],[ASSLY MARK]],MasterPL[SplitMarkNo],MasterPL[BILL WT.(KG)],0,0)</f>
        <v>1440.79</v>
      </c>
      <c r="Q1019" cm="1">
        <f t="array" ref="Q101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20" spans="1:17" x14ac:dyDescent="0.25">
      <c r="A1020">
        <v>975</v>
      </c>
      <c r="B1020" t="s">
        <v>427</v>
      </c>
      <c r="C1020" t="s">
        <v>1077</v>
      </c>
      <c r="D1020" t="s">
        <v>431</v>
      </c>
      <c r="E1020" t="s">
        <v>1086</v>
      </c>
      <c r="F1020" t="str" cm="1">
        <f t="array" ref="F1020">IF(SUM(IF(PartList[ASSLY MARK]=PartList[[#This Row],[ASSLY MARK]],1,0))&gt;1,"No","Yes")</f>
        <v>No</v>
      </c>
      <c r="G1020" t="str" cm="1">
        <f t="array" ref="G1020">_xlfn.TEXTJOIN("_",TRUE,TRIM(_xlfn.TEXTSPLIT(PartList[[#This Row],[GRID LOCATION]],{"PR01","/","-"})))</f>
        <v>13_B</v>
      </c>
      <c r="H1020" t="str" cm="1">
        <f t="array" ref="H102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20" cm="1">
        <f t="array" ref="I102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20" t="str">
        <f>IF(IFERROR(SEARCH("&gt;",PartList[[#This Row],[ID]]),0),"O",IF(IFERROR(SEARCH("&lt;",PartList[[#This Row],[ID]]),0),"I",""))</f>
        <v/>
      </c>
      <c r="K1020" t="str" cm="1">
        <f t="array" ref="K10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20" t="str" cm="1">
        <f t="array" ref="L10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20" t="str">
        <f>_xlfn.TEXTJOIN("#",TRUE,PartList[[#This Row],[ASSLY MARK]],PartList[[#This Row],[BOX NO]],PartList[[#This Row],[In/Out]],PartList[[#This Row],[O1-Grid]])</f>
        <v>SF02#Box2#13_B_A</v>
      </c>
      <c r="N1020" t="str">
        <f>_xlfn.TEXTJOIN("#",TRUE,PartList[[#This Row],[ASSLY MARK]],PartList[[#This Row],[BOX NO]],PartList[[#This Row],[In/Out]],PartList[[#This Row],[O2-Grid]])</f>
        <v>SF02#Box2#12_13_B</v>
      </c>
      <c r="O1020">
        <v>1</v>
      </c>
      <c r="P1020">
        <f>_xlfn.XLOOKUP(PartList[[#This Row],[ASSLY MARK]],MasterPL[SplitMarkNo],MasterPL[BILL WT.(KG)],0,0)</f>
        <v>1440.79</v>
      </c>
      <c r="Q1020" cm="1">
        <f t="array" ref="Q102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21" spans="1:17" x14ac:dyDescent="0.25">
      <c r="A1021">
        <v>977</v>
      </c>
      <c r="B1021" t="s">
        <v>427</v>
      </c>
      <c r="C1021" t="s">
        <v>1071</v>
      </c>
      <c r="D1021" t="s">
        <v>1092</v>
      </c>
      <c r="E1021" t="s">
        <v>1086</v>
      </c>
      <c r="F1021" t="str" cm="1">
        <f t="array" ref="F1021">IF(SUM(IF(PartList[ASSLY MARK]=PartList[[#This Row],[ASSLY MARK]],1,0))&gt;1,"No","Yes")</f>
        <v>No</v>
      </c>
      <c r="G1021" t="str" cm="1">
        <f t="array" ref="G1021">_xlfn.TEXTJOIN("_",TRUE,TRIM(_xlfn.TEXTSPLIT(PartList[[#This Row],[GRID LOCATION]],{"PR01","/","-"})))</f>
        <v>13_A</v>
      </c>
      <c r="H1021" t="str" cm="1">
        <f t="array" ref="H102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21" cm="1">
        <f t="array" ref="I102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21" t="str">
        <f>IF(IFERROR(SEARCH("&gt;",PartList[[#This Row],[ID]]),0),"O",IF(IFERROR(SEARCH("&lt;",PartList[[#This Row],[ID]]),0),"I",""))</f>
        <v/>
      </c>
      <c r="K1021" t="str" cm="1">
        <f t="array" ref="K10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21" t="str" cm="1">
        <f t="array" ref="L10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21" t="str">
        <f>_xlfn.TEXTJOIN("#",TRUE,PartList[[#This Row],[ASSLY MARK]],PartList[[#This Row],[BOX NO]],PartList[[#This Row],[In/Out]],PartList[[#This Row],[O1-Grid]])</f>
        <v>SF02#Box2#13_B_A</v>
      </c>
      <c r="N1021" t="str">
        <f>_xlfn.TEXTJOIN("#",TRUE,PartList[[#This Row],[ASSLY MARK]],PartList[[#This Row],[BOX NO]],PartList[[#This Row],[In/Out]],PartList[[#This Row],[O2-Grid]])</f>
        <v>SF02#Box2#12_13_A</v>
      </c>
      <c r="O1021">
        <v>1</v>
      </c>
      <c r="P1021">
        <f>_xlfn.XLOOKUP(PartList[[#This Row],[ASSLY MARK]],MasterPL[SplitMarkNo],MasterPL[BILL WT.(KG)],0,0)</f>
        <v>1440.79</v>
      </c>
      <c r="Q1021" cm="1">
        <f t="array" ref="Q102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22" spans="1:17" x14ac:dyDescent="0.25">
      <c r="A1022">
        <v>978</v>
      </c>
      <c r="B1022" t="s">
        <v>427</v>
      </c>
      <c r="C1022" t="s">
        <v>1077</v>
      </c>
      <c r="D1022" t="s">
        <v>431</v>
      </c>
      <c r="E1022" t="s">
        <v>1086</v>
      </c>
      <c r="F1022" t="str" cm="1">
        <f t="array" ref="F1022">IF(SUM(IF(PartList[ASSLY MARK]=PartList[[#This Row],[ASSLY MARK]],1,0))&gt;1,"No","Yes")</f>
        <v>No</v>
      </c>
      <c r="G1022" t="str" cm="1">
        <f t="array" ref="G1022">_xlfn.TEXTJOIN("_",TRUE,TRIM(_xlfn.TEXTSPLIT(PartList[[#This Row],[GRID LOCATION]],{"PR01","/","-"})))</f>
        <v>13_B</v>
      </c>
      <c r="H1022" t="str" cm="1">
        <f t="array" ref="H102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22" cm="1">
        <f t="array" ref="I102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22" t="str">
        <f>IF(IFERROR(SEARCH("&gt;",PartList[[#This Row],[ID]]),0),"O",IF(IFERROR(SEARCH("&lt;",PartList[[#This Row],[ID]]),0),"I",""))</f>
        <v/>
      </c>
      <c r="K1022" t="str" cm="1">
        <f t="array" ref="K10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22" t="str" cm="1">
        <f t="array" ref="L10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22" t="str">
        <f>_xlfn.TEXTJOIN("#",TRUE,PartList[[#This Row],[ASSLY MARK]],PartList[[#This Row],[BOX NO]],PartList[[#This Row],[In/Out]],PartList[[#This Row],[O1-Grid]])</f>
        <v>SF02#Box2#13_B_A</v>
      </c>
      <c r="N1022" t="str">
        <f>_xlfn.TEXTJOIN("#",TRUE,PartList[[#This Row],[ASSLY MARK]],PartList[[#This Row],[BOX NO]],PartList[[#This Row],[In/Out]],PartList[[#This Row],[O2-Grid]])</f>
        <v>SF02#Box2#12_13_B</v>
      </c>
      <c r="O1022">
        <v>1</v>
      </c>
      <c r="P1022">
        <f>_xlfn.XLOOKUP(PartList[[#This Row],[ASSLY MARK]],MasterPL[SplitMarkNo],MasterPL[BILL WT.(KG)],0,0)</f>
        <v>1440.79</v>
      </c>
      <c r="Q1022" cm="1">
        <f t="array" ref="Q102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23" spans="1:17" x14ac:dyDescent="0.25">
      <c r="A1023">
        <v>980</v>
      </c>
      <c r="B1023" t="s">
        <v>427</v>
      </c>
      <c r="C1023" t="s">
        <v>1077</v>
      </c>
      <c r="D1023" t="s">
        <v>431</v>
      </c>
      <c r="E1023" t="s">
        <v>1086</v>
      </c>
      <c r="F1023" t="str" cm="1">
        <f t="array" ref="F1023">IF(SUM(IF(PartList[ASSLY MARK]=PartList[[#This Row],[ASSLY MARK]],1,0))&gt;1,"No","Yes")</f>
        <v>No</v>
      </c>
      <c r="G1023" t="str" cm="1">
        <f t="array" ref="G1023">_xlfn.TEXTJOIN("_",TRUE,TRIM(_xlfn.TEXTSPLIT(PartList[[#This Row],[GRID LOCATION]],{"PR01","/","-"})))</f>
        <v>13_B</v>
      </c>
      <c r="H1023" t="str" cm="1">
        <f t="array" ref="H102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23" cm="1">
        <f t="array" ref="I102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23" t="str">
        <f>IF(IFERROR(SEARCH("&gt;",PartList[[#This Row],[ID]]),0),"O",IF(IFERROR(SEARCH("&lt;",PartList[[#This Row],[ID]]),0),"I",""))</f>
        <v/>
      </c>
      <c r="K1023" t="str" cm="1">
        <f t="array" ref="K10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23" t="str" cm="1">
        <f t="array" ref="L10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23" t="str">
        <f>_xlfn.TEXTJOIN("#",TRUE,PartList[[#This Row],[ASSLY MARK]],PartList[[#This Row],[BOX NO]],PartList[[#This Row],[In/Out]],PartList[[#This Row],[O1-Grid]])</f>
        <v>SF02#Box2#13_B_A</v>
      </c>
      <c r="N1023" t="str">
        <f>_xlfn.TEXTJOIN("#",TRUE,PartList[[#This Row],[ASSLY MARK]],PartList[[#This Row],[BOX NO]],PartList[[#This Row],[In/Out]],PartList[[#This Row],[O2-Grid]])</f>
        <v>SF02#Box2#12_13_B</v>
      </c>
      <c r="O1023">
        <v>1</v>
      </c>
      <c r="P1023">
        <f>_xlfn.XLOOKUP(PartList[[#This Row],[ASSLY MARK]],MasterPL[SplitMarkNo],MasterPL[BILL WT.(KG)],0,0)</f>
        <v>1440.79</v>
      </c>
      <c r="Q1023" cm="1">
        <f t="array" ref="Q102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24" spans="1:17" x14ac:dyDescent="0.25">
      <c r="A1024">
        <v>981</v>
      </c>
      <c r="B1024" t="s">
        <v>427</v>
      </c>
      <c r="C1024" t="s">
        <v>1071</v>
      </c>
      <c r="D1024" t="s">
        <v>1092</v>
      </c>
      <c r="E1024" t="s">
        <v>1086</v>
      </c>
      <c r="F1024" t="str" cm="1">
        <f t="array" ref="F1024">IF(SUM(IF(PartList[ASSLY MARK]=PartList[[#This Row],[ASSLY MARK]],1,0))&gt;1,"No","Yes")</f>
        <v>No</v>
      </c>
      <c r="G1024" t="str" cm="1">
        <f t="array" ref="G1024">_xlfn.TEXTJOIN("_",TRUE,TRIM(_xlfn.TEXTSPLIT(PartList[[#This Row],[GRID LOCATION]],{"PR01","/","-"})))</f>
        <v>13_A</v>
      </c>
      <c r="H1024" t="str" cm="1">
        <f t="array" ref="H102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24" cm="1">
        <f t="array" ref="I102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24" t="str">
        <f>IF(IFERROR(SEARCH("&gt;",PartList[[#This Row],[ID]]),0),"O",IF(IFERROR(SEARCH("&lt;",PartList[[#This Row],[ID]]),0),"I",""))</f>
        <v/>
      </c>
      <c r="K1024" t="str" cm="1">
        <f t="array" ref="K10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24" t="str" cm="1">
        <f t="array" ref="L10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24" t="str">
        <f>_xlfn.TEXTJOIN("#",TRUE,PartList[[#This Row],[ASSLY MARK]],PartList[[#This Row],[BOX NO]],PartList[[#This Row],[In/Out]],PartList[[#This Row],[O1-Grid]])</f>
        <v>SF02#Box2#13_B_A</v>
      </c>
      <c r="N1024" t="str">
        <f>_xlfn.TEXTJOIN("#",TRUE,PartList[[#This Row],[ASSLY MARK]],PartList[[#This Row],[BOX NO]],PartList[[#This Row],[In/Out]],PartList[[#This Row],[O2-Grid]])</f>
        <v>SF02#Box2#12_13_A</v>
      </c>
      <c r="O1024">
        <v>1</v>
      </c>
      <c r="P1024">
        <f>_xlfn.XLOOKUP(PartList[[#This Row],[ASSLY MARK]],MasterPL[SplitMarkNo],MasterPL[BILL WT.(KG)],0,0)</f>
        <v>1440.79</v>
      </c>
      <c r="Q1024" cm="1">
        <f t="array" ref="Q102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25" spans="1:17" x14ac:dyDescent="0.25">
      <c r="A1025">
        <v>983</v>
      </c>
      <c r="B1025" t="s">
        <v>427</v>
      </c>
      <c r="C1025" t="s">
        <v>1077</v>
      </c>
      <c r="D1025" t="s">
        <v>431</v>
      </c>
      <c r="E1025" t="s">
        <v>1086</v>
      </c>
      <c r="F1025" t="str" cm="1">
        <f t="array" ref="F1025">IF(SUM(IF(PartList[ASSLY MARK]=PartList[[#This Row],[ASSLY MARK]],1,0))&gt;1,"No","Yes")</f>
        <v>No</v>
      </c>
      <c r="G1025" t="str" cm="1">
        <f t="array" ref="G1025">_xlfn.TEXTJOIN("_",TRUE,TRIM(_xlfn.TEXTSPLIT(PartList[[#This Row],[GRID LOCATION]],{"PR01","/","-"})))</f>
        <v>13_B</v>
      </c>
      <c r="H1025" t="str" cm="1">
        <f t="array" ref="H102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25" cm="1">
        <f t="array" ref="I102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25" t="str">
        <f>IF(IFERROR(SEARCH("&gt;",PartList[[#This Row],[ID]]),0),"O",IF(IFERROR(SEARCH("&lt;",PartList[[#This Row],[ID]]),0),"I",""))</f>
        <v/>
      </c>
      <c r="K1025" t="str" cm="1">
        <f t="array" ref="K10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25" t="str" cm="1">
        <f t="array" ref="L10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25" t="str">
        <f>_xlfn.TEXTJOIN("#",TRUE,PartList[[#This Row],[ASSLY MARK]],PartList[[#This Row],[BOX NO]],PartList[[#This Row],[In/Out]],PartList[[#This Row],[O1-Grid]])</f>
        <v>SF02#Box2#13_B_A</v>
      </c>
      <c r="N1025" t="str">
        <f>_xlfn.TEXTJOIN("#",TRUE,PartList[[#This Row],[ASSLY MARK]],PartList[[#This Row],[BOX NO]],PartList[[#This Row],[In/Out]],PartList[[#This Row],[O2-Grid]])</f>
        <v>SF02#Box2#12_13_B</v>
      </c>
      <c r="O1025">
        <v>1</v>
      </c>
      <c r="P1025">
        <f>_xlfn.XLOOKUP(PartList[[#This Row],[ASSLY MARK]],MasterPL[SplitMarkNo],MasterPL[BILL WT.(KG)],0,0)</f>
        <v>1440.79</v>
      </c>
      <c r="Q1025" cm="1">
        <f t="array" ref="Q102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26" spans="1:17" x14ac:dyDescent="0.25">
      <c r="A1026">
        <v>986</v>
      </c>
      <c r="B1026" t="s">
        <v>427</v>
      </c>
      <c r="C1026" t="s">
        <v>1071</v>
      </c>
      <c r="D1026" t="s">
        <v>1092</v>
      </c>
      <c r="E1026" t="s">
        <v>1086</v>
      </c>
      <c r="F1026" t="str" cm="1">
        <f t="array" ref="F1026">IF(SUM(IF(PartList[ASSLY MARK]=PartList[[#This Row],[ASSLY MARK]],1,0))&gt;1,"No","Yes")</f>
        <v>No</v>
      </c>
      <c r="G1026" t="str" cm="1">
        <f t="array" ref="G1026">_xlfn.TEXTJOIN("_",TRUE,TRIM(_xlfn.TEXTSPLIT(PartList[[#This Row],[GRID LOCATION]],{"PR01","/","-"})))</f>
        <v>13_A</v>
      </c>
      <c r="H1026" t="str" cm="1">
        <f t="array" ref="H102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26" cm="1">
        <f t="array" ref="I102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26" t="str">
        <f>IF(IFERROR(SEARCH("&gt;",PartList[[#This Row],[ID]]),0),"O",IF(IFERROR(SEARCH("&lt;",PartList[[#This Row],[ID]]),0),"I",""))</f>
        <v/>
      </c>
      <c r="K1026" t="str" cm="1">
        <f t="array" ref="K10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26" t="str" cm="1">
        <f t="array" ref="L10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26" t="str">
        <f>_xlfn.TEXTJOIN("#",TRUE,PartList[[#This Row],[ASSLY MARK]],PartList[[#This Row],[BOX NO]],PartList[[#This Row],[In/Out]],PartList[[#This Row],[O1-Grid]])</f>
        <v>SF02#Box2#13_B_A</v>
      </c>
      <c r="N1026" t="str">
        <f>_xlfn.TEXTJOIN("#",TRUE,PartList[[#This Row],[ASSLY MARK]],PartList[[#This Row],[BOX NO]],PartList[[#This Row],[In/Out]],PartList[[#This Row],[O2-Grid]])</f>
        <v>SF02#Box2#12_13_A</v>
      </c>
      <c r="O1026">
        <v>1</v>
      </c>
      <c r="P1026">
        <f>_xlfn.XLOOKUP(PartList[[#This Row],[ASSLY MARK]],MasterPL[SplitMarkNo],MasterPL[BILL WT.(KG)],0,0)</f>
        <v>1440.79</v>
      </c>
      <c r="Q1026" cm="1">
        <f t="array" ref="Q102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27" spans="1:17" x14ac:dyDescent="0.25">
      <c r="A1027">
        <v>1029</v>
      </c>
      <c r="B1027" t="s">
        <v>428</v>
      </c>
      <c r="C1027" t="s">
        <v>1071</v>
      </c>
      <c r="D1027" t="s">
        <v>1088</v>
      </c>
      <c r="E1027" t="s">
        <v>1086</v>
      </c>
      <c r="F1027" t="str" cm="1">
        <f t="array" ref="F1027">IF(SUM(IF(PartList[ASSLY MARK]=PartList[[#This Row],[ASSLY MARK]],1,0))&gt;1,"No","Yes")</f>
        <v>No</v>
      </c>
      <c r="G1027" t="str" cm="1">
        <f t="array" ref="G1027">_xlfn.TEXTJOIN("_",TRUE,TRIM(_xlfn.TEXTSPLIT(PartList[[#This Row],[GRID LOCATION]],{"PR01","/","-"})))</f>
        <v>13_A</v>
      </c>
      <c r="H1027" t="str" cm="1">
        <f t="array" ref="H102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27" cm="1">
        <f t="array" ref="I102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27" t="str">
        <f>IF(IFERROR(SEARCH("&gt;",PartList[[#This Row],[ID]]),0),"O",IF(IFERROR(SEARCH("&lt;",PartList[[#This Row],[ID]]),0),"I",""))</f>
        <v/>
      </c>
      <c r="K1027" t="str" cm="1">
        <f t="array" ref="K10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27" t="str" cm="1">
        <f t="array" ref="L10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27" t="str">
        <f>_xlfn.TEXTJOIN("#",TRUE,PartList[[#This Row],[ASSLY MARK]],PartList[[#This Row],[BOX NO]],PartList[[#This Row],[In/Out]],PartList[[#This Row],[O1-Grid]])</f>
        <v>SF03#Box2#13_B_A</v>
      </c>
      <c r="N1027" t="str">
        <f>_xlfn.TEXTJOIN("#",TRUE,PartList[[#This Row],[ASSLY MARK]],PartList[[#This Row],[BOX NO]],PartList[[#This Row],[In/Out]],PartList[[#This Row],[O2-Grid]])</f>
        <v>SF03#Box2#12_13_A</v>
      </c>
      <c r="O1027">
        <v>1</v>
      </c>
      <c r="P1027">
        <f>_xlfn.XLOOKUP(PartList[[#This Row],[ASSLY MARK]],MasterPL[SplitMarkNo],MasterPL[BILL WT.(KG)],0,0)</f>
        <v>1316.92</v>
      </c>
      <c r="Q1027" cm="1">
        <f t="array" ref="Q102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28" spans="1:17" x14ac:dyDescent="0.25">
      <c r="A1028">
        <v>1030</v>
      </c>
      <c r="B1028" t="s">
        <v>428</v>
      </c>
      <c r="C1028" t="s">
        <v>1077</v>
      </c>
      <c r="D1028" t="s">
        <v>1088</v>
      </c>
      <c r="E1028" t="s">
        <v>1086</v>
      </c>
      <c r="F1028" t="str" cm="1">
        <f t="array" ref="F1028">IF(SUM(IF(PartList[ASSLY MARK]=PartList[[#This Row],[ASSLY MARK]],1,0))&gt;1,"No","Yes")</f>
        <v>No</v>
      </c>
      <c r="G1028" t="str" cm="1">
        <f t="array" ref="G1028">_xlfn.TEXTJOIN("_",TRUE,TRIM(_xlfn.TEXTSPLIT(PartList[[#This Row],[GRID LOCATION]],{"PR01","/","-"})))</f>
        <v>13_B</v>
      </c>
      <c r="H1028" t="str" cm="1">
        <f t="array" ref="H102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28" cm="1">
        <f t="array" ref="I102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28" t="str">
        <f>IF(IFERROR(SEARCH("&gt;",PartList[[#This Row],[ID]]),0),"O",IF(IFERROR(SEARCH("&lt;",PartList[[#This Row],[ID]]),0),"I",""))</f>
        <v/>
      </c>
      <c r="K1028" t="str" cm="1">
        <f t="array" ref="K10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28" t="str" cm="1">
        <f t="array" ref="L10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28" t="str">
        <f>_xlfn.TEXTJOIN("#",TRUE,PartList[[#This Row],[ASSLY MARK]],PartList[[#This Row],[BOX NO]],PartList[[#This Row],[In/Out]],PartList[[#This Row],[O1-Grid]])</f>
        <v>SF03#Box2#13_B_A</v>
      </c>
      <c r="N1028" t="str">
        <f>_xlfn.TEXTJOIN("#",TRUE,PartList[[#This Row],[ASSLY MARK]],PartList[[#This Row],[BOX NO]],PartList[[#This Row],[In/Out]],PartList[[#This Row],[O2-Grid]])</f>
        <v>SF03#Box2#12_13_B</v>
      </c>
      <c r="O1028">
        <v>1</v>
      </c>
      <c r="P1028">
        <f>_xlfn.XLOOKUP(PartList[[#This Row],[ASSLY MARK]],MasterPL[SplitMarkNo],MasterPL[BILL WT.(KG)],0,0)</f>
        <v>1316.92</v>
      </c>
      <c r="Q1028" cm="1">
        <f t="array" ref="Q102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29" spans="1:17" x14ac:dyDescent="0.25">
      <c r="A1029">
        <v>1033</v>
      </c>
      <c r="B1029" t="s">
        <v>428</v>
      </c>
      <c r="C1029" t="s">
        <v>1077</v>
      </c>
      <c r="D1029" t="s">
        <v>1088</v>
      </c>
      <c r="E1029" t="s">
        <v>1086</v>
      </c>
      <c r="F1029" t="str" cm="1">
        <f t="array" ref="F1029">IF(SUM(IF(PartList[ASSLY MARK]=PartList[[#This Row],[ASSLY MARK]],1,0))&gt;1,"No","Yes")</f>
        <v>No</v>
      </c>
      <c r="G1029" t="str" cm="1">
        <f t="array" ref="G1029">_xlfn.TEXTJOIN("_",TRUE,TRIM(_xlfn.TEXTSPLIT(PartList[[#This Row],[GRID LOCATION]],{"PR01","/","-"})))</f>
        <v>13_B</v>
      </c>
      <c r="H1029" t="str" cm="1">
        <f t="array" ref="H102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29" cm="1">
        <f t="array" ref="I102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29" t="str">
        <f>IF(IFERROR(SEARCH("&gt;",PartList[[#This Row],[ID]]),0),"O",IF(IFERROR(SEARCH("&lt;",PartList[[#This Row],[ID]]),0),"I",""))</f>
        <v/>
      </c>
      <c r="K1029" t="str" cm="1">
        <f t="array" ref="K10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29" t="str" cm="1">
        <f t="array" ref="L10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29" t="str">
        <f>_xlfn.TEXTJOIN("#",TRUE,PartList[[#This Row],[ASSLY MARK]],PartList[[#This Row],[BOX NO]],PartList[[#This Row],[In/Out]],PartList[[#This Row],[O1-Grid]])</f>
        <v>SF03#Box2#13_B_A</v>
      </c>
      <c r="N1029" t="str">
        <f>_xlfn.TEXTJOIN("#",TRUE,PartList[[#This Row],[ASSLY MARK]],PartList[[#This Row],[BOX NO]],PartList[[#This Row],[In/Out]],PartList[[#This Row],[O2-Grid]])</f>
        <v>SF03#Box2#12_13_B</v>
      </c>
      <c r="O1029">
        <v>1</v>
      </c>
      <c r="P1029">
        <f>_xlfn.XLOOKUP(PartList[[#This Row],[ASSLY MARK]],MasterPL[SplitMarkNo],MasterPL[BILL WT.(KG)],0,0)</f>
        <v>1316.92</v>
      </c>
      <c r="Q1029" cm="1">
        <f t="array" ref="Q102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30" spans="1:17" x14ac:dyDescent="0.25">
      <c r="A1030">
        <v>1034</v>
      </c>
      <c r="B1030" t="s">
        <v>428</v>
      </c>
      <c r="C1030" t="s">
        <v>1071</v>
      </c>
      <c r="D1030" t="s">
        <v>1088</v>
      </c>
      <c r="E1030" t="s">
        <v>1086</v>
      </c>
      <c r="F1030" t="str" cm="1">
        <f t="array" ref="F1030">IF(SUM(IF(PartList[ASSLY MARK]=PartList[[#This Row],[ASSLY MARK]],1,0))&gt;1,"No","Yes")</f>
        <v>No</v>
      </c>
      <c r="G1030" t="str" cm="1">
        <f t="array" ref="G1030">_xlfn.TEXTJOIN("_",TRUE,TRIM(_xlfn.TEXTSPLIT(PartList[[#This Row],[GRID LOCATION]],{"PR01","/","-"})))</f>
        <v>13_A</v>
      </c>
      <c r="H1030" t="str" cm="1">
        <f t="array" ref="H103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30" cm="1">
        <f t="array" ref="I103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30" t="str">
        <f>IF(IFERROR(SEARCH("&gt;",PartList[[#This Row],[ID]]),0),"O",IF(IFERROR(SEARCH("&lt;",PartList[[#This Row],[ID]]),0),"I",""))</f>
        <v/>
      </c>
      <c r="K1030" t="str" cm="1">
        <f t="array" ref="K10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30" t="str" cm="1">
        <f t="array" ref="L10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30" t="str">
        <f>_xlfn.TEXTJOIN("#",TRUE,PartList[[#This Row],[ASSLY MARK]],PartList[[#This Row],[BOX NO]],PartList[[#This Row],[In/Out]],PartList[[#This Row],[O1-Grid]])</f>
        <v>SF03#Box2#13_B_A</v>
      </c>
      <c r="N1030" t="str">
        <f>_xlfn.TEXTJOIN("#",TRUE,PartList[[#This Row],[ASSLY MARK]],PartList[[#This Row],[BOX NO]],PartList[[#This Row],[In/Out]],PartList[[#This Row],[O2-Grid]])</f>
        <v>SF03#Box2#12_13_A</v>
      </c>
      <c r="O1030">
        <v>1</v>
      </c>
      <c r="P1030">
        <f>_xlfn.XLOOKUP(PartList[[#This Row],[ASSLY MARK]],MasterPL[SplitMarkNo],MasterPL[BILL WT.(KG)],0,0)</f>
        <v>1316.92</v>
      </c>
      <c r="Q1030" cm="1">
        <f t="array" ref="Q103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31" spans="1:17" x14ac:dyDescent="0.25">
      <c r="A1031">
        <v>1051</v>
      </c>
      <c r="B1031" t="s">
        <v>429</v>
      </c>
      <c r="C1031" t="s">
        <v>1053</v>
      </c>
      <c r="D1031" t="s">
        <v>1090</v>
      </c>
      <c r="E1031" t="s">
        <v>1086</v>
      </c>
      <c r="F1031" t="str" cm="1">
        <f t="array" ref="F1031">IF(SUM(IF(PartList[ASSLY MARK]=PartList[[#This Row],[ASSLY MARK]],1,0))&gt;1,"No","Yes")</f>
        <v>No</v>
      </c>
      <c r="G1031" t="str" cm="1">
        <f t="array" ref="G1031">_xlfn.TEXTJOIN("_",TRUE,TRIM(_xlfn.TEXTSPLIT(PartList[[#This Row],[GRID LOCATION]],{"PR01","/","-"})))</f>
        <v>12_A</v>
      </c>
      <c r="H1031" t="str" cm="1">
        <f t="array" ref="H103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31" cm="1">
        <f t="array" ref="I103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31" t="str">
        <f>IF(IFERROR(SEARCH("&gt;",PartList[[#This Row],[ID]]),0),"O",IF(IFERROR(SEARCH("&lt;",PartList[[#This Row],[ID]]),0),"I",""))</f>
        <v/>
      </c>
      <c r="K1031" t="str" cm="1">
        <f t="array" ref="K10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31" t="str" cm="1">
        <f t="array" ref="L10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31" t="str">
        <f>_xlfn.TEXTJOIN("#",TRUE,PartList[[#This Row],[ASSLY MARK]],PartList[[#This Row],[BOX NO]],PartList[[#This Row],[In/Out]],PartList[[#This Row],[O1-Grid]])</f>
        <v>SF04#Box2#12_B_A</v>
      </c>
      <c r="N1031" t="str">
        <f>_xlfn.TEXTJOIN("#",TRUE,PartList[[#This Row],[ASSLY MARK]],PartList[[#This Row],[BOX NO]],PartList[[#This Row],[In/Out]],PartList[[#This Row],[O2-Grid]])</f>
        <v>SF04#Box2#12_13_A</v>
      </c>
      <c r="O1031">
        <v>1</v>
      </c>
      <c r="P1031">
        <f>_xlfn.XLOOKUP(PartList[[#This Row],[ASSLY MARK]],MasterPL[SplitMarkNo],MasterPL[BILL WT.(KG)],0,0)</f>
        <v>2104.31</v>
      </c>
      <c r="Q1031" cm="1">
        <f t="array" ref="Q103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32" spans="1:17" x14ac:dyDescent="0.25">
      <c r="A1032">
        <v>1057</v>
      </c>
      <c r="B1032" t="s">
        <v>429</v>
      </c>
      <c r="C1032" t="s">
        <v>1053</v>
      </c>
      <c r="D1032" t="s">
        <v>1090</v>
      </c>
      <c r="E1032" t="s">
        <v>1086</v>
      </c>
      <c r="F1032" t="str" cm="1">
        <f t="array" ref="F1032">IF(SUM(IF(PartList[ASSLY MARK]=PartList[[#This Row],[ASSLY MARK]],1,0))&gt;1,"No","Yes")</f>
        <v>No</v>
      </c>
      <c r="G1032" t="str" cm="1">
        <f t="array" ref="G1032">_xlfn.TEXTJOIN("_",TRUE,TRIM(_xlfn.TEXTSPLIT(PartList[[#This Row],[GRID LOCATION]],{"PR01","/","-"})))</f>
        <v>12_A</v>
      </c>
      <c r="H1032" t="str" cm="1">
        <f t="array" ref="H103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32" cm="1">
        <f t="array" ref="I103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32" t="str">
        <f>IF(IFERROR(SEARCH("&gt;",PartList[[#This Row],[ID]]),0),"O",IF(IFERROR(SEARCH("&lt;",PartList[[#This Row],[ID]]),0),"I",""))</f>
        <v/>
      </c>
      <c r="K1032" t="str" cm="1">
        <f t="array" ref="K10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32" t="str" cm="1">
        <f t="array" ref="L10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32" t="str">
        <f>_xlfn.TEXTJOIN("#",TRUE,PartList[[#This Row],[ASSLY MARK]],PartList[[#This Row],[BOX NO]],PartList[[#This Row],[In/Out]],PartList[[#This Row],[O1-Grid]])</f>
        <v>SF04#Box2#12_B_A</v>
      </c>
      <c r="N1032" t="str">
        <f>_xlfn.TEXTJOIN("#",TRUE,PartList[[#This Row],[ASSLY MARK]],PartList[[#This Row],[BOX NO]],PartList[[#This Row],[In/Out]],PartList[[#This Row],[O2-Grid]])</f>
        <v>SF04#Box2#12_13_A</v>
      </c>
      <c r="O1032">
        <v>1</v>
      </c>
      <c r="P1032">
        <f>_xlfn.XLOOKUP(PartList[[#This Row],[ASSLY MARK]],MasterPL[SplitMarkNo],MasterPL[BILL WT.(KG)],0,0)</f>
        <v>2104.31</v>
      </c>
      <c r="Q1032" cm="1">
        <f t="array" ref="Q103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33" spans="1:17" x14ac:dyDescent="0.25">
      <c r="A1033">
        <v>1060</v>
      </c>
      <c r="B1033" t="s">
        <v>429</v>
      </c>
      <c r="C1033" t="s">
        <v>1077</v>
      </c>
      <c r="D1033" t="s">
        <v>431</v>
      </c>
      <c r="E1033" t="s">
        <v>1086</v>
      </c>
      <c r="F1033" t="str" cm="1">
        <f t="array" ref="F1033">IF(SUM(IF(PartList[ASSLY MARK]=PartList[[#This Row],[ASSLY MARK]],1,0))&gt;1,"No","Yes")</f>
        <v>No</v>
      </c>
      <c r="G1033" t="str" cm="1">
        <f t="array" ref="G1033">_xlfn.TEXTJOIN("_",TRUE,TRIM(_xlfn.TEXTSPLIT(PartList[[#This Row],[GRID LOCATION]],{"PR01","/","-"})))</f>
        <v>13_B</v>
      </c>
      <c r="H1033" t="str" cm="1">
        <f t="array" ref="H103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33" cm="1">
        <f t="array" ref="I103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33" t="str">
        <f>IF(IFERROR(SEARCH("&gt;",PartList[[#This Row],[ID]]),0),"O",IF(IFERROR(SEARCH("&lt;",PartList[[#This Row],[ID]]),0),"I",""))</f>
        <v/>
      </c>
      <c r="K1033" t="str" cm="1">
        <f t="array" ref="K10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33" t="str" cm="1">
        <f t="array" ref="L10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33" t="str">
        <f>_xlfn.TEXTJOIN("#",TRUE,PartList[[#This Row],[ASSLY MARK]],PartList[[#This Row],[BOX NO]],PartList[[#This Row],[In/Out]],PartList[[#This Row],[O1-Grid]])</f>
        <v>SF04#Box2#13_B_A</v>
      </c>
      <c r="N1033" t="str">
        <f>_xlfn.TEXTJOIN("#",TRUE,PartList[[#This Row],[ASSLY MARK]],PartList[[#This Row],[BOX NO]],PartList[[#This Row],[In/Out]],PartList[[#This Row],[O2-Grid]])</f>
        <v>SF04#Box2#12_13_B</v>
      </c>
      <c r="O1033">
        <v>1</v>
      </c>
      <c r="P1033">
        <f>_xlfn.XLOOKUP(PartList[[#This Row],[ASSLY MARK]],MasterPL[SplitMarkNo],MasterPL[BILL WT.(KG)],0,0)</f>
        <v>2104.31</v>
      </c>
      <c r="Q1033" cm="1">
        <f t="array" ref="Q103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34" spans="1:17" x14ac:dyDescent="0.25">
      <c r="A1034">
        <v>1063</v>
      </c>
      <c r="B1034" t="s">
        <v>429</v>
      </c>
      <c r="C1034" t="s">
        <v>1059</v>
      </c>
      <c r="D1034" t="s">
        <v>431</v>
      </c>
      <c r="E1034" t="s">
        <v>1086</v>
      </c>
      <c r="F1034" t="str" cm="1">
        <f t="array" ref="F1034">IF(SUM(IF(PartList[ASSLY MARK]=PartList[[#This Row],[ASSLY MARK]],1,0))&gt;1,"No","Yes")</f>
        <v>No</v>
      </c>
      <c r="G1034" t="str" cm="1">
        <f t="array" ref="G1034">_xlfn.TEXTJOIN("_",TRUE,TRIM(_xlfn.TEXTSPLIT(PartList[[#This Row],[GRID LOCATION]],{"PR01","/","-"})))</f>
        <v>12_B</v>
      </c>
      <c r="H1034" t="str" cm="1">
        <f t="array" ref="H103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34" cm="1">
        <f t="array" ref="I103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34" t="str">
        <f>IF(IFERROR(SEARCH("&gt;",PartList[[#This Row],[ID]]),0),"O",IF(IFERROR(SEARCH("&lt;",PartList[[#This Row],[ID]]),0),"I",""))</f>
        <v/>
      </c>
      <c r="K1034" t="str" cm="1">
        <f t="array" ref="K10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34" t="str" cm="1">
        <f t="array" ref="L10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34" t="str">
        <f>_xlfn.TEXTJOIN("#",TRUE,PartList[[#This Row],[ASSLY MARK]],PartList[[#This Row],[BOX NO]],PartList[[#This Row],[In/Out]],PartList[[#This Row],[O1-Grid]])</f>
        <v>SF04#Box2#12_B_A</v>
      </c>
      <c r="N1034" t="str">
        <f>_xlfn.TEXTJOIN("#",TRUE,PartList[[#This Row],[ASSLY MARK]],PartList[[#This Row],[BOX NO]],PartList[[#This Row],[In/Out]],PartList[[#This Row],[O2-Grid]])</f>
        <v>SF04#Box2#12_13_B</v>
      </c>
      <c r="O1034">
        <v>1</v>
      </c>
      <c r="P1034">
        <f>_xlfn.XLOOKUP(PartList[[#This Row],[ASSLY MARK]],MasterPL[SplitMarkNo],MasterPL[BILL WT.(KG)],0,0)</f>
        <v>2104.31</v>
      </c>
      <c r="Q1034" cm="1">
        <f t="array" ref="Q103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35" spans="1:17" x14ac:dyDescent="0.25">
      <c r="A1035">
        <v>1066</v>
      </c>
      <c r="B1035" t="s">
        <v>429</v>
      </c>
      <c r="C1035" t="s">
        <v>1077</v>
      </c>
      <c r="D1035" t="s">
        <v>431</v>
      </c>
      <c r="E1035" t="s">
        <v>1086</v>
      </c>
      <c r="F1035" t="str" cm="1">
        <f t="array" ref="F1035">IF(SUM(IF(PartList[ASSLY MARK]=PartList[[#This Row],[ASSLY MARK]],1,0))&gt;1,"No","Yes")</f>
        <v>No</v>
      </c>
      <c r="G1035" t="str" cm="1">
        <f t="array" ref="G1035">_xlfn.TEXTJOIN("_",TRUE,TRIM(_xlfn.TEXTSPLIT(PartList[[#This Row],[GRID LOCATION]],{"PR01","/","-"})))</f>
        <v>13_B</v>
      </c>
      <c r="H1035" t="str" cm="1">
        <f t="array" ref="H103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35" cm="1">
        <f t="array" ref="I103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35" t="str">
        <f>IF(IFERROR(SEARCH("&gt;",PartList[[#This Row],[ID]]),0),"O",IF(IFERROR(SEARCH("&lt;",PartList[[#This Row],[ID]]),0),"I",""))</f>
        <v/>
      </c>
      <c r="K1035" t="str" cm="1">
        <f t="array" ref="K10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35" t="str" cm="1">
        <f t="array" ref="L10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35" t="str">
        <f>_xlfn.TEXTJOIN("#",TRUE,PartList[[#This Row],[ASSLY MARK]],PartList[[#This Row],[BOX NO]],PartList[[#This Row],[In/Out]],PartList[[#This Row],[O1-Grid]])</f>
        <v>SF04#Box2#13_B_A</v>
      </c>
      <c r="N1035" t="str">
        <f>_xlfn.TEXTJOIN("#",TRUE,PartList[[#This Row],[ASSLY MARK]],PartList[[#This Row],[BOX NO]],PartList[[#This Row],[In/Out]],PartList[[#This Row],[O2-Grid]])</f>
        <v>SF04#Box2#12_13_B</v>
      </c>
      <c r="O1035">
        <v>1</v>
      </c>
      <c r="P1035">
        <f>_xlfn.XLOOKUP(PartList[[#This Row],[ASSLY MARK]],MasterPL[SplitMarkNo],MasterPL[BILL WT.(KG)],0,0)</f>
        <v>2104.31</v>
      </c>
      <c r="Q1035" cm="1">
        <f t="array" ref="Q103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36" spans="1:17" x14ac:dyDescent="0.25">
      <c r="A1036">
        <v>1069</v>
      </c>
      <c r="B1036" t="s">
        <v>429</v>
      </c>
      <c r="C1036" t="s">
        <v>1059</v>
      </c>
      <c r="D1036" t="s">
        <v>431</v>
      </c>
      <c r="E1036" t="s">
        <v>1086</v>
      </c>
      <c r="F1036" t="str" cm="1">
        <f t="array" ref="F1036">IF(SUM(IF(PartList[ASSLY MARK]=PartList[[#This Row],[ASSLY MARK]],1,0))&gt;1,"No","Yes")</f>
        <v>No</v>
      </c>
      <c r="G1036" t="str" cm="1">
        <f t="array" ref="G1036">_xlfn.TEXTJOIN("_",TRUE,TRIM(_xlfn.TEXTSPLIT(PartList[[#This Row],[GRID LOCATION]],{"PR01","/","-"})))</f>
        <v>12_B</v>
      </c>
      <c r="H1036" t="str" cm="1">
        <f t="array" ref="H103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36" cm="1">
        <f t="array" ref="I103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36" t="str">
        <f>IF(IFERROR(SEARCH("&gt;",PartList[[#This Row],[ID]]),0),"O",IF(IFERROR(SEARCH("&lt;",PartList[[#This Row],[ID]]),0),"I",""))</f>
        <v/>
      </c>
      <c r="K1036" t="str" cm="1">
        <f t="array" ref="K10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36" t="str" cm="1">
        <f t="array" ref="L10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36" t="str">
        <f>_xlfn.TEXTJOIN("#",TRUE,PartList[[#This Row],[ASSLY MARK]],PartList[[#This Row],[BOX NO]],PartList[[#This Row],[In/Out]],PartList[[#This Row],[O1-Grid]])</f>
        <v>SF04#Box2#12_B_A</v>
      </c>
      <c r="N1036" t="str">
        <f>_xlfn.TEXTJOIN("#",TRUE,PartList[[#This Row],[ASSLY MARK]],PartList[[#This Row],[BOX NO]],PartList[[#This Row],[In/Out]],PartList[[#This Row],[O2-Grid]])</f>
        <v>SF04#Box2#12_13_B</v>
      </c>
      <c r="O1036">
        <v>1</v>
      </c>
      <c r="P1036">
        <f>_xlfn.XLOOKUP(PartList[[#This Row],[ASSLY MARK]],MasterPL[SplitMarkNo],MasterPL[BILL WT.(KG)],0,0)</f>
        <v>2104.31</v>
      </c>
      <c r="Q1036" cm="1">
        <f t="array" ref="Q103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37" spans="1:17" x14ac:dyDescent="0.25">
      <c r="A1037">
        <v>1071</v>
      </c>
      <c r="B1037" t="s">
        <v>429</v>
      </c>
      <c r="C1037" t="s">
        <v>1071</v>
      </c>
      <c r="D1037" t="s">
        <v>1092</v>
      </c>
      <c r="E1037" t="s">
        <v>1086</v>
      </c>
      <c r="F1037" t="str" cm="1">
        <f t="array" ref="F1037">IF(SUM(IF(PartList[ASSLY MARK]=PartList[[#This Row],[ASSLY MARK]],1,0))&gt;1,"No","Yes")</f>
        <v>No</v>
      </c>
      <c r="G1037" t="str" cm="1">
        <f t="array" ref="G1037">_xlfn.TEXTJOIN("_",TRUE,TRIM(_xlfn.TEXTSPLIT(PartList[[#This Row],[GRID LOCATION]],{"PR01","/","-"})))</f>
        <v>13_A</v>
      </c>
      <c r="H1037" t="str" cm="1">
        <f t="array" ref="H103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37" cm="1">
        <f t="array" ref="I103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37" t="str">
        <f>IF(IFERROR(SEARCH("&gt;",PartList[[#This Row],[ID]]),0),"O",IF(IFERROR(SEARCH("&lt;",PartList[[#This Row],[ID]]),0),"I",""))</f>
        <v/>
      </c>
      <c r="K1037" t="str" cm="1">
        <f t="array" ref="K10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37" t="str" cm="1">
        <f t="array" ref="L10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37" t="str">
        <f>_xlfn.TEXTJOIN("#",TRUE,PartList[[#This Row],[ASSLY MARK]],PartList[[#This Row],[BOX NO]],PartList[[#This Row],[In/Out]],PartList[[#This Row],[O1-Grid]])</f>
        <v>SF04#Box2#13_B_A</v>
      </c>
      <c r="N1037" t="str">
        <f>_xlfn.TEXTJOIN("#",TRUE,PartList[[#This Row],[ASSLY MARK]],PartList[[#This Row],[BOX NO]],PartList[[#This Row],[In/Out]],PartList[[#This Row],[O2-Grid]])</f>
        <v>SF04#Box2#12_13_A</v>
      </c>
      <c r="O1037">
        <v>1</v>
      </c>
      <c r="P1037">
        <f>_xlfn.XLOOKUP(PartList[[#This Row],[ASSLY MARK]],MasterPL[SplitMarkNo],MasterPL[BILL WT.(KG)],0,0)</f>
        <v>2104.31</v>
      </c>
      <c r="Q1037" cm="1">
        <f t="array" ref="Q103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38" spans="1:17" x14ac:dyDescent="0.25">
      <c r="A1038">
        <v>1072</v>
      </c>
      <c r="B1038" t="s">
        <v>429</v>
      </c>
      <c r="C1038" t="s">
        <v>1053</v>
      </c>
      <c r="D1038" t="s">
        <v>1091</v>
      </c>
      <c r="E1038" t="s">
        <v>1086</v>
      </c>
      <c r="F1038" t="str" cm="1">
        <f t="array" ref="F1038">IF(SUM(IF(PartList[ASSLY MARK]=PartList[[#This Row],[ASSLY MARK]],1,0))&gt;1,"No","Yes")</f>
        <v>No</v>
      </c>
      <c r="G1038" t="str" cm="1">
        <f t="array" ref="G1038">_xlfn.TEXTJOIN("_",TRUE,TRIM(_xlfn.TEXTSPLIT(PartList[[#This Row],[GRID LOCATION]],{"PR01","/","-"})))</f>
        <v>12_A</v>
      </c>
      <c r="H1038" t="str" cm="1">
        <f t="array" ref="H103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38" cm="1">
        <f t="array" ref="I103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38" t="str">
        <f>IF(IFERROR(SEARCH("&gt;",PartList[[#This Row],[ID]]),0),"O",IF(IFERROR(SEARCH("&lt;",PartList[[#This Row],[ID]]),0),"I",""))</f>
        <v/>
      </c>
      <c r="K1038" t="str" cm="1">
        <f t="array" ref="K10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38" t="str" cm="1">
        <f t="array" ref="L10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38" t="str">
        <f>_xlfn.TEXTJOIN("#",TRUE,PartList[[#This Row],[ASSLY MARK]],PartList[[#This Row],[BOX NO]],PartList[[#This Row],[In/Out]],PartList[[#This Row],[O1-Grid]])</f>
        <v>SF04#Box2#12_B_A</v>
      </c>
      <c r="N1038" t="str">
        <f>_xlfn.TEXTJOIN("#",TRUE,PartList[[#This Row],[ASSLY MARK]],PartList[[#This Row],[BOX NO]],PartList[[#This Row],[In/Out]],PartList[[#This Row],[O2-Grid]])</f>
        <v>SF04#Box2#12_13_A</v>
      </c>
      <c r="O1038">
        <v>1</v>
      </c>
      <c r="P1038">
        <f>_xlfn.XLOOKUP(PartList[[#This Row],[ASSLY MARK]],MasterPL[SplitMarkNo],MasterPL[BILL WT.(KG)],0,0)</f>
        <v>2104.31</v>
      </c>
      <c r="Q1038" cm="1">
        <f t="array" ref="Q103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39" spans="1:17" x14ac:dyDescent="0.25">
      <c r="A1039">
        <v>1074</v>
      </c>
      <c r="B1039" t="s">
        <v>429</v>
      </c>
      <c r="C1039" t="s">
        <v>1071</v>
      </c>
      <c r="D1039" t="s">
        <v>1092</v>
      </c>
      <c r="E1039" t="s">
        <v>1086</v>
      </c>
      <c r="F1039" t="str" cm="1">
        <f t="array" ref="F1039">IF(SUM(IF(PartList[ASSLY MARK]=PartList[[#This Row],[ASSLY MARK]],1,0))&gt;1,"No","Yes")</f>
        <v>No</v>
      </c>
      <c r="G1039" t="str" cm="1">
        <f t="array" ref="G1039">_xlfn.TEXTJOIN("_",TRUE,TRIM(_xlfn.TEXTSPLIT(PartList[[#This Row],[GRID LOCATION]],{"PR01","/","-"})))</f>
        <v>13_A</v>
      </c>
      <c r="H1039" t="str" cm="1">
        <f t="array" ref="H103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39" cm="1">
        <f t="array" ref="I103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39" t="str">
        <f>IF(IFERROR(SEARCH("&gt;",PartList[[#This Row],[ID]]),0),"O",IF(IFERROR(SEARCH("&lt;",PartList[[#This Row],[ID]]),0),"I",""))</f>
        <v/>
      </c>
      <c r="K1039" t="str" cm="1">
        <f t="array" ref="K10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39" t="str" cm="1">
        <f t="array" ref="L10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39" t="str">
        <f>_xlfn.TEXTJOIN("#",TRUE,PartList[[#This Row],[ASSLY MARK]],PartList[[#This Row],[BOX NO]],PartList[[#This Row],[In/Out]],PartList[[#This Row],[O1-Grid]])</f>
        <v>SF04#Box2#13_B_A</v>
      </c>
      <c r="N1039" t="str">
        <f>_xlfn.TEXTJOIN("#",TRUE,PartList[[#This Row],[ASSLY MARK]],PartList[[#This Row],[BOX NO]],PartList[[#This Row],[In/Out]],PartList[[#This Row],[O2-Grid]])</f>
        <v>SF04#Box2#12_13_A</v>
      </c>
      <c r="O1039">
        <v>1</v>
      </c>
      <c r="P1039">
        <f>_xlfn.XLOOKUP(PartList[[#This Row],[ASSLY MARK]],MasterPL[SplitMarkNo],MasterPL[BILL WT.(KG)],0,0)</f>
        <v>2104.31</v>
      </c>
      <c r="Q1039" cm="1">
        <f t="array" ref="Q103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40" spans="1:17" x14ac:dyDescent="0.25">
      <c r="A1040">
        <v>1075</v>
      </c>
      <c r="B1040" t="s">
        <v>429</v>
      </c>
      <c r="C1040" t="s">
        <v>1053</v>
      </c>
      <c r="D1040" t="s">
        <v>1091</v>
      </c>
      <c r="E1040" t="s">
        <v>1086</v>
      </c>
      <c r="F1040" t="str" cm="1">
        <f t="array" ref="F1040">IF(SUM(IF(PartList[ASSLY MARK]=PartList[[#This Row],[ASSLY MARK]],1,0))&gt;1,"No","Yes")</f>
        <v>No</v>
      </c>
      <c r="G1040" t="str" cm="1">
        <f t="array" ref="G1040">_xlfn.TEXTJOIN("_",TRUE,TRIM(_xlfn.TEXTSPLIT(PartList[[#This Row],[GRID LOCATION]],{"PR01","/","-"})))</f>
        <v>12_A</v>
      </c>
      <c r="H1040" t="str" cm="1">
        <f t="array" ref="H104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40" cm="1">
        <f t="array" ref="I104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40" t="str">
        <f>IF(IFERROR(SEARCH("&gt;",PartList[[#This Row],[ID]]),0),"O",IF(IFERROR(SEARCH("&lt;",PartList[[#This Row],[ID]]),0),"I",""))</f>
        <v/>
      </c>
      <c r="K1040" t="str" cm="1">
        <f t="array" ref="K10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40" t="str" cm="1">
        <f t="array" ref="L10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40" t="str">
        <f>_xlfn.TEXTJOIN("#",TRUE,PartList[[#This Row],[ASSLY MARK]],PartList[[#This Row],[BOX NO]],PartList[[#This Row],[In/Out]],PartList[[#This Row],[O1-Grid]])</f>
        <v>SF04#Box2#12_B_A</v>
      </c>
      <c r="N1040" t="str">
        <f>_xlfn.TEXTJOIN("#",TRUE,PartList[[#This Row],[ASSLY MARK]],PartList[[#This Row],[BOX NO]],PartList[[#This Row],[In/Out]],PartList[[#This Row],[O2-Grid]])</f>
        <v>SF04#Box2#12_13_A</v>
      </c>
      <c r="O1040">
        <v>1</v>
      </c>
      <c r="P1040">
        <f>_xlfn.XLOOKUP(PartList[[#This Row],[ASSLY MARK]],MasterPL[SplitMarkNo],MasterPL[BILL WT.(KG)],0,0)</f>
        <v>2104.31</v>
      </c>
      <c r="Q1040" cm="1">
        <f t="array" ref="Q104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41" spans="1:17" x14ac:dyDescent="0.25">
      <c r="A1041">
        <v>1089</v>
      </c>
      <c r="B1041" t="s">
        <v>1096</v>
      </c>
      <c r="C1041" t="s">
        <v>1053</v>
      </c>
      <c r="D1041" t="s">
        <v>1097</v>
      </c>
      <c r="E1041" t="s">
        <v>1086</v>
      </c>
      <c r="F1041" t="str" cm="1">
        <f t="array" ref="F1041">IF(SUM(IF(PartList[ASSLY MARK]=PartList[[#This Row],[ASSLY MARK]],1,0))&gt;1,"No","Yes")</f>
        <v>No</v>
      </c>
      <c r="G1041" t="str" cm="1">
        <f t="array" ref="G1041">_xlfn.TEXTJOIN("_",TRUE,TRIM(_xlfn.TEXTSPLIT(PartList[[#This Row],[GRID LOCATION]],{"PR01","/","-"})))</f>
        <v>12_A</v>
      </c>
      <c r="H1041" t="str" cm="1">
        <f t="array" ref="H104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41" cm="1">
        <f t="array" ref="I104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41" t="str">
        <f>IF(IFERROR(SEARCH("&gt;",PartList[[#This Row],[ID]]),0),"O",IF(IFERROR(SEARCH("&lt;",PartList[[#This Row],[ID]]),0),"I",""))</f>
        <v/>
      </c>
      <c r="K1041" t="str" cm="1">
        <f t="array" ref="K10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41" t="str" cm="1">
        <f t="array" ref="L10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41" t="str">
        <f>_xlfn.TEXTJOIN("#",TRUE,PartList[[#This Row],[ASSLY MARK]],PartList[[#This Row],[BOX NO]],PartList[[#This Row],[In/Out]],PartList[[#This Row],[O1-Grid]])</f>
        <v>SF07#Box2#12_B_A</v>
      </c>
      <c r="N1041" t="str">
        <f>_xlfn.TEXTJOIN("#",TRUE,PartList[[#This Row],[ASSLY MARK]],PartList[[#This Row],[BOX NO]],PartList[[#This Row],[In/Out]],PartList[[#This Row],[O2-Grid]])</f>
        <v>SF07#Box2#12_13_A</v>
      </c>
      <c r="O1041">
        <v>1</v>
      </c>
      <c r="P1041">
        <f>_xlfn.XLOOKUP(PartList[[#This Row],[ASSLY MARK]],MasterPL[SplitMarkNo],MasterPL[BILL WT.(KG)],0,0)</f>
        <v>567.08000000000004</v>
      </c>
      <c r="Q1041" cm="1">
        <f t="array" ref="Q104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42" spans="1:17" x14ac:dyDescent="0.25">
      <c r="A1042">
        <v>1090</v>
      </c>
      <c r="B1042" t="s">
        <v>1096</v>
      </c>
      <c r="C1042" t="s">
        <v>1053</v>
      </c>
      <c r="D1042" t="s">
        <v>1097</v>
      </c>
      <c r="E1042" t="s">
        <v>1086</v>
      </c>
      <c r="F1042" t="str" cm="1">
        <f t="array" ref="F1042">IF(SUM(IF(PartList[ASSLY MARK]=PartList[[#This Row],[ASSLY MARK]],1,0))&gt;1,"No","Yes")</f>
        <v>No</v>
      </c>
      <c r="G1042" t="str" cm="1">
        <f t="array" ref="G1042">_xlfn.TEXTJOIN("_",TRUE,TRIM(_xlfn.TEXTSPLIT(PartList[[#This Row],[GRID LOCATION]],{"PR01","/","-"})))</f>
        <v>12_A</v>
      </c>
      <c r="H1042" t="str" cm="1">
        <f t="array" ref="H104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42" cm="1">
        <f t="array" ref="I104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42" t="str">
        <f>IF(IFERROR(SEARCH("&gt;",PartList[[#This Row],[ID]]),0),"O",IF(IFERROR(SEARCH("&lt;",PartList[[#This Row],[ID]]),0),"I",""))</f>
        <v/>
      </c>
      <c r="K1042" t="str" cm="1">
        <f t="array" ref="K10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42" t="str" cm="1">
        <f t="array" ref="L10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42" t="str">
        <f>_xlfn.TEXTJOIN("#",TRUE,PartList[[#This Row],[ASSLY MARK]],PartList[[#This Row],[BOX NO]],PartList[[#This Row],[In/Out]],PartList[[#This Row],[O1-Grid]])</f>
        <v>SF07#Box2#12_B_A</v>
      </c>
      <c r="N1042" t="str">
        <f>_xlfn.TEXTJOIN("#",TRUE,PartList[[#This Row],[ASSLY MARK]],PartList[[#This Row],[BOX NO]],PartList[[#This Row],[In/Out]],PartList[[#This Row],[O2-Grid]])</f>
        <v>SF07#Box2#12_13_A</v>
      </c>
      <c r="O1042">
        <v>1</v>
      </c>
      <c r="P1042">
        <f>_xlfn.XLOOKUP(PartList[[#This Row],[ASSLY MARK]],MasterPL[SplitMarkNo],MasterPL[BILL WT.(KG)],0,0)</f>
        <v>567.08000000000004</v>
      </c>
      <c r="Q1042" cm="1">
        <f t="array" ref="Q104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43" spans="1:17" x14ac:dyDescent="0.25">
      <c r="A1043">
        <v>1091</v>
      </c>
      <c r="B1043" t="s">
        <v>1096</v>
      </c>
      <c r="C1043" t="s">
        <v>1059</v>
      </c>
      <c r="D1043" t="s">
        <v>1097</v>
      </c>
      <c r="E1043" t="s">
        <v>1086</v>
      </c>
      <c r="F1043" t="str" cm="1">
        <f t="array" ref="F1043">IF(SUM(IF(PartList[ASSLY MARK]=PartList[[#This Row],[ASSLY MARK]],1,0))&gt;1,"No","Yes")</f>
        <v>No</v>
      </c>
      <c r="G1043" t="str" cm="1">
        <f t="array" ref="G1043">_xlfn.TEXTJOIN("_",TRUE,TRIM(_xlfn.TEXTSPLIT(PartList[[#This Row],[GRID LOCATION]],{"PR01","/","-"})))</f>
        <v>12_B</v>
      </c>
      <c r="H1043" t="str" cm="1">
        <f t="array" ref="H104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43" cm="1">
        <f t="array" ref="I104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43" t="str">
        <f>IF(IFERROR(SEARCH("&gt;",PartList[[#This Row],[ID]]),0),"O",IF(IFERROR(SEARCH("&lt;",PartList[[#This Row],[ID]]),0),"I",""))</f>
        <v/>
      </c>
      <c r="K1043" t="str" cm="1">
        <f t="array" ref="K10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43" t="str" cm="1">
        <f t="array" ref="L10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43" t="str">
        <f>_xlfn.TEXTJOIN("#",TRUE,PartList[[#This Row],[ASSLY MARK]],PartList[[#This Row],[BOX NO]],PartList[[#This Row],[In/Out]],PartList[[#This Row],[O1-Grid]])</f>
        <v>SF07#Box2#12_B_A</v>
      </c>
      <c r="N1043" t="str">
        <f>_xlfn.TEXTJOIN("#",TRUE,PartList[[#This Row],[ASSLY MARK]],PartList[[#This Row],[BOX NO]],PartList[[#This Row],[In/Out]],PartList[[#This Row],[O2-Grid]])</f>
        <v>SF07#Box2#12_13_B</v>
      </c>
      <c r="O1043">
        <v>1</v>
      </c>
      <c r="P1043">
        <f>_xlfn.XLOOKUP(PartList[[#This Row],[ASSLY MARK]],MasterPL[SplitMarkNo],MasterPL[BILL WT.(KG)],0,0)</f>
        <v>567.08000000000004</v>
      </c>
      <c r="Q1043" cm="1">
        <f t="array" ref="Q104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44" spans="1:17" x14ac:dyDescent="0.25">
      <c r="A1044">
        <v>1092</v>
      </c>
      <c r="B1044" t="s">
        <v>1096</v>
      </c>
      <c r="C1044" t="s">
        <v>1059</v>
      </c>
      <c r="D1044" t="s">
        <v>1097</v>
      </c>
      <c r="E1044" t="s">
        <v>1086</v>
      </c>
      <c r="F1044" t="str" cm="1">
        <f t="array" ref="F1044">IF(SUM(IF(PartList[ASSLY MARK]=PartList[[#This Row],[ASSLY MARK]],1,0))&gt;1,"No","Yes")</f>
        <v>No</v>
      </c>
      <c r="G1044" t="str" cm="1">
        <f t="array" ref="G1044">_xlfn.TEXTJOIN("_",TRUE,TRIM(_xlfn.TEXTSPLIT(PartList[[#This Row],[GRID LOCATION]],{"PR01","/","-"})))</f>
        <v>12_B</v>
      </c>
      <c r="H1044" t="str" cm="1">
        <f t="array" ref="H104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44" cm="1">
        <f t="array" ref="I104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44" t="str">
        <f>IF(IFERROR(SEARCH("&gt;",PartList[[#This Row],[ID]]),0),"O",IF(IFERROR(SEARCH("&lt;",PartList[[#This Row],[ID]]),0),"I",""))</f>
        <v/>
      </c>
      <c r="K1044" t="str" cm="1">
        <f t="array" ref="K10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44" t="str" cm="1">
        <f t="array" ref="L10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44" t="str">
        <f>_xlfn.TEXTJOIN("#",TRUE,PartList[[#This Row],[ASSLY MARK]],PartList[[#This Row],[BOX NO]],PartList[[#This Row],[In/Out]],PartList[[#This Row],[O1-Grid]])</f>
        <v>SF07#Box2#12_B_A</v>
      </c>
      <c r="N1044" t="str">
        <f>_xlfn.TEXTJOIN("#",TRUE,PartList[[#This Row],[ASSLY MARK]],PartList[[#This Row],[BOX NO]],PartList[[#This Row],[In/Out]],PartList[[#This Row],[O2-Grid]])</f>
        <v>SF07#Box2#12_13_B</v>
      </c>
      <c r="O1044">
        <v>1</v>
      </c>
      <c r="P1044">
        <f>_xlfn.XLOOKUP(PartList[[#This Row],[ASSLY MARK]],MasterPL[SplitMarkNo],MasterPL[BILL WT.(KG)],0,0)</f>
        <v>567.08000000000004</v>
      </c>
      <c r="Q1044" cm="1">
        <f t="array" ref="Q104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45" spans="1:17" x14ac:dyDescent="0.25">
      <c r="A1045">
        <v>1093</v>
      </c>
      <c r="B1045" t="s">
        <v>1096</v>
      </c>
      <c r="C1045" t="s">
        <v>1053</v>
      </c>
      <c r="D1045" t="s">
        <v>1097</v>
      </c>
      <c r="E1045" t="s">
        <v>1086</v>
      </c>
      <c r="F1045" t="str" cm="1">
        <f t="array" ref="F1045">IF(SUM(IF(PartList[ASSLY MARK]=PartList[[#This Row],[ASSLY MARK]],1,0))&gt;1,"No","Yes")</f>
        <v>No</v>
      </c>
      <c r="G1045" t="str" cm="1">
        <f t="array" ref="G1045">_xlfn.TEXTJOIN("_",TRUE,TRIM(_xlfn.TEXTSPLIT(PartList[[#This Row],[GRID LOCATION]],{"PR01","/","-"})))</f>
        <v>12_A</v>
      </c>
      <c r="H1045" t="str" cm="1">
        <f t="array" ref="H104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45" cm="1">
        <f t="array" ref="I104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45" t="str">
        <f>IF(IFERROR(SEARCH("&gt;",PartList[[#This Row],[ID]]),0),"O",IF(IFERROR(SEARCH("&lt;",PartList[[#This Row],[ID]]),0),"I",""))</f>
        <v/>
      </c>
      <c r="K1045" t="str" cm="1">
        <f t="array" ref="K10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45" t="str" cm="1">
        <f t="array" ref="L10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45" t="str">
        <f>_xlfn.TEXTJOIN("#",TRUE,PartList[[#This Row],[ASSLY MARK]],PartList[[#This Row],[BOX NO]],PartList[[#This Row],[In/Out]],PartList[[#This Row],[O1-Grid]])</f>
        <v>SF07#Box2#12_B_A</v>
      </c>
      <c r="N1045" t="str">
        <f>_xlfn.TEXTJOIN("#",TRUE,PartList[[#This Row],[ASSLY MARK]],PartList[[#This Row],[BOX NO]],PartList[[#This Row],[In/Out]],PartList[[#This Row],[O2-Grid]])</f>
        <v>SF07#Box2#12_13_A</v>
      </c>
      <c r="O1045">
        <v>1</v>
      </c>
      <c r="P1045">
        <f>_xlfn.XLOOKUP(PartList[[#This Row],[ASSLY MARK]],MasterPL[SplitMarkNo],MasterPL[BILL WT.(KG)],0,0)</f>
        <v>567.08000000000004</v>
      </c>
      <c r="Q1045" cm="1">
        <f t="array" ref="Q104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46" spans="1:17" x14ac:dyDescent="0.25">
      <c r="A1046">
        <v>1094</v>
      </c>
      <c r="B1046" t="s">
        <v>1096</v>
      </c>
      <c r="C1046" t="s">
        <v>1053</v>
      </c>
      <c r="D1046" t="s">
        <v>1097</v>
      </c>
      <c r="E1046" t="s">
        <v>1086</v>
      </c>
      <c r="F1046" t="str" cm="1">
        <f t="array" ref="F1046">IF(SUM(IF(PartList[ASSLY MARK]=PartList[[#This Row],[ASSLY MARK]],1,0))&gt;1,"No","Yes")</f>
        <v>No</v>
      </c>
      <c r="G1046" t="str" cm="1">
        <f t="array" ref="G1046">_xlfn.TEXTJOIN("_",TRUE,TRIM(_xlfn.TEXTSPLIT(PartList[[#This Row],[GRID LOCATION]],{"PR01","/","-"})))</f>
        <v>12_A</v>
      </c>
      <c r="H1046" t="str" cm="1">
        <f t="array" ref="H104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46" cm="1">
        <f t="array" ref="I104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46" t="str">
        <f>IF(IFERROR(SEARCH("&gt;",PartList[[#This Row],[ID]]),0),"O",IF(IFERROR(SEARCH("&lt;",PartList[[#This Row],[ID]]),0),"I",""))</f>
        <v/>
      </c>
      <c r="K1046" t="str" cm="1">
        <f t="array" ref="K10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46" t="str" cm="1">
        <f t="array" ref="L10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46" t="str">
        <f>_xlfn.TEXTJOIN("#",TRUE,PartList[[#This Row],[ASSLY MARK]],PartList[[#This Row],[BOX NO]],PartList[[#This Row],[In/Out]],PartList[[#This Row],[O1-Grid]])</f>
        <v>SF07#Box2#12_B_A</v>
      </c>
      <c r="N1046" t="str">
        <f>_xlfn.TEXTJOIN("#",TRUE,PartList[[#This Row],[ASSLY MARK]],PartList[[#This Row],[BOX NO]],PartList[[#This Row],[In/Out]],PartList[[#This Row],[O2-Grid]])</f>
        <v>SF07#Box2#12_13_A</v>
      </c>
      <c r="O1046">
        <v>1</v>
      </c>
      <c r="P1046">
        <f>_xlfn.XLOOKUP(PartList[[#This Row],[ASSLY MARK]],MasterPL[SplitMarkNo],MasterPL[BILL WT.(KG)],0,0)</f>
        <v>567.08000000000004</v>
      </c>
      <c r="Q1046" cm="1">
        <f t="array" ref="Q104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47" spans="1:17" x14ac:dyDescent="0.25">
      <c r="A1047">
        <v>1095</v>
      </c>
      <c r="B1047" t="s">
        <v>1096</v>
      </c>
      <c r="C1047" t="s">
        <v>1059</v>
      </c>
      <c r="D1047" t="s">
        <v>1097</v>
      </c>
      <c r="E1047" t="s">
        <v>1086</v>
      </c>
      <c r="F1047" t="str" cm="1">
        <f t="array" ref="F1047">IF(SUM(IF(PartList[ASSLY MARK]=PartList[[#This Row],[ASSLY MARK]],1,0))&gt;1,"No","Yes")</f>
        <v>No</v>
      </c>
      <c r="G1047" t="str" cm="1">
        <f t="array" ref="G1047">_xlfn.TEXTJOIN("_",TRUE,TRIM(_xlfn.TEXTSPLIT(PartList[[#This Row],[GRID LOCATION]],{"PR01","/","-"})))</f>
        <v>12_B</v>
      </c>
      <c r="H1047" t="str" cm="1">
        <f t="array" ref="H104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47" cm="1">
        <f t="array" ref="I104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47" t="str">
        <f>IF(IFERROR(SEARCH("&gt;",PartList[[#This Row],[ID]]),0),"O",IF(IFERROR(SEARCH("&lt;",PartList[[#This Row],[ID]]),0),"I",""))</f>
        <v/>
      </c>
      <c r="K1047" t="str" cm="1">
        <f t="array" ref="K10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47" t="str" cm="1">
        <f t="array" ref="L10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47" t="str">
        <f>_xlfn.TEXTJOIN("#",TRUE,PartList[[#This Row],[ASSLY MARK]],PartList[[#This Row],[BOX NO]],PartList[[#This Row],[In/Out]],PartList[[#This Row],[O1-Grid]])</f>
        <v>SF07#Box2#12_B_A</v>
      </c>
      <c r="N1047" t="str">
        <f>_xlfn.TEXTJOIN("#",TRUE,PartList[[#This Row],[ASSLY MARK]],PartList[[#This Row],[BOX NO]],PartList[[#This Row],[In/Out]],PartList[[#This Row],[O2-Grid]])</f>
        <v>SF07#Box2#12_13_B</v>
      </c>
      <c r="O1047">
        <v>1</v>
      </c>
      <c r="P1047">
        <f>_xlfn.XLOOKUP(PartList[[#This Row],[ASSLY MARK]],MasterPL[SplitMarkNo],MasterPL[BILL WT.(KG)],0,0)</f>
        <v>567.08000000000004</v>
      </c>
      <c r="Q1047" cm="1">
        <f t="array" ref="Q104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48" spans="1:17" x14ac:dyDescent="0.25">
      <c r="A1048">
        <v>1096</v>
      </c>
      <c r="B1048" t="s">
        <v>1096</v>
      </c>
      <c r="C1048" t="s">
        <v>1059</v>
      </c>
      <c r="D1048" t="s">
        <v>1097</v>
      </c>
      <c r="E1048" t="s">
        <v>1086</v>
      </c>
      <c r="F1048" t="str" cm="1">
        <f t="array" ref="F1048">IF(SUM(IF(PartList[ASSLY MARK]=PartList[[#This Row],[ASSLY MARK]],1,0))&gt;1,"No","Yes")</f>
        <v>No</v>
      </c>
      <c r="G1048" t="str" cm="1">
        <f t="array" ref="G1048">_xlfn.TEXTJOIN("_",TRUE,TRIM(_xlfn.TEXTSPLIT(PartList[[#This Row],[GRID LOCATION]],{"PR01","/","-"})))</f>
        <v>12_B</v>
      </c>
      <c r="H1048" t="str" cm="1">
        <f t="array" ref="H104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48" cm="1">
        <f t="array" ref="I104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48" t="str">
        <f>IF(IFERROR(SEARCH("&gt;",PartList[[#This Row],[ID]]),0),"O",IF(IFERROR(SEARCH("&lt;",PartList[[#This Row],[ID]]),0),"I",""))</f>
        <v/>
      </c>
      <c r="K1048" t="str" cm="1">
        <f t="array" ref="K10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48" t="str" cm="1">
        <f t="array" ref="L10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48" t="str">
        <f>_xlfn.TEXTJOIN("#",TRUE,PartList[[#This Row],[ASSLY MARK]],PartList[[#This Row],[BOX NO]],PartList[[#This Row],[In/Out]],PartList[[#This Row],[O1-Grid]])</f>
        <v>SF07#Box2#12_B_A</v>
      </c>
      <c r="N1048" t="str">
        <f>_xlfn.TEXTJOIN("#",TRUE,PartList[[#This Row],[ASSLY MARK]],PartList[[#This Row],[BOX NO]],PartList[[#This Row],[In/Out]],PartList[[#This Row],[O2-Grid]])</f>
        <v>SF07#Box2#12_13_B</v>
      </c>
      <c r="O1048">
        <v>1</v>
      </c>
      <c r="P1048">
        <f>_xlfn.XLOOKUP(PartList[[#This Row],[ASSLY MARK]],MasterPL[SplitMarkNo],MasterPL[BILL WT.(KG)],0,0)</f>
        <v>567.08000000000004</v>
      </c>
      <c r="Q1048" cm="1">
        <f t="array" ref="Q104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49" spans="1:17" x14ac:dyDescent="0.25">
      <c r="A1049">
        <v>1097</v>
      </c>
      <c r="B1049" t="s">
        <v>1098</v>
      </c>
      <c r="C1049" t="s">
        <v>1053</v>
      </c>
      <c r="D1049" t="s">
        <v>1097</v>
      </c>
      <c r="E1049" t="s">
        <v>1086</v>
      </c>
      <c r="F1049" t="str" cm="1">
        <f t="array" ref="F1049">IF(SUM(IF(PartList[ASSLY MARK]=PartList[[#This Row],[ASSLY MARK]],1,0))&gt;1,"No","Yes")</f>
        <v>No</v>
      </c>
      <c r="G1049" t="str" cm="1">
        <f t="array" ref="G1049">_xlfn.TEXTJOIN("_",TRUE,TRIM(_xlfn.TEXTSPLIT(PartList[[#This Row],[GRID LOCATION]],{"PR01","/","-"})))</f>
        <v>12_A</v>
      </c>
      <c r="H1049" t="str" cm="1">
        <f t="array" ref="H104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49" cm="1">
        <f t="array" ref="I104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49" t="str">
        <f>IF(IFERROR(SEARCH("&gt;",PartList[[#This Row],[ID]]),0),"O",IF(IFERROR(SEARCH("&lt;",PartList[[#This Row],[ID]]),0),"I",""))</f>
        <v/>
      </c>
      <c r="K1049" t="str" cm="1">
        <f t="array" ref="K10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49" t="str" cm="1">
        <f t="array" ref="L10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49" t="str">
        <f>_xlfn.TEXTJOIN("#",TRUE,PartList[[#This Row],[ASSLY MARK]],PartList[[#This Row],[BOX NO]],PartList[[#This Row],[In/Out]],PartList[[#This Row],[O1-Grid]])</f>
        <v>SF08#Box2#12_B_A</v>
      </c>
      <c r="N1049" t="str">
        <f>_xlfn.TEXTJOIN("#",TRUE,PartList[[#This Row],[ASSLY MARK]],PartList[[#This Row],[BOX NO]],PartList[[#This Row],[In/Out]],PartList[[#This Row],[O2-Grid]])</f>
        <v>SF08#Box2#12_13_A</v>
      </c>
      <c r="O1049">
        <v>1</v>
      </c>
      <c r="P1049">
        <f>_xlfn.XLOOKUP(PartList[[#This Row],[ASSLY MARK]],MasterPL[SplitMarkNo],MasterPL[BILL WT.(KG)],0,0)</f>
        <v>756.11</v>
      </c>
      <c r="Q1049" cm="1">
        <f t="array" ref="Q104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50" spans="1:17" x14ac:dyDescent="0.25">
      <c r="A1050">
        <v>1098</v>
      </c>
      <c r="B1050" t="s">
        <v>1098</v>
      </c>
      <c r="C1050" t="s">
        <v>1053</v>
      </c>
      <c r="D1050" t="s">
        <v>1097</v>
      </c>
      <c r="E1050" t="s">
        <v>1086</v>
      </c>
      <c r="F1050" t="str" cm="1">
        <f t="array" ref="F1050">IF(SUM(IF(PartList[ASSLY MARK]=PartList[[#This Row],[ASSLY MARK]],1,0))&gt;1,"No","Yes")</f>
        <v>No</v>
      </c>
      <c r="G1050" t="str" cm="1">
        <f t="array" ref="G1050">_xlfn.TEXTJOIN("_",TRUE,TRIM(_xlfn.TEXTSPLIT(PartList[[#This Row],[GRID LOCATION]],{"PR01","/","-"})))</f>
        <v>12_A</v>
      </c>
      <c r="H1050" t="str" cm="1">
        <f t="array" ref="H105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50" cm="1">
        <f t="array" ref="I105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50" t="str">
        <f>IF(IFERROR(SEARCH("&gt;",PartList[[#This Row],[ID]]),0),"O",IF(IFERROR(SEARCH("&lt;",PartList[[#This Row],[ID]]),0),"I",""))</f>
        <v/>
      </c>
      <c r="K1050" t="str" cm="1">
        <f t="array" ref="K10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50" t="str" cm="1">
        <f t="array" ref="L10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50" t="str">
        <f>_xlfn.TEXTJOIN("#",TRUE,PartList[[#This Row],[ASSLY MARK]],PartList[[#This Row],[BOX NO]],PartList[[#This Row],[In/Out]],PartList[[#This Row],[O1-Grid]])</f>
        <v>SF08#Box2#12_B_A</v>
      </c>
      <c r="N1050" t="str">
        <f>_xlfn.TEXTJOIN("#",TRUE,PartList[[#This Row],[ASSLY MARK]],PartList[[#This Row],[BOX NO]],PartList[[#This Row],[In/Out]],PartList[[#This Row],[O2-Grid]])</f>
        <v>SF08#Box2#12_13_A</v>
      </c>
      <c r="O1050">
        <v>1</v>
      </c>
      <c r="P1050">
        <f>_xlfn.XLOOKUP(PartList[[#This Row],[ASSLY MARK]],MasterPL[SplitMarkNo],MasterPL[BILL WT.(KG)],0,0)</f>
        <v>756.11</v>
      </c>
      <c r="Q1050" cm="1">
        <f t="array" ref="Q105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51" spans="1:17" x14ac:dyDescent="0.25">
      <c r="A1051">
        <v>1099</v>
      </c>
      <c r="B1051" t="s">
        <v>1098</v>
      </c>
      <c r="C1051" t="s">
        <v>1059</v>
      </c>
      <c r="D1051" t="s">
        <v>1097</v>
      </c>
      <c r="E1051" t="s">
        <v>1086</v>
      </c>
      <c r="F1051" t="str" cm="1">
        <f t="array" ref="F1051">IF(SUM(IF(PartList[ASSLY MARK]=PartList[[#This Row],[ASSLY MARK]],1,0))&gt;1,"No","Yes")</f>
        <v>No</v>
      </c>
      <c r="G1051" t="str" cm="1">
        <f t="array" ref="G1051">_xlfn.TEXTJOIN("_",TRUE,TRIM(_xlfn.TEXTSPLIT(PartList[[#This Row],[GRID LOCATION]],{"PR01","/","-"})))</f>
        <v>12_B</v>
      </c>
      <c r="H1051" t="str" cm="1">
        <f t="array" ref="H105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51" cm="1">
        <f t="array" ref="I105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51" t="str">
        <f>IF(IFERROR(SEARCH("&gt;",PartList[[#This Row],[ID]]),0),"O",IF(IFERROR(SEARCH("&lt;",PartList[[#This Row],[ID]]),0),"I",""))</f>
        <v/>
      </c>
      <c r="K1051" t="str" cm="1">
        <f t="array" ref="K10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51" t="str" cm="1">
        <f t="array" ref="L10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51" t="str">
        <f>_xlfn.TEXTJOIN("#",TRUE,PartList[[#This Row],[ASSLY MARK]],PartList[[#This Row],[BOX NO]],PartList[[#This Row],[In/Out]],PartList[[#This Row],[O1-Grid]])</f>
        <v>SF08#Box2#12_B_A</v>
      </c>
      <c r="N1051" t="str">
        <f>_xlfn.TEXTJOIN("#",TRUE,PartList[[#This Row],[ASSLY MARK]],PartList[[#This Row],[BOX NO]],PartList[[#This Row],[In/Out]],PartList[[#This Row],[O2-Grid]])</f>
        <v>SF08#Box2#12_13_B</v>
      </c>
      <c r="O1051">
        <v>1</v>
      </c>
      <c r="P1051">
        <f>_xlfn.XLOOKUP(PartList[[#This Row],[ASSLY MARK]],MasterPL[SplitMarkNo],MasterPL[BILL WT.(KG)],0,0)</f>
        <v>756.11</v>
      </c>
      <c r="Q1051" cm="1">
        <f t="array" ref="Q105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52" spans="1:17" x14ac:dyDescent="0.25">
      <c r="A1052">
        <v>1100</v>
      </c>
      <c r="B1052" t="s">
        <v>1098</v>
      </c>
      <c r="C1052" t="s">
        <v>1059</v>
      </c>
      <c r="D1052" t="s">
        <v>1097</v>
      </c>
      <c r="E1052" t="s">
        <v>1086</v>
      </c>
      <c r="F1052" t="str" cm="1">
        <f t="array" ref="F1052">IF(SUM(IF(PartList[ASSLY MARK]=PartList[[#This Row],[ASSLY MARK]],1,0))&gt;1,"No","Yes")</f>
        <v>No</v>
      </c>
      <c r="G1052" t="str" cm="1">
        <f t="array" ref="G1052">_xlfn.TEXTJOIN("_",TRUE,TRIM(_xlfn.TEXTSPLIT(PartList[[#This Row],[GRID LOCATION]],{"PR01","/","-"})))</f>
        <v>12_B</v>
      </c>
      <c r="H1052" t="str" cm="1">
        <f t="array" ref="H105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52" cm="1">
        <f t="array" ref="I105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52" t="str">
        <f>IF(IFERROR(SEARCH("&gt;",PartList[[#This Row],[ID]]),0),"O",IF(IFERROR(SEARCH("&lt;",PartList[[#This Row],[ID]]),0),"I",""))</f>
        <v/>
      </c>
      <c r="K1052" t="str" cm="1">
        <f t="array" ref="K10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52" t="str" cm="1">
        <f t="array" ref="L10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52" t="str">
        <f>_xlfn.TEXTJOIN("#",TRUE,PartList[[#This Row],[ASSLY MARK]],PartList[[#This Row],[BOX NO]],PartList[[#This Row],[In/Out]],PartList[[#This Row],[O1-Grid]])</f>
        <v>SF08#Box2#12_B_A</v>
      </c>
      <c r="N1052" t="str">
        <f>_xlfn.TEXTJOIN("#",TRUE,PartList[[#This Row],[ASSLY MARK]],PartList[[#This Row],[BOX NO]],PartList[[#This Row],[In/Out]],PartList[[#This Row],[O2-Grid]])</f>
        <v>SF08#Box2#12_13_B</v>
      </c>
      <c r="O1052">
        <v>1</v>
      </c>
      <c r="P1052">
        <f>_xlfn.XLOOKUP(PartList[[#This Row],[ASSLY MARK]],MasterPL[SplitMarkNo],MasterPL[BILL WT.(KG)],0,0)</f>
        <v>756.11</v>
      </c>
      <c r="Q1052" cm="1">
        <f t="array" ref="Q105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53" spans="1:17" x14ac:dyDescent="0.25">
      <c r="A1053">
        <v>1125</v>
      </c>
      <c r="B1053" t="s">
        <v>1103</v>
      </c>
      <c r="C1053" t="s">
        <v>1071</v>
      </c>
      <c r="D1053" t="s">
        <v>1088</v>
      </c>
      <c r="E1053" t="s">
        <v>1086</v>
      </c>
      <c r="F1053" t="str" cm="1">
        <f t="array" ref="F1053">IF(SUM(IF(PartList[ASSLY MARK]=PartList[[#This Row],[ASSLY MARK]],1,0))&gt;1,"No","Yes")</f>
        <v>No</v>
      </c>
      <c r="G1053" t="str" cm="1">
        <f t="array" ref="G1053">_xlfn.TEXTJOIN("_",TRUE,TRIM(_xlfn.TEXTSPLIT(PartList[[#This Row],[GRID LOCATION]],{"PR01","/","-"})))</f>
        <v>13_A</v>
      </c>
      <c r="H1053" t="str" cm="1">
        <f t="array" ref="H105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53" cm="1">
        <f t="array" ref="I105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53" t="str">
        <f>IF(IFERROR(SEARCH("&gt;",PartList[[#This Row],[ID]]),0),"O",IF(IFERROR(SEARCH("&lt;",PartList[[#This Row],[ID]]),0),"I",""))</f>
        <v/>
      </c>
      <c r="K1053" t="str" cm="1">
        <f t="array" ref="K10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53" t="str" cm="1">
        <f t="array" ref="L10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53" t="str">
        <f>_xlfn.TEXTJOIN("#",TRUE,PartList[[#This Row],[ASSLY MARK]],PartList[[#This Row],[BOX NO]],PartList[[#This Row],[In/Out]],PartList[[#This Row],[O1-Grid]])</f>
        <v>SF11#Box2#13_B_A</v>
      </c>
      <c r="N1053" t="str">
        <f>_xlfn.TEXTJOIN("#",TRUE,PartList[[#This Row],[ASSLY MARK]],PartList[[#This Row],[BOX NO]],PartList[[#This Row],[In/Out]],PartList[[#This Row],[O2-Grid]])</f>
        <v>SF11#Box2#12_13_A</v>
      </c>
      <c r="O1053">
        <f>IF(PartList[[#This Row],[Unique]]="Yes",_xlfn.XLOOKUP(PartList[[#This Row],[ASSLY MARK]],FilteredPL!A:A,FilteredPL!B:B,0,0),0)</f>
        <v>0</v>
      </c>
      <c r="P1053">
        <f>_xlfn.XLOOKUP(PartList[[#This Row],[ASSLY MARK]],MasterPL[SplitMarkNo],MasterPL[BILL WT.(KG)],0,0)</f>
        <v>0</v>
      </c>
      <c r="Q1053" cm="1">
        <f t="array" ref="Q105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54" spans="1:17" x14ac:dyDescent="0.25">
      <c r="A1054">
        <v>1126</v>
      </c>
      <c r="B1054" t="s">
        <v>1103</v>
      </c>
      <c r="C1054" t="s">
        <v>1071</v>
      </c>
      <c r="D1054" t="s">
        <v>1088</v>
      </c>
      <c r="E1054" t="s">
        <v>1086</v>
      </c>
      <c r="F1054" t="str" cm="1">
        <f t="array" ref="F1054">IF(SUM(IF(PartList[ASSLY MARK]=PartList[[#This Row],[ASSLY MARK]],1,0))&gt;1,"No","Yes")</f>
        <v>No</v>
      </c>
      <c r="G1054" t="str" cm="1">
        <f t="array" ref="G1054">_xlfn.TEXTJOIN("_",TRUE,TRIM(_xlfn.TEXTSPLIT(PartList[[#This Row],[GRID LOCATION]],{"PR01","/","-"})))</f>
        <v>13_A</v>
      </c>
      <c r="H1054" t="str" cm="1">
        <f t="array" ref="H105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54" cm="1">
        <f t="array" ref="I105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54" t="str">
        <f>IF(IFERROR(SEARCH("&gt;",PartList[[#This Row],[ID]]),0),"O",IF(IFERROR(SEARCH("&lt;",PartList[[#This Row],[ID]]),0),"I",""))</f>
        <v/>
      </c>
      <c r="K1054" t="str" cm="1">
        <f t="array" ref="K10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54" t="str" cm="1">
        <f t="array" ref="L10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54" t="str">
        <f>_xlfn.TEXTJOIN("#",TRUE,PartList[[#This Row],[ASSLY MARK]],PartList[[#This Row],[BOX NO]],PartList[[#This Row],[In/Out]],PartList[[#This Row],[O1-Grid]])</f>
        <v>SF11#Box2#13_B_A</v>
      </c>
      <c r="N1054" t="str">
        <f>_xlfn.TEXTJOIN("#",TRUE,PartList[[#This Row],[ASSLY MARK]],PartList[[#This Row],[BOX NO]],PartList[[#This Row],[In/Out]],PartList[[#This Row],[O2-Grid]])</f>
        <v>SF11#Box2#12_13_A</v>
      </c>
      <c r="O1054">
        <f>IF(PartList[[#This Row],[Unique]]="Yes",_xlfn.XLOOKUP(PartList[[#This Row],[ASSLY MARK]],FilteredPL!A:A,FilteredPL!B:B,0,0),0)</f>
        <v>0</v>
      </c>
      <c r="P1054">
        <f>_xlfn.XLOOKUP(PartList[[#This Row],[ASSLY MARK]],MasterPL[SplitMarkNo],MasterPL[BILL WT.(KG)],0,0)</f>
        <v>0</v>
      </c>
      <c r="Q1054" cm="1">
        <f t="array" ref="Q105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55" spans="1:17" x14ac:dyDescent="0.25">
      <c r="A1055">
        <v>1133</v>
      </c>
      <c r="B1055" t="s">
        <v>1105</v>
      </c>
      <c r="C1055" t="s">
        <v>1077</v>
      </c>
      <c r="D1055" t="s">
        <v>1088</v>
      </c>
      <c r="E1055" t="s">
        <v>1086</v>
      </c>
      <c r="F1055" t="str" cm="1">
        <f t="array" ref="F1055">IF(SUM(IF(PartList[ASSLY MARK]=PartList[[#This Row],[ASSLY MARK]],1,0))&gt;1,"No","Yes")</f>
        <v>No</v>
      </c>
      <c r="G1055" t="str" cm="1">
        <f t="array" ref="G1055">_xlfn.TEXTJOIN("_",TRUE,TRIM(_xlfn.TEXTSPLIT(PartList[[#This Row],[GRID LOCATION]],{"PR01","/","-"})))</f>
        <v>13_B</v>
      </c>
      <c r="H1055" t="str" cm="1">
        <f t="array" ref="H105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55" cm="1">
        <f t="array" ref="I105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55" t="str">
        <f>IF(IFERROR(SEARCH("&gt;",PartList[[#This Row],[ID]]),0),"O",IF(IFERROR(SEARCH("&lt;",PartList[[#This Row],[ID]]),0),"I",""))</f>
        <v/>
      </c>
      <c r="K1055" t="str" cm="1">
        <f t="array" ref="K10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55" t="str" cm="1">
        <f t="array" ref="L10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55" t="str">
        <f>_xlfn.TEXTJOIN("#",TRUE,PartList[[#This Row],[ASSLY MARK]],PartList[[#This Row],[BOX NO]],PartList[[#This Row],[In/Out]],PartList[[#This Row],[O1-Grid]])</f>
        <v>SF13#Box2#13_B_A</v>
      </c>
      <c r="N1055" t="str">
        <f>_xlfn.TEXTJOIN("#",TRUE,PartList[[#This Row],[ASSLY MARK]],PartList[[#This Row],[BOX NO]],PartList[[#This Row],[In/Out]],PartList[[#This Row],[O2-Grid]])</f>
        <v>SF13#Box2#12_13_B</v>
      </c>
      <c r="O1055">
        <f>IF(PartList[[#This Row],[Unique]]="Yes",_xlfn.XLOOKUP(PartList[[#This Row],[ASSLY MARK]],FilteredPL!A:A,FilteredPL!B:B,0,0),0)</f>
        <v>0</v>
      </c>
      <c r="P1055">
        <f>_xlfn.XLOOKUP(PartList[[#This Row],[ASSLY MARK]],MasterPL[SplitMarkNo],MasterPL[BILL WT.(KG)],0,0)</f>
        <v>0</v>
      </c>
      <c r="Q1055" cm="1">
        <f t="array" ref="Q105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56" spans="1:17" x14ac:dyDescent="0.25">
      <c r="A1056">
        <v>1136</v>
      </c>
      <c r="B1056" t="s">
        <v>1105</v>
      </c>
      <c r="C1056" t="s">
        <v>1077</v>
      </c>
      <c r="D1056" t="s">
        <v>1088</v>
      </c>
      <c r="E1056" t="s">
        <v>1086</v>
      </c>
      <c r="F1056" t="str" cm="1">
        <f t="array" ref="F1056">IF(SUM(IF(PartList[ASSLY MARK]=PartList[[#This Row],[ASSLY MARK]],1,0))&gt;1,"No","Yes")</f>
        <v>No</v>
      </c>
      <c r="G1056" t="str" cm="1">
        <f t="array" ref="G1056">_xlfn.TEXTJOIN("_",TRUE,TRIM(_xlfn.TEXTSPLIT(PartList[[#This Row],[GRID LOCATION]],{"PR01","/","-"})))</f>
        <v>13_B</v>
      </c>
      <c r="H1056" t="str" cm="1">
        <f t="array" ref="H105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56" cm="1">
        <f t="array" ref="I105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56" t="str">
        <f>IF(IFERROR(SEARCH("&gt;",PartList[[#This Row],[ID]]),0),"O",IF(IFERROR(SEARCH("&lt;",PartList[[#This Row],[ID]]),0),"I",""))</f>
        <v/>
      </c>
      <c r="K1056" t="str" cm="1">
        <f t="array" ref="K10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56" t="str" cm="1">
        <f t="array" ref="L10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56" t="str">
        <f>_xlfn.TEXTJOIN("#",TRUE,PartList[[#This Row],[ASSLY MARK]],PartList[[#This Row],[BOX NO]],PartList[[#This Row],[In/Out]],PartList[[#This Row],[O1-Grid]])</f>
        <v>SF13#Box2#13_B_A</v>
      </c>
      <c r="N1056" t="str">
        <f>_xlfn.TEXTJOIN("#",TRUE,PartList[[#This Row],[ASSLY MARK]],PartList[[#This Row],[BOX NO]],PartList[[#This Row],[In/Out]],PartList[[#This Row],[O2-Grid]])</f>
        <v>SF13#Box2#12_13_B</v>
      </c>
      <c r="O1056">
        <f>IF(PartList[[#This Row],[Unique]]="Yes",_xlfn.XLOOKUP(PartList[[#This Row],[ASSLY MARK]],FilteredPL!A:A,FilteredPL!B:B,0,0),0)</f>
        <v>0</v>
      </c>
      <c r="P1056">
        <f>_xlfn.XLOOKUP(PartList[[#This Row],[ASSLY MARK]],MasterPL[SplitMarkNo],MasterPL[BILL WT.(KG)],0,0)</f>
        <v>0</v>
      </c>
      <c r="Q1056" cm="1">
        <f t="array" ref="Q105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57" spans="1:17" x14ac:dyDescent="0.25">
      <c r="A1057">
        <v>1139</v>
      </c>
      <c r="B1057" t="s">
        <v>433</v>
      </c>
      <c r="C1057" t="s">
        <v>1071</v>
      </c>
      <c r="D1057" t="s">
        <v>1107</v>
      </c>
      <c r="E1057" t="s">
        <v>1086</v>
      </c>
      <c r="F1057" t="str" cm="1">
        <f t="array" ref="F1057">IF(SUM(IF(PartList[ASSLY MARK]=PartList[[#This Row],[ASSLY MARK]],1,0))&gt;1,"No","Yes")</f>
        <v>No</v>
      </c>
      <c r="G1057" t="str" cm="1">
        <f t="array" ref="G1057">_xlfn.TEXTJOIN("_",TRUE,TRIM(_xlfn.TEXTSPLIT(PartList[[#This Row],[GRID LOCATION]],{"PR01","/","-"})))</f>
        <v>13_A</v>
      </c>
      <c r="H1057" t="str" cm="1">
        <f t="array" ref="H105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57" cm="1">
        <f t="array" ref="I105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57" t="str">
        <f>IF(IFERROR(SEARCH("&gt;",PartList[[#This Row],[ID]]),0),"O",IF(IFERROR(SEARCH("&lt;",PartList[[#This Row],[ID]]),0),"I",""))</f>
        <v/>
      </c>
      <c r="K1057" t="str" cm="1">
        <f t="array" ref="K10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57" t="str" cm="1">
        <f t="array" ref="L10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57" t="str">
        <f>_xlfn.TEXTJOIN("#",TRUE,PartList[[#This Row],[ASSLY MARK]],PartList[[#This Row],[BOX NO]],PartList[[#This Row],[In/Out]],PartList[[#This Row],[O1-Grid]])</f>
        <v>SW01#Box2#13_B_A</v>
      </c>
      <c r="N1057" t="str">
        <f>_xlfn.TEXTJOIN("#",TRUE,PartList[[#This Row],[ASSLY MARK]],PartList[[#This Row],[BOX NO]],PartList[[#This Row],[In/Out]],PartList[[#This Row],[O2-Grid]])</f>
        <v>SW01#Box2#12_13_A</v>
      </c>
      <c r="O1057">
        <f>IF(PartList[[#This Row],[Unique]]="Yes",_xlfn.XLOOKUP(PartList[[#This Row],[ASSLY MARK]],FilteredPL!A:A,FilteredPL!B:B,0,0),0)</f>
        <v>0</v>
      </c>
      <c r="P1057">
        <f>_xlfn.XLOOKUP(PartList[[#This Row],[ASSLY MARK]],MasterPL[SplitMarkNo],MasterPL[BILL WT.(KG)],0,0)</f>
        <v>0</v>
      </c>
      <c r="Q1057" cm="1">
        <f t="array" ref="Q105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58" spans="1:17" x14ac:dyDescent="0.25">
      <c r="A1058">
        <v>1140</v>
      </c>
      <c r="B1058" t="s">
        <v>433</v>
      </c>
      <c r="C1058" t="s">
        <v>1077</v>
      </c>
      <c r="D1058" t="s">
        <v>1107</v>
      </c>
      <c r="E1058" t="s">
        <v>1086</v>
      </c>
      <c r="F1058" t="str" cm="1">
        <f t="array" ref="F1058">IF(SUM(IF(PartList[ASSLY MARK]=PartList[[#This Row],[ASSLY MARK]],1,0))&gt;1,"No","Yes")</f>
        <v>No</v>
      </c>
      <c r="G1058" t="str" cm="1">
        <f t="array" ref="G1058">_xlfn.TEXTJOIN("_",TRUE,TRIM(_xlfn.TEXTSPLIT(PartList[[#This Row],[GRID LOCATION]],{"PR01","/","-"})))</f>
        <v>13_B</v>
      </c>
      <c r="H1058" t="str" cm="1">
        <f t="array" ref="H105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58" cm="1">
        <f t="array" ref="I105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58" t="str">
        <f>IF(IFERROR(SEARCH("&gt;",PartList[[#This Row],[ID]]),0),"O",IF(IFERROR(SEARCH("&lt;",PartList[[#This Row],[ID]]),0),"I",""))</f>
        <v/>
      </c>
      <c r="K1058" t="str" cm="1">
        <f t="array" ref="K10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58" t="str" cm="1">
        <f t="array" ref="L10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58" t="str">
        <f>_xlfn.TEXTJOIN("#",TRUE,PartList[[#This Row],[ASSLY MARK]],PartList[[#This Row],[BOX NO]],PartList[[#This Row],[In/Out]],PartList[[#This Row],[O1-Grid]])</f>
        <v>SW01#Box2#13_B_A</v>
      </c>
      <c r="N1058" t="str">
        <f>_xlfn.TEXTJOIN("#",TRUE,PartList[[#This Row],[ASSLY MARK]],PartList[[#This Row],[BOX NO]],PartList[[#This Row],[In/Out]],PartList[[#This Row],[O2-Grid]])</f>
        <v>SW01#Box2#12_13_B</v>
      </c>
      <c r="O1058">
        <f>IF(PartList[[#This Row],[Unique]]="Yes",_xlfn.XLOOKUP(PartList[[#This Row],[ASSLY MARK]],FilteredPL!A:A,FilteredPL!B:B,0,0),0)</f>
        <v>0</v>
      </c>
      <c r="P1058">
        <f>_xlfn.XLOOKUP(PartList[[#This Row],[ASSLY MARK]],MasterPL[SplitMarkNo],MasterPL[BILL WT.(KG)],0,0)</f>
        <v>0</v>
      </c>
      <c r="Q1058" cm="1">
        <f t="array" ref="Q105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59" spans="1:17" x14ac:dyDescent="0.25">
      <c r="A1059">
        <v>1143</v>
      </c>
      <c r="B1059" t="s">
        <v>433</v>
      </c>
      <c r="C1059" t="s">
        <v>1077</v>
      </c>
      <c r="D1059" t="s">
        <v>1107</v>
      </c>
      <c r="E1059" t="s">
        <v>1086</v>
      </c>
      <c r="F1059" t="str" cm="1">
        <f t="array" ref="F1059">IF(SUM(IF(PartList[ASSLY MARK]=PartList[[#This Row],[ASSLY MARK]],1,0))&gt;1,"No","Yes")</f>
        <v>No</v>
      </c>
      <c r="G1059" t="str" cm="1">
        <f t="array" ref="G1059">_xlfn.TEXTJOIN("_",TRUE,TRIM(_xlfn.TEXTSPLIT(PartList[[#This Row],[GRID LOCATION]],{"PR01","/","-"})))</f>
        <v>13_B</v>
      </c>
      <c r="H1059" t="str" cm="1">
        <f t="array" ref="H105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59" cm="1">
        <f t="array" ref="I105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59" t="str">
        <f>IF(IFERROR(SEARCH("&gt;",PartList[[#This Row],[ID]]),0),"O",IF(IFERROR(SEARCH("&lt;",PartList[[#This Row],[ID]]),0),"I",""))</f>
        <v/>
      </c>
      <c r="K1059" t="str" cm="1">
        <f t="array" ref="K10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59" t="str" cm="1">
        <f t="array" ref="L10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59" t="str">
        <f>_xlfn.TEXTJOIN("#",TRUE,PartList[[#This Row],[ASSLY MARK]],PartList[[#This Row],[BOX NO]],PartList[[#This Row],[In/Out]],PartList[[#This Row],[O1-Grid]])</f>
        <v>SW01#Box2#13_B_A</v>
      </c>
      <c r="N1059" t="str">
        <f>_xlfn.TEXTJOIN("#",TRUE,PartList[[#This Row],[ASSLY MARK]],PartList[[#This Row],[BOX NO]],PartList[[#This Row],[In/Out]],PartList[[#This Row],[O2-Grid]])</f>
        <v>SW01#Box2#12_13_B</v>
      </c>
      <c r="O1059">
        <f>IF(PartList[[#This Row],[Unique]]="Yes",_xlfn.XLOOKUP(PartList[[#This Row],[ASSLY MARK]],FilteredPL!A:A,FilteredPL!B:B,0,0),0)</f>
        <v>0</v>
      </c>
      <c r="P1059">
        <f>_xlfn.XLOOKUP(PartList[[#This Row],[ASSLY MARK]],MasterPL[SplitMarkNo],MasterPL[BILL WT.(KG)],0,0)</f>
        <v>0</v>
      </c>
      <c r="Q1059" cm="1">
        <f t="array" ref="Q105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60" spans="1:17" x14ac:dyDescent="0.25">
      <c r="A1060">
        <v>1144</v>
      </c>
      <c r="B1060" t="s">
        <v>433</v>
      </c>
      <c r="C1060" t="s">
        <v>1071</v>
      </c>
      <c r="D1060" t="s">
        <v>1107</v>
      </c>
      <c r="E1060" t="s">
        <v>1086</v>
      </c>
      <c r="F1060" t="str" cm="1">
        <f t="array" ref="F1060">IF(SUM(IF(PartList[ASSLY MARK]=PartList[[#This Row],[ASSLY MARK]],1,0))&gt;1,"No","Yes")</f>
        <v>No</v>
      </c>
      <c r="G1060" t="str" cm="1">
        <f t="array" ref="G1060">_xlfn.TEXTJOIN("_",TRUE,TRIM(_xlfn.TEXTSPLIT(PartList[[#This Row],[GRID LOCATION]],{"PR01","/","-"})))</f>
        <v>13_A</v>
      </c>
      <c r="H1060" t="str" cm="1">
        <f t="array" ref="H106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60" cm="1">
        <f t="array" ref="I106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60" t="str">
        <f>IF(IFERROR(SEARCH("&gt;",PartList[[#This Row],[ID]]),0),"O",IF(IFERROR(SEARCH("&lt;",PartList[[#This Row],[ID]]),0),"I",""))</f>
        <v/>
      </c>
      <c r="K1060" t="str" cm="1">
        <f t="array" ref="K10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60" t="str" cm="1">
        <f t="array" ref="L10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60" t="str">
        <f>_xlfn.TEXTJOIN("#",TRUE,PartList[[#This Row],[ASSLY MARK]],PartList[[#This Row],[BOX NO]],PartList[[#This Row],[In/Out]],PartList[[#This Row],[O1-Grid]])</f>
        <v>SW01#Box2#13_B_A</v>
      </c>
      <c r="N1060" t="str">
        <f>_xlfn.TEXTJOIN("#",TRUE,PartList[[#This Row],[ASSLY MARK]],PartList[[#This Row],[BOX NO]],PartList[[#This Row],[In/Out]],PartList[[#This Row],[O2-Grid]])</f>
        <v>SW01#Box2#12_13_A</v>
      </c>
      <c r="O1060">
        <f>IF(PartList[[#This Row],[Unique]]="Yes",_xlfn.XLOOKUP(PartList[[#This Row],[ASSLY MARK]],FilteredPL!A:A,FilteredPL!B:B,0,0),0)</f>
        <v>0</v>
      </c>
      <c r="P1060">
        <f>_xlfn.XLOOKUP(PartList[[#This Row],[ASSLY MARK]],MasterPL[SplitMarkNo],MasterPL[BILL WT.(KG)],0,0)</f>
        <v>0</v>
      </c>
      <c r="Q1060" cm="1">
        <f t="array" ref="Q106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61" spans="1:17" x14ac:dyDescent="0.25">
      <c r="A1061">
        <v>1151</v>
      </c>
      <c r="B1061" t="s">
        <v>435</v>
      </c>
      <c r="C1061" t="s">
        <v>1071</v>
      </c>
      <c r="D1061" t="s">
        <v>1110</v>
      </c>
      <c r="E1061" t="s">
        <v>1086</v>
      </c>
      <c r="F1061" t="str" cm="1">
        <f t="array" ref="F1061">IF(SUM(IF(PartList[ASSLY MARK]=PartList[[#This Row],[ASSLY MARK]],1,0))&gt;1,"No","Yes")</f>
        <v>No</v>
      </c>
      <c r="G1061" t="str" cm="1">
        <f t="array" ref="G1061">_xlfn.TEXTJOIN("_",TRUE,TRIM(_xlfn.TEXTSPLIT(PartList[[#This Row],[GRID LOCATION]],{"PR01","/","-"})))</f>
        <v>13_A</v>
      </c>
      <c r="H1061" t="str" cm="1">
        <f t="array" ref="H106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61" cm="1">
        <f t="array" ref="I106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61" t="str">
        <f>IF(IFERROR(SEARCH("&gt;",PartList[[#This Row],[ID]]),0),"O",IF(IFERROR(SEARCH("&lt;",PartList[[#This Row],[ID]]),0),"I",""))</f>
        <v/>
      </c>
      <c r="K1061" t="str" cm="1">
        <f t="array" ref="K10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61" t="str" cm="1">
        <f t="array" ref="L10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61" t="str">
        <f>_xlfn.TEXTJOIN("#",TRUE,PartList[[#This Row],[ASSLY MARK]],PartList[[#This Row],[BOX NO]],PartList[[#This Row],[In/Out]],PartList[[#This Row],[O1-Grid]])</f>
        <v>SW02#Box2#13_B_A</v>
      </c>
      <c r="N1061" t="str">
        <f>_xlfn.TEXTJOIN("#",TRUE,PartList[[#This Row],[ASSLY MARK]],PartList[[#This Row],[BOX NO]],PartList[[#This Row],[In/Out]],PartList[[#This Row],[O2-Grid]])</f>
        <v>SW02#Box2#12_13_A</v>
      </c>
      <c r="O1061">
        <f>IF(PartList[[#This Row],[Unique]]="Yes",_xlfn.XLOOKUP(PartList[[#This Row],[ASSLY MARK]],FilteredPL!A:A,FilteredPL!B:B,0,0),0)</f>
        <v>0</v>
      </c>
      <c r="P1061">
        <f>_xlfn.XLOOKUP(PartList[[#This Row],[ASSLY MARK]],MasterPL[SplitMarkNo],MasterPL[BILL WT.(KG)],0,0)</f>
        <v>0</v>
      </c>
      <c r="Q1061" cm="1">
        <f t="array" ref="Q106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62" spans="1:17" x14ac:dyDescent="0.25">
      <c r="A1062">
        <v>1154</v>
      </c>
      <c r="B1062" t="s">
        <v>435</v>
      </c>
      <c r="C1062" t="s">
        <v>1053</v>
      </c>
      <c r="D1062" t="s">
        <v>1113</v>
      </c>
      <c r="E1062" t="s">
        <v>1086</v>
      </c>
      <c r="F1062" t="str" cm="1">
        <f t="array" ref="F1062">IF(SUM(IF(PartList[ASSLY MARK]=PartList[[#This Row],[ASSLY MARK]],1,0))&gt;1,"No","Yes")</f>
        <v>No</v>
      </c>
      <c r="G1062" t="str" cm="1">
        <f t="array" ref="G1062">_xlfn.TEXTJOIN("_",TRUE,TRIM(_xlfn.TEXTSPLIT(PartList[[#This Row],[GRID LOCATION]],{"PR01","/","-"})))</f>
        <v>12_A</v>
      </c>
      <c r="H1062" t="str" cm="1">
        <f t="array" ref="H106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62" cm="1">
        <f t="array" ref="I106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62" t="str">
        <f>IF(IFERROR(SEARCH("&gt;",PartList[[#This Row],[ID]]),0),"O",IF(IFERROR(SEARCH("&lt;",PartList[[#This Row],[ID]]),0),"I",""))</f>
        <v/>
      </c>
      <c r="K1062" t="str" cm="1">
        <f t="array" ref="K10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62" t="str" cm="1">
        <f t="array" ref="L10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62" t="str">
        <f>_xlfn.TEXTJOIN("#",TRUE,PartList[[#This Row],[ASSLY MARK]],PartList[[#This Row],[BOX NO]],PartList[[#This Row],[In/Out]],PartList[[#This Row],[O1-Grid]])</f>
        <v>SW02#Box2#12_B_A</v>
      </c>
      <c r="N1062" t="str">
        <f>_xlfn.TEXTJOIN("#",TRUE,PartList[[#This Row],[ASSLY MARK]],PartList[[#This Row],[BOX NO]],PartList[[#This Row],[In/Out]],PartList[[#This Row],[O2-Grid]])</f>
        <v>SW02#Box2#12_13_A</v>
      </c>
      <c r="O1062">
        <f>IF(PartList[[#This Row],[Unique]]="Yes",_xlfn.XLOOKUP(PartList[[#This Row],[ASSLY MARK]],FilteredPL!A:A,FilteredPL!B:B,0,0),0)</f>
        <v>0</v>
      </c>
      <c r="P1062">
        <f>_xlfn.XLOOKUP(PartList[[#This Row],[ASSLY MARK]],MasterPL[SplitMarkNo],MasterPL[BILL WT.(KG)],0,0)</f>
        <v>0</v>
      </c>
      <c r="Q1062" cm="1">
        <f t="array" ref="Q106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63" spans="1:17" x14ac:dyDescent="0.25">
      <c r="A1063">
        <v>1159</v>
      </c>
      <c r="B1063" t="s">
        <v>435</v>
      </c>
      <c r="C1063" t="s">
        <v>1077</v>
      </c>
      <c r="D1063" t="s">
        <v>436</v>
      </c>
      <c r="E1063" t="s">
        <v>1086</v>
      </c>
      <c r="F1063" t="str" cm="1">
        <f t="array" ref="F1063">IF(SUM(IF(PartList[ASSLY MARK]=PartList[[#This Row],[ASSLY MARK]],1,0))&gt;1,"No","Yes")</f>
        <v>No</v>
      </c>
      <c r="G1063" t="str" cm="1">
        <f t="array" ref="G1063">_xlfn.TEXTJOIN("_",TRUE,TRIM(_xlfn.TEXTSPLIT(PartList[[#This Row],[GRID LOCATION]],{"PR01","/","-"})))</f>
        <v>13_B</v>
      </c>
      <c r="H1063" t="str" cm="1">
        <f t="array" ref="H106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63" cm="1">
        <f t="array" ref="I106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63" t="str">
        <f>IF(IFERROR(SEARCH("&gt;",PartList[[#This Row],[ID]]),0),"O",IF(IFERROR(SEARCH("&lt;",PartList[[#This Row],[ID]]),0),"I",""))</f>
        <v/>
      </c>
      <c r="K1063" t="str" cm="1">
        <f t="array" ref="K10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63" t="str" cm="1">
        <f t="array" ref="L10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63" t="str">
        <f>_xlfn.TEXTJOIN("#",TRUE,PartList[[#This Row],[ASSLY MARK]],PartList[[#This Row],[BOX NO]],PartList[[#This Row],[In/Out]],PartList[[#This Row],[O1-Grid]])</f>
        <v>SW02#Box2#13_B_A</v>
      </c>
      <c r="N1063" t="str">
        <f>_xlfn.TEXTJOIN("#",TRUE,PartList[[#This Row],[ASSLY MARK]],PartList[[#This Row],[BOX NO]],PartList[[#This Row],[In/Out]],PartList[[#This Row],[O2-Grid]])</f>
        <v>SW02#Box2#12_13_B</v>
      </c>
      <c r="O1063">
        <f>IF(PartList[[#This Row],[Unique]]="Yes",_xlfn.XLOOKUP(PartList[[#This Row],[ASSLY MARK]],FilteredPL!A:A,FilteredPL!B:B,0,0),0)</f>
        <v>0</v>
      </c>
      <c r="P1063">
        <f>_xlfn.XLOOKUP(PartList[[#This Row],[ASSLY MARK]],MasterPL[SplitMarkNo],MasterPL[BILL WT.(KG)],0,0)</f>
        <v>0</v>
      </c>
      <c r="Q1063" cm="1">
        <f t="array" ref="Q106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64" spans="1:17" x14ac:dyDescent="0.25">
      <c r="A1064">
        <v>1162</v>
      </c>
      <c r="B1064" t="s">
        <v>435</v>
      </c>
      <c r="C1064" t="s">
        <v>1053</v>
      </c>
      <c r="D1064" t="s">
        <v>1113</v>
      </c>
      <c r="E1064" t="s">
        <v>1086</v>
      </c>
      <c r="F1064" t="str" cm="1">
        <f t="array" ref="F1064">IF(SUM(IF(PartList[ASSLY MARK]=PartList[[#This Row],[ASSLY MARK]],1,0))&gt;1,"No","Yes")</f>
        <v>No</v>
      </c>
      <c r="G1064" t="str" cm="1">
        <f t="array" ref="G1064">_xlfn.TEXTJOIN("_",TRUE,TRIM(_xlfn.TEXTSPLIT(PartList[[#This Row],[GRID LOCATION]],{"PR01","/","-"})))</f>
        <v>12_A</v>
      </c>
      <c r="H1064" t="str" cm="1">
        <f t="array" ref="H106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64" cm="1">
        <f t="array" ref="I106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64" t="str">
        <f>IF(IFERROR(SEARCH("&gt;",PartList[[#This Row],[ID]]),0),"O",IF(IFERROR(SEARCH("&lt;",PartList[[#This Row],[ID]]),0),"I",""))</f>
        <v/>
      </c>
      <c r="K1064" t="str" cm="1">
        <f t="array" ref="K10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64" t="str" cm="1">
        <f t="array" ref="L10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64" t="str">
        <f>_xlfn.TEXTJOIN("#",TRUE,PartList[[#This Row],[ASSLY MARK]],PartList[[#This Row],[BOX NO]],PartList[[#This Row],[In/Out]],PartList[[#This Row],[O1-Grid]])</f>
        <v>SW02#Box2#12_B_A</v>
      </c>
      <c r="N1064" t="str">
        <f>_xlfn.TEXTJOIN("#",TRUE,PartList[[#This Row],[ASSLY MARK]],PartList[[#This Row],[BOX NO]],PartList[[#This Row],[In/Out]],PartList[[#This Row],[O2-Grid]])</f>
        <v>SW02#Box2#12_13_A</v>
      </c>
      <c r="O1064">
        <f>IF(PartList[[#This Row],[Unique]]="Yes",_xlfn.XLOOKUP(PartList[[#This Row],[ASSLY MARK]],FilteredPL!A:A,FilteredPL!B:B,0,0),0)</f>
        <v>0</v>
      </c>
      <c r="P1064">
        <f>_xlfn.XLOOKUP(PartList[[#This Row],[ASSLY MARK]],MasterPL[SplitMarkNo],MasterPL[BILL WT.(KG)],0,0)</f>
        <v>0</v>
      </c>
      <c r="Q1064" cm="1">
        <f t="array" ref="Q106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65" spans="1:17" x14ac:dyDescent="0.25">
      <c r="A1065">
        <v>1168</v>
      </c>
      <c r="B1065" t="s">
        <v>435</v>
      </c>
      <c r="C1065" t="s">
        <v>1077</v>
      </c>
      <c r="D1065" t="s">
        <v>436</v>
      </c>
      <c r="E1065" t="s">
        <v>1086</v>
      </c>
      <c r="F1065" t="str" cm="1">
        <f t="array" ref="F1065">IF(SUM(IF(PartList[ASSLY MARK]=PartList[[#This Row],[ASSLY MARK]],1,0))&gt;1,"No","Yes")</f>
        <v>No</v>
      </c>
      <c r="G1065" t="str" cm="1">
        <f t="array" ref="G1065">_xlfn.TEXTJOIN("_",TRUE,TRIM(_xlfn.TEXTSPLIT(PartList[[#This Row],[GRID LOCATION]],{"PR01","/","-"})))</f>
        <v>13_B</v>
      </c>
      <c r="H1065" t="str" cm="1">
        <f t="array" ref="H106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65" cm="1">
        <f t="array" ref="I106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65" t="str">
        <f>IF(IFERROR(SEARCH("&gt;",PartList[[#This Row],[ID]]),0),"O",IF(IFERROR(SEARCH("&lt;",PartList[[#This Row],[ID]]),0),"I",""))</f>
        <v/>
      </c>
      <c r="K1065" t="str" cm="1">
        <f t="array" ref="K10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65" t="str" cm="1">
        <f t="array" ref="L10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65" t="str">
        <f>_xlfn.TEXTJOIN("#",TRUE,PartList[[#This Row],[ASSLY MARK]],PartList[[#This Row],[BOX NO]],PartList[[#This Row],[In/Out]],PartList[[#This Row],[O1-Grid]])</f>
        <v>SW02#Box2#13_B_A</v>
      </c>
      <c r="N1065" t="str">
        <f>_xlfn.TEXTJOIN("#",TRUE,PartList[[#This Row],[ASSLY MARK]],PartList[[#This Row],[BOX NO]],PartList[[#This Row],[In/Out]],PartList[[#This Row],[O2-Grid]])</f>
        <v>SW02#Box2#12_13_B</v>
      </c>
      <c r="O1065">
        <f>IF(PartList[[#This Row],[Unique]]="Yes",_xlfn.XLOOKUP(PartList[[#This Row],[ASSLY MARK]],FilteredPL!A:A,FilteredPL!B:B,0,0),0)</f>
        <v>0</v>
      </c>
      <c r="P1065">
        <f>_xlfn.XLOOKUP(PartList[[#This Row],[ASSLY MARK]],MasterPL[SplitMarkNo],MasterPL[BILL WT.(KG)],0,0)</f>
        <v>0</v>
      </c>
      <c r="Q1065" cm="1">
        <f t="array" ref="Q106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66" spans="1:17" x14ac:dyDescent="0.25">
      <c r="A1066">
        <v>1171</v>
      </c>
      <c r="B1066" t="s">
        <v>435</v>
      </c>
      <c r="C1066" t="s">
        <v>1059</v>
      </c>
      <c r="D1066" t="s">
        <v>436</v>
      </c>
      <c r="E1066" t="s">
        <v>1086</v>
      </c>
      <c r="F1066" t="str" cm="1">
        <f t="array" ref="F1066">IF(SUM(IF(PartList[ASSLY MARK]=PartList[[#This Row],[ASSLY MARK]],1,0))&gt;1,"No","Yes")</f>
        <v>No</v>
      </c>
      <c r="G1066" t="str" cm="1">
        <f t="array" ref="G1066">_xlfn.TEXTJOIN("_",TRUE,TRIM(_xlfn.TEXTSPLIT(PartList[[#This Row],[GRID LOCATION]],{"PR01","/","-"})))</f>
        <v>12_B</v>
      </c>
      <c r="H1066" t="str" cm="1">
        <f t="array" ref="H106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66" cm="1">
        <f t="array" ref="I106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66" t="str">
        <f>IF(IFERROR(SEARCH("&gt;",PartList[[#This Row],[ID]]),0),"O",IF(IFERROR(SEARCH("&lt;",PartList[[#This Row],[ID]]),0),"I",""))</f>
        <v/>
      </c>
      <c r="K1066" t="str" cm="1">
        <f t="array" ref="K10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66" t="str" cm="1">
        <f t="array" ref="L10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66" t="str">
        <f>_xlfn.TEXTJOIN("#",TRUE,PartList[[#This Row],[ASSLY MARK]],PartList[[#This Row],[BOX NO]],PartList[[#This Row],[In/Out]],PartList[[#This Row],[O1-Grid]])</f>
        <v>SW02#Box2#12_B_A</v>
      </c>
      <c r="N1066" t="str">
        <f>_xlfn.TEXTJOIN("#",TRUE,PartList[[#This Row],[ASSLY MARK]],PartList[[#This Row],[BOX NO]],PartList[[#This Row],[In/Out]],PartList[[#This Row],[O2-Grid]])</f>
        <v>SW02#Box2#12_13_B</v>
      </c>
      <c r="O1066">
        <f>IF(PartList[[#This Row],[Unique]]="Yes",_xlfn.XLOOKUP(PartList[[#This Row],[ASSLY MARK]],FilteredPL!A:A,FilteredPL!B:B,0,0),0)</f>
        <v>0</v>
      </c>
      <c r="P1066">
        <f>_xlfn.XLOOKUP(PartList[[#This Row],[ASSLY MARK]],MasterPL[SplitMarkNo],MasterPL[BILL WT.(KG)],0,0)</f>
        <v>0</v>
      </c>
      <c r="Q1066" cm="1">
        <f t="array" ref="Q106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67" spans="1:17" x14ac:dyDescent="0.25">
      <c r="A1067">
        <v>1174</v>
      </c>
      <c r="B1067" t="s">
        <v>435</v>
      </c>
      <c r="C1067" t="s">
        <v>1071</v>
      </c>
      <c r="D1067" t="s">
        <v>1110</v>
      </c>
      <c r="E1067" t="s">
        <v>1086</v>
      </c>
      <c r="F1067" t="str" cm="1">
        <f t="array" ref="F1067">IF(SUM(IF(PartList[ASSLY MARK]=PartList[[#This Row],[ASSLY MARK]],1,0))&gt;1,"No","Yes")</f>
        <v>No</v>
      </c>
      <c r="G1067" t="str" cm="1">
        <f t="array" ref="G1067">_xlfn.TEXTJOIN("_",TRUE,TRIM(_xlfn.TEXTSPLIT(PartList[[#This Row],[GRID LOCATION]],{"PR01","/","-"})))</f>
        <v>13_A</v>
      </c>
      <c r="H1067" t="str" cm="1">
        <f t="array" ref="H106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67" cm="1">
        <f t="array" ref="I106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67" t="str">
        <f>IF(IFERROR(SEARCH("&gt;",PartList[[#This Row],[ID]]),0),"O",IF(IFERROR(SEARCH("&lt;",PartList[[#This Row],[ID]]),0),"I",""))</f>
        <v/>
      </c>
      <c r="K1067" t="str" cm="1">
        <f t="array" ref="K10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67" t="str" cm="1">
        <f t="array" ref="L10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67" t="str">
        <f>_xlfn.TEXTJOIN("#",TRUE,PartList[[#This Row],[ASSLY MARK]],PartList[[#This Row],[BOX NO]],PartList[[#This Row],[In/Out]],PartList[[#This Row],[O1-Grid]])</f>
        <v>SW02#Box2#13_B_A</v>
      </c>
      <c r="N1067" t="str">
        <f>_xlfn.TEXTJOIN("#",TRUE,PartList[[#This Row],[ASSLY MARK]],PartList[[#This Row],[BOX NO]],PartList[[#This Row],[In/Out]],PartList[[#This Row],[O2-Grid]])</f>
        <v>SW02#Box2#12_13_A</v>
      </c>
      <c r="O1067">
        <f>IF(PartList[[#This Row],[Unique]]="Yes",_xlfn.XLOOKUP(PartList[[#This Row],[ASSLY MARK]],FilteredPL!A:A,FilteredPL!B:B,0,0),0)</f>
        <v>0</v>
      </c>
      <c r="P1067">
        <f>_xlfn.XLOOKUP(PartList[[#This Row],[ASSLY MARK]],MasterPL[SplitMarkNo],MasterPL[BILL WT.(KG)],0,0)</f>
        <v>0</v>
      </c>
      <c r="Q1067" cm="1">
        <f t="array" ref="Q106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68" spans="1:17" x14ac:dyDescent="0.25">
      <c r="A1068">
        <v>1177</v>
      </c>
      <c r="B1068" t="s">
        <v>435</v>
      </c>
      <c r="C1068" t="s">
        <v>1053</v>
      </c>
      <c r="D1068" t="s">
        <v>434</v>
      </c>
      <c r="E1068" t="s">
        <v>1086</v>
      </c>
      <c r="F1068" t="str" cm="1">
        <f t="array" ref="F1068">IF(SUM(IF(PartList[ASSLY MARK]=PartList[[#This Row],[ASSLY MARK]],1,0))&gt;1,"No","Yes")</f>
        <v>No</v>
      </c>
      <c r="G1068" t="str" cm="1">
        <f t="array" ref="G1068">_xlfn.TEXTJOIN("_",TRUE,TRIM(_xlfn.TEXTSPLIT(PartList[[#This Row],[GRID LOCATION]],{"PR01","/","-"})))</f>
        <v>12_A</v>
      </c>
      <c r="H1068" t="str" cm="1">
        <f t="array" ref="H106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68" cm="1">
        <f t="array" ref="I106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68" t="str">
        <f>IF(IFERROR(SEARCH("&gt;",PartList[[#This Row],[ID]]),0),"O",IF(IFERROR(SEARCH("&lt;",PartList[[#This Row],[ID]]),0),"I",""))</f>
        <v/>
      </c>
      <c r="K1068" t="str" cm="1">
        <f t="array" ref="K10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68" t="str" cm="1">
        <f t="array" ref="L10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68" t="str">
        <f>_xlfn.TEXTJOIN("#",TRUE,PartList[[#This Row],[ASSLY MARK]],PartList[[#This Row],[BOX NO]],PartList[[#This Row],[In/Out]],PartList[[#This Row],[O1-Grid]])</f>
        <v>SW02#Box2#12_B_A</v>
      </c>
      <c r="N1068" t="str">
        <f>_xlfn.TEXTJOIN("#",TRUE,PartList[[#This Row],[ASSLY MARK]],PartList[[#This Row],[BOX NO]],PartList[[#This Row],[In/Out]],PartList[[#This Row],[O2-Grid]])</f>
        <v>SW02#Box2#12_13_A</v>
      </c>
      <c r="O1068">
        <f>IF(PartList[[#This Row],[Unique]]="Yes",_xlfn.XLOOKUP(PartList[[#This Row],[ASSLY MARK]],FilteredPL!A:A,FilteredPL!B:B,0,0),0)</f>
        <v>0</v>
      </c>
      <c r="P1068">
        <f>_xlfn.XLOOKUP(PartList[[#This Row],[ASSLY MARK]],MasterPL[SplitMarkNo],MasterPL[BILL WT.(KG)],0,0)</f>
        <v>0</v>
      </c>
      <c r="Q1068" cm="1">
        <f t="array" ref="Q106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69" spans="1:17" x14ac:dyDescent="0.25">
      <c r="A1069">
        <v>1180</v>
      </c>
      <c r="B1069" t="s">
        <v>435</v>
      </c>
      <c r="C1069" t="s">
        <v>1059</v>
      </c>
      <c r="D1069" t="s">
        <v>436</v>
      </c>
      <c r="E1069" t="s">
        <v>1086</v>
      </c>
      <c r="F1069" t="str" cm="1">
        <f t="array" ref="F1069">IF(SUM(IF(PartList[ASSLY MARK]=PartList[[#This Row],[ASSLY MARK]],1,0))&gt;1,"No","Yes")</f>
        <v>No</v>
      </c>
      <c r="G1069" t="str" cm="1">
        <f t="array" ref="G1069">_xlfn.TEXTJOIN("_",TRUE,TRIM(_xlfn.TEXTSPLIT(PartList[[#This Row],[GRID LOCATION]],{"PR01","/","-"})))</f>
        <v>12_B</v>
      </c>
      <c r="H1069" t="str" cm="1">
        <f t="array" ref="H106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69" cm="1">
        <f t="array" ref="I106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69" t="str">
        <f>IF(IFERROR(SEARCH("&gt;",PartList[[#This Row],[ID]]),0),"O",IF(IFERROR(SEARCH("&lt;",PartList[[#This Row],[ID]]),0),"I",""))</f>
        <v/>
      </c>
      <c r="K1069" t="str" cm="1">
        <f t="array" ref="K10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69" t="str" cm="1">
        <f t="array" ref="L10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69" t="str">
        <f>_xlfn.TEXTJOIN("#",TRUE,PartList[[#This Row],[ASSLY MARK]],PartList[[#This Row],[BOX NO]],PartList[[#This Row],[In/Out]],PartList[[#This Row],[O1-Grid]])</f>
        <v>SW02#Box2#12_B_A</v>
      </c>
      <c r="N1069" t="str">
        <f>_xlfn.TEXTJOIN("#",TRUE,PartList[[#This Row],[ASSLY MARK]],PartList[[#This Row],[BOX NO]],PartList[[#This Row],[In/Out]],PartList[[#This Row],[O2-Grid]])</f>
        <v>SW02#Box2#12_13_B</v>
      </c>
      <c r="O1069">
        <f>IF(PartList[[#This Row],[Unique]]="Yes",_xlfn.XLOOKUP(PartList[[#This Row],[ASSLY MARK]],FilteredPL!A:A,FilteredPL!B:B,0,0),0)</f>
        <v>0</v>
      </c>
      <c r="P1069">
        <f>_xlfn.XLOOKUP(PartList[[#This Row],[ASSLY MARK]],MasterPL[SplitMarkNo],MasterPL[BILL WT.(KG)],0,0)</f>
        <v>0</v>
      </c>
      <c r="Q1069" cm="1">
        <f t="array" ref="Q106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70" spans="1:17" x14ac:dyDescent="0.25">
      <c r="A1070">
        <v>1186</v>
      </c>
      <c r="B1070" t="s">
        <v>435</v>
      </c>
      <c r="C1070" t="s">
        <v>1053</v>
      </c>
      <c r="D1070" t="s">
        <v>434</v>
      </c>
      <c r="E1070" t="s">
        <v>1086</v>
      </c>
      <c r="F1070" t="str" cm="1">
        <f t="array" ref="F1070">IF(SUM(IF(PartList[ASSLY MARK]=PartList[[#This Row],[ASSLY MARK]],1,0))&gt;1,"No","Yes")</f>
        <v>No</v>
      </c>
      <c r="G1070" t="str" cm="1">
        <f t="array" ref="G1070">_xlfn.TEXTJOIN("_",TRUE,TRIM(_xlfn.TEXTSPLIT(PartList[[#This Row],[GRID LOCATION]],{"PR01","/","-"})))</f>
        <v>12_A</v>
      </c>
      <c r="H1070" t="str" cm="1">
        <f t="array" ref="H107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70" cm="1">
        <f t="array" ref="I107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70" t="str">
        <f>IF(IFERROR(SEARCH("&gt;",PartList[[#This Row],[ID]]),0),"O",IF(IFERROR(SEARCH("&lt;",PartList[[#This Row],[ID]]),0),"I",""))</f>
        <v/>
      </c>
      <c r="K1070" t="str" cm="1">
        <f t="array" ref="K10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70" t="str" cm="1">
        <f t="array" ref="L10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70" t="str">
        <f>_xlfn.TEXTJOIN("#",TRUE,PartList[[#This Row],[ASSLY MARK]],PartList[[#This Row],[BOX NO]],PartList[[#This Row],[In/Out]],PartList[[#This Row],[O1-Grid]])</f>
        <v>SW02#Box2#12_B_A</v>
      </c>
      <c r="N1070" t="str">
        <f>_xlfn.TEXTJOIN("#",TRUE,PartList[[#This Row],[ASSLY MARK]],PartList[[#This Row],[BOX NO]],PartList[[#This Row],[In/Out]],PartList[[#This Row],[O2-Grid]])</f>
        <v>SW02#Box2#12_13_A</v>
      </c>
      <c r="O1070">
        <f>IF(PartList[[#This Row],[Unique]]="Yes",_xlfn.XLOOKUP(PartList[[#This Row],[ASSLY MARK]],FilteredPL!A:A,FilteredPL!B:B,0,0),0)</f>
        <v>0</v>
      </c>
      <c r="P1070">
        <f>_xlfn.XLOOKUP(PartList[[#This Row],[ASSLY MARK]],MasterPL[SplitMarkNo],MasterPL[BILL WT.(KG)],0,0)</f>
        <v>0</v>
      </c>
      <c r="Q1070" cm="1">
        <f t="array" ref="Q107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71" spans="1:17" x14ac:dyDescent="0.25">
      <c r="A1071">
        <v>1188</v>
      </c>
      <c r="B1071" t="s">
        <v>1115</v>
      </c>
      <c r="C1071" t="s">
        <v>1059</v>
      </c>
      <c r="D1071" t="s">
        <v>1116</v>
      </c>
      <c r="E1071" t="s">
        <v>1086</v>
      </c>
      <c r="F1071" t="str" cm="1">
        <f t="array" ref="F1071">IF(SUM(IF(PartList[ASSLY MARK]=PartList[[#This Row],[ASSLY MARK]],1,0))&gt;1,"No","Yes")</f>
        <v>No</v>
      </c>
      <c r="G1071" t="str" cm="1">
        <f t="array" ref="G1071">_xlfn.TEXTJOIN("_",TRUE,TRIM(_xlfn.TEXTSPLIT(PartList[[#This Row],[GRID LOCATION]],{"PR01","/","-"})))</f>
        <v>12_B</v>
      </c>
      <c r="H1071" t="str" cm="1">
        <f t="array" ref="H107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71" cm="1">
        <f t="array" ref="I107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71" t="str">
        <f>IF(IFERROR(SEARCH("&gt;",PartList[[#This Row],[ID]]),0),"O",IF(IFERROR(SEARCH("&lt;",PartList[[#This Row],[ID]]),0),"I",""))</f>
        <v/>
      </c>
      <c r="K1071" t="str" cm="1">
        <f t="array" ref="K10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71" t="str" cm="1">
        <f t="array" ref="L10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71" t="str">
        <f>_xlfn.TEXTJOIN("#",TRUE,PartList[[#This Row],[ASSLY MARK]],PartList[[#This Row],[BOX NO]],PartList[[#This Row],[In/Out]],PartList[[#This Row],[O1-Grid]])</f>
        <v>SW03#Box2#12_B_A</v>
      </c>
      <c r="N1071" t="str">
        <f>_xlfn.TEXTJOIN("#",TRUE,PartList[[#This Row],[ASSLY MARK]],PartList[[#This Row],[BOX NO]],PartList[[#This Row],[In/Out]],PartList[[#This Row],[O2-Grid]])</f>
        <v>SW03#Box2#12_13_B</v>
      </c>
      <c r="O1071">
        <f>IF(PartList[[#This Row],[Unique]]="Yes",_xlfn.XLOOKUP(PartList[[#This Row],[ASSLY MARK]],FilteredPL!A:A,FilteredPL!B:B,0,0),0)</f>
        <v>0</v>
      </c>
      <c r="P1071">
        <f>_xlfn.XLOOKUP(PartList[[#This Row],[ASSLY MARK]],MasterPL[SplitMarkNo],MasterPL[BILL WT.(KG)],0,0)</f>
        <v>0</v>
      </c>
      <c r="Q1071" cm="1">
        <f t="array" ref="Q107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72" spans="1:17" x14ac:dyDescent="0.25">
      <c r="A1072">
        <v>1189</v>
      </c>
      <c r="B1072" t="s">
        <v>1115</v>
      </c>
      <c r="C1072" t="s">
        <v>1053</v>
      </c>
      <c r="D1072" t="s">
        <v>1116</v>
      </c>
      <c r="E1072" t="s">
        <v>1086</v>
      </c>
      <c r="F1072" t="str" cm="1">
        <f t="array" ref="F1072">IF(SUM(IF(PartList[ASSLY MARK]=PartList[[#This Row],[ASSLY MARK]],1,0))&gt;1,"No","Yes")</f>
        <v>No</v>
      </c>
      <c r="G1072" t="str" cm="1">
        <f t="array" ref="G1072">_xlfn.TEXTJOIN("_",TRUE,TRIM(_xlfn.TEXTSPLIT(PartList[[#This Row],[GRID LOCATION]],{"PR01","/","-"})))</f>
        <v>12_A</v>
      </c>
      <c r="H1072" t="str" cm="1">
        <f t="array" ref="H107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72" cm="1">
        <f t="array" ref="I107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72" t="str">
        <f>IF(IFERROR(SEARCH("&gt;",PartList[[#This Row],[ID]]),0),"O",IF(IFERROR(SEARCH("&lt;",PartList[[#This Row],[ID]]),0),"I",""))</f>
        <v/>
      </c>
      <c r="K1072" t="str" cm="1">
        <f t="array" ref="K10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72" t="str" cm="1">
        <f t="array" ref="L10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72" t="str">
        <f>_xlfn.TEXTJOIN("#",TRUE,PartList[[#This Row],[ASSLY MARK]],PartList[[#This Row],[BOX NO]],PartList[[#This Row],[In/Out]],PartList[[#This Row],[O1-Grid]])</f>
        <v>SW03#Box2#12_B_A</v>
      </c>
      <c r="N1072" t="str">
        <f>_xlfn.TEXTJOIN("#",TRUE,PartList[[#This Row],[ASSLY MARK]],PartList[[#This Row],[BOX NO]],PartList[[#This Row],[In/Out]],PartList[[#This Row],[O2-Grid]])</f>
        <v>SW03#Box2#12_13_A</v>
      </c>
      <c r="O1072">
        <f>IF(PartList[[#This Row],[Unique]]="Yes",_xlfn.XLOOKUP(PartList[[#This Row],[ASSLY MARK]],FilteredPL!A:A,FilteredPL!B:B,0,0),0)</f>
        <v>0</v>
      </c>
      <c r="P1072">
        <f>_xlfn.XLOOKUP(PartList[[#This Row],[ASSLY MARK]],MasterPL[SplitMarkNo],MasterPL[BILL WT.(KG)],0,0)</f>
        <v>0</v>
      </c>
      <c r="Q1072" cm="1">
        <f t="array" ref="Q107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73" spans="1:17" x14ac:dyDescent="0.25">
      <c r="A1073">
        <v>1192</v>
      </c>
      <c r="B1073" t="s">
        <v>1115</v>
      </c>
      <c r="C1073" t="s">
        <v>1059</v>
      </c>
      <c r="D1073" t="s">
        <v>1116</v>
      </c>
      <c r="E1073" t="s">
        <v>1086</v>
      </c>
      <c r="F1073" t="str" cm="1">
        <f t="array" ref="F1073">IF(SUM(IF(PartList[ASSLY MARK]=PartList[[#This Row],[ASSLY MARK]],1,0))&gt;1,"No","Yes")</f>
        <v>No</v>
      </c>
      <c r="G1073" t="str" cm="1">
        <f t="array" ref="G1073">_xlfn.TEXTJOIN("_",TRUE,TRIM(_xlfn.TEXTSPLIT(PartList[[#This Row],[GRID LOCATION]],{"PR01","/","-"})))</f>
        <v>12_B</v>
      </c>
      <c r="H1073" t="str" cm="1">
        <f t="array" ref="H107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73" cm="1">
        <f t="array" ref="I107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73" t="str">
        <f>IF(IFERROR(SEARCH("&gt;",PartList[[#This Row],[ID]]),0),"O",IF(IFERROR(SEARCH("&lt;",PartList[[#This Row],[ID]]),0),"I",""))</f>
        <v/>
      </c>
      <c r="K1073" t="str" cm="1">
        <f t="array" ref="K10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73" t="str" cm="1">
        <f t="array" ref="L10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73" t="str">
        <f>_xlfn.TEXTJOIN("#",TRUE,PartList[[#This Row],[ASSLY MARK]],PartList[[#This Row],[BOX NO]],PartList[[#This Row],[In/Out]],PartList[[#This Row],[O1-Grid]])</f>
        <v>SW03#Box2#12_B_A</v>
      </c>
      <c r="N1073" t="str">
        <f>_xlfn.TEXTJOIN("#",TRUE,PartList[[#This Row],[ASSLY MARK]],PartList[[#This Row],[BOX NO]],PartList[[#This Row],[In/Out]],PartList[[#This Row],[O2-Grid]])</f>
        <v>SW03#Box2#12_13_B</v>
      </c>
      <c r="O1073">
        <f>IF(PartList[[#This Row],[Unique]]="Yes",_xlfn.XLOOKUP(PartList[[#This Row],[ASSLY MARK]],FilteredPL!A:A,FilteredPL!B:B,0,0),0)</f>
        <v>0</v>
      </c>
      <c r="P1073">
        <f>_xlfn.XLOOKUP(PartList[[#This Row],[ASSLY MARK]],MasterPL[SplitMarkNo],MasterPL[BILL WT.(KG)],0,0)</f>
        <v>0</v>
      </c>
      <c r="Q1073" cm="1">
        <f t="array" ref="Q107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74" spans="1:17" x14ac:dyDescent="0.25">
      <c r="A1074">
        <v>1193</v>
      </c>
      <c r="B1074" t="s">
        <v>1115</v>
      </c>
      <c r="C1074" t="s">
        <v>1053</v>
      </c>
      <c r="D1074" t="s">
        <v>1116</v>
      </c>
      <c r="E1074" t="s">
        <v>1086</v>
      </c>
      <c r="F1074" t="str" cm="1">
        <f t="array" ref="F1074">IF(SUM(IF(PartList[ASSLY MARK]=PartList[[#This Row],[ASSLY MARK]],1,0))&gt;1,"No","Yes")</f>
        <v>No</v>
      </c>
      <c r="G1074" t="str" cm="1">
        <f t="array" ref="G1074">_xlfn.TEXTJOIN("_",TRUE,TRIM(_xlfn.TEXTSPLIT(PartList[[#This Row],[GRID LOCATION]],{"PR01","/","-"})))</f>
        <v>12_A</v>
      </c>
      <c r="H1074" t="str" cm="1">
        <f t="array" ref="H107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74" cm="1">
        <f t="array" ref="I107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74" t="str">
        <f>IF(IFERROR(SEARCH("&gt;",PartList[[#This Row],[ID]]),0),"O",IF(IFERROR(SEARCH("&lt;",PartList[[#This Row],[ID]]),0),"I",""))</f>
        <v/>
      </c>
      <c r="K1074" t="str" cm="1">
        <f t="array" ref="K10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74" t="str" cm="1">
        <f t="array" ref="L10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74" t="str">
        <f>_xlfn.TEXTJOIN("#",TRUE,PartList[[#This Row],[ASSLY MARK]],PartList[[#This Row],[BOX NO]],PartList[[#This Row],[In/Out]],PartList[[#This Row],[O1-Grid]])</f>
        <v>SW03#Box2#12_B_A</v>
      </c>
      <c r="N1074" t="str">
        <f>_xlfn.TEXTJOIN("#",TRUE,PartList[[#This Row],[ASSLY MARK]],PartList[[#This Row],[BOX NO]],PartList[[#This Row],[In/Out]],PartList[[#This Row],[O2-Grid]])</f>
        <v>SW03#Box2#12_13_A</v>
      </c>
      <c r="O1074">
        <f>IF(PartList[[#This Row],[Unique]]="Yes",_xlfn.XLOOKUP(PartList[[#This Row],[ASSLY MARK]],FilteredPL!A:A,FilteredPL!B:B,0,0),0)</f>
        <v>0</v>
      </c>
      <c r="P1074">
        <f>_xlfn.XLOOKUP(PartList[[#This Row],[ASSLY MARK]],MasterPL[SplitMarkNo],MasterPL[BILL WT.(KG)],0,0)</f>
        <v>0</v>
      </c>
      <c r="Q1074" cm="1">
        <f t="array" ref="Q107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75" spans="1:17" x14ac:dyDescent="0.25">
      <c r="A1075">
        <v>1205</v>
      </c>
      <c r="B1075" t="s">
        <v>1120</v>
      </c>
      <c r="C1075" t="s">
        <v>1071</v>
      </c>
      <c r="D1075" t="s">
        <v>1107</v>
      </c>
      <c r="E1075" t="s">
        <v>1086</v>
      </c>
      <c r="F1075" t="str" cm="1">
        <f t="array" ref="F1075">IF(SUM(IF(PartList[ASSLY MARK]=PartList[[#This Row],[ASSLY MARK]],1,0))&gt;1,"No","Yes")</f>
        <v>No</v>
      </c>
      <c r="G1075" t="str" cm="1">
        <f t="array" ref="G1075">_xlfn.TEXTJOIN("_",TRUE,TRIM(_xlfn.TEXTSPLIT(PartList[[#This Row],[GRID LOCATION]],{"PR01","/","-"})))</f>
        <v>13_A</v>
      </c>
      <c r="H1075" t="str" cm="1">
        <f t="array" ref="H107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75" cm="1">
        <f t="array" ref="I107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75" t="str">
        <f>IF(IFERROR(SEARCH("&gt;",PartList[[#This Row],[ID]]),0),"O",IF(IFERROR(SEARCH("&lt;",PartList[[#This Row],[ID]]),0),"I",""))</f>
        <v/>
      </c>
      <c r="K1075" t="str" cm="1">
        <f t="array" ref="K10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75" t="str" cm="1">
        <f t="array" ref="L10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75" t="str">
        <f>_xlfn.TEXTJOIN("#",TRUE,PartList[[#This Row],[ASSLY MARK]],PartList[[#This Row],[BOX NO]],PartList[[#This Row],[In/Out]],PartList[[#This Row],[O1-Grid]])</f>
        <v>SW05#Box2#13_B_A</v>
      </c>
      <c r="N1075" t="str">
        <f>_xlfn.TEXTJOIN("#",TRUE,PartList[[#This Row],[ASSLY MARK]],PartList[[#This Row],[BOX NO]],PartList[[#This Row],[In/Out]],PartList[[#This Row],[O2-Grid]])</f>
        <v>SW05#Box2#12_13_A</v>
      </c>
      <c r="O1075">
        <f>IF(PartList[[#This Row],[Unique]]="Yes",_xlfn.XLOOKUP(PartList[[#This Row],[ASSLY MARK]],FilteredPL!A:A,FilteredPL!B:B,0,0),0)</f>
        <v>0</v>
      </c>
      <c r="P1075">
        <f>_xlfn.XLOOKUP(PartList[[#This Row],[ASSLY MARK]],MasterPL[SplitMarkNo],MasterPL[BILL WT.(KG)],0,0)</f>
        <v>0</v>
      </c>
      <c r="Q1075" cm="1">
        <f t="array" ref="Q107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76" spans="1:17" x14ac:dyDescent="0.25">
      <c r="A1076">
        <v>1206</v>
      </c>
      <c r="B1076" t="s">
        <v>1120</v>
      </c>
      <c r="C1076" t="s">
        <v>1077</v>
      </c>
      <c r="D1076" t="s">
        <v>1107</v>
      </c>
      <c r="E1076" t="s">
        <v>1086</v>
      </c>
      <c r="F1076" t="str" cm="1">
        <f t="array" ref="F1076">IF(SUM(IF(PartList[ASSLY MARK]=PartList[[#This Row],[ASSLY MARK]],1,0))&gt;1,"No","Yes")</f>
        <v>No</v>
      </c>
      <c r="G1076" t="str" cm="1">
        <f t="array" ref="G1076">_xlfn.TEXTJOIN("_",TRUE,TRIM(_xlfn.TEXTSPLIT(PartList[[#This Row],[GRID LOCATION]],{"PR01","/","-"})))</f>
        <v>13_B</v>
      </c>
      <c r="H1076" t="str" cm="1">
        <f t="array" ref="H107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76" cm="1">
        <f t="array" ref="I107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76" t="str">
        <f>IF(IFERROR(SEARCH("&gt;",PartList[[#This Row],[ID]]),0),"O",IF(IFERROR(SEARCH("&lt;",PartList[[#This Row],[ID]]),0),"I",""))</f>
        <v/>
      </c>
      <c r="K1076" t="str" cm="1">
        <f t="array" ref="K10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76" t="str" cm="1">
        <f t="array" ref="L10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76" t="str">
        <f>_xlfn.TEXTJOIN("#",TRUE,PartList[[#This Row],[ASSLY MARK]],PartList[[#This Row],[BOX NO]],PartList[[#This Row],[In/Out]],PartList[[#This Row],[O1-Grid]])</f>
        <v>SW05#Box2#13_B_A</v>
      </c>
      <c r="N1076" t="str">
        <f>_xlfn.TEXTJOIN("#",TRUE,PartList[[#This Row],[ASSLY MARK]],PartList[[#This Row],[BOX NO]],PartList[[#This Row],[In/Out]],PartList[[#This Row],[O2-Grid]])</f>
        <v>SW05#Box2#12_13_B</v>
      </c>
      <c r="O1076">
        <f>IF(PartList[[#This Row],[Unique]]="Yes",_xlfn.XLOOKUP(PartList[[#This Row],[ASSLY MARK]],FilteredPL!A:A,FilteredPL!B:B,0,0),0)</f>
        <v>0</v>
      </c>
      <c r="P1076">
        <f>_xlfn.XLOOKUP(PartList[[#This Row],[ASSLY MARK]],MasterPL[SplitMarkNo],MasterPL[BILL WT.(KG)],0,0)</f>
        <v>0</v>
      </c>
      <c r="Q1076" cm="1">
        <f t="array" ref="Q107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77" spans="1:17" x14ac:dyDescent="0.25">
      <c r="A1077">
        <v>1209</v>
      </c>
      <c r="B1077" t="s">
        <v>1120</v>
      </c>
      <c r="C1077" t="s">
        <v>1077</v>
      </c>
      <c r="D1077" t="s">
        <v>1107</v>
      </c>
      <c r="E1077" t="s">
        <v>1086</v>
      </c>
      <c r="F1077" t="str" cm="1">
        <f t="array" ref="F1077">IF(SUM(IF(PartList[ASSLY MARK]=PartList[[#This Row],[ASSLY MARK]],1,0))&gt;1,"No","Yes")</f>
        <v>No</v>
      </c>
      <c r="G1077" t="str" cm="1">
        <f t="array" ref="G1077">_xlfn.TEXTJOIN("_",TRUE,TRIM(_xlfn.TEXTSPLIT(PartList[[#This Row],[GRID LOCATION]],{"PR01","/","-"})))</f>
        <v>13_B</v>
      </c>
      <c r="H1077" t="str" cm="1">
        <f t="array" ref="H107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77" cm="1">
        <f t="array" ref="I107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77" t="str">
        <f>IF(IFERROR(SEARCH("&gt;",PartList[[#This Row],[ID]]),0),"O",IF(IFERROR(SEARCH("&lt;",PartList[[#This Row],[ID]]),0),"I",""))</f>
        <v/>
      </c>
      <c r="K1077" t="str" cm="1">
        <f t="array" ref="K10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77" t="str" cm="1">
        <f t="array" ref="L10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77" t="str">
        <f>_xlfn.TEXTJOIN("#",TRUE,PartList[[#This Row],[ASSLY MARK]],PartList[[#This Row],[BOX NO]],PartList[[#This Row],[In/Out]],PartList[[#This Row],[O1-Grid]])</f>
        <v>SW05#Box2#13_B_A</v>
      </c>
      <c r="N1077" t="str">
        <f>_xlfn.TEXTJOIN("#",TRUE,PartList[[#This Row],[ASSLY MARK]],PartList[[#This Row],[BOX NO]],PartList[[#This Row],[In/Out]],PartList[[#This Row],[O2-Grid]])</f>
        <v>SW05#Box2#12_13_B</v>
      </c>
      <c r="O1077">
        <f>IF(PartList[[#This Row],[Unique]]="Yes",_xlfn.XLOOKUP(PartList[[#This Row],[ASSLY MARK]],FilteredPL!A:A,FilteredPL!B:B,0,0),0)</f>
        <v>0</v>
      </c>
      <c r="P1077">
        <f>_xlfn.XLOOKUP(PartList[[#This Row],[ASSLY MARK]],MasterPL[SplitMarkNo],MasterPL[BILL WT.(KG)],0,0)</f>
        <v>0</v>
      </c>
      <c r="Q1077" cm="1">
        <f t="array" ref="Q107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78" spans="1:17" x14ac:dyDescent="0.25">
      <c r="A1078">
        <v>1210</v>
      </c>
      <c r="B1078" t="s">
        <v>1120</v>
      </c>
      <c r="C1078" t="s">
        <v>1071</v>
      </c>
      <c r="D1078" t="s">
        <v>1107</v>
      </c>
      <c r="E1078" t="s">
        <v>1086</v>
      </c>
      <c r="F1078" t="str" cm="1">
        <f t="array" ref="F1078">IF(SUM(IF(PartList[ASSLY MARK]=PartList[[#This Row],[ASSLY MARK]],1,0))&gt;1,"No","Yes")</f>
        <v>No</v>
      </c>
      <c r="G1078" t="str" cm="1">
        <f t="array" ref="G1078">_xlfn.TEXTJOIN("_",TRUE,TRIM(_xlfn.TEXTSPLIT(PartList[[#This Row],[GRID LOCATION]],{"PR01","/","-"})))</f>
        <v>13_A</v>
      </c>
      <c r="H1078" t="str" cm="1">
        <f t="array" ref="H107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78" cm="1">
        <f t="array" ref="I107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78" t="str">
        <f>IF(IFERROR(SEARCH("&gt;",PartList[[#This Row],[ID]]),0),"O",IF(IFERROR(SEARCH("&lt;",PartList[[#This Row],[ID]]),0),"I",""))</f>
        <v/>
      </c>
      <c r="K1078" t="str" cm="1">
        <f t="array" ref="K10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78" t="str" cm="1">
        <f t="array" ref="L10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78" t="str">
        <f>_xlfn.TEXTJOIN("#",TRUE,PartList[[#This Row],[ASSLY MARK]],PartList[[#This Row],[BOX NO]],PartList[[#This Row],[In/Out]],PartList[[#This Row],[O1-Grid]])</f>
        <v>SW05#Box2#13_B_A</v>
      </c>
      <c r="N1078" t="str">
        <f>_xlfn.TEXTJOIN("#",TRUE,PartList[[#This Row],[ASSLY MARK]],PartList[[#This Row],[BOX NO]],PartList[[#This Row],[In/Out]],PartList[[#This Row],[O2-Grid]])</f>
        <v>SW05#Box2#12_13_A</v>
      </c>
      <c r="O1078">
        <f>IF(PartList[[#This Row],[Unique]]="Yes",_xlfn.XLOOKUP(PartList[[#This Row],[ASSLY MARK]],FilteredPL!A:A,FilteredPL!B:B,0,0),0)</f>
        <v>0</v>
      </c>
      <c r="P1078">
        <f>_xlfn.XLOOKUP(PartList[[#This Row],[ASSLY MARK]],MasterPL[SplitMarkNo],MasterPL[BILL WT.(KG)],0,0)</f>
        <v>0</v>
      </c>
      <c r="Q1078" cm="1">
        <f t="array" ref="Q107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79" spans="1:17" x14ac:dyDescent="0.25">
      <c r="A1079">
        <v>1222</v>
      </c>
      <c r="B1079" t="s">
        <v>444</v>
      </c>
      <c r="C1079" t="s">
        <v>1077</v>
      </c>
      <c r="D1079" t="s">
        <v>1127</v>
      </c>
      <c r="E1079" t="s">
        <v>438</v>
      </c>
      <c r="F1079" t="str" cm="1">
        <f t="array" ref="F1079">IF(SUM(IF(PartList[ASSLY MARK]=PartList[[#This Row],[ASSLY MARK]],1,0))&gt;1,"No","Yes")</f>
        <v>No</v>
      </c>
      <c r="G1079" t="str" cm="1">
        <f t="array" ref="G1079">_xlfn.TEXTJOIN("_",TRUE,TRIM(_xlfn.TEXTSPLIT(PartList[[#This Row],[GRID LOCATION]],{"PR01","/","-"})))</f>
        <v>13_B</v>
      </c>
      <c r="H1079" t="str" cm="1">
        <f t="array" ref="H107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79" cm="1">
        <f t="array" ref="I107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79" t="str">
        <f>IF(IFERROR(SEARCH("&gt;",PartList[[#This Row],[ID]]),0),"O",IF(IFERROR(SEARCH("&lt;",PartList[[#This Row],[ID]]),0),"I",""))</f>
        <v/>
      </c>
      <c r="K1079" t="str" cm="1">
        <f t="array" ref="K10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079" t="str" cm="1">
        <f t="array" ref="L10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79" t="str">
        <f>_xlfn.TEXTJOIN("#",TRUE,PartList[[#This Row],[ASSLY MARK]],PartList[[#This Row],[BOX NO]],PartList[[#This Row],[In/Out]],PartList[[#This Row],[O1-Grid]])</f>
        <v>VB06#Box2#13_B_A</v>
      </c>
      <c r="N1079" t="str">
        <f>_xlfn.TEXTJOIN("#",TRUE,PartList[[#This Row],[ASSLY MARK]],PartList[[#This Row],[BOX NO]],PartList[[#This Row],[In/Out]],PartList[[#This Row],[O2-Grid]])</f>
        <v>VB06#Box2#12_13_B</v>
      </c>
      <c r="O1079">
        <f>IF(PartList[[#This Row],[Unique]]="Yes",_xlfn.XLOOKUP(PartList[[#This Row],[ASSLY MARK]],FilteredPL!A:A,FilteredPL!B:B,0,0),0)</f>
        <v>0</v>
      </c>
      <c r="P1079">
        <f>_xlfn.XLOOKUP(PartList[[#This Row],[ASSLY MARK]],MasterPL[SplitMarkNo],MasterPL[BILL WT.(KG)],0,0)</f>
        <v>0</v>
      </c>
      <c r="Q1079" cm="1">
        <f t="array" ref="Q107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80" spans="1:17" x14ac:dyDescent="0.25">
      <c r="A1080">
        <v>1223</v>
      </c>
      <c r="B1080" t="s">
        <v>444</v>
      </c>
      <c r="C1080" t="s">
        <v>1053</v>
      </c>
      <c r="D1080" t="s">
        <v>1127</v>
      </c>
      <c r="E1080" t="s">
        <v>438</v>
      </c>
      <c r="F1080" t="str" cm="1">
        <f t="array" ref="F1080">IF(SUM(IF(PartList[ASSLY MARK]=PartList[[#This Row],[ASSLY MARK]],1,0))&gt;1,"No","Yes")</f>
        <v>No</v>
      </c>
      <c r="G1080" t="str" cm="1">
        <f t="array" ref="G1080">_xlfn.TEXTJOIN("_",TRUE,TRIM(_xlfn.TEXTSPLIT(PartList[[#This Row],[GRID LOCATION]],{"PR01","/","-"})))</f>
        <v>12_A</v>
      </c>
      <c r="H1080" t="str" cm="1">
        <f t="array" ref="H108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80" cm="1">
        <f t="array" ref="I108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80" t="str">
        <f>IF(IFERROR(SEARCH("&gt;",PartList[[#This Row],[ID]]),0),"O",IF(IFERROR(SEARCH("&lt;",PartList[[#This Row],[ID]]),0),"I",""))</f>
        <v/>
      </c>
      <c r="K1080" t="str" cm="1">
        <f t="array" ref="K10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80" t="str" cm="1">
        <f t="array" ref="L10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80" t="str">
        <f>_xlfn.TEXTJOIN("#",TRUE,PartList[[#This Row],[ASSLY MARK]],PartList[[#This Row],[BOX NO]],PartList[[#This Row],[In/Out]],PartList[[#This Row],[O1-Grid]])</f>
        <v>VB06#Box2#12_B_A</v>
      </c>
      <c r="N1080" t="str">
        <f>_xlfn.TEXTJOIN("#",TRUE,PartList[[#This Row],[ASSLY MARK]],PartList[[#This Row],[BOX NO]],PartList[[#This Row],[In/Out]],PartList[[#This Row],[O2-Grid]])</f>
        <v>VB06#Box2#12_13_A</v>
      </c>
      <c r="O1080">
        <f>IF(PartList[[#This Row],[Unique]]="Yes",_xlfn.XLOOKUP(PartList[[#This Row],[ASSLY MARK]],FilteredPL!A:A,FilteredPL!B:B,0,0),0)</f>
        <v>0</v>
      </c>
      <c r="P1080">
        <f>_xlfn.XLOOKUP(PartList[[#This Row],[ASSLY MARK]],MasterPL[SplitMarkNo],MasterPL[BILL WT.(KG)],0,0)</f>
        <v>0</v>
      </c>
      <c r="Q1080" cm="1">
        <f t="array" ref="Q108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81" spans="1:17" x14ac:dyDescent="0.25">
      <c r="A1081">
        <v>1224</v>
      </c>
      <c r="B1081" t="s">
        <v>444</v>
      </c>
      <c r="C1081" t="s">
        <v>1059</v>
      </c>
      <c r="D1081" t="s">
        <v>1127</v>
      </c>
      <c r="E1081" t="s">
        <v>438</v>
      </c>
      <c r="F1081" t="str" cm="1">
        <f t="array" ref="F1081">IF(SUM(IF(PartList[ASSLY MARK]=PartList[[#This Row],[ASSLY MARK]],1,0))&gt;1,"No","Yes")</f>
        <v>No</v>
      </c>
      <c r="G1081" t="str" cm="1">
        <f t="array" ref="G1081">_xlfn.TEXTJOIN("_",TRUE,TRIM(_xlfn.TEXTSPLIT(PartList[[#This Row],[GRID LOCATION]],{"PR01","/","-"})))</f>
        <v>12_B</v>
      </c>
      <c r="H1081" t="str" cm="1">
        <f t="array" ref="H108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81" cm="1">
        <f t="array" ref="I108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81" t="str">
        <f>IF(IFERROR(SEARCH("&gt;",PartList[[#This Row],[ID]]),0),"O",IF(IFERROR(SEARCH("&lt;",PartList[[#This Row],[ID]]),0),"I",""))</f>
        <v/>
      </c>
      <c r="K1081" t="str" cm="1">
        <f t="array" ref="K10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12_B_A</v>
      </c>
      <c r="L1081" t="str" cm="1">
        <f t="array" ref="L10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81" t="str">
        <f>_xlfn.TEXTJOIN("#",TRUE,PartList[[#This Row],[ASSLY MARK]],PartList[[#This Row],[BOX NO]],PartList[[#This Row],[In/Out]],PartList[[#This Row],[O1-Grid]])</f>
        <v>VB06#Box2#12_B_A</v>
      </c>
      <c r="N1081" t="str">
        <f>_xlfn.TEXTJOIN("#",TRUE,PartList[[#This Row],[ASSLY MARK]],PartList[[#This Row],[BOX NO]],PartList[[#This Row],[In/Out]],PartList[[#This Row],[O2-Grid]])</f>
        <v>VB06#Box2#12_13_B</v>
      </c>
      <c r="O1081">
        <f>IF(PartList[[#This Row],[Unique]]="Yes",_xlfn.XLOOKUP(PartList[[#This Row],[ASSLY MARK]],FilteredPL!A:A,FilteredPL!B:B,0,0),0)</f>
        <v>0</v>
      </c>
      <c r="P1081">
        <f>_xlfn.XLOOKUP(PartList[[#This Row],[ASSLY MARK]],MasterPL[SplitMarkNo],MasterPL[BILL WT.(KG)],0,0)</f>
        <v>0</v>
      </c>
      <c r="Q1081" cm="1">
        <f t="array" ref="Q108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82" spans="1:17" x14ac:dyDescent="0.25">
      <c r="A1082">
        <v>1244</v>
      </c>
      <c r="B1082" t="s">
        <v>462</v>
      </c>
      <c r="C1082" t="s">
        <v>547</v>
      </c>
      <c r="D1082" t="s">
        <v>1138</v>
      </c>
      <c r="E1082" t="s">
        <v>438</v>
      </c>
      <c r="F1082" t="str" cm="1">
        <f t="array" ref="F1082">IF(SUM(IF(PartList[ASSLY MARK]=PartList[[#This Row],[ASSLY MARK]],1,0))&gt;1,"No","Yes")</f>
        <v>No</v>
      </c>
      <c r="G1082" t="str" cm="1">
        <f t="array" ref="G1082">_xlfn.TEXTJOIN("_",TRUE,TRIM(_xlfn.TEXTSPLIT(PartList[[#This Row],[GRID LOCATION]],{"PR01","/","-"})))</f>
        <v>12_13_A_B</v>
      </c>
      <c r="H1082" t="str" cm="1">
        <f t="array" ref="H108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82" cm="1">
        <f t="array" ref="I108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82" t="str">
        <f>IF(IFERROR(SEARCH("&gt;",PartList[[#This Row],[ID]]),0),"O",IF(IFERROR(SEARCH("&lt;",PartList[[#This Row],[ID]]),0),"I",""))</f>
        <v/>
      </c>
      <c r="K1082" t="str" cm="1">
        <f t="array" ref="K10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082" t="str" cm="1">
        <f t="array" ref="L10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082" t="str">
        <f>_xlfn.TEXTJOIN("#",TRUE,PartList[[#This Row],[ASSLY MARK]],PartList[[#This Row],[BOX NO]],PartList[[#This Row],[In/Out]],PartList[[#This Row],[O1-Grid]])</f>
        <v>VB22#Box2#InB</v>
      </c>
      <c r="N1082" t="str">
        <f>_xlfn.TEXTJOIN("#",TRUE,PartList[[#This Row],[ASSLY MARK]],PartList[[#This Row],[BOX NO]],PartList[[#This Row],[In/Out]],PartList[[#This Row],[O2-Grid]])</f>
        <v>VB22#Box2#InB</v>
      </c>
      <c r="O1082">
        <f>IF(PartList[[#This Row],[Unique]]="Yes",_xlfn.XLOOKUP(PartList[[#This Row],[ASSLY MARK]],FilteredPL!A:A,FilteredPL!B:B,0,0),0)</f>
        <v>0</v>
      </c>
      <c r="P1082">
        <f>_xlfn.XLOOKUP(PartList[[#This Row],[ASSLY MARK]],MasterPL[SplitMarkNo],MasterPL[BILL WT.(KG)],0,0)</f>
        <v>0</v>
      </c>
      <c r="Q1082" cm="1">
        <f t="array" ref="Q108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83" spans="1:17" x14ac:dyDescent="0.25">
      <c r="A1083">
        <v>1245</v>
      </c>
      <c r="B1083" t="s">
        <v>462</v>
      </c>
      <c r="C1083" t="s">
        <v>547</v>
      </c>
      <c r="D1083" t="s">
        <v>1138</v>
      </c>
      <c r="E1083" t="s">
        <v>438</v>
      </c>
      <c r="F1083" t="str" cm="1">
        <f t="array" ref="F1083">IF(SUM(IF(PartList[ASSLY MARK]=PartList[[#This Row],[ASSLY MARK]],1,0))&gt;1,"No","Yes")</f>
        <v>No</v>
      </c>
      <c r="G1083" t="str" cm="1">
        <f t="array" ref="G1083">_xlfn.TEXTJOIN("_",TRUE,TRIM(_xlfn.TEXTSPLIT(PartList[[#This Row],[GRID LOCATION]],{"PR01","/","-"})))</f>
        <v>12_13_A_B</v>
      </c>
      <c r="H1083" t="str" cm="1">
        <f t="array" ref="H108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83" cm="1">
        <f t="array" ref="I108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83" t="str">
        <f>IF(IFERROR(SEARCH("&gt;",PartList[[#This Row],[ID]]),0),"O",IF(IFERROR(SEARCH("&lt;",PartList[[#This Row],[ID]]),0),"I",""))</f>
        <v/>
      </c>
      <c r="K1083" t="str" cm="1">
        <f t="array" ref="K10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083" t="str" cm="1">
        <f t="array" ref="L10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083" t="str">
        <f>_xlfn.TEXTJOIN("#",TRUE,PartList[[#This Row],[ASSLY MARK]],PartList[[#This Row],[BOX NO]],PartList[[#This Row],[In/Out]],PartList[[#This Row],[O1-Grid]])</f>
        <v>VB22#Box2#InB</v>
      </c>
      <c r="N1083" t="str">
        <f>_xlfn.TEXTJOIN("#",TRUE,PartList[[#This Row],[ASSLY MARK]],PartList[[#This Row],[BOX NO]],PartList[[#This Row],[In/Out]],PartList[[#This Row],[O2-Grid]])</f>
        <v>VB22#Box2#InB</v>
      </c>
      <c r="O1083">
        <f>IF(PartList[[#This Row],[Unique]]="Yes",_xlfn.XLOOKUP(PartList[[#This Row],[ASSLY MARK]],FilteredPL!A:A,FilteredPL!B:B,0,0),0)</f>
        <v>0</v>
      </c>
      <c r="P1083">
        <f>_xlfn.XLOOKUP(PartList[[#This Row],[ASSLY MARK]],MasterPL[SplitMarkNo],MasterPL[BILL WT.(KG)],0,0)</f>
        <v>0</v>
      </c>
      <c r="Q1083" cm="1">
        <f t="array" ref="Q108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84" spans="1:17" x14ac:dyDescent="0.25">
      <c r="A1084">
        <v>1246</v>
      </c>
      <c r="B1084" t="s">
        <v>462</v>
      </c>
      <c r="C1084" t="s">
        <v>547</v>
      </c>
      <c r="D1084" t="s">
        <v>1138</v>
      </c>
      <c r="E1084" t="s">
        <v>438</v>
      </c>
      <c r="F1084" t="str" cm="1">
        <f t="array" ref="F1084">IF(SUM(IF(PartList[ASSLY MARK]=PartList[[#This Row],[ASSLY MARK]],1,0))&gt;1,"No","Yes")</f>
        <v>No</v>
      </c>
      <c r="G1084" t="str" cm="1">
        <f t="array" ref="G1084">_xlfn.TEXTJOIN("_",TRUE,TRIM(_xlfn.TEXTSPLIT(PartList[[#This Row],[GRID LOCATION]],{"PR01","/","-"})))</f>
        <v>12_13_A_B</v>
      </c>
      <c r="H1084" t="str" cm="1">
        <f t="array" ref="H108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84" cm="1">
        <f t="array" ref="I108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84" t="str">
        <f>IF(IFERROR(SEARCH("&gt;",PartList[[#This Row],[ID]]),0),"O",IF(IFERROR(SEARCH("&lt;",PartList[[#This Row],[ID]]),0),"I",""))</f>
        <v/>
      </c>
      <c r="K1084" t="str" cm="1">
        <f t="array" ref="K10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084" t="str" cm="1">
        <f t="array" ref="L10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084" t="str">
        <f>_xlfn.TEXTJOIN("#",TRUE,PartList[[#This Row],[ASSLY MARK]],PartList[[#This Row],[BOX NO]],PartList[[#This Row],[In/Out]],PartList[[#This Row],[O1-Grid]])</f>
        <v>VB22#Box2#InB</v>
      </c>
      <c r="N1084" t="str">
        <f>_xlfn.TEXTJOIN("#",TRUE,PartList[[#This Row],[ASSLY MARK]],PartList[[#This Row],[BOX NO]],PartList[[#This Row],[In/Out]],PartList[[#This Row],[O2-Grid]])</f>
        <v>VB22#Box2#InB</v>
      </c>
      <c r="O1084">
        <f>IF(PartList[[#This Row],[Unique]]="Yes",_xlfn.XLOOKUP(PartList[[#This Row],[ASSLY MARK]],FilteredPL!A:A,FilteredPL!B:B,0,0),0)</f>
        <v>0</v>
      </c>
      <c r="P1084">
        <f>_xlfn.XLOOKUP(PartList[[#This Row],[ASSLY MARK]],MasterPL[SplitMarkNo],MasterPL[BILL WT.(KG)],0,0)</f>
        <v>0</v>
      </c>
      <c r="Q1084" cm="1">
        <f t="array" ref="Q108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85" spans="1:17" x14ac:dyDescent="0.25">
      <c r="A1085">
        <v>1247</v>
      </c>
      <c r="B1085" t="s">
        <v>462</v>
      </c>
      <c r="C1085" t="s">
        <v>547</v>
      </c>
      <c r="D1085" t="s">
        <v>1138</v>
      </c>
      <c r="E1085" t="s">
        <v>438</v>
      </c>
      <c r="F1085" t="str" cm="1">
        <f t="array" ref="F1085">IF(SUM(IF(PartList[ASSLY MARK]=PartList[[#This Row],[ASSLY MARK]],1,0))&gt;1,"No","Yes")</f>
        <v>No</v>
      </c>
      <c r="G1085" t="str" cm="1">
        <f t="array" ref="G1085">_xlfn.TEXTJOIN("_",TRUE,TRIM(_xlfn.TEXTSPLIT(PartList[[#This Row],[GRID LOCATION]],{"PR01","/","-"})))</f>
        <v>12_13_A_B</v>
      </c>
      <c r="H1085" t="str" cm="1">
        <f t="array" ref="H108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85" cm="1">
        <f t="array" ref="I108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85" t="str">
        <f>IF(IFERROR(SEARCH("&gt;",PartList[[#This Row],[ID]]),0),"O",IF(IFERROR(SEARCH("&lt;",PartList[[#This Row],[ID]]),0),"I",""))</f>
        <v/>
      </c>
      <c r="K1085" t="str" cm="1">
        <f t="array" ref="K10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085" t="str" cm="1">
        <f t="array" ref="L10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085" t="str">
        <f>_xlfn.TEXTJOIN("#",TRUE,PartList[[#This Row],[ASSLY MARK]],PartList[[#This Row],[BOX NO]],PartList[[#This Row],[In/Out]],PartList[[#This Row],[O1-Grid]])</f>
        <v>VB22#Box2#InB</v>
      </c>
      <c r="N1085" t="str">
        <f>_xlfn.TEXTJOIN("#",TRUE,PartList[[#This Row],[ASSLY MARK]],PartList[[#This Row],[BOX NO]],PartList[[#This Row],[In/Out]],PartList[[#This Row],[O2-Grid]])</f>
        <v>VB22#Box2#InB</v>
      </c>
      <c r="O1085">
        <f>IF(PartList[[#This Row],[Unique]]="Yes",_xlfn.XLOOKUP(PartList[[#This Row],[ASSLY MARK]],FilteredPL!A:A,FilteredPL!B:B,0,0),0)</f>
        <v>0</v>
      </c>
      <c r="P1085">
        <f>_xlfn.XLOOKUP(PartList[[#This Row],[ASSLY MARK]],MasterPL[SplitMarkNo],MasterPL[BILL WT.(KG)],0,0)</f>
        <v>0</v>
      </c>
      <c r="Q1085" cm="1">
        <f t="array" ref="Q108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86" spans="1:17" x14ac:dyDescent="0.25">
      <c r="A1086">
        <v>1248</v>
      </c>
      <c r="B1086" t="s">
        <v>462</v>
      </c>
      <c r="C1086" t="s">
        <v>547</v>
      </c>
      <c r="D1086" t="s">
        <v>1138</v>
      </c>
      <c r="E1086" t="s">
        <v>438</v>
      </c>
      <c r="F1086" t="str" cm="1">
        <f t="array" ref="F1086">IF(SUM(IF(PartList[ASSLY MARK]=PartList[[#This Row],[ASSLY MARK]],1,0))&gt;1,"No","Yes")</f>
        <v>No</v>
      </c>
      <c r="G1086" t="str" cm="1">
        <f t="array" ref="G1086">_xlfn.TEXTJOIN("_",TRUE,TRIM(_xlfn.TEXTSPLIT(PartList[[#This Row],[GRID LOCATION]],{"PR01","/","-"})))</f>
        <v>12_13_A_B</v>
      </c>
      <c r="H1086" t="str" cm="1">
        <f t="array" ref="H108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86" cm="1">
        <f t="array" ref="I108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86" t="str">
        <f>IF(IFERROR(SEARCH("&gt;",PartList[[#This Row],[ID]]),0),"O",IF(IFERROR(SEARCH("&lt;",PartList[[#This Row],[ID]]),0),"I",""))</f>
        <v/>
      </c>
      <c r="K1086" t="str" cm="1">
        <f t="array" ref="K10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086" t="str" cm="1">
        <f t="array" ref="L10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086" t="str">
        <f>_xlfn.TEXTJOIN("#",TRUE,PartList[[#This Row],[ASSLY MARK]],PartList[[#This Row],[BOX NO]],PartList[[#This Row],[In/Out]],PartList[[#This Row],[O1-Grid]])</f>
        <v>VB22#Box2#InB</v>
      </c>
      <c r="N1086" t="str">
        <f>_xlfn.TEXTJOIN("#",TRUE,PartList[[#This Row],[ASSLY MARK]],PartList[[#This Row],[BOX NO]],PartList[[#This Row],[In/Out]],PartList[[#This Row],[O2-Grid]])</f>
        <v>VB22#Box2#InB</v>
      </c>
      <c r="O1086">
        <f>IF(PartList[[#This Row],[Unique]]="Yes",_xlfn.XLOOKUP(PartList[[#This Row],[ASSLY MARK]],FilteredPL!A:A,FilteredPL!B:B,0,0),0)</f>
        <v>0</v>
      </c>
      <c r="P1086">
        <f>_xlfn.XLOOKUP(PartList[[#This Row],[ASSLY MARK]],MasterPL[SplitMarkNo],MasterPL[BILL WT.(KG)],0,0)</f>
        <v>0</v>
      </c>
      <c r="Q1086" cm="1">
        <f t="array" ref="Q108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87" spans="1:17" x14ac:dyDescent="0.25">
      <c r="A1087">
        <v>1249</v>
      </c>
      <c r="B1087" t="s">
        <v>462</v>
      </c>
      <c r="C1087" t="s">
        <v>547</v>
      </c>
      <c r="D1087" t="s">
        <v>1138</v>
      </c>
      <c r="E1087" t="s">
        <v>438</v>
      </c>
      <c r="F1087" t="str" cm="1">
        <f t="array" ref="F1087">IF(SUM(IF(PartList[ASSLY MARK]=PartList[[#This Row],[ASSLY MARK]],1,0))&gt;1,"No","Yes")</f>
        <v>No</v>
      </c>
      <c r="G1087" t="str" cm="1">
        <f t="array" ref="G1087">_xlfn.TEXTJOIN("_",TRUE,TRIM(_xlfn.TEXTSPLIT(PartList[[#This Row],[GRID LOCATION]],{"PR01","/","-"})))</f>
        <v>12_13_A_B</v>
      </c>
      <c r="H1087" t="str" cm="1">
        <f t="array" ref="H108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87" cm="1">
        <f t="array" ref="I108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87" t="str">
        <f>IF(IFERROR(SEARCH("&gt;",PartList[[#This Row],[ID]]),0),"O",IF(IFERROR(SEARCH("&lt;",PartList[[#This Row],[ID]]),0),"I",""))</f>
        <v/>
      </c>
      <c r="K1087" t="str" cm="1">
        <f t="array" ref="K10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087" t="str" cm="1">
        <f t="array" ref="L10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087" t="str">
        <f>_xlfn.TEXTJOIN("#",TRUE,PartList[[#This Row],[ASSLY MARK]],PartList[[#This Row],[BOX NO]],PartList[[#This Row],[In/Out]],PartList[[#This Row],[O1-Grid]])</f>
        <v>VB22#Box2#InB</v>
      </c>
      <c r="N1087" t="str">
        <f>_xlfn.TEXTJOIN("#",TRUE,PartList[[#This Row],[ASSLY MARK]],PartList[[#This Row],[BOX NO]],PartList[[#This Row],[In/Out]],PartList[[#This Row],[O2-Grid]])</f>
        <v>VB22#Box2#InB</v>
      </c>
      <c r="O1087">
        <f>IF(PartList[[#This Row],[Unique]]="Yes",_xlfn.XLOOKUP(PartList[[#This Row],[ASSLY MARK]],FilteredPL!A:A,FilteredPL!B:B,0,0),0)</f>
        <v>0</v>
      </c>
      <c r="P1087">
        <f>_xlfn.XLOOKUP(PartList[[#This Row],[ASSLY MARK]],MasterPL[SplitMarkNo],MasterPL[BILL WT.(KG)],0,0)</f>
        <v>0</v>
      </c>
      <c r="Q1087" cm="1">
        <f t="array" ref="Q108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88" spans="1:17" x14ac:dyDescent="0.25">
      <c r="A1088">
        <v>1250</v>
      </c>
      <c r="B1088" t="s">
        <v>462</v>
      </c>
      <c r="C1088" t="s">
        <v>547</v>
      </c>
      <c r="D1088" t="s">
        <v>1138</v>
      </c>
      <c r="E1088" t="s">
        <v>438</v>
      </c>
      <c r="F1088" t="str" cm="1">
        <f t="array" ref="F1088">IF(SUM(IF(PartList[ASSLY MARK]=PartList[[#This Row],[ASSLY MARK]],1,0))&gt;1,"No","Yes")</f>
        <v>No</v>
      </c>
      <c r="G1088" t="str" cm="1">
        <f t="array" ref="G1088">_xlfn.TEXTJOIN("_",TRUE,TRIM(_xlfn.TEXTSPLIT(PartList[[#This Row],[GRID LOCATION]],{"PR01","/","-"})))</f>
        <v>12_13_A_B</v>
      </c>
      <c r="H1088" t="str" cm="1">
        <f t="array" ref="H108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88" cm="1">
        <f t="array" ref="I108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88" t="str">
        <f>IF(IFERROR(SEARCH("&gt;",PartList[[#This Row],[ID]]),0),"O",IF(IFERROR(SEARCH("&lt;",PartList[[#This Row],[ID]]),0),"I",""))</f>
        <v/>
      </c>
      <c r="K1088" t="str" cm="1">
        <f t="array" ref="K10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088" t="str" cm="1">
        <f t="array" ref="L10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088" t="str">
        <f>_xlfn.TEXTJOIN("#",TRUE,PartList[[#This Row],[ASSLY MARK]],PartList[[#This Row],[BOX NO]],PartList[[#This Row],[In/Out]],PartList[[#This Row],[O1-Grid]])</f>
        <v>VB22#Box2#InB</v>
      </c>
      <c r="N1088" t="str">
        <f>_xlfn.TEXTJOIN("#",TRUE,PartList[[#This Row],[ASSLY MARK]],PartList[[#This Row],[BOX NO]],PartList[[#This Row],[In/Out]],PartList[[#This Row],[O2-Grid]])</f>
        <v>VB22#Box2#InB</v>
      </c>
      <c r="O1088">
        <f>IF(PartList[[#This Row],[Unique]]="Yes",_xlfn.XLOOKUP(PartList[[#This Row],[ASSLY MARK]],FilteredPL!A:A,FilteredPL!B:B,0,0),0)</f>
        <v>0</v>
      </c>
      <c r="P1088">
        <f>_xlfn.XLOOKUP(PartList[[#This Row],[ASSLY MARK]],MasterPL[SplitMarkNo],MasterPL[BILL WT.(KG)],0,0)</f>
        <v>0</v>
      </c>
      <c r="Q1088" cm="1">
        <f t="array" ref="Q108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89" spans="1:17" x14ac:dyDescent="0.25">
      <c r="A1089">
        <v>1251</v>
      </c>
      <c r="B1089" t="s">
        <v>462</v>
      </c>
      <c r="C1089" t="s">
        <v>547</v>
      </c>
      <c r="D1089" t="s">
        <v>1138</v>
      </c>
      <c r="E1089" t="s">
        <v>438</v>
      </c>
      <c r="F1089" t="str" cm="1">
        <f t="array" ref="F1089">IF(SUM(IF(PartList[ASSLY MARK]=PartList[[#This Row],[ASSLY MARK]],1,0))&gt;1,"No","Yes")</f>
        <v>No</v>
      </c>
      <c r="G1089" t="str" cm="1">
        <f t="array" ref="G1089">_xlfn.TEXTJOIN("_",TRUE,TRIM(_xlfn.TEXTSPLIT(PartList[[#This Row],[GRID LOCATION]],{"PR01","/","-"})))</f>
        <v>12_13_A_B</v>
      </c>
      <c r="H1089" t="str" cm="1">
        <f t="array" ref="H108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89" cm="1">
        <f t="array" ref="I108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89" t="str">
        <f>IF(IFERROR(SEARCH("&gt;",PartList[[#This Row],[ID]]),0),"O",IF(IFERROR(SEARCH("&lt;",PartList[[#This Row],[ID]]),0),"I",""))</f>
        <v/>
      </c>
      <c r="K1089" t="str" cm="1">
        <f t="array" ref="K10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089" t="str" cm="1">
        <f t="array" ref="L10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089" t="str">
        <f>_xlfn.TEXTJOIN("#",TRUE,PartList[[#This Row],[ASSLY MARK]],PartList[[#This Row],[BOX NO]],PartList[[#This Row],[In/Out]],PartList[[#This Row],[O1-Grid]])</f>
        <v>VB22#Box2#InB</v>
      </c>
      <c r="N1089" t="str">
        <f>_xlfn.TEXTJOIN("#",TRUE,PartList[[#This Row],[ASSLY MARK]],PartList[[#This Row],[BOX NO]],PartList[[#This Row],[In/Out]],PartList[[#This Row],[O2-Grid]])</f>
        <v>VB22#Box2#InB</v>
      </c>
      <c r="O1089">
        <f>IF(PartList[[#This Row],[Unique]]="Yes",_xlfn.XLOOKUP(PartList[[#This Row],[ASSLY MARK]],FilteredPL!A:A,FilteredPL!B:B,0,0),0)</f>
        <v>0</v>
      </c>
      <c r="P1089">
        <f>_xlfn.XLOOKUP(PartList[[#This Row],[ASSLY MARK]],MasterPL[SplitMarkNo],MasterPL[BILL WT.(KG)],0,0)</f>
        <v>0</v>
      </c>
      <c r="Q1089" cm="1">
        <f t="array" ref="Q108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90" spans="1:17" x14ac:dyDescent="0.25">
      <c r="A1090">
        <v>1252</v>
      </c>
      <c r="B1090" t="s">
        <v>462</v>
      </c>
      <c r="C1090" t="s">
        <v>547</v>
      </c>
      <c r="D1090" t="s">
        <v>1138</v>
      </c>
      <c r="E1090" t="s">
        <v>438</v>
      </c>
      <c r="F1090" t="str" cm="1">
        <f t="array" ref="F1090">IF(SUM(IF(PartList[ASSLY MARK]=PartList[[#This Row],[ASSLY MARK]],1,0))&gt;1,"No","Yes")</f>
        <v>No</v>
      </c>
      <c r="G1090" t="str" cm="1">
        <f t="array" ref="G1090">_xlfn.TEXTJOIN("_",TRUE,TRIM(_xlfn.TEXTSPLIT(PartList[[#This Row],[GRID LOCATION]],{"PR01","/","-"})))</f>
        <v>12_13_A_B</v>
      </c>
      <c r="H1090" t="str" cm="1">
        <f t="array" ref="H109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90" cm="1">
        <f t="array" ref="I109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90" t="str">
        <f>IF(IFERROR(SEARCH("&gt;",PartList[[#This Row],[ID]]),0),"O",IF(IFERROR(SEARCH("&lt;",PartList[[#This Row],[ID]]),0),"I",""))</f>
        <v/>
      </c>
      <c r="K1090" t="str" cm="1">
        <f t="array" ref="K10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090" t="str" cm="1">
        <f t="array" ref="L10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090" t="str">
        <f>_xlfn.TEXTJOIN("#",TRUE,PartList[[#This Row],[ASSLY MARK]],PartList[[#This Row],[BOX NO]],PartList[[#This Row],[In/Out]],PartList[[#This Row],[O1-Grid]])</f>
        <v>VB22#Box2#InB</v>
      </c>
      <c r="N1090" t="str">
        <f>_xlfn.TEXTJOIN("#",TRUE,PartList[[#This Row],[ASSLY MARK]],PartList[[#This Row],[BOX NO]],PartList[[#This Row],[In/Out]],PartList[[#This Row],[O2-Grid]])</f>
        <v>VB22#Box2#InB</v>
      </c>
      <c r="O1090">
        <f>IF(PartList[[#This Row],[Unique]]="Yes",_xlfn.XLOOKUP(PartList[[#This Row],[ASSLY MARK]],FilteredPL!A:A,FilteredPL!B:B,0,0),0)</f>
        <v>0</v>
      </c>
      <c r="P1090">
        <f>_xlfn.XLOOKUP(PartList[[#This Row],[ASSLY MARK]],MasterPL[SplitMarkNo],MasterPL[BILL WT.(KG)],0,0)</f>
        <v>0</v>
      </c>
      <c r="Q1090" cm="1">
        <f t="array" ref="Q109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91" spans="1:17" x14ac:dyDescent="0.25">
      <c r="A1091">
        <v>1253</v>
      </c>
      <c r="B1091" t="s">
        <v>462</v>
      </c>
      <c r="C1091" t="s">
        <v>547</v>
      </c>
      <c r="D1091" t="s">
        <v>1138</v>
      </c>
      <c r="E1091" t="s">
        <v>438</v>
      </c>
      <c r="F1091" t="str" cm="1">
        <f t="array" ref="F1091">IF(SUM(IF(PartList[ASSLY MARK]=PartList[[#This Row],[ASSLY MARK]],1,0))&gt;1,"No","Yes")</f>
        <v>No</v>
      </c>
      <c r="G1091" t="str" cm="1">
        <f t="array" ref="G1091">_xlfn.TEXTJOIN("_",TRUE,TRIM(_xlfn.TEXTSPLIT(PartList[[#This Row],[GRID LOCATION]],{"PR01","/","-"})))</f>
        <v>12_13_A_B</v>
      </c>
      <c r="H1091" t="str" cm="1">
        <f t="array" ref="H109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91" cm="1">
        <f t="array" ref="I109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91" t="str">
        <f>IF(IFERROR(SEARCH("&gt;",PartList[[#This Row],[ID]]),0),"O",IF(IFERROR(SEARCH("&lt;",PartList[[#This Row],[ID]]),0),"I",""))</f>
        <v/>
      </c>
      <c r="K1091" t="str" cm="1">
        <f t="array" ref="K10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091" t="str" cm="1">
        <f t="array" ref="L10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091" t="str">
        <f>_xlfn.TEXTJOIN("#",TRUE,PartList[[#This Row],[ASSLY MARK]],PartList[[#This Row],[BOX NO]],PartList[[#This Row],[In/Out]],PartList[[#This Row],[O1-Grid]])</f>
        <v>VB22#Box2#InB</v>
      </c>
      <c r="N1091" t="str">
        <f>_xlfn.TEXTJOIN("#",TRUE,PartList[[#This Row],[ASSLY MARK]],PartList[[#This Row],[BOX NO]],PartList[[#This Row],[In/Out]],PartList[[#This Row],[O2-Grid]])</f>
        <v>VB22#Box2#InB</v>
      </c>
      <c r="O1091">
        <f>IF(PartList[[#This Row],[Unique]]="Yes",_xlfn.XLOOKUP(PartList[[#This Row],[ASSLY MARK]],FilteredPL!A:A,FilteredPL!B:B,0,0),0)</f>
        <v>0</v>
      </c>
      <c r="P1091">
        <f>_xlfn.XLOOKUP(PartList[[#This Row],[ASSLY MARK]],MasterPL[SplitMarkNo],MasterPL[BILL WT.(KG)],0,0)</f>
        <v>0</v>
      </c>
      <c r="Q1091" cm="1">
        <f t="array" ref="Q109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92" spans="1:17" x14ac:dyDescent="0.25">
      <c r="A1092">
        <v>1254</v>
      </c>
      <c r="B1092" t="s">
        <v>462</v>
      </c>
      <c r="C1092" t="s">
        <v>547</v>
      </c>
      <c r="D1092" t="s">
        <v>1138</v>
      </c>
      <c r="E1092" t="s">
        <v>438</v>
      </c>
      <c r="F1092" t="str" cm="1">
        <f t="array" ref="F1092">IF(SUM(IF(PartList[ASSLY MARK]=PartList[[#This Row],[ASSLY MARK]],1,0))&gt;1,"No","Yes")</f>
        <v>No</v>
      </c>
      <c r="G1092" t="str" cm="1">
        <f t="array" ref="G1092">_xlfn.TEXTJOIN("_",TRUE,TRIM(_xlfn.TEXTSPLIT(PartList[[#This Row],[GRID LOCATION]],{"PR01","/","-"})))</f>
        <v>12_13_A_B</v>
      </c>
      <c r="H1092" t="str" cm="1">
        <f t="array" ref="H109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92" cm="1">
        <f t="array" ref="I109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92" t="str">
        <f>IF(IFERROR(SEARCH("&gt;",PartList[[#This Row],[ID]]),0),"O",IF(IFERROR(SEARCH("&lt;",PartList[[#This Row],[ID]]),0),"I",""))</f>
        <v/>
      </c>
      <c r="K1092" t="str" cm="1">
        <f t="array" ref="K10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092" t="str" cm="1">
        <f t="array" ref="L10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092" t="str">
        <f>_xlfn.TEXTJOIN("#",TRUE,PartList[[#This Row],[ASSLY MARK]],PartList[[#This Row],[BOX NO]],PartList[[#This Row],[In/Out]],PartList[[#This Row],[O1-Grid]])</f>
        <v>VB22#Box2#InB</v>
      </c>
      <c r="N1092" t="str">
        <f>_xlfn.TEXTJOIN("#",TRUE,PartList[[#This Row],[ASSLY MARK]],PartList[[#This Row],[BOX NO]],PartList[[#This Row],[In/Out]],PartList[[#This Row],[O2-Grid]])</f>
        <v>VB22#Box2#InB</v>
      </c>
      <c r="O1092">
        <f>IF(PartList[[#This Row],[Unique]]="Yes",_xlfn.XLOOKUP(PartList[[#This Row],[ASSLY MARK]],FilteredPL!A:A,FilteredPL!B:B,0,0),0)</f>
        <v>0</v>
      </c>
      <c r="P1092">
        <f>_xlfn.XLOOKUP(PartList[[#This Row],[ASSLY MARK]],MasterPL[SplitMarkNo],MasterPL[BILL WT.(KG)],0,0)</f>
        <v>0</v>
      </c>
      <c r="Q1092" cm="1">
        <f t="array" ref="Q109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93" spans="1:17" x14ac:dyDescent="0.25">
      <c r="A1093">
        <v>1255</v>
      </c>
      <c r="B1093" t="s">
        <v>462</v>
      </c>
      <c r="C1093" t="s">
        <v>547</v>
      </c>
      <c r="D1093" t="s">
        <v>1138</v>
      </c>
      <c r="E1093" t="s">
        <v>438</v>
      </c>
      <c r="F1093" t="str" cm="1">
        <f t="array" ref="F1093">IF(SUM(IF(PartList[ASSLY MARK]=PartList[[#This Row],[ASSLY MARK]],1,0))&gt;1,"No","Yes")</f>
        <v>No</v>
      </c>
      <c r="G1093" t="str" cm="1">
        <f t="array" ref="G1093">_xlfn.TEXTJOIN("_",TRUE,TRIM(_xlfn.TEXTSPLIT(PartList[[#This Row],[GRID LOCATION]],{"PR01","/","-"})))</f>
        <v>12_13_A_B</v>
      </c>
      <c r="H1093" t="str" cm="1">
        <f t="array" ref="H109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93" cm="1">
        <f t="array" ref="I109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93" t="str">
        <f>IF(IFERROR(SEARCH("&gt;",PartList[[#This Row],[ID]]),0),"O",IF(IFERROR(SEARCH("&lt;",PartList[[#This Row],[ID]]),0),"I",""))</f>
        <v/>
      </c>
      <c r="K1093" t="str" cm="1">
        <f t="array" ref="K10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093" t="str" cm="1">
        <f t="array" ref="L10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093" t="str">
        <f>_xlfn.TEXTJOIN("#",TRUE,PartList[[#This Row],[ASSLY MARK]],PartList[[#This Row],[BOX NO]],PartList[[#This Row],[In/Out]],PartList[[#This Row],[O1-Grid]])</f>
        <v>VB22#Box2#InB</v>
      </c>
      <c r="N1093" t="str">
        <f>_xlfn.TEXTJOIN("#",TRUE,PartList[[#This Row],[ASSLY MARK]],PartList[[#This Row],[BOX NO]],PartList[[#This Row],[In/Out]],PartList[[#This Row],[O2-Grid]])</f>
        <v>VB22#Box2#InB</v>
      </c>
      <c r="O1093">
        <f>IF(PartList[[#This Row],[Unique]]="Yes",_xlfn.XLOOKUP(PartList[[#This Row],[ASSLY MARK]],FilteredPL!A:A,FilteredPL!B:B,0,0),0)</f>
        <v>0</v>
      </c>
      <c r="P1093">
        <f>_xlfn.XLOOKUP(PartList[[#This Row],[ASSLY MARK]],MasterPL[SplitMarkNo],MasterPL[BILL WT.(KG)],0,0)</f>
        <v>0</v>
      </c>
      <c r="Q1093" cm="1">
        <f t="array" ref="Q109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94" spans="1:17" x14ac:dyDescent="0.25">
      <c r="A1094">
        <v>1281</v>
      </c>
      <c r="B1094" t="s">
        <v>1147</v>
      </c>
      <c r="C1094" t="s">
        <v>538</v>
      </c>
      <c r="D1094" t="s">
        <v>1148</v>
      </c>
      <c r="E1094" t="s">
        <v>1122</v>
      </c>
      <c r="F1094" t="str" cm="1">
        <f t="array" ref="F1094">IF(SUM(IF(PartList[ASSLY MARK]=PartList[[#This Row],[ASSLY MARK]],1,0))&gt;1,"No","Yes")</f>
        <v>Yes</v>
      </c>
      <c r="G1094" t="str" cm="1">
        <f t="array" ref="G1094">_xlfn.TEXTJOIN("_",TRUE,TRIM(_xlfn.TEXTSPLIT(PartList[[#This Row],[GRID LOCATION]],{"PR01","/","-"})))</f>
        <v>12_A'_A</v>
      </c>
      <c r="H1094" t="str" cm="1">
        <f t="array" ref="H109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1094" cm="1">
        <f t="array" ref="I109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94" t="str">
        <f>IF(IFERROR(SEARCH("&gt;",PartList[[#This Row],[ID]]),0),"O",IF(IFERROR(SEARCH("&lt;",PartList[[#This Row],[ID]]),0),"I",""))</f>
        <v/>
      </c>
      <c r="K1094" t="str" cm="1">
        <f t="array" ref="K10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094" t="str" cm="1">
        <f t="array" ref="L10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094" t="str">
        <f>_xlfn.TEXTJOIN("#",TRUE,PartList[[#This Row],[ASSLY MARK]],PartList[[#This Row],[BOX NO]],PartList[[#This Row],[In/Out]],PartList[[#This Row],[O1-Grid]])</f>
        <v>VB43#Box2_Box5#InBB</v>
      </c>
      <c r="N1094" t="str">
        <f>_xlfn.TEXTJOIN("#",TRUE,PartList[[#This Row],[ASSLY MARK]],PartList[[#This Row],[BOX NO]],PartList[[#This Row],[In/Out]],PartList[[#This Row],[O2-Grid]])</f>
        <v>VB43#Box2_Box5#InBB</v>
      </c>
      <c r="O1094">
        <f>IF(PartList[[#This Row],[Unique]]="Yes",_xlfn.XLOOKUP(PartList[[#This Row],[ASSLY MARK]],FilteredPL!A:A,FilteredPL!B:B,0,0),0)</f>
        <v>0</v>
      </c>
      <c r="P1094">
        <f>_xlfn.XLOOKUP(PartList[[#This Row],[ASSLY MARK]],MasterPL[SplitMarkNo],MasterPL[BILL WT.(KG)],0,0)</f>
        <v>0</v>
      </c>
      <c r="Q1094" cm="1">
        <f t="array" ref="Q109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95" spans="1:17" x14ac:dyDescent="0.25">
      <c r="A1095">
        <v>1282</v>
      </c>
      <c r="B1095" t="s">
        <v>486</v>
      </c>
      <c r="C1095" t="s">
        <v>545</v>
      </c>
      <c r="D1095" t="s">
        <v>459</v>
      </c>
      <c r="E1095" t="s">
        <v>1122</v>
      </c>
      <c r="F1095" t="str" cm="1">
        <f t="array" ref="F1095">IF(SUM(IF(PartList[ASSLY MARK]=PartList[[#This Row],[ASSLY MARK]],1,0))&gt;1,"No","Yes")</f>
        <v>Yes</v>
      </c>
      <c r="G1095" t="str" cm="1">
        <f t="array" ref="G1095">_xlfn.TEXTJOIN("_",TRUE,TRIM(_xlfn.TEXTSPLIT(PartList[[#This Row],[GRID LOCATION]],{"PR01","/","-"})))</f>
        <v>12_B&gt;</v>
      </c>
      <c r="H1095" t="str" cm="1">
        <f t="array" ref="H109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95" cm="1">
        <f t="array" ref="I109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95" t="str">
        <f>IF(IFERROR(SEARCH("&gt;",PartList[[#This Row],[ID]]),0),"O",IF(IFERROR(SEARCH("&lt;",PartList[[#This Row],[ID]]),0),"I",""))</f>
        <v>O</v>
      </c>
      <c r="K1095" t="str" cm="1">
        <f t="array" ref="K10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095" t="str" cm="1">
        <f t="array" ref="L10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095" t="str">
        <f>_xlfn.TEXTJOIN("#",TRUE,PartList[[#This Row],[ASSLY MARK]],PartList[[#This Row],[BOX NO]],PartList[[#This Row],[In/Out]],PartList[[#This Row],[O1-Grid]])</f>
        <v>VB44#Box2#O</v>
      </c>
      <c r="N1095" t="str">
        <f>_xlfn.TEXTJOIN("#",TRUE,PartList[[#This Row],[ASSLY MARK]],PartList[[#This Row],[BOX NO]],PartList[[#This Row],[In/Out]],PartList[[#This Row],[O2-Grid]])</f>
        <v>VB44#Box2#O</v>
      </c>
      <c r="O1095">
        <f>IF(PartList[[#This Row],[Unique]]="Yes",_xlfn.XLOOKUP(PartList[[#This Row],[ASSLY MARK]],FilteredPL!A:A,FilteredPL!B:B,0,0),0)</f>
        <v>0</v>
      </c>
      <c r="P1095">
        <f>_xlfn.XLOOKUP(PartList[[#This Row],[ASSLY MARK]],MasterPL[SplitMarkNo],MasterPL[BILL WT.(KG)],0,0)</f>
        <v>0</v>
      </c>
      <c r="Q1095" cm="1">
        <f t="array" ref="Q109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96" spans="1:17" x14ac:dyDescent="0.25">
      <c r="A1096">
        <v>1284</v>
      </c>
      <c r="B1096" t="s">
        <v>488</v>
      </c>
      <c r="C1096" t="s">
        <v>556</v>
      </c>
      <c r="D1096" t="s">
        <v>1149</v>
      </c>
      <c r="E1096" t="s">
        <v>1122</v>
      </c>
      <c r="F1096" t="str" cm="1">
        <f t="array" ref="F1096">IF(SUM(IF(PartList[ASSLY MARK]=PartList[[#This Row],[ASSLY MARK]],1,0))&gt;1,"No","Yes")</f>
        <v>No</v>
      </c>
      <c r="G1096" t="str" cm="1">
        <f t="array" ref="G1096">_xlfn.TEXTJOIN("_",TRUE,TRIM(_xlfn.TEXTSPLIT(PartList[[#This Row],[GRID LOCATION]],{"PR01","/","-"})))</f>
        <v>12_13_B</v>
      </c>
      <c r="H1096" t="str" cm="1">
        <f t="array" ref="H109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96" cm="1">
        <f t="array" ref="I109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96" t="str">
        <f>IF(IFERROR(SEARCH("&gt;",PartList[[#This Row],[ID]]),0),"O",IF(IFERROR(SEARCH("&lt;",PartList[[#This Row],[ID]]),0),"I",""))</f>
        <v/>
      </c>
      <c r="K1096" t="str" cm="1">
        <f t="array" ref="K10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096" t="str" cm="1">
        <f t="array" ref="L10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096" t="str">
        <f>_xlfn.TEXTJOIN("#",TRUE,PartList[[#This Row],[ASSLY MARK]],PartList[[#This Row],[BOX NO]],PartList[[#This Row],[In/Out]],PartList[[#This Row],[O1-Grid]])</f>
        <v>VB46#Box2#InB</v>
      </c>
      <c r="N1096" t="str">
        <f>_xlfn.TEXTJOIN("#",TRUE,PartList[[#This Row],[ASSLY MARK]],PartList[[#This Row],[BOX NO]],PartList[[#This Row],[In/Out]],PartList[[#This Row],[O2-Grid]])</f>
        <v>VB46#Box2#12_13_B</v>
      </c>
      <c r="O1096">
        <f>IF(PartList[[#This Row],[Unique]]="Yes",_xlfn.XLOOKUP(PartList[[#This Row],[ASSLY MARK]],FilteredPL!A:A,FilteredPL!B:B,0,0),0)</f>
        <v>0</v>
      </c>
      <c r="P1096">
        <f>_xlfn.XLOOKUP(PartList[[#This Row],[ASSLY MARK]],MasterPL[SplitMarkNo],MasterPL[BILL WT.(KG)],0,0)</f>
        <v>0</v>
      </c>
      <c r="Q1096" cm="1">
        <f t="array" ref="Q109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97" spans="1:17" x14ac:dyDescent="0.25">
      <c r="A1097">
        <v>1285</v>
      </c>
      <c r="B1097" t="s">
        <v>488</v>
      </c>
      <c r="C1097" t="s">
        <v>554</v>
      </c>
      <c r="D1097" t="s">
        <v>1149</v>
      </c>
      <c r="E1097" t="s">
        <v>1122</v>
      </c>
      <c r="F1097" t="str" cm="1">
        <f t="array" ref="F1097">IF(SUM(IF(PartList[ASSLY MARK]=PartList[[#This Row],[ASSLY MARK]],1,0))&gt;1,"No","Yes")</f>
        <v>No</v>
      </c>
      <c r="G1097" t="str" cm="1">
        <f t="array" ref="G1097">_xlfn.TEXTJOIN("_",TRUE,TRIM(_xlfn.TEXTSPLIT(PartList[[#This Row],[GRID LOCATION]],{"PR01","/","-"})))</f>
        <v>12_13_A</v>
      </c>
      <c r="H1097" t="str" cm="1">
        <f t="array" ref="H109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97" cm="1">
        <f t="array" ref="I109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97" t="str">
        <f>IF(IFERROR(SEARCH("&gt;",PartList[[#This Row],[ID]]),0),"O",IF(IFERROR(SEARCH("&lt;",PartList[[#This Row],[ID]]),0),"I",""))</f>
        <v/>
      </c>
      <c r="K1097" t="str" cm="1">
        <f t="array" ref="K10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097" t="str" cm="1">
        <f t="array" ref="L10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097" t="str">
        <f>_xlfn.TEXTJOIN("#",TRUE,PartList[[#This Row],[ASSLY MARK]],PartList[[#This Row],[BOX NO]],PartList[[#This Row],[In/Out]],PartList[[#This Row],[O1-Grid]])</f>
        <v>VB46#Box2#InB</v>
      </c>
      <c r="N1097" t="str">
        <f>_xlfn.TEXTJOIN("#",TRUE,PartList[[#This Row],[ASSLY MARK]],PartList[[#This Row],[BOX NO]],PartList[[#This Row],[In/Out]],PartList[[#This Row],[O2-Grid]])</f>
        <v>VB46#Box2#12_13_A</v>
      </c>
      <c r="O1097">
        <f>IF(PartList[[#This Row],[Unique]]="Yes",_xlfn.XLOOKUP(PartList[[#This Row],[ASSLY MARK]],FilteredPL!A:A,FilteredPL!B:B,0,0),0)</f>
        <v>0</v>
      </c>
      <c r="P1097">
        <f>_xlfn.XLOOKUP(PartList[[#This Row],[ASSLY MARK]],MasterPL[SplitMarkNo],MasterPL[BILL WT.(KG)],0,0)</f>
        <v>0</v>
      </c>
      <c r="Q1097" cm="1">
        <f t="array" ref="Q109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98" spans="1:17" x14ac:dyDescent="0.25">
      <c r="A1098">
        <v>1291</v>
      </c>
      <c r="B1098" t="s">
        <v>491</v>
      </c>
      <c r="C1098" t="s">
        <v>547</v>
      </c>
      <c r="D1098" t="s">
        <v>476</v>
      </c>
      <c r="E1098" t="s">
        <v>1122</v>
      </c>
      <c r="F1098" t="str" cm="1">
        <f t="array" ref="F1098">IF(SUM(IF(PartList[ASSLY MARK]=PartList[[#This Row],[ASSLY MARK]],1,0))&gt;1,"No","Yes")</f>
        <v>Yes</v>
      </c>
      <c r="G1098" t="str" cm="1">
        <f t="array" ref="G1098">_xlfn.TEXTJOIN("_",TRUE,TRIM(_xlfn.TEXTSPLIT(PartList[[#This Row],[GRID LOCATION]],{"PR01","/","-"})))</f>
        <v>12_13_A_B</v>
      </c>
      <c r="H1098" t="str" cm="1">
        <f t="array" ref="H109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98" cm="1">
        <f t="array" ref="I109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98" t="str">
        <f>IF(IFERROR(SEARCH("&gt;",PartList[[#This Row],[ID]]),0),"O",IF(IFERROR(SEARCH("&lt;",PartList[[#This Row],[ID]]),0),"I",""))</f>
        <v/>
      </c>
      <c r="K1098" t="str" cm="1">
        <f t="array" ref="K10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098" t="str" cm="1">
        <f t="array" ref="L10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098" t="str">
        <f>_xlfn.TEXTJOIN("#",TRUE,PartList[[#This Row],[ASSLY MARK]],PartList[[#This Row],[BOX NO]],PartList[[#This Row],[In/Out]],PartList[[#This Row],[O1-Grid]])</f>
        <v>VB49#Box2#InB</v>
      </c>
      <c r="N1098" t="str">
        <f>_xlfn.TEXTJOIN("#",TRUE,PartList[[#This Row],[ASSLY MARK]],PartList[[#This Row],[BOX NO]],PartList[[#This Row],[In/Out]],PartList[[#This Row],[O2-Grid]])</f>
        <v>VB49#Box2#InB</v>
      </c>
      <c r="O1098">
        <f>IF(PartList[[#This Row],[Unique]]="Yes",_xlfn.XLOOKUP(PartList[[#This Row],[ASSLY MARK]],FilteredPL!A:A,FilteredPL!B:B,0,0),0)</f>
        <v>0</v>
      </c>
      <c r="P1098">
        <f>_xlfn.XLOOKUP(PartList[[#This Row],[ASSLY MARK]],MasterPL[SplitMarkNo],MasterPL[BILL WT.(KG)],0,0)</f>
        <v>0</v>
      </c>
      <c r="Q1098" cm="1">
        <f t="array" ref="Q109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099" spans="1:17" x14ac:dyDescent="0.25">
      <c r="A1099">
        <v>1292</v>
      </c>
      <c r="B1099" t="s">
        <v>492</v>
      </c>
      <c r="C1099" t="s">
        <v>547</v>
      </c>
      <c r="D1099" t="s">
        <v>1151</v>
      </c>
      <c r="E1099" t="s">
        <v>1122</v>
      </c>
      <c r="F1099" t="str" cm="1">
        <f t="array" ref="F1099">IF(SUM(IF(PartList[ASSLY MARK]=PartList[[#This Row],[ASSLY MARK]],1,0))&gt;1,"No","Yes")</f>
        <v>Yes</v>
      </c>
      <c r="G1099" t="str" cm="1">
        <f t="array" ref="G1099">_xlfn.TEXTJOIN("_",TRUE,TRIM(_xlfn.TEXTSPLIT(PartList[[#This Row],[GRID LOCATION]],{"PR01","/","-"})))</f>
        <v>12_13_A_B</v>
      </c>
      <c r="H1099" t="str" cm="1">
        <f t="array" ref="H109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099" cm="1">
        <f t="array" ref="I109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099" t="str">
        <f>IF(IFERROR(SEARCH("&gt;",PartList[[#This Row],[ID]]),0),"O",IF(IFERROR(SEARCH("&lt;",PartList[[#This Row],[ID]]),0),"I",""))</f>
        <v/>
      </c>
      <c r="K1099" t="str" cm="1">
        <f t="array" ref="K10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099" t="str" cm="1">
        <f t="array" ref="L10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099" t="str">
        <f>_xlfn.TEXTJOIN("#",TRUE,PartList[[#This Row],[ASSLY MARK]],PartList[[#This Row],[BOX NO]],PartList[[#This Row],[In/Out]],PartList[[#This Row],[O1-Grid]])</f>
        <v>VB50#Box2#InB</v>
      </c>
      <c r="N1099" t="str">
        <f>_xlfn.TEXTJOIN("#",TRUE,PartList[[#This Row],[ASSLY MARK]],PartList[[#This Row],[BOX NO]],PartList[[#This Row],[In/Out]],PartList[[#This Row],[O2-Grid]])</f>
        <v>VB50#Box2#InB</v>
      </c>
      <c r="O1099">
        <f>IF(PartList[[#This Row],[Unique]]="Yes",_xlfn.XLOOKUP(PartList[[#This Row],[ASSLY MARK]],FilteredPL!A:A,FilteredPL!B:B,0,0),0)</f>
        <v>0</v>
      </c>
      <c r="P1099">
        <f>_xlfn.XLOOKUP(PartList[[#This Row],[ASSLY MARK]],MasterPL[SplitMarkNo],MasterPL[BILL WT.(KG)],0,0)</f>
        <v>0</v>
      </c>
      <c r="Q1099" cm="1">
        <f t="array" ref="Q109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00" spans="1:17" x14ac:dyDescent="0.25">
      <c r="A1100">
        <v>1293</v>
      </c>
      <c r="B1100" t="s">
        <v>493</v>
      </c>
      <c r="C1100" t="s">
        <v>554</v>
      </c>
      <c r="D1100" t="s">
        <v>1127</v>
      </c>
      <c r="E1100" t="s">
        <v>438</v>
      </c>
      <c r="F1100" t="str" cm="1">
        <f t="array" ref="F1100">IF(SUM(IF(PartList[ASSLY MARK]=PartList[[#This Row],[ASSLY MARK]],1,0))&gt;1,"No","Yes")</f>
        <v>Yes</v>
      </c>
      <c r="G1100" t="str" cm="1">
        <f t="array" ref="G1100">_xlfn.TEXTJOIN("_",TRUE,TRIM(_xlfn.TEXTSPLIT(PartList[[#This Row],[GRID LOCATION]],{"PR01","/","-"})))</f>
        <v>12_13_A</v>
      </c>
      <c r="H1100" t="str" cm="1">
        <f t="array" ref="H110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100" cm="1">
        <f t="array" ref="I110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100" t="str">
        <f>IF(IFERROR(SEARCH("&gt;",PartList[[#This Row],[ID]]),0),"O",IF(IFERROR(SEARCH("&lt;",PartList[[#This Row],[ID]]),0),"I",""))</f>
        <v/>
      </c>
      <c r="K1100" t="str" cm="1">
        <f t="array" ref="K11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00" t="str" cm="1">
        <f t="array" ref="L11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100" t="str">
        <f>_xlfn.TEXTJOIN("#",TRUE,PartList[[#This Row],[ASSLY MARK]],PartList[[#This Row],[BOX NO]],PartList[[#This Row],[In/Out]],PartList[[#This Row],[O1-Grid]])</f>
        <v>VB51#Box2#InB</v>
      </c>
      <c r="N1100" t="str">
        <f>_xlfn.TEXTJOIN("#",TRUE,PartList[[#This Row],[ASSLY MARK]],PartList[[#This Row],[BOX NO]],PartList[[#This Row],[In/Out]],PartList[[#This Row],[O2-Grid]])</f>
        <v>VB51#Box2#12_13_A</v>
      </c>
      <c r="O1100">
        <f>IF(PartList[[#This Row],[Unique]]="Yes",_xlfn.XLOOKUP(PartList[[#This Row],[ASSLY MARK]],FilteredPL!A:A,FilteredPL!B:B,0,0),0)</f>
        <v>0</v>
      </c>
      <c r="P1100">
        <f>_xlfn.XLOOKUP(PartList[[#This Row],[ASSLY MARK]],MasterPL[SplitMarkNo],MasterPL[BILL WT.(KG)],0,0)</f>
        <v>0</v>
      </c>
      <c r="Q1100" cm="1">
        <f t="array" ref="Q110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01" spans="1:17" x14ac:dyDescent="0.25">
      <c r="A1101">
        <v>1296</v>
      </c>
      <c r="B1101" t="s">
        <v>495</v>
      </c>
      <c r="C1101" t="s">
        <v>556</v>
      </c>
      <c r="D1101" t="s">
        <v>1127</v>
      </c>
      <c r="E1101" t="s">
        <v>438</v>
      </c>
      <c r="F1101" t="str" cm="1">
        <f t="array" ref="F1101">IF(SUM(IF(PartList[ASSLY MARK]=PartList[[#This Row],[ASSLY MARK]],1,0))&gt;1,"No","Yes")</f>
        <v>No</v>
      </c>
      <c r="G1101" t="str" cm="1">
        <f t="array" ref="G1101">_xlfn.TEXTJOIN("_",TRUE,TRIM(_xlfn.TEXTSPLIT(PartList[[#This Row],[GRID LOCATION]],{"PR01","/","-"})))</f>
        <v>12_13_B</v>
      </c>
      <c r="H1101" t="str" cm="1">
        <f t="array" ref="H110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101" cm="1">
        <f t="array" ref="I110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101" t="str">
        <f>IF(IFERROR(SEARCH("&gt;",PartList[[#This Row],[ID]]),0),"O",IF(IFERROR(SEARCH("&lt;",PartList[[#This Row],[ID]]),0),"I",""))</f>
        <v/>
      </c>
      <c r="K1101" t="str" cm="1">
        <f t="array" ref="K11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01" t="str" cm="1">
        <f t="array" ref="L11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101" t="str">
        <f>_xlfn.TEXTJOIN("#",TRUE,PartList[[#This Row],[ASSLY MARK]],PartList[[#This Row],[BOX NO]],PartList[[#This Row],[In/Out]],PartList[[#This Row],[O1-Grid]])</f>
        <v>VB53#Box2#InB</v>
      </c>
      <c r="N1101" t="str">
        <f>_xlfn.TEXTJOIN("#",TRUE,PartList[[#This Row],[ASSLY MARK]],PartList[[#This Row],[BOX NO]],PartList[[#This Row],[In/Out]],PartList[[#This Row],[O2-Grid]])</f>
        <v>VB53#Box2#12_13_B</v>
      </c>
      <c r="O1101">
        <f>IF(PartList[[#This Row],[Unique]]="Yes",_xlfn.XLOOKUP(PartList[[#This Row],[ASSLY MARK]],FilteredPL!A:A,FilteredPL!B:B,0,0),0)</f>
        <v>0</v>
      </c>
      <c r="P1101">
        <f>_xlfn.XLOOKUP(PartList[[#This Row],[ASSLY MARK]],MasterPL[SplitMarkNo],MasterPL[BILL WT.(KG)],0,0)</f>
        <v>0</v>
      </c>
      <c r="Q1101" cm="1">
        <f t="array" ref="Q110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02" spans="1:17" x14ac:dyDescent="0.25">
      <c r="A1102">
        <v>1297</v>
      </c>
      <c r="B1102" t="s">
        <v>495</v>
      </c>
      <c r="C1102" t="s">
        <v>556</v>
      </c>
      <c r="D1102" t="s">
        <v>1127</v>
      </c>
      <c r="E1102" t="s">
        <v>438</v>
      </c>
      <c r="F1102" t="str" cm="1">
        <f t="array" ref="F1102">IF(SUM(IF(PartList[ASSLY MARK]=PartList[[#This Row],[ASSLY MARK]],1,0))&gt;1,"No","Yes")</f>
        <v>No</v>
      </c>
      <c r="G1102" t="str" cm="1">
        <f t="array" ref="G1102">_xlfn.TEXTJOIN("_",TRUE,TRIM(_xlfn.TEXTSPLIT(PartList[[#This Row],[GRID LOCATION]],{"PR01","/","-"})))</f>
        <v>12_13_B</v>
      </c>
      <c r="H1102" t="str" cm="1">
        <f t="array" ref="H110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102" cm="1">
        <f t="array" ref="I110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102" t="str">
        <f>IF(IFERROR(SEARCH("&gt;",PartList[[#This Row],[ID]]),0),"O",IF(IFERROR(SEARCH("&lt;",PartList[[#This Row],[ID]]),0),"I",""))</f>
        <v/>
      </c>
      <c r="K1102" t="str" cm="1">
        <f t="array" ref="K11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02" t="str" cm="1">
        <f t="array" ref="L11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12_13_B</v>
      </c>
      <c r="M1102" t="str">
        <f>_xlfn.TEXTJOIN("#",TRUE,PartList[[#This Row],[ASSLY MARK]],PartList[[#This Row],[BOX NO]],PartList[[#This Row],[In/Out]],PartList[[#This Row],[O1-Grid]])</f>
        <v>VB53#Box2#InB</v>
      </c>
      <c r="N1102" t="str">
        <f>_xlfn.TEXTJOIN("#",TRUE,PartList[[#This Row],[ASSLY MARK]],PartList[[#This Row],[BOX NO]],PartList[[#This Row],[In/Out]],PartList[[#This Row],[O2-Grid]])</f>
        <v>VB53#Box2#12_13_B</v>
      </c>
      <c r="O1102">
        <f>IF(PartList[[#This Row],[Unique]]="Yes",_xlfn.XLOOKUP(PartList[[#This Row],[ASSLY MARK]],FilteredPL!A:A,FilteredPL!B:B,0,0),0)</f>
        <v>0</v>
      </c>
      <c r="P1102">
        <f>_xlfn.XLOOKUP(PartList[[#This Row],[ASSLY MARK]],MasterPL[SplitMarkNo],MasterPL[BILL WT.(KG)],0,0)</f>
        <v>0</v>
      </c>
      <c r="Q1102" cm="1">
        <f t="array" ref="Q110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03" spans="1:17" x14ac:dyDescent="0.25">
      <c r="A1103">
        <v>1298</v>
      </c>
      <c r="B1103" t="s">
        <v>1154</v>
      </c>
      <c r="C1103" t="s">
        <v>554</v>
      </c>
      <c r="D1103" t="s">
        <v>1127</v>
      </c>
      <c r="E1103" t="s">
        <v>438</v>
      </c>
      <c r="F1103" t="str" cm="1">
        <f t="array" ref="F1103">IF(SUM(IF(PartList[ASSLY MARK]=PartList[[#This Row],[ASSLY MARK]],1,0))&gt;1,"No","Yes")</f>
        <v>Yes</v>
      </c>
      <c r="G1103" t="str" cm="1">
        <f t="array" ref="G1103">_xlfn.TEXTJOIN("_",TRUE,TRIM(_xlfn.TEXTSPLIT(PartList[[#This Row],[GRID LOCATION]],{"PR01","/","-"})))</f>
        <v>12_13_A</v>
      </c>
      <c r="H1103" t="str" cm="1">
        <f t="array" ref="H110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103" cm="1">
        <f t="array" ref="I110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103" t="str">
        <f>IF(IFERROR(SEARCH("&gt;",PartList[[#This Row],[ID]]),0),"O",IF(IFERROR(SEARCH("&lt;",PartList[[#This Row],[ID]]),0),"I",""))</f>
        <v/>
      </c>
      <c r="K1103" t="str" cm="1">
        <f t="array" ref="K11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03" t="str" cm="1">
        <f t="array" ref="L11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103" t="str">
        <f>_xlfn.TEXTJOIN("#",TRUE,PartList[[#This Row],[ASSLY MARK]],PartList[[#This Row],[BOX NO]],PartList[[#This Row],[In/Out]],PartList[[#This Row],[O1-Grid]])</f>
        <v>VB54#Box2#InB</v>
      </c>
      <c r="N1103" t="str">
        <f>_xlfn.TEXTJOIN("#",TRUE,PartList[[#This Row],[ASSLY MARK]],PartList[[#This Row],[BOX NO]],PartList[[#This Row],[In/Out]],PartList[[#This Row],[O2-Grid]])</f>
        <v>VB54#Box2#12_13_A</v>
      </c>
      <c r="O1103">
        <f>IF(PartList[[#This Row],[Unique]]="Yes",_xlfn.XLOOKUP(PartList[[#This Row],[ASSLY MARK]],FilteredPL!A:A,FilteredPL!B:B,0,0),0)</f>
        <v>0</v>
      </c>
      <c r="P1103">
        <f>_xlfn.XLOOKUP(PartList[[#This Row],[ASSLY MARK]],MasterPL[SplitMarkNo],MasterPL[BILL WT.(KG)],0,0)</f>
        <v>0</v>
      </c>
      <c r="Q1103" cm="1">
        <f t="array" ref="Q110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04" spans="1:17" x14ac:dyDescent="0.25">
      <c r="A1104">
        <v>1299</v>
      </c>
      <c r="B1104" t="s">
        <v>1155</v>
      </c>
      <c r="C1104" t="s">
        <v>1071</v>
      </c>
      <c r="D1104" t="s">
        <v>1127</v>
      </c>
      <c r="E1104" t="s">
        <v>438</v>
      </c>
      <c r="F1104" t="str" cm="1">
        <f t="array" ref="F1104">IF(SUM(IF(PartList[ASSLY MARK]=PartList[[#This Row],[ASSLY MARK]],1,0))&gt;1,"No","Yes")</f>
        <v>Yes</v>
      </c>
      <c r="G1104" t="str" cm="1">
        <f t="array" ref="G1104">_xlfn.TEXTJOIN("_",TRUE,TRIM(_xlfn.TEXTSPLIT(PartList[[#This Row],[GRID LOCATION]],{"PR01","/","-"})))</f>
        <v>13_A</v>
      </c>
      <c r="H1104" t="str" cm="1">
        <f t="array" ref="H110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104" cm="1">
        <f t="array" ref="I110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104" t="str">
        <f>IF(IFERROR(SEARCH("&gt;",PartList[[#This Row],[ID]]),0),"O",IF(IFERROR(SEARCH("&lt;",PartList[[#This Row],[ID]]),0),"I",""))</f>
        <v/>
      </c>
      <c r="K1104" t="str" cm="1">
        <f t="array" ref="K11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13_B_A</v>
      </c>
      <c r="L1104" t="str" cm="1">
        <f t="array" ref="L11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104" t="str">
        <f>_xlfn.TEXTJOIN("#",TRUE,PartList[[#This Row],[ASSLY MARK]],PartList[[#This Row],[BOX NO]],PartList[[#This Row],[In/Out]],PartList[[#This Row],[O1-Grid]])</f>
        <v>VB55#Box2#13_B_A</v>
      </c>
      <c r="N1104" t="str">
        <f>_xlfn.TEXTJOIN("#",TRUE,PartList[[#This Row],[ASSLY MARK]],PartList[[#This Row],[BOX NO]],PartList[[#This Row],[In/Out]],PartList[[#This Row],[O2-Grid]])</f>
        <v>VB55#Box2#12_13_A</v>
      </c>
      <c r="O1104">
        <f>IF(PartList[[#This Row],[Unique]]="Yes",_xlfn.XLOOKUP(PartList[[#This Row],[ASSLY MARK]],FilteredPL!A:A,FilteredPL!B:B,0,0),0)</f>
        <v>0</v>
      </c>
      <c r="P1104">
        <f>_xlfn.XLOOKUP(PartList[[#This Row],[ASSLY MARK]],MasterPL[SplitMarkNo],MasterPL[BILL WT.(KG)],0,0)</f>
        <v>0</v>
      </c>
      <c r="Q1104" cm="1">
        <f t="array" ref="Q110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05" spans="1:17" x14ac:dyDescent="0.25">
      <c r="A1105">
        <v>1300</v>
      </c>
      <c r="B1105" t="s">
        <v>1156</v>
      </c>
      <c r="C1105" t="s">
        <v>598</v>
      </c>
      <c r="D1105" t="s">
        <v>1150</v>
      </c>
      <c r="E1105" t="s">
        <v>1122</v>
      </c>
      <c r="F1105" t="str" cm="1">
        <f t="array" ref="F1105">IF(SUM(IF(PartList[ASSLY MARK]=PartList[[#This Row],[ASSLY MARK]],1,0))&gt;1,"No","Yes")</f>
        <v>Yes</v>
      </c>
      <c r="G1105" t="str" cm="1">
        <f t="array" ref="G1105">_xlfn.TEXTJOIN("_",TRUE,TRIM(_xlfn.TEXTSPLIT(PartList[[#This Row],[GRID LOCATION]],{"PR01","/","-"})))</f>
        <v>13_B&gt;</v>
      </c>
      <c r="H1105" t="str" cm="1">
        <f t="array" ref="H110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105" cm="1">
        <f t="array" ref="I110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105" t="str">
        <f>IF(IFERROR(SEARCH("&gt;",PartList[[#This Row],[ID]]),0),"O",IF(IFERROR(SEARCH("&lt;",PartList[[#This Row],[ID]]),0),"I",""))</f>
        <v>O</v>
      </c>
      <c r="K1105" t="str" cm="1">
        <f t="array" ref="K11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05" t="str" cm="1">
        <f t="array" ref="L11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05" t="str">
        <f>_xlfn.TEXTJOIN("#",TRUE,PartList[[#This Row],[ASSLY MARK]],PartList[[#This Row],[BOX NO]],PartList[[#This Row],[In/Out]],PartList[[#This Row],[O1-Grid]])</f>
        <v>VB56#Box2#O</v>
      </c>
      <c r="N1105" t="str">
        <f>_xlfn.TEXTJOIN("#",TRUE,PartList[[#This Row],[ASSLY MARK]],PartList[[#This Row],[BOX NO]],PartList[[#This Row],[In/Out]],PartList[[#This Row],[O2-Grid]])</f>
        <v>VB56#Box2#O</v>
      </c>
      <c r="O1105">
        <f>IF(PartList[[#This Row],[Unique]]="Yes",_xlfn.XLOOKUP(PartList[[#This Row],[ASSLY MARK]],FilteredPL!A:A,FilteredPL!B:B,0,0),0)</f>
        <v>0</v>
      </c>
      <c r="P1105">
        <f>_xlfn.XLOOKUP(PartList[[#This Row],[ASSLY MARK]],MasterPL[SplitMarkNo],MasterPL[BILL WT.(KG)],0,0)</f>
        <v>0</v>
      </c>
      <c r="Q1105" cm="1">
        <f t="array" ref="Q110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06" spans="1:17" x14ac:dyDescent="0.25">
      <c r="A1106">
        <v>1301</v>
      </c>
      <c r="B1106" t="s">
        <v>1157</v>
      </c>
      <c r="C1106" t="s">
        <v>598</v>
      </c>
      <c r="D1106" t="s">
        <v>463</v>
      </c>
      <c r="E1106" t="s">
        <v>1122</v>
      </c>
      <c r="F1106" t="str" cm="1">
        <f t="array" ref="F1106">IF(SUM(IF(PartList[ASSLY MARK]=PartList[[#This Row],[ASSLY MARK]],1,0))&gt;1,"No","Yes")</f>
        <v>Yes</v>
      </c>
      <c r="G1106" t="str" cm="1">
        <f t="array" ref="G1106">_xlfn.TEXTJOIN("_",TRUE,TRIM(_xlfn.TEXTSPLIT(PartList[[#This Row],[GRID LOCATION]],{"PR01","/","-"})))</f>
        <v>13_B&gt;</v>
      </c>
      <c r="H1106" t="str" cm="1">
        <f t="array" ref="H110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106" cm="1">
        <f t="array" ref="I110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106" t="str">
        <f>IF(IFERROR(SEARCH("&gt;",PartList[[#This Row],[ID]]),0),"O",IF(IFERROR(SEARCH("&lt;",PartList[[#This Row],[ID]]),0),"I",""))</f>
        <v>O</v>
      </c>
      <c r="K1106" t="str" cm="1">
        <f t="array" ref="K11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06" t="str" cm="1">
        <f t="array" ref="L11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06" t="str">
        <f>_xlfn.TEXTJOIN("#",TRUE,PartList[[#This Row],[ASSLY MARK]],PartList[[#This Row],[BOX NO]],PartList[[#This Row],[In/Out]],PartList[[#This Row],[O1-Grid]])</f>
        <v>VB57#Box2#O</v>
      </c>
      <c r="N1106" t="str">
        <f>_xlfn.TEXTJOIN("#",TRUE,PartList[[#This Row],[ASSLY MARK]],PartList[[#This Row],[BOX NO]],PartList[[#This Row],[In/Out]],PartList[[#This Row],[O2-Grid]])</f>
        <v>VB57#Box2#O</v>
      </c>
      <c r="O1106">
        <f>IF(PartList[[#This Row],[Unique]]="Yes",_xlfn.XLOOKUP(PartList[[#This Row],[ASSLY MARK]],FilteredPL!A:A,FilteredPL!B:B,0,0),0)</f>
        <v>0</v>
      </c>
      <c r="P1106">
        <f>_xlfn.XLOOKUP(PartList[[#This Row],[ASSLY MARK]],MasterPL[SplitMarkNo],MasterPL[BILL WT.(KG)],0,0)</f>
        <v>0</v>
      </c>
      <c r="Q1106" cm="1">
        <f t="array" ref="Q110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07" spans="1:17" x14ac:dyDescent="0.25">
      <c r="A1107">
        <v>1302</v>
      </c>
      <c r="B1107" t="s">
        <v>1158</v>
      </c>
      <c r="C1107" t="s">
        <v>547</v>
      </c>
      <c r="D1107" t="s">
        <v>1159</v>
      </c>
      <c r="E1107" t="s">
        <v>1122</v>
      </c>
      <c r="F1107" t="str" cm="1">
        <f t="array" ref="F1107">IF(SUM(IF(PartList[ASSLY MARK]=PartList[[#This Row],[ASSLY MARK]],1,0))&gt;1,"No","Yes")</f>
        <v>Yes</v>
      </c>
      <c r="G1107" t="str" cm="1">
        <f t="array" ref="G1107">_xlfn.TEXTJOIN("_",TRUE,TRIM(_xlfn.TEXTSPLIT(PartList[[#This Row],[GRID LOCATION]],{"PR01","/","-"})))</f>
        <v>12_13_A_B</v>
      </c>
      <c r="H1107" t="str" cm="1">
        <f t="array" ref="H110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107" cm="1">
        <f t="array" ref="I110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107" t="str">
        <f>IF(IFERROR(SEARCH("&gt;",PartList[[#This Row],[ID]]),0),"O",IF(IFERROR(SEARCH("&lt;",PartList[[#This Row],[ID]]),0),"I",""))</f>
        <v/>
      </c>
      <c r="K1107" t="str" cm="1">
        <f t="array" ref="K11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07" t="str" cm="1">
        <f t="array" ref="L11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07" t="str">
        <f>_xlfn.TEXTJOIN("#",TRUE,PartList[[#This Row],[ASSLY MARK]],PartList[[#This Row],[BOX NO]],PartList[[#This Row],[In/Out]],PartList[[#This Row],[O1-Grid]])</f>
        <v>VB58#Box2#InB</v>
      </c>
      <c r="N1107" t="str">
        <f>_xlfn.TEXTJOIN("#",TRUE,PartList[[#This Row],[ASSLY MARK]],PartList[[#This Row],[BOX NO]],PartList[[#This Row],[In/Out]],PartList[[#This Row],[O2-Grid]])</f>
        <v>VB58#Box2#InB</v>
      </c>
      <c r="O1107">
        <f>IF(PartList[[#This Row],[Unique]]="Yes",_xlfn.XLOOKUP(PartList[[#This Row],[ASSLY MARK]],FilteredPL!A:A,FilteredPL!B:B,0,0),0)</f>
        <v>0</v>
      </c>
      <c r="P1107">
        <f>_xlfn.XLOOKUP(PartList[[#This Row],[ASSLY MARK]],MasterPL[SplitMarkNo],MasterPL[BILL WT.(KG)],0,0)</f>
        <v>0</v>
      </c>
      <c r="Q1107" cm="1">
        <f t="array" ref="Q110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08" spans="1:17" x14ac:dyDescent="0.25">
      <c r="A1108">
        <v>1343</v>
      </c>
      <c r="B1108" t="s">
        <v>1210</v>
      </c>
      <c r="C1108" t="s">
        <v>538</v>
      </c>
      <c r="D1108" t="s">
        <v>1132</v>
      </c>
      <c r="E1108" t="s">
        <v>1122</v>
      </c>
      <c r="F1108" t="str" cm="1">
        <f t="array" ref="F1108">IF(SUM(IF(PartList[ASSLY MARK]=PartList[[#This Row],[ASSLY MARK]],1,0))&gt;1,"No","Yes")</f>
        <v>Yes</v>
      </c>
      <c r="G1108" t="str" cm="1">
        <f t="array" ref="G1108">_xlfn.TEXTJOIN("_",TRUE,TRIM(_xlfn.TEXTSPLIT(PartList[[#This Row],[GRID LOCATION]],{"PR01","/","-"})))</f>
        <v>12_A'_A</v>
      </c>
      <c r="H1108" t="str" cm="1">
        <f t="array" ref="H110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Box2_Box5</v>
      </c>
      <c r="I1108" cm="1">
        <f t="array" ref="I110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108" t="str">
        <f>IF(IFERROR(SEARCH("&gt;",PartList[[#This Row],[ID]]),0),"O",IF(IFERROR(SEARCH("&lt;",PartList[[#This Row],[ID]]),0),"I",""))</f>
        <v/>
      </c>
      <c r="K1108" t="str" cm="1">
        <f t="array" ref="K11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08" t="str" cm="1">
        <f t="array" ref="L11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08" t="str">
        <f>_xlfn.TEXTJOIN("#",TRUE,PartList[[#This Row],[ASSLY MARK]],PartList[[#This Row],[BOX NO]],PartList[[#This Row],[In/Out]],PartList[[#This Row],[O1-Grid]])</f>
        <v>VB91#Box2_Box5#InBB</v>
      </c>
      <c r="N1108" t="str">
        <f>_xlfn.TEXTJOIN("#",TRUE,PartList[[#This Row],[ASSLY MARK]],PartList[[#This Row],[BOX NO]],PartList[[#This Row],[In/Out]],PartList[[#This Row],[O2-Grid]])</f>
        <v>VB91#Box2_Box5#InBB</v>
      </c>
      <c r="O1108">
        <f>IF(PartList[[#This Row],[Unique]]="Yes",_xlfn.XLOOKUP(PartList[[#This Row],[ASSLY MARK]],FilteredPL!A:A,FilteredPL!B:B,0,0),0)</f>
        <v>0</v>
      </c>
      <c r="P1108">
        <f>_xlfn.XLOOKUP(PartList[[#This Row],[ASSLY MARK]],MasterPL[SplitMarkNo],MasterPL[BILL WT.(KG)],0,0)</f>
        <v>0</v>
      </c>
      <c r="Q1108" cm="1">
        <f t="array" ref="Q110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09" spans="1:17" x14ac:dyDescent="0.25">
      <c r="A1109">
        <v>1346</v>
      </c>
      <c r="B1109" t="s">
        <v>1213</v>
      </c>
      <c r="C1109" t="s">
        <v>554</v>
      </c>
      <c r="D1109" t="s">
        <v>1214</v>
      </c>
      <c r="E1109" t="s">
        <v>1215</v>
      </c>
      <c r="F1109" t="str" cm="1">
        <f t="array" ref="F1109">IF(SUM(IF(PartList[ASSLY MARK]=PartList[[#This Row],[ASSLY MARK]],1,0))&gt;1,"No","Yes")</f>
        <v>Yes</v>
      </c>
      <c r="G1109" t="str" cm="1">
        <f t="array" ref="G1109">_xlfn.TEXTJOIN("_",TRUE,TRIM(_xlfn.TEXTSPLIT(PartList[[#This Row],[GRID LOCATION]],{"PR01","/","-"})))</f>
        <v>12_13_A</v>
      </c>
      <c r="H1109" t="str" cm="1">
        <f t="array" ref="H110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109" cm="1">
        <f t="array" ref="I110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109" t="str">
        <f>IF(IFERROR(SEARCH("&gt;",PartList[[#This Row],[ID]]),0),"O",IF(IFERROR(SEARCH("&lt;",PartList[[#This Row],[ID]]),0),"I",""))</f>
        <v/>
      </c>
      <c r="K1109" t="str" cm="1">
        <f t="array" ref="K11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09" t="str" cm="1">
        <f t="array" ref="L11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</v>
      </c>
      <c r="M1109" t="str">
        <f>_xlfn.TEXTJOIN("#",TRUE,PartList[[#This Row],[ASSLY MARK]],PartList[[#This Row],[BOX NO]],PartList[[#This Row],[In/Out]],PartList[[#This Row],[O1-Grid]])</f>
        <v>VB94#Box2#InB</v>
      </c>
      <c r="N1109" t="str">
        <f>_xlfn.TEXTJOIN("#",TRUE,PartList[[#This Row],[ASSLY MARK]],PartList[[#This Row],[BOX NO]],PartList[[#This Row],[In/Out]],PartList[[#This Row],[O2-Grid]])</f>
        <v>VB94#Box2#12_13_A</v>
      </c>
      <c r="O1109">
        <f>IF(PartList[[#This Row],[Unique]]="Yes",_xlfn.XLOOKUP(PartList[[#This Row],[ASSLY MARK]],FilteredPL!A:A,FilteredPL!B:B,0,0),0)</f>
        <v>0</v>
      </c>
      <c r="P1109">
        <f>_xlfn.XLOOKUP(PartList[[#This Row],[ASSLY MARK]],MasterPL[SplitMarkNo],MasterPL[BILL WT.(KG)],0,0)</f>
        <v>0</v>
      </c>
      <c r="Q1109" cm="1">
        <f t="array" ref="Q110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10" spans="1:17" x14ac:dyDescent="0.25">
      <c r="A1110">
        <v>1352</v>
      </c>
      <c r="B1110" t="s">
        <v>1224</v>
      </c>
      <c r="C1110" t="s">
        <v>561</v>
      </c>
      <c r="D1110" t="s">
        <v>1145</v>
      </c>
      <c r="E1110" t="s">
        <v>1122</v>
      </c>
      <c r="F1110" t="str" cm="1">
        <f t="array" ref="F1110">IF(SUM(IF(PartList[ASSLY MARK]=PartList[[#This Row],[ASSLY MARK]],1,0))&gt;1,"No","Yes")</f>
        <v>No</v>
      </c>
      <c r="G1110" t="str" cm="1">
        <f t="array" ref="G1110">_xlfn.TEXTJOIN("_",TRUE,TRIM(_xlfn.TEXTSPLIT(PartList[[#This Row],[GRID LOCATION]],{"PR01","/","-"})))</f>
        <v>12_13_B&gt;</v>
      </c>
      <c r="H1110" t="str" cm="1">
        <f t="array" ref="H111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110" cm="1">
        <f t="array" ref="I111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110" t="str">
        <f>IF(IFERROR(SEARCH("&gt;",PartList[[#This Row],[ID]]),0),"O",IF(IFERROR(SEARCH("&lt;",PartList[[#This Row],[ID]]),0),"I",""))</f>
        <v>O</v>
      </c>
      <c r="K1110" t="str" cm="1">
        <f t="array" ref="K11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10" t="str" cm="1">
        <f t="array" ref="L11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10" t="str">
        <f>_xlfn.TEXTJOIN("#",TRUE,PartList[[#This Row],[ASSLY MARK]],PartList[[#This Row],[BOX NO]],PartList[[#This Row],[In/Out]],PartList[[#This Row],[O1-Grid]])</f>
        <v>VB100#Box2#O</v>
      </c>
      <c r="N1110" t="str">
        <f>_xlfn.TEXTJOIN("#",TRUE,PartList[[#This Row],[ASSLY MARK]],PartList[[#This Row],[BOX NO]],PartList[[#This Row],[In/Out]],PartList[[#This Row],[O2-Grid]])</f>
        <v>VB100#Box2#O</v>
      </c>
      <c r="O1110">
        <f>IF(PartList[[#This Row],[Unique]]="Yes",_xlfn.XLOOKUP(PartList[[#This Row],[ASSLY MARK]],FilteredPL!A:A,FilteredPL!B:B,0,0),0)</f>
        <v>0</v>
      </c>
      <c r="P1110">
        <f>_xlfn.XLOOKUP(PartList[[#This Row],[ASSLY MARK]],MasterPL[SplitMarkNo],MasterPL[BILL WT.(KG)],0,0)</f>
        <v>0</v>
      </c>
      <c r="Q1110" cm="1">
        <f t="array" ref="Q111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11" spans="1:17" x14ac:dyDescent="0.25">
      <c r="A1111">
        <v>1353</v>
      </c>
      <c r="B1111" t="s">
        <v>1224</v>
      </c>
      <c r="C1111" t="s">
        <v>561</v>
      </c>
      <c r="D1111" t="s">
        <v>1145</v>
      </c>
      <c r="E1111" t="s">
        <v>1122</v>
      </c>
      <c r="F1111" t="str" cm="1">
        <f t="array" ref="F1111">IF(SUM(IF(PartList[ASSLY MARK]=PartList[[#This Row],[ASSLY MARK]],1,0))&gt;1,"No","Yes")</f>
        <v>No</v>
      </c>
      <c r="G1111" t="str" cm="1">
        <f t="array" ref="G1111">_xlfn.TEXTJOIN("_",TRUE,TRIM(_xlfn.TEXTSPLIT(PartList[[#This Row],[GRID LOCATION]],{"PR01","/","-"})))</f>
        <v>12_13_B&gt;</v>
      </c>
      <c r="H1111" t="str" cm="1">
        <f t="array" ref="H111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111" cm="1">
        <f t="array" ref="I111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111" t="str">
        <f>IF(IFERROR(SEARCH("&gt;",PartList[[#This Row],[ID]]),0),"O",IF(IFERROR(SEARCH("&lt;",PartList[[#This Row],[ID]]),0),"I",""))</f>
        <v>O</v>
      </c>
      <c r="K1111" t="str" cm="1">
        <f t="array" ref="K11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11" t="str" cm="1">
        <f t="array" ref="L11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11" t="str">
        <f>_xlfn.TEXTJOIN("#",TRUE,PartList[[#This Row],[ASSLY MARK]],PartList[[#This Row],[BOX NO]],PartList[[#This Row],[In/Out]],PartList[[#This Row],[O1-Grid]])</f>
        <v>VB100#Box2#O</v>
      </c>
      <c r="N1111" t="str">
        <f>_xlfn.TEXTJOIN("#",TRUE,PartList[[#This Row],[ASSLY MARK]],PartList[[#This Row],[BOX NO]],PartList[[#This Row],[In/Out]],PartList[[#This Row],[O2-Grid]])</f>
        <v>VB100#Box2#O</v>
      </c>
      <c r="O1111">
        <f>IF(PartList[[#This Row],[Unique]]="Yes",_xlfn.XLOOKUP(PartList[[#This Row],[ASSLY MARK]],FilteredPL!A:A,FilteredPL!B:B,0,0),0)</f>
        <v>0</v>
      </c>
      <c r="P1111">
        <f>_xlfn.XLOOKUP(PartList[[#This Row],[ASSLY MARK]],MasterPL[SplitMarkNo],MasterPL[BILL WT.(KG)],0,0)</f>
        <v>0</v>
      </c>
      <c r="Q1111" cm="1">
        <f t="array" ref="Q111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12" spans="1:17" x14ac:dyDescent="0.25">
      <c r="A1112">
        <v>1354</v>
      </c>
      <c r="B1112" t="s">
        <v>1225</v>
      </c>
      <c r="C1112" t="s">
        <v>561</v>
      </c>
      <c r="D1112" t="s">
        <v>1149</v>
      </c>
      <c r="E1112" t="s">
        <v>1122</v>
      </c>
      <c r="F1112" t="str" cm="1">
        <f t="array" ref="F1112">IF(SUM(IF(PartList[ASSLY MARK]=PartList[[#This Row],[ASSLY MARK]],1,0))&gt;1,"No","Yes")</f>
        <v>No</v>
      </c>
      <c r="G1112" t="str" cm="1">
        <f t="array" ref="G1112">_xlfn.TEXTJOIN("_",TRUE,TRIM(_xlfn.TEXTSPLIT(PartList[[#This Row],[GRID LOCATION]],{"PR01","/","-"})))</f>
        <v>12_13_B&gt;</v>
      </c>
      <c r="H1112" t="str" cm="1">
        <f t="array" ref="H111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112" cm="1">
        <f t="array" ref="I111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112" t="str">
        <f>IF(IFERROR(SEARCH("&gt;",PartList[[#This Row],[ID]]),0),"O",IF(IFERROR(SEARCH("&lt;",PartList[[#This Row],[ID]]),0),"I",""))</f>
        <v>O</v>
      </c>
      <c r="K1112" t="str" cm="1">
        <f t="array" ref="K11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12" t="str" cm="1">
        <f t="array" ref="L11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12" t="str">
        <f>_xlfn.TEXTJOIN("#",TRUE,PartList[[#This Row],[ASSLY MARK]],PartList[[#This Row],[BOX NO]],PartList[[#This Row],[In/Out]],PartList[[#This Row],[O1-Grid]])</f>
        <v>VB101#Box2#O</v>
      </c>
      <c r="N1112" t="str">
        <f>_xlfn.TEXTJOIN("#",TRUE,PartList[[#This Row],[ASSLY MARK]],PartList[[#This Row],[BOX NO]],PartList[[#This Row],[In/Out]],PartList[[#This Row],[O2-Grid]])</f>
        <v>VB101#Box2#O</v>
      </c>
      <c r="O1112">
        <f>IF(PartList[[#This Row],[Unique]]="Yes",_xlfn.XLOOKUP(PartList[[#This Row],[ASSLY MARK]],FilteredPL!A:A,FilteredPL!B:B,0,0),0)</f>
        <v>0</v>
      </c>
      <c r="P1112">
        <f>_xlfn.XLOOKUP(PartList[[#This Row],[ASSLY MARK]],MasterPL[SplitMarkNo],MasterPL[BILL WT.(KG)],0,0)</f>
        <v>0</v>
      </c>
      <c r="Q1112" cm="1">
        <f t="array" ref="Q111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13" spans="1:17" x14ac:dyDescent="0.25">
      <c r="A1113">
        <v>1355</v>
      </c>
      <c r="B1113" t="s">
        <v>1225</v>
      </c>
      <c r="C1113" t="s">
        <v>561</v>
      </c>
      <c r="D1113" t="s">
        <v>1149</v>
      </c>
      <c r="E1113" t="s">
        <v>1122</v>
      </c>
      <c r="F1113" t="str" cm="1">
        <f t="array" ref="F1113">IF(SUM(IF(PartList[ASSLY MARK]=PartList[[#This Row],[ASSLY MARK]],1,0))&gt;1,"No","Yes")</f>
        <v>No</v>
      </c>
      <c r="G1113" t="str" cm="1">
        <f t="array" ref="G1113">_xlfn.TEXTJOIN("_",TRUE,TRIM(_xlfn.TEXTSPLIT(PartList[[#This Row],[GRID LOCATION]],{"PR01","/","-"})))</f>
        <v>12_13_B&gt;</v>
      </c>
      <c r="H1113" t="str" cm="1">
        <f t="array" ref="H111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113" cm="1">
        <f t="array" ref="I111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113" t="str">
        <f>IF(IFERROR(SEARCH("&gt;",PartList[[#This Row],[ID]]),0),"O",IF(IFERROR(SEARCH("&lt;",PartList[[#This Row],[ID]]),0),"I",""))</f>
        <v>O</v>
      </c>
      <c r="K1113" t="str" cm="1">
        <f t="array" ref="K11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13" t="str" cm="1">
        <f t="array" ref="L11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13" t="str">
        <f>_xlfn.TEXTJOIN("#",TRUE,PartList[[#This Row],[ASSLY MARK]],PartList[[#This Row],[BOX NO]],PartList[[#This Row],[In/Out]],PartList[[#This Row],[O1-Grid]])</f>
        <v>VB101#Box2#O</v>
      </c>
      <c r="N1113" t="str">
        <f>_xlfn.TEXTJOIN("#",TRUE,PartList[[#This Row],[ASSLY MARK]],PartList[[#This Row],[BOX NO]],PartList[[#This Row],[In/Out]],PartList[[#This Row],[O2-Grid]])</f>
        <v>VB101#Box2#O</v>
      </c>
      <c r="O1113">
        <f>IF(PartList[[#This Row],[Unique]]="Yes",_xlfn.XLOOKUP(PartList[[#This Row],[ASSLY MARK]],FilteredPL!A:A,FilteredPL!B:B,0,0),0)</f>
        <v>0</v>
      </c>
      <c r="P1113">
        <f>_xlfn.XLOOKUP(PartList[[#This Row],[ASSLY MARK]],MasterPL[SplitMarkNo],MasterPL[BILL WT.(KG)],0,0)</f>
        <v>0</v>
      </c>
      <c r="Q1113" cm="1">
        <f t="array" ref="Q111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14" spans="1:17" x14ac:dyDescent="0.25">
      <c r="A1114">
        <v>1356</v>
      </c>
      <c r="B1114" t="s">
        <v>1226</v>
      </c>
      <c r="C1114" t="s">
        <v>602</v>
      </c>
      <c r="D1114" t="s">
        <v>1159</v>
      </c>
      <c r="E1114" t="s">
        <v>1122</v>
      </c>
      <c r="F1114" t="str" cm="1">
        <f t="array" ref="F1114">IF(SUM(IF(PartList[ASSLY MARK]=PartList[[#This Row],[ASSLY MARK]],1,0))&gt;1,"No","Yes")</f>
        <v>Yes</v>
      </c>
      <c r="G1114" t="str" cm="1">
        <f t="array" ref="G1114">_xlfn.TEXTJOIN("_",TRUE,TRIM(_xlfn.TEXTSPLIT(PartList[[#This Row],[GRID LOCATION]],{"PR01","/","-"})))</f>
        <v>13_14_A_B</v>
      </c>
      <c r="H1114" t="str" cm="1">
        <f t="array" ref="H111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Box2</v>
      </c>
      <c r="I1114" cm="1">
        <f t="array" ref="I111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2</v>
      </c>
      <c r="J1114" t="str">
        <f>IF(IFERROR(SEARCH("&gt;",PartList[[#This Row],[ID]]),0),"O",IF(IFERROR(SEARCH("&lt;",PartList[[#This Row],[ID]]),0),"I",""))</f>
        <v/>
      </c>
      <c r="K1114" t="str" cm="1">
        <f t="array" ref="K11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14" t="str" cm="1">
        <f t="array" ref="L11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14" t="str">
        <f>_xlfn.TEXTJOIN("#",TRUE,PartList[[#This Row],[ASSLY MARK]],PartList[[#This Row],[BOX NO]],PartList[[#This Row],[In/Out]],PartList[[#This Row],[O1-Grid]])</f>
        <v>VB102#Box2#InB</v>
      </c>
      <c r="N1114" t="str">
        <f>_xlfn.TEXTJOIN("#",TRUE,PartList[[#This Row],[ASSLY MARK]],PartList[[#This Row],[BOX NO]],PartList[[#This Row],[In/Out]],PartList[[#This Row],[O2-Grid]])</f>
        <v>VB102#Box2#InB</v>
      </c>
      <c r="O1114">
        <f>IF(PartList[[#This Row],[Unique]]="Yes",_xlfn.XLOOKUP(PartList[[#This Row],[ASSLY MARK]],FilteredPL!A:A,FilteredPL!B:B,0,0),0)</f>
        <v>0</v>
      </c>
      <c r="P1114">
        <f>_xlfn.XLOOKUP(PartList[[#This Row],[ASSLY MARK]],MasterPL[SplitMarkNo],MasterPL[BILL WT.(KG)],0,0)</f>
        <v>0</v>
      </c>
      <c r="Q1114" cm="1">
        <f t="array" ref="Q111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15" spans="1:17" x14ac:dyDescent="0.25">
      <c r="A1115">
        <v>34</v>
      </c>
      <c r="B1115" t="s">
        <v>108</v>
      </c>
      <c r="C1115" t="s">
        <v>521</v>
      </c>
      <c r="D1115" t="s">
        <v>88</v>
      </c>
      <c r="E1115" t="s">
        <v>5</v>
      </c>
      <c r="F1115" t="str" cm="1">
        <f t="array" ref="F1115">IF(SUM(IF(PartList[ASSLY MARK]=PartList[[#This Row],[ASSLY MARK]],1,0))&gt;1,"No","Yes")</f>
        <v>Yes</v>
      </c>
      <c r="G1115" t="str" cm="1">
        <f t="array" ref="G1115">_xlfn.TEXTJOIN("_",TRUE,TRIM(_xlfn.TEXTSPLIT(PartList[[#This Row],[GRID LOCATION]],{"PR01","/","-"})))</f>
        <v>14_15_A_B</v>
      </c>
      <c r="H1115" t="str" cm="1">
        <f t="array" ref="H111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15" cm="1">
        <f t="array" ref="I111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15" t="str">
        <f>IF(IFERROR(SEARCH("&gt;",PartList[[#This Row],[ID]]),0),"O",IF(IFERROR(SEARCH("&lt;",PartList[[#This Row],[ID]]),0),"I",""))</f>
        <v/>
      </c>
      <c r="K1115" t="str" cm="1">
        <f t="array" ref="K11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15" t="str" cm="1">
        <f t="array" ref="L11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15" t="str">
        <f>_xlfn.TEXTJOIN("#",TRUE,PartList[[#This Row],[ASSLY MARK]],PartList[[#This Row],[BOX NO]],PartList[[#This Row],[In/Out]],PartList[[#This Row],[O1-Grid]])</f>
        <v>1BE20#Box3#InB</v>
      </c>
      <c r="N1115" t="str">
        <f>_xlfn.TEXTJOIN("#",TRUE,PartList[[#This Row],[ASSLY MARK]],PartList[[#This Row],[BOX NO]],PartList[[#This Row],[In/Out]],PartList[[#This Row],[O2-Grid]])</f>
        <v>1BE20#Box3#InB</v>
      </c>
      <c r="O1115">
        <f>IF(PartList[[#This Row],[Unique]]="Yes",_xlfn.XLOOKUP(PartList[[#This Row],[ASSLY MARK]],FilteredPL!A:A,FilteredPL!B:B,0,0),0)</f>
        <v>0</v>
      </c>
      <c r="P1115">
        <f>_xlfn.XLOOKUP(PartList[[#This Row],[ASSLY MARK]],MasterPL[SplitMarkNo],MasterPL[BILL WT.(KG)],0,0)</f>
        <v>0</v>
      </c>
      <c r="Q1115" cm="1">
        <f t="array" ref="Q111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16" spans="1:17" x14ac:dyDescent="0.25">
      <c r="A1116">
        <v>35</v>
      </c>
      <c r="B1116" t="s">
        <v>109</v>
      </c>
      <c r="C1116" t="s">
        <v>522</v>
      </c>
      <c r="D1116" t="s">
        <v>523</v>
      </c>
      <c r="E1116" t="s">
        <v>5</v>
      </c>
      <c r="F1116" t="str" cm="1">
        <f t="array" ref="F1116">IF(SUM(IF(PartList[ASSLY MARK]=PartList[[#This Row],[ASSLY MARK]],1,0))&gt;1,"No","Yes")</f>
        <v>Yes</v>
      </c>
      <c r="G1116" t="str" cm="1">
        <f t="array" ref="G1116">_xlfn.TEXTJOIN("_",TRUE,TRIM(_xlfn.TEXTSPLIT(PartList[[#This Row],[GRID LOCATION]],{"PR01","/","-"})))</f>
        <v>14_15_B&gt;</v>
      </c>
      <c r="H1116" t="str" cm="1">
        <f t="array" ref="H111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16" cm="1">
        <f t="array" ref="I111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16" t="str">
        <f>IF(IFERROR(SEARCH("&gt;",PartList[[#This Row],[ID]]),0),"O",IF(IFERROR(SEARCH("&lt;",PartList[[#This Row],[ID]]),0),"I",""))</f>
        <v>O</v>
      </c>
      <c r="K1116" t="str" cm="1">
        <f t="array" ref="K11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16" t="str" cm="1">
        <f t="array" ref="L11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16" t="str">
        <f>_xlfn.TEXTJOIN("#",TRUE,PartList[[#This Row],[ASSLY MARK]],PartList[[#This Row],[BOX NO]],PartList[[#This Row],[In/Out]],PartList[[#This Row],[O1-Grid]])</f>
        <v>1BE21#Box3_Box6#O</v>
      </c>
      <c r="N1116" t="str">
        <f>_xlfn.TEXTJOIN("#",TRUE,PartList[[#This Row],[ASSLY MARK]],PartList[[#This Row],[BOX NO]],PartList[[#This Row],[In/Out]],PartList[[#This Row],[O2-Grid]])</f>
        <v>1BE21#Box3_Box6#O</v>
      </c>
      <c r="O1116">
        <f>IF(PartList[[#This Row],[Unique]]="Yes",_xlfn.XLOOKUP(PartList[[#This Row],[ASSLY MARK]],FilteredPL!A:A,FilteredPL!B:B,0,0),0)</f>
        <v>0</v>
      </c>
      <c r="P1116">
        <f>_xlfn.XLOOKUP(PartList[[#This Row],[ASSLY MARK]],MasterPL[SplitMarkNo],MasterPL[BILL WT.(KG)],0,0)</f>
        <v>0</v>
      </c>
      <c r="Q1116" cm="1">
        <f t="array" ref="Q111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17" spans="1:17" x14ac:dyDescent="0.25">
      <c r="A1117">
        <v>36</v>
      </c>
      <c r="B1117" t="s">
        <v>110</v>
      </c>
      <c r="C1117" t="s">
        <v>524</v>
      </c>
      <c r="D1117" t="s">
        <v>90</v>
      </c>
      <c r="E1117" t="s">
        <v>5</v>
      </c>
      <c r="F1117" t="str" cm="1">
        <f t="array" ref="F1117">IF(SUM(IF(PartList[ASSLY MARK]=PartList[[#This Row],[ASSLY MARK]],1,0))&gt;1,"No","Yes")</f>
        <v>Yes</v>
      </c>
      <c r="G1117" t="str" cm="1">
        <f t="array" ref="G1117">_xlfn.TEXTJOIN("_",TRUE,TRIM(_xlfn.TEXTSPLIT(PartList[[#This Row],[GRID LOCATION]],{"PR01","/","-"})))</f>
        <v>15_B&gt;</v>
      </c>
      <c r="H1117" t="str" cm="1">
        <f t="array" ref="H111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17" cm="1">
        <f t="array" ref="I111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17" t="str">
        <f>IF(IFERROR(SEARCH("&gt;",PartList[[#This Row],[ID]]),0),"O",IF(IFERROR(SEARCH("&lt;",PartList[[#This Row],[ID]]),0),"I",""))</f>
        <v>O</v>
      </c>
      <c r="K1117" t="str" cm="1">
        <f t="array" ref="K11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17" t="str" cm="1">
        <f t="array" ref="L11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17" t="str">
        <f>_xlfn.TEXTJOIN("#",TRUE,PartList[[#This Row],[ASSLY MARK]],PartList[[#This Row],[BOX NO]],PartList[[#This Row],[In/Out]],PartList[[#This Row],[O1-Grid]])</f>
        <v>1BE22#Box3#O</v>
      </c>
      <c r="N1117" t="str">
        <f>_xlfn.TEXTJOIN("#",TRUE,PartList[[#This Row],[ASSLY MARK]],PartList[[#This Row],[BOX NO]],PartList[[#This Row],[In/Out]],PartList[[#This Row],[O2-Grid]])</f>
        <v>1BE22#Box3#O</v>
      </c>
      <c r="O1117">
        <f>IF(PartList[[#This Row],[Unique]]="Yes",_xlfn.XLOOKUP(PartList[[#This Row],[ASSLY MARK]],FilteredPL!A:A,FilteredPL!B:B,0,0),0)</f>
        <v>0</v>
      </c>
      <c r="P1117">
        <f>_xlfn.XLOOKUP(PartList[[#This Row],[ASSLY MARK]],MasterPL[SplitMarkNo],MasterPL[BILL WT.(KG)],0,0)</f>
        <v>0</v>
      </c>
      <c r="Q1117" cm="1">
        <f t="array" ref="Q111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18" spans="1:17" x14ac:dyDescent="0.25">
      <c r="A1118">
        <v>37</v>
      </c>
      <c r="B1118" t="s">
        <v>111</v>
      </c>
      <c r="C1118" t="s">
        <v>525</v>
      </c>
      <c r="D1118" t="s">
        <v>90</v>
      </c>
      <c r="E1118" t="s">
        <v>5</v>
      </c>
      <c r="F1118" t="str" cm="1">
        <f t="array" ref="F1118">IF(SUM(IF(PartList[ASSLY MARK]=PartList[[#This Row],[ASSLY MARK]],1,0))&gt;1,"No","Yes")</f>
        <v>Yes</v>
      </c>
      <c r="G1118" t="str" cm="1">
        <f t="array" ref="G1118">_xlfn.TEXTJOIN("_",TRUE,TRIM(_xlfn.TEXTSPLIT(PartList[[#This Row],[GRID LOCATION]],{"PR01","/","-"})))</f>
        <v>15&gt;_B</v>
      </c>
      <c r="H1118" t="str" cm="1">
        <f t="array" ref="H111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18" cm="1">
        <f t="array" ref="I111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18" t="str">
        <f>IF(IFERROR(SEARCH("&gt;",PartList[[#This Row],[ID]]),0),"O",IF(IFERROR(SEARCH("&lt;",PartList[[#This Row],[ID]]),0),"I",""))</f>
        <v>O</v>
      </c>
      <c r="K1118" t="str" cm="1">
        <f t="array" ref="K11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18" t="str" cm="1">
        <f t="array" ref="L11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18" t="str">
        <f>_xlfn.TEXTJOIN("#",TRUE,PartList[[#This Row],[ASSLY MARK]],PartList[[#This Row],[BOX NO]],PartList[[#This Row],[In/Out]],PartList[[#This Row],[O1-Grid]])</f>
        <v>1BE23#Box3#O</v>
      </c>
      <c r="N1118" t="str">
        <f>_xlfn.TEXTJOIN("#",TRUE,PartList[[#This Row],[ASSLY MARK]],PartList[[#This Row],[BOX NO]],PartList[[#This Row],[In/Out]],PartList[[#This Row],[O2-Grid]])</f>
        <v>1BE23#Box3#O</v>
      </c>
      <c r="O1118">
        <f>IF(PartList[[#This Row],[Unique]]="Yes",_xlfn.XLOOKUP(PartList[[#This Row],[ASSLY MARK]],FilteredPL!A:A,FilteredPL!B:B,0,0),0)</f>
        <v>0</v>
      </c>
      <c r="P1118">
        <f>_xlfn.XLOOKUP(PartList[[#This Row],[ASSLY MARK]],MasterPL[SplitMarkNo],MasterPL[BILL WT.(KG)],0,0)</f>
        <v>0</v>
      </c>
      <c r="Q1118" cm="1">
        <f t="array" ref="Q111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19" spans="1:17" x14ac:dyDescent="0.25">
      <c r="A1119">
        <v>38</v>
      </c>
      <c r="B1119" t="s">
        <v>112</v>
      </c>
      <c r="C1119" t="s">
        <v>526</v>
      </c>
      <c r="D1119" t="s">
        <v>90</v>
      </c>
      <c r="E1119" t="s">
        <v>5</v>
      </c>
      <c r="F1119" t="str" cm="1">
        <f t="array" ref="F1119">IF(SUM(IF(PartList[ASSLY MARK]=PartList[[#This Row],[ASSLY MARK]],1,0))&gt;1,"No","Yes")</f>
        <v>Yes</v>
      </c>
      <c r="G1119" t="str" cm="1">
        <f t="array" ref="G1119">_xlfn.TEXTJOIN("_",TRUE,TRIM(_xlfn.TEXTSPLIT(PartList[[#This Row],[GRID LOCATION]],{"PR01","/","-"})))</f>
        <v>14_15_A</v>
      </c>
      <c r="H1119" t="str" cm="1">
        <f t="array" ref="H111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19" cm="1">
        <f t="array" ref="I111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19" t="str">
        <f>IF(IFERROR(SEARCH("&gt;",PartList[[#This Row],[ID]]),0),"O",IF(IFERROR(SEARCH("&lt;",PartList[[#This Row],[ID]]),0),"I",""))</f>
        <v/>
      </c>
      <c r="K1119" t="str" cm="1">
        <f t="array" ref="K11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19" t="str" cm="1">
        <f t="array" ref="L11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19" t="str">
        <f>_xlfn.TEXTJOIN("#",TRUE,PartList[[#This Row],[ASSLY MARK]],PartList[[#This Row],[BOX NO]],PartList[[#This Row],[In/Out]],PartList[[#This Row],[O1-Grid]])</f>
        <v>1BE24#Box3_Box6#InBB</v>
      </c>
      <c r="N1119" t="str">
        <f>_xlfn.TEXTJOIN("#",TRUE,PartList[[#This Row],[ASSLY MARK]],PartList[[#This Row],[BOX NO]],PartList[[#This Row],[In/Out]],PartList[[#This Row],[O2-Grid]])</f>
        <v>1BE24#Box3_Box6#InBB</v>
      </c>
      <c r="O1119">
        <f>IF(PartList[[#This Row],[Unique]]="Yes",_xlfn.XLOOKUP(PartList[[#This Row],[ASSLY MARK]],FilteredPL!A:A,FilteredPL!B:B,0,0),0)</f>
        <v>0</v>
      </c>
      <c r="P1119">
        <f>_xlfn.XLOOKUP(PartList[[#This Row],[ASSLY MARK]],MasterPL[SplitMarkNo],MasterPL[BILL WT.(KG)],0,0)</f>
        <v>0</v>
      </c>
      <c r="Q1119" cm="1">
        <f t="array" ref="Q111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20" spans="1:17" x14ac:dyDescent="0.25">
      <c r="A1120">
        <v>39</v>
      </c>
      <c r="B1120" t="s">
        <v>113</v>
      </c>
      <c r="C1120" t="s">
        <v>527</v>
      </c>
      <c r="D1120" t="s">
        <v>90</v>
      </c>
      <c r="E1120" t="s">
        <v>5</v>
      </c>
      <c r="F1120" t="str" cm="1">
        <f t="array" ref="F1120">IF(SUM(IF(PartList[ASSLY MARK]=PartList[[#This Row],[ASSLY MARK]],1,0))&gt;1,"No","Yes")</f>
        <v>Yes</v>
      </c>
      <c r="G1120" t="str" cm="1">
        <f t="array" ref="G1120">_xlfn.TEXTJOIN("_",TRUE,TRIM(_xlfn.TEXTSPLIT(PartList[[#This Row],[GRID LOCATION]],{"PR01","/","-"})))</f>
        <v>14_15_B</v>
      </c>
      <c r="H1120" t="str" cm="1">
        <f t="array" ref="H112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20" cm="1">
        <f t="array" ref="I112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20" t="str">
        <f>IF(IFERROR(SEARCH("&gt;",PartList[[#This Row],[ID]]),0),"O",IF(IFERROR(SEARCH("&lt;",PartList[[#This Row],[ID]]),0),"I",""))</f>
        <v/>
      </c>
      <c r="K1120" t="str" cm="1">
        <f t="array" ref="K11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20" t="str" cm="1">
        <f t="array" ref="L11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20" t="str">
        <f>_xlfn.TEXTJOIN("#",TRUE,PartList[[#This Row],[ASSLY MARK]],PartList[[#This Row],[BOX NO]],PartList[[#This Row],[In/Out]],PartList[[#This Row],[O1-Grid]])</f>
        <v>1BE25#Box3_Box6#InBB</v>
      </c>
      <c r="N1120" t="str">
        <f>_xlfn.TEXTJOIN("#",TRUE,PartList[[#This Row],[ASSLY MARK]],PartList[[#This Row],[BOX NO]],PartList[[#This Row],[In/Out]],PartList[[#This Row],[O2-Grid]])</f>
        <v>1BE25#Box3_Box6#InBB</v>
      </c>
      <c r="O1120">
        <f>IF(PartList[[#This Row],[Unique]]="Yes",_xlfn.XLOOKUP(PartList[[#This Row],[ASSLY MARK]],FilteredPL!A:A,FilteredPL!B:B,0,0),0)</f>
        <v>0</v>
      </c>
      <c r="P1120">
        <f>_xlfn.XLOOKUP(PartList[[#This Row],[ASSLY MARK]],MasterPL[SplitMarkNo],MasterPL[BILL WT.(KG)],0,0)</f>
        <v>0</v>
      </c>
      <c r="Q1120" cm="1">
        <f t="array" ref="Q112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21" spans="1:17" x14ac:dyDescent="0.25">
      <c r="A1121">
        <v>89</v>
      </c>
      <c r="B1121" t="s">
        <v>564</v>
      </c>
      <c r="C1121" t="s">
        <v>565</v>
      </c>
      <c r="D1121" t="s">
        <v>90</v>
      </c>
      <c r="E1121" t="s">
        <v>5</v>
      </c>
      <c r="F1121" t="str" cm="1">
        <f t="array" ref="F1121">IF(SUM(IF(PartList[ASSLY MARK]=PartList[[#This Row],[ASSLY MARK]],1,0))&gt;1,"No","Yes")</f>
        <v>Yes</v>
      </c>
      <c r="G1121" t="str" cm="1">
        <f t="array" ref="G1121">_xlfn.TEXTJOIN("_",TRUE,TRIM(_xlfn.TEXTSPLIT(PartList[[#This Row],[GRID LOCATION]],{"PR01","/","-"})))</f>
        <v>15_A_B</v>
      </c>
      <c r="H1121" t="str" cm="1">
        <f t="array" ref="H112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21" cm="1">
        <f t="array" ref="I112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21" t="str">
        <f>IF(IFERROR(SEARCH("&gt;",PartList[[#This Row],[ID]]),0),"O",IF(IFERROR(SEARCH("&lt;",PartList[[#This Row],[ID]]),0),"I",""))</f>
        <v/>
      </c>
      <c r="K1121" t="str" cm="1">
        <f t="array" ref="K11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15_A_B</v>
      </c>
      <c r="L1121" t="str" cm="1">
        <f t="array" ref="L11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21" t="str">
        <f>_xlfn.TEXTJOIN("#",TRUE,PartList[[#This Row],[ASSLY MARK]],PartList[[#This Row],[BOX NO]],PartList[[#This Row],[In/Out]],PartList[[#This Row],[O1-Grid]])</f>
        <v>1BE60#Box3#15_A_B</v>
      </c>
      <c r="N1121" t="str">
        <f>_xlfn.TEXTJOIN("#",TRUE,PartList[[#This Row],[ASSLY MARK]],PartList[[#This Row],[BOX NO]],PartList[[#This Row],[In/Out]],PartList[[#This Row],[O2-Grid]])</f>
        <v>1BE60#Box3#InB</v>
      </c>
      <c r="O1121">
        <f>IF(PartList[[#This Row],[Unique]]="Yes",_xlfn.XLOOKUP(PartList[[#This Row],[ASSLY MARK]],FilteredPL!A:A,FilteredPL!B:B,0,0),0)</f>
        <v>0</v>
      </c>
      <c r="P1121">
        <f>_xlfn.XLOOKUP(PartList[[#This Row],[ASSLY MARK]],MasterPL[SplitMarkNo],MasterPL[BILL WT.(KG)],0,0)</f>
        <v>0</v>
      </c>
      <c r="Q1121" cm="1">
        <f t="array" ref="Q112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22" spans="1:17" x14ac:dyDescent="0.25">
      <c r="A1122">
        <v>142</v>
      </c>
      <c r="B1122" t="s">
        <v>620</v>
      </c>
      <c r="C1122" t="s">
        <v>522</v>
      </c>
      <c r="D1122" t="s">
        <v>90</v>
      </c>
      <c r="E1122" t="s">
        <v>5</v>
      </c>
      <c r="F1122" t="str" cm="1">
        <f t="array" ref="F1122">IF(SUM(IF(PartList[ASSLY MARK]=PartList[[#This Row],[ASSLY MARK]],1,0))&gt;1,"No","Yes")</f>
        <v>Yes</v>
      </c>
      <c r="G1122" t="str" cm="1">
        <f t="array" ref="G1122">_xlfn.TEXTJOIN("_",TRUE,TRIM(_xlfn.TEXTSPLIT(PartList[[#This Row],[GRID LOCATION]],{"PR01","/","-"})))</f>
        <v>14_15_B&gt;</v>
      </c>
      <c r="H1122" t="str" cm="1">
        <f t="array" ref="H112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22" cm="1">
        <f t="array" ref="I112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22" t="str">
        <f>IF(IFERROR(SEARCH("&gt;",PartList[[#This Row],[ID]]),0),"O",IF(IFERROR(SEARCH("&lt;",PartList[[#This Row],[ID]]),0),"I",""))</f>
        <v>O</v>
      </c>
      <c r="K1122" t="str" cm="1">
        <f t="array" ref="K11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22" t="str" cm="1">
        <f t="array" ref="L11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22" t="str">
        <f>_xlfn.TEXTJOIN("#",TRUE,PartList[[#This Row],[ASSLY MARK]],PartList[[#This Row],[BOX NO]],PartList[[#This Row],[In/Out]],PartList[[#This Row],[O1-Grid]])</f>
        <v>1BE101#Box3_Box6#O</v>
      </c>
      <c r="N1122" t="str">
        <f>_xlfn.TEXTJOIN("#",TRUE,PartList[[#This Row],[ASSLY MARK]],PartList[[#This Row],[BOX NO]],PartList[[#This Row],[In/Out]],PartList[[#This Row],[O2-Grid]])</f>
        <v>1BE101#Box3_Box6#O</v>
      </c>
      <c r="O1122">
        <f>IF(PartList[[#This Row],[Unique]]="Yes",_xlfn.XLOOKUP(PartList[[#This Row],[ASSLY MARK]],FilteredPL!A:A,FilteredPL!B:B,0,0),0)</f>
        <v>0</v>
      </c>
      <c r="P1122">
        <f>_xlfn.XLOOKUP(PartList[[#This Row],[ASSLY MARK]],MasterPL[SplitMarkNo],MasterPL[BILL WT.(KG)],0,0)</f>
        <v>0</v>
      </c>
      <c r="Q1122" cm="1">
        <f t="array" ref="Q112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23" spans="1:17" x14ac:dyDescent="0.25">
      <c r="A1123">
        <v>143</v>
      </c>
      <c r="B1123" t="s">
        <v>621</v>
      </c>
      <c r="C1123" t="s">
        <v>522</v>
      </c>
      <c r="D1123" t="s">
        <v>90</v>
      </c>
      <c r="E1123" t="s">
        <v>5</v>
      </c>
      <c r="F1123" t="str" cm="1">
        <f t="array" ref="F1123">IF(SUM(IF(PartList[ASSLY MARK]=PartList[[#This Row],[ASSLY MARK]],1,0))&gt;1,"No","Yes")</f>
        <v>Yes</v>
      </c>
      <c r="G1123" t="str" cm="1">
        <f t="array" ref="G1123">_xlfn.TEXTJOIN("_",TRUE,TRIM(_xlfn.TEXTSPLIT(PartList[[#This Row],[GRID LOCATION]],{"PR01","/","-"})))</f>
        <v>14_15_B&gt;</v>
      </c>
      <c r="H1123" t="str" cm="1">
        <f t="array" ref="H112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23" cm="1">
        <f t="array" ref="I112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23" t="str">
        <f>IF(IFERROR(SEARCH("&gt;",PartList[[#This Row],[ID]]),0),"O",IF(IFERROR(SEARCH("&lt;",PartList[[#This Row],[ID]]),0),"I",""))</f>
        <v>O</v>
      </c>
      <c r="K1123" t="str" cm="1">
        <f t="array" ref="K11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23" t="str" cm="1">
        <f t="array" ref="L11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23" t="str">
        <f>_xlfn.TEXTJOIN("#",TRUE,PartList[[#This Row],[ASSLY MARK]],PartList[[#This Row],[BOX NO]],PartList[[#This Row],[In/Out]],PartList[[#This Row],[O1-Grid]])</f>
        <v>1BE102#Box3_Box6#O</v>
      </c>
      <c r="N1123" t="str">
        <f>_xlfn.TEXTJOIN("#",TRUE,PartList[[#This Row],[ASSLY MARK]],PartList[[#This Row],[BOX NO]],PartList[[#This Row],[In/Out]],PartList[[#This Row],[O2-Grid]])</f>
        <v>1BE102#Box3_Box6#O</v>
      </c>
      <c r="O1123">
        <f>IF(PartList[[#This Row],[Unique]]="Yes",_xlfn.XLOOKUP(PartList[[#This Row],[ASSLY MARK]],FilteredPL!A:A,FilteredPL!B:B,0,0),0)</f>
        <v>0</v>
      </c>
      <c r="P1123">
        <f>_xlfn.XLOOKUP(PartList[[#This Row],[ASSLY MARK]],MasterPL[SplitMarkNo],MasterPL[BILL WT.(KG)],0,0)</f>
        <v>0</v>
      </c>
      <c r="Q1123" cm="1">
        <f t="array" ref="Q112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24" spans="1:17" x14ac:dyDescent="0.25">
      <c r="A1124">
        <v>179</v>
      </c>
      <c r="B1124" t="s">
        <v>643</v>
      </c>
      <c r="C1124" t="s">
        <v>521</v>
      </c>
      <c r="D1124" t="s">
        <v>88</v>
      </c>
      <c r="E1124" t="s">
        <v>6</v>
      </c>
      <c r="F1124" t="str" cm="1">
        <f t="array" ref="F1124">IF(SUM(IF(PartList[ASSLY MARK]=PartList[[#This Row],[ASSLY MARK]],1,0))&gt;1,"No","Yes")</f>
        <v>Yes</v>
      </c>
      <c r="G1124" t="str" cm="1">
        <f t="array" ref="G1124">_xlfn.TEXTJOIN("_",TRUE,TRIM(_xlfn.TEXTSPLIT(PartList[[#This Row],[GRID LOCATION]],{"PR01","/","-"})))</f>
        <v>14_15_A_B</v>
      </c>
      <c r="H1124" t="str" cm="1">
        <f t="array" ref="H112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24" cm="1">
        <f t="array" ref="I112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24" t="str">
        <f>IF(IFERROR(SEARCH("&gt;",PartList[[#This Row],[ID]]),0),"O",IF(IFERROR(SEARCH("&lt;",PartList[[#This Row],[ID]]),0),"I",""))</f>
        <v/>
      </c>
      <c r="K1124" t="str" cm="1">
        <f t="array" ref="K11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24" t="str" cm="1">
        <f t="array" ref="L11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24" t="str">
        <f>_xlfn.TEXTJOIN("#",TRUE,PartList[[#This Row],[ASSLY MARK]],PartList[[#This Row],[BOX NO]],PartList[[#This Row],[In/Out]],PartList[[#This Row],[O1-Grid]])</f>
        <v>1HB23#Box3#InB</v>
      </c>
      <c r="N1124" t="str">
        <f>_xlfn.TEXTJOIN("#",TRUE,PartList[[#This Row],[ASSLY MARK]],PartList[[#This Row],[BOX NO]],PartList[[#This Row],[In/Out]],PartList[[#This Row],[O2-Grid]])</f>
        <v>1HB23#Box3#InB</v>
      </c>
      <c r="O1124">
        <f>IF(PartList[[#This Row],[Unique]]="Yes",_xlfn.XLOOKUP(PartList[[#This Row],[ASSLY MARK]],FilteredPL!A:A,FilteredPL!B:B,0,0),0)</f>
        <v>0</v>
      </c>
      <c r="P1124">
        <f>_xlfn.XLOOKUP(PartList[[#This Row],[ASSLY MARK]],MasterPL[SplitMarkNo],MasterPL[BILL WT.(KG)],0,0)</f>
        <v>0</v>
      </c>
      <c r="Q1124" cm="1">
        <f t="array" ref="Q112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25" spans="1:17" x14ac:dyDescent="0.25">
      <c r="A1125">
        <v>180</v>
      </c>
      <c r="B1125" t="s">
        <v>644</v>
      </c>
      <c r="C1125" t="s">
        <v>522</v>
      </c>
      <c r="D1125" t="s">
        <v>135</v>
      </c>
      <c r="E1125" t="s">
        <v>6</v>
      </c>
      <c r="F1125" t="str" cm="1">
        <f t="array" ref="F1125">IF(SUM(IF(PartList[ASSLY MARK]=PartList[[#This Row],[ASSLY MARK]],1,0))&gt;1,"No","Yes")</f>
        <v>Yes</v>
      </c>
      <c r="G1125" t="str" cm="1">
        <f t="array" ref="G1125">_xlfn.TEXTJOIN("_",TRUE,TRIM(_xlfn.TEXTSPLIT(PartList[[#This Row],[GRID LOCATION]],{"PR01","/","-"})))</f>
        <v>14_15_B&gt;</v>
      </c>
      <c r="H1125" t="str" cm="1">
        <f t="array" ref="H112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25" cm="1">
        <f t="array" ref="I112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25" t="str">
        <f>IF(IFERROR(SEARCH("&gt;",PartList[[#This Row],[ID]]),0),"O",IF(IFERROR(SEARCH("&lt;",PartList[[#This Row],[ID]]),0),"I",""))</f>
        <v>O</v>
      </c>
      <c r="K1125" t="str" cm="1">
        <f t="array" ref="K11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25" t="str" cm="1">
        <f t="array" ref="L11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25" t="str">
        <f>_xlfn.TEXTJOIN("#",TRUE,PartList[[#This Row],[ASSLY MARK]],PartList[[#This Row],[BOX NO]],PartList[[#This Row],[In/Out]],PartList[[#This Row],[O1-Grid]])</f>
        <v>1HB24#Box3_Box6#O</v>
      </c>
      <c r="N1125" t="str">
        <f>_xlfn.TEXTJOIN("#",TRUE,PartList[[#This Row],[ASSLY MARK]],PartList[[#This Row],[BOX NO]],PartList[[#This Row],[In/Out]],PartList[[#This Row],[O2-Grid]])</f>
        <v>1HB24#Box3_Box6#O</v>
      </c>
      <c r="O1125">
        <f>IF(PartList[[#This Row],[Unique]]="Yes",_xlfn.XLOOKUP(PartList[[#This Row],[ASSLY MARK]],FilteredPL!A:A,FilteredPL!B:B,0,0),0)</f>
        <v>0</v>
      </c>
      <c r="P1125">
        <f>_xlfn.XLOOKUP(PartList[[#This Row],[ASSLY MARK]],MasterPL[SplitMarkNo],MasterPL[BILL WT.(KG)],0,0)</f>
        <v>0</v>
      </c>
      <c r="Q1125" cm="1">
        <f t="array" ref="Q112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26" spans="1:17" x14ac:dyDescent="0.25">
      <c r="A1126">
        <v>199</v>
      </c>
      <c r="B1126" t="s">
        <v>151</v>
      </c>
      <c r="C1126" t="s">
        <v>522</v>
      </c>
      <c r="D1126" t="s">
        <v>523</v>
      </c>
      <c r="E1126" t="s">
        <v>5</v>
      </c>
      <c r="F1126" t="str" cm="1">
        <f t="array" ref="F1126">IF(SUM(IF(PartList[ASSLY MARK]=PartList[[#This Row],[ASSLY MARK]],1,0))&gt;1,"No","Yes")</f>
        <v>Yes</v>
      </c>
      <c r="G1126" t="str" cm="1">
        <f t="array" ref="G1126">_xlfn.TEXTJOIN("_",TRUE,TRIM(_xlfn.TEXTSPLIT(PartList[[#This Row],[GRID LOCATION]],{"PR01","/","-"})))</f>
        <v>14_15_B&gt;</v>
      </c>
      <c r="H1126" t="str" cm="1">
        <f t="array" ref="H112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26" cm="1">
        <f t="array" ref="I112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26" t="str">
        <f>IF(IFERROR(SEARCH("&gt;",PartList[[#This Row],[ID]]),0),"O",IF(IFERROR(SEARCH("&lt;",PartList[[#This Row],[ID]]),0),"I",""))</f>
        <v>O</v>
      </c>
      <c r="K1126" t="str" cm="1">
        <f t="array" ref="K11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26" t="str" cm="1">
        <f t="array" ref="L11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26" t="str">
        <f>_xlfn.TEXTJOIN("#",TRUE,PartList[[#This Row],[ASSLY MARK]],PartList[[#This Row],[BOX NO]],PartList[[#This Row],[In/Out]],PartList[[#This Row],[O1-Grid]])</f>
        <v>2BE03#Box3_Box6#O</v>
      </c>
      <c r="N1126" t="str">
        <f>_xlfn.TEXTJOIN("#",TRUE,PartList[[#This Row],[ASSLY MARK]],PartList[[#This Row],[BOX NO]],PartList[[#This Row],[In/Out]],PartList[[#This Row],[O2-Grid]])</f>
        <v>2BE03#Box3_Box6#O</v>
      </c>
      <c r="O1126">
        <f>IF(PartList[[#This Row],[Unique]]="Yes",_xlfn.XLOOKUP(PartList[[#This Row],[ASSLY MARK]],FilteredPL!A:A,FilteredPL!B:B,0,0),0)</f>
        <v>0</v>
      </c>
      <c r="P1126">
        <f>_xlfn.XLOOKUP(PartList[[#This Row],[ASSLY MARK]],MasterPL[SplitMarkNo],MasterPL[BILL WT.(KG)],0,0)</f>
        <v>0</v>
      </c>
      <c r="Q1126" cm="1">
        <f t="array" ref="Q112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27" spans="1:17" x14ac:dyDescent="0.25">
      <c r="A1127">
        <v>283</v>
      </c>
      <c r="B1127" t="s">
        <v>695</v>
      </c>
      <c r="C1127" t="s">
        <v>527</v>
      </c>
      <c r="D1127" t="s">
        <v>523</v>
      </c>
      <c r="E1127" t="s">
        <v>5</v>
      </c>
      <c r="F1127" t="str" cm="1">
        <f t="array" ref="F1127">IF(SUM(IF(PartList[ASSLY MARK]=PartList[[#This Row],[ASSLY MARK]],1,0))&gt;1,"No","Yes")</f>
        <v>Yes</v>
      </c>
      <c r="G1127" t="str" cm="1">
        <f t="array" ref="G1127">_xlfn.TEXTJOIN("_",TRUE,TRIM(_xlfn.TEXTSPLIT(PartList[[#This Row],[GRID LOCATION]],{"PR01","/","-"})))</f>
        <v>14_15_B</v>
      </c>
      <c r="H1127" t="str" cm="1">
        <f t="array" ref="H112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27" cm="1">
        <f t="array" ref="I112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27" t="str">
        <f>IF(IFERROR(SEARCH("&gt;",PartList[[#This Row],[ID]]),0),"O",IF(IFERROR(SEARCH("&lt;",PartList[[#This Row],[ID]]),0),"I",""))</f>
        <v/>
      </c>
      <c r="K1127" t="str" cm="1">
        <f t="array" ref="K11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27" t="str" cm="1">
        <f t="array" ref="L11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27" t="str">
        <f>_xlfn.TEXTJOIN("#",TRUE,PartList[[#This Row],[ASSLY MARK]],PartList[[#This Row],[BOX NO]],PartList[[#This Row],[In/Out]],PartList[[#This Row],[O1-Grid]])</f>
        <v>2BE61#Box3_Box6#InBB</v>
      </c>
      <c r="N1127" t="str">
        <f>_xlfn.TEXTJOIN("#",TRUE,PartList[[#This Row],[ASSLY MARK]],PartList[[#This Row],[BOX NO]],PartList[[#This Row],[In/Out]],PartList[[#This Row],[O2-Grid]])</f>
        <v>2BE61#Box3_Box6#InBB</v>
      </c>
      <c r="O1127">
        <f>IF(PartList[[#This Row],[Unique]]="Yes",_xlfn.XLOOKUP(PartList[[#This Row],[ASSLY MARK]],FilteredPL!A:A,FilteredPL!B:B,0,0),0)</f>
        <v>0</v>
      </c>
      <c r="P1127">
        <f>_xlfn.XLOOKUP(PartList[[#This Row],[ASSLY MARK]],MasterPL[SplitMarkNo],MasterPL[BILL WT.(KG)],0,0)</f>
        <v>0</v>
      </c>
      <c r="Q1127" cm="1">
        <f t="array" ref="Q112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28" spans="1:17" x14ac:dyDescent="0.25">
      <c r="A1128">
        <v>284</v>
      </c>
      <c r="B1128" t="s">
        <v>696</v>
      </c>
      <c r="C1128" t="s">
        <v>526</v>
      </c>
      <c r="D1128" t="s">
        <v>150</v>
      </c>
      <c r="E1128" t="s">
        <v>5</v>
      </c>
      <c r="F1128" t="str" cm="1">
        <f t="array" ref="F1128">IF(SUM(IF(PartList[ASSLY MARK]=PartList[[#This Row],[ASSLY MARK]],1,0))&gt;1,"No","Yes")</f>
        <v>Yes</v>
      </c>
      <c r="G1128" t="str" cm="1">
        <f t="array" ref="G1128">_xlfn.TEXTJOIN("_",TRUE,TRIM(_xlfn.TEXTSPLIT(PartList[[#This Row],[GRID LOCATION]],{"PR01","/","-"})))</f>
        <v>14_15_A</v>
      </c>
      <c r="H1128" t="str" cm="1">
        <f t="array" ref="H112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28" cm="1">
        <f t="array" ref="I112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28" t="str">
        <f>IF(IFERROR(SEARCH("&gt;",PartList[[#This Row],[ID]]),0),"O",IF(IFERROR(SEARCH("&lt;",PartList[[#This Row],[ID]]),0),"I",""))</f>
        <v/>
      </c>
      <c r="K1128" t="str" cm="1">
        <f t="array" ref="K11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28" t="str" cm="1">
        <f t="array" ref="L11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28" t="str">
        <f>_xlfn.TEXTJOIN("#",TRUE,PartList[[#This Row],[ASSLY MARK]],PartList[[#This Row],[BOX NO]],PartList[[#This Row],[In/Out]],PartList[[#This Row],[O1-Grid]])</f>
        <v>2BE62#Box3_Box6#InBB</v>
      </c>
      <c r="N1128" t="str">
        <f>_xlfn.TEXTJOIN("#",TRUE,PartList[[#This Row],[ASSLY MARK]],PartList[[#This Row],[BOX NO]],PartList[[#This Row],[In/Out]],PartList[[#This Row],[O2-Grid]])</f>
        <v>2BE62#Box3_Box6#InBB</v>
      </c>
      <c r="O1128">
        <f>IF(PartList[[#This Row],[Unique]]="Yes",_xlfn.XLOOKUP(PartList[[#This Row],[ASSLY MARK]],FilteredPL!A:A,FilteredPL!B:B,0,0),0)</f>
        <v>0</v>
      </c>
      <c r="P1128">
        <f>_xlfn.XLOOKUP(PartList[[#This Row],[ASSLY MARK]],MasterPL[SplitMarkNo],MasterPL[BILL WT.(KG)],0,0)</f>
        <v>0</v>
      </c>
      <c r="Q1128" cm="1">
        <f t="array" ref="Q112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29" spans="1:17" x14ac:dyDescent="0.25">
      <c r="A1129">
        <v>285</v>
      </c>
      <c r="B1129" t="s">
        <v>697</v>
      </c>
      <c r="C1129" t="s">
        <v>527</v>
      </c>
      <c r="D1129" t="s">
        <v>150</v>
      </c>
      <c r="E1129" t="s">
        <v>5</v>
      </c>
      <c r="F1129" t="str" cm="1">
        <f t="array" ref="F1129">IF(SUM(IF(PartList[ASSLY MARK]=PartList[[#This Row],[ASSLY MARK]],1,0))&gt;1,"No","Yes")</f>
        <v>Yes</v>
      </c>
      <c r="G1129" t="str" cm="1">
        <f t="array" ref="G1129">_xlfn.TEXTJOIN("_",TRUE,TRIM(_xlfn.TEXTSPLIT(PartList[[#This Row],[GRID LOCATION]],{"PR01","/","-"})))</f>
        <v>14_15_B</v>
      </c>
      <c r="H1129" t="str" cm="1">
        <f t="array" ref="H112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29" cm="1">
        <f t="array" ref="I112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29" t="str">
        <f>IF(IFERROR(SEARCH("&gt;",PartList[[#This Row],[ID]]),0),"O",IF(IFERROR(SEARCH("&lt;",PartList[[#This Row],[ID]]),0),"I",""))</f>
        <v/>
      </c>
      <c r="K1129" t="str" cm="1">
        <f t="array" ref="K11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29" t="str" cm="1">
        <f t="array" ref="L11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29" t="str">
        <f>_xlfn.TEXTJOIN("#",TRUE,PartList[[#This Row],[ASSLY MARK]],PartList[[#This Row],[BOX NO]],PartList[[#This Row],[In/Out]],PartList[[#This Row],[O1-Grid]])</f>
        <v>2BE63#Box3_Box6#InBB</v>
      </c>
      <c r="N1129" t="str">
        <f>_xlfn.TEXTJOIN("#",TRUE,PartList[[#This Row],[ASSLY MARK]],PartList[[#This Row],[BOX NO]],PartList[[#This Row],[In/Out]],PartList[[#This Row],[O2-Grid]])</f>
        <v>2BE63#Box3_Box6#InBB</v>
      </c>
      <c r="O1129">
        <f>IF(PartList[[#This Row],[Unique]]="Yes",_xlfn.XLOOKUP(PartList[[#This Row],[ASSLY MARK]],FilteredPL!A:A,FilteredPL!B:B,0,0),0)</f>
        <v>0</v>
      </c>
      <c r="P1129">
        <f>_xlfn.XLOOKUP(PartList[[#This Row],[ASSLY MARK]],MasterPL[SplitMarkNo],MasterPL[BILL WT.(KG)],0,0)</f>
        <v>0</v>
      </c>
      <c r="Q1129" cm="1">
        <f t="array" ref="Q112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30" spans="1:17" x14ac:dyDescent="0.25">
      <c r="A1130">
        <v>286</v>
      </c>
      <c r="B1130" t="s">
        <v>698</v>
      </c>
      <c r="C1130" t="s">
        <v>521</v>
      </c>
      <c r="D1130" t="s">
        <v>148</v>
      </c>
      <c r="E1130" t="s">
        <v>5</v>
      </c>
      <c r="F1130" t="str" cm="1">
        <f t="array" ref="F1130">IF(SUM(IF(PartList[ASSLY MARK]=PartList[[#This Row],[ASSLY MARK]],1,0))&gt;1,"No","Yes")</f>
        <v>Yes</v>
      </c>
      <c r="G1130" t="str" cm="1">
        <f t="array" ref="G1130">_xlfn.TEXTJOIN("_",TRUE,TRIM(_xlfn.TEXTSPLIT(PartList[[#This Row],[GRID LOCATION]],{"PR01","/","-"})))</f>
        <v>14_15_A_B</v>
      </c>
      <c r="H1130" t="str" cm="1">
        <f t="array" ref="H113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30" cm="1">
        <f t="array" ref="I113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30" t="str">
        <f>IF(IFERROR(SEARCH("&gt;",PartList[[#This Row],[ID]]),0),"O",IF(IFERROR(SEARCH("&lt;",PartList[[#This Row],[ID]]),0),"I",""))</f>
        <v/>
      </c>
      <c r="K1130" t="str" cm="1">
        <f t="array" ref="K11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30" t="str" cm="1">
        <f t="array" ref="L11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30" t="str">
        <f>_xlfn.TEXTJOIN("#",TRUE,PartList[[#This Row],[ASSLY MARK]],PartList[[#This Row],[BOX NO]],PartList[[#This Row],[In/Out]],PartList[[#This Row],[O1-Grid]])</f>
        <v>2BE64#Box3#InB</v>
      </c>
      <c r="N1130" t="str">
        <f>_xlfn.TEXTJOIN("#",TRUE,PartList[[#This Row],[ASSLY MARK]],PartList[[#This Row],[BOX NO]],PartList[[#This Row],[In/Out]],PartList[[#This Row],[O2-Grid]])</f>
        <v>2BE64#Box3#InB</v>
      </c>
      <c r="O1130">
        <f>IF(PartList[[#This Row],[Unique]]="Yes",_xlfn.XLOOKUP(PartList[[#This Row],[ASSLY MARK]],FilteredPL!A:A,FilteredPL!B:B,0,0),0)</f>
        <v>0</v>
      </c>
      <c r="P1130">
        <f>_xlfn.XLOOKUP(PartList[[#This Row],[ASSLY MARK]],MasterPL[SplitMarkNo],MasterPL[BILL WT.(KG)],0,0)</f>
        <v>0</v>
      </c>
      <c r="Q1130" cm="1">
        <f t="array" ref="Q113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31" spans="1:17" x14ac:dyDescent="0.25">
      <c r="A1131">
        <v>287</v>
      </c>
      <c r="B1131" t="s">
        <v>699</v>
      </c>
      <c r="C1131" t="s">
        <v>527</v>
      </c>
      <c r="D1131" t="s">
        <v>523</v>
      </c>
      <c r="E1131" t="s">
        <v>5</v>
      </c>
      <c r="F1131" t="str" cm="1">
        <f t="array" ref="F1131">IF(SUM(IF(PartList[ASSLY MARK]=PartList[[#This Row],[ASSLY MARK]],1,0))&gt;1,"No","Yes")</f>
        <v>Yes</v>
      </c>
      <c r="G1131" t="str" cm="1">
        <f t="array" ref="G1131">_xlfn.TEXTJOIN("_",TRUE,TRIM(_xlfn.TEXTSPLIT(PartList[[#This Row],[GRID LOCATION]],{"PR01","/","-"})))</f>
        <v>14_15_B</v>
      </c>
      <c r="H1131" t="str" cm="1">
        <f t="array" ref="H113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31" cm="1">
        <f t="array" ref="I113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31" t="str">
        <f>IF(IFERROR(SEARCH("&gt;",PartList[[#This Row],[ID]]),0),"O",IF(IFERROR(SEARCH("&lt;",PartList[[#This Row],[ID]]),0),"I",""))</f>
        <v/>
      </c>
      <c r="K1131" t="str" cm="1">
        <f t="array" ref="K11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31" t="str" cm="1">
        <f t="array" ref="L11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31" t="str">
        <f>_xlfn.TEXTJOIN("#",TRUE,PartList[[#This Row],[ASSLY MARK]],PartList[[#This Row],[BOX NO]],PartList[[#This Row],[In/Out]],PartList[[#This Row],[O1-Grid]])</f>
        <v>2BE65#Box3_Box6#InBB</v>
      </c>
      <c r="N1131" t="str">
        <f>_xlfn.TEXTJOIN("#",TRUE,PartList[[#This Row],[ASSLY MARK]],PartList[[#This Row],[BOX NO]],PartList[[#This Row],[In/Out]],PartList[[#This Row],[O2-Grid]])</f>
        <v>2BE65#Box3_Box6#InBB</v>
      </c>
      <c r="O1131">
        <f>IF(PartList[[#This Row],[Unique]]="Yes",_xlfn.XLOOKUP(PartList[[#This Row],[ASSLY MARK]],FilteredPL!A:A,FilteredPL!B:B,0,0),0)</f>
        <v>0</v>
      </c>
      <c r="P1131">
        <f>_xlfn.XLOOKUP(PartList[[#This Row],[ASSLY MARK]],MasterPL[SplitMarkNo],MasterPL[BILL WT.(KG)],0,0)</f>
        <v>0</v>
      </c>
      <c r="Q1131" cm="1">
        <f t="array" ref="Q113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32" spans="1:17" x14ac:dyDescent="0.25">
      <c r="A1132">
        <v>288</v>
      </c>
      <c r="B1132" t="s">
        <v>700</v>
      </c>
      <c r="C1132" t="s">
        <v>565</v>
      </c>
      <c r="D1132" t="s">
        <v>150</v>
      </c>
      <c r="E1132" t="s">
        <v>5</v>
      </c>
      <c r="F1132" t="str" cm="1">
        <f t="array" ref="F1132">IF(SUM(IF(PartList[ASSLY MARK]=PartList[[#This Row],[ASSLY MARK]],1,0))&gt;1,"No","Yes")</f>
        <v>Yes</v>
      </c>
      <c r="G1132" t="str" cm="1">
        <f t="array" ref="G1132">_xlfn.TEXTJOIN("_",TRUE,TRIM(_xlfn.TEXTSPLIT(PartList[[#This Row],[GRID LOCATION]],{"PR01","/","-"})))</f>
        <v>15_A_B</v>
      </c>
      <c r="H1132" t="str" cm="1">
        <f t="array" ref="H113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32" cm="1">
        <f t="array" ref="I113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32" t="str">
        <f>IF(IFERROR(SEARCH("&gt;",PartList[[#This Row],[ID]]),0),"O",IF(IFERROR(SEARCH("&lt;",PartList[[#This Row],[ID]]),0),"I",""))</f>
        <v/>
      </c>
      <c r="K1132" t="str" cm="1">
        <f t="array" ref="K11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15_A_B</v>
      </c>
      <c r="L1132" t="str" cm="1">
        <f t="array" ref="L11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32" t="str">
        <f>_xlfn.TEXTJOIN("#",TRUE,PartList[[#This Row],[ASSLY MARK]],PartList[[#This Row],[BOX NO]],PartList[[#This Row],[In/Out]],PartList[[#This Row],[O1-Grid]])</f>
        <v>2BE66#Box3#15_A_B</v>
      </c>
      <c r="N1132" t="str">
        <f>_xlfn.TEXTJOIN("#",TRUE,PartList[[#This Row],[ASSLY MARK]],PartList[[#This Row],[BOX NO]],PartList[[#This Row],[In/Out]],PartList[[#This Row],[O2-Grid]])</f>
        <v>2BE66#Box3#InB</v>
      </c>
      <c r="O1132">
        <f>IF(PartList[[#This Row],[Unique]]="Yes",_xlfn.XLOOKUP(PartList[[#This Row],[ASSLY MARK]],FilteredPL!A:A,FilteredPL!B:B,0,0),0)</f>
        <v>0</v>
      </c>
      <c r="P1132">
        <f>_xlfn.XLOOKUP(PartList[[#This Row],[ASSLY MARK]],MasterPL[SplitMarkNo],MasterPL[BILL WT.(KG)],0,0)</f>
        <v>0</v>
      </c>
      <c r="Q1132" cm="1">
        <f t="array" ref="Q113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33" spans="1:17" x14ac:dyDescent="0.25">
      <c r="A1133">
        <v>292</v>
      </c>
      <c r="B1133" t="s">
        <v>704</v>
      </c>
      <c r="C1133" t="s">
        <v>522</v>
      </c>
      <c r="D1133" t="s">
        <v>523</v>
      </c>
      <c r="E1133" t="s">
        <v>5</v>
      </c>
      <c r="F1133" t="str" cm="1">
        <f t="array" ref="F1133">IF(SUM(IF(PartList[ASSLY MARK]=PartList[[#This Row],[ASSLY MARK]],1,0))&gt;1,"No","Yes")</f>
        <v>Yes</v>
      </c>
      <c r="G1133" t="str" cm="1">
        <f t="array" ref="G1133">_xlfn.TEXTJOIN("_",TRUE,TRIM(_xlfn.TEXTSPLIT(PartList[[#This Row],[GRID LOCATION]],{"PR01","/","-"})))</f>
        <v>14_15_B&gt;</v>
      </c>
      <c r="H1133" t="str" cm="1">
        <f t="array" ref="H113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33" cm="1">
        <f t="array" ref="I113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33" t="str">
        <f>IF(IFERROR(SEARCH("&gt;",PartList[[#This Row],[ID]]),0),"O",IF(IFERROR(SEARCH("&lt;",PartList[[#This Row],[ID]]),0),"I",""))</f>
        <v>O</v>
      </c>
      <c r="K1133" t="str" cm="1">
        <f t="array" ref="K11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33" t="str" cm="1">
        <f t="array" ref="L11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33" t="str">
        <f>_xlfn.TEXTJOIN("#",TRUE,PartList[[#This Row],[ASSLY MARK]],PartList[[#This Row],[BOX NO]],PartList[[#This Row],[In/Out]],PartList[[#This Row],[O1-Grid]])</f>
        <v>2BE70#Box3_Box6#O</v>
      </c>
      <c r="N1133" t="str">
        <f>_xlfn.TEXTJOIN("#",TRUE,PartList[[#This Row],[ASSLY MARK]],PartList[[#This Row],[BOX NO]],PartList[[#This Row],[In/Out]],PartList[[#This Row],[O2-Grid]])</f>
        <v>2BE70#Box3_Box6#O</v>
      </c>
      <c r="O1133">
        <f>IF(PartList[[#This Row],[Unique]]="Yes",_xlfn.XLOOKUP(PartList[[#This Row],[ASSLY MARK]],FilteredPL!A:A,FilteredPL!B:B,0,0),0)</f>
        <v>0</v>
      </c>
      <c r="P1133">
        <f>_xlfn.XLOOKUP(PartList[[#This Row],[ASSLY MARK]],MasterPL[SplitMarkNo],MasterPL[BILL WT.(KG)],0,0)</f>
        <v>0</v>
      </c>
      <c r="Q1133" cm="1">
        <f t="array" ref="Q113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34" spans="1:17" x14ac:dyDescent="0.25">
      <c r="A1134">
        <v>338</v>
      </c>
      <c r="B1134" t="s">
        <v>714</v>
      </c>
      <c r="C1134" t="s">
        <v>522</v>
      </c>
      <c r="D1134" t="s">
        <v>715</v>
      </c>
      <c r="E1134" t="s">
        <v>6</v>
      </c>
      <c r="F1134" t="str" cm="1">
        <f t="array" ref="F1134">IF(SUM(IF(PartList[ASSLY MARK]=PartList[[#This Row],[ASSLY MARK]],1,0))&gt;1,"No","Yes")</f>
        <v>Yes</v>
      </c>
      <c r="G1134" t="str" cm="1">
        <f t="array" ref="G1134">_xlfn.TEXTJOIN("_",TRUE,TRIM(_xlfn.TEXTSPLIT(PartList[[#This Row],[GRID LOCATION]],{"PR01","/","-"})))</f>
        <v>14_15_B&gt;</v>
      </c>
      <c r="H1134" t="str" cm="1">
        <f t="array" ref="H113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34" cm="1">
        <f t="array" ref="I113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34" t="str">
        <f>IF(IFERROR(SEARCH("&gt;",PartList[[#This Row],[ID]]),0),"O",IF(IFERROR(SEARCH("&lt;",PartList[[#This Row],[ID]]),0),"I",""))</f>
        <v>O</v>
      </c>
      <c r="K1134" t="str" cm="1">
        <f t="array" ref="K11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34" t="str" cm="1">
        <f t="array" ref="L11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34" t="str">
        <f>_xlfn.TEXTJOIN("#",TRUE,PartList[[#This Row],[ASSLY MARK]],PartList[[#This Row],[BOX NO]],PartList[[#This Row],[In/Out]],PartList[[#This Row],[O1-Grid]])</f>
        <v>2HB26#Box3_Box6#O</v>
      </c>
      <c r="N1134" t="str">
        <f>_xlfn.TEXTJOIN("#",TRUE,PartList[[#This Row],[ASSLY MARK]],PartList[[#This Row],[BOX NO]],PartList[[#This Row],[In/Out]],PartList[[#This Row],[O2-Grid]])</f>
        <v>2HB26#Box3_Box6#O</v>
      </c>
      <c r="O1134">
        <f>IF(PartList[[#This Row],[Unique]]="Yes",_xlfn.XLOOKUP(PartList[[#This Row],[ASSLY MARK]],FilteredPL!A:A,FilteredPL!B:B,0,0),0)</f>
        <v>0</v>
      </c>
      <c r="P1134">
        <f>_xlfn.XLOOKUP(PartList[[#This Row],[ASSLY MARK]],MasterPL[SplitMarkNo],MasterPL[BILL WT.(KG)],0,0)</f>
        <v>0</v>
      </c>
      <c r="Q1134" cm="1">
        <f t="array" ref="Q113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35" spans="1:17" x14ac:dyDescent="0.25">
      <c r="A1135">
        <v>340</v>
      </c>
      <c r="B1135" t="s">
        <v>717</v>
      </c>
      <c r="C1135" t="s">
        <v>521</v>
      </c>
      <c r="D1135" t="s">
        <v>148</v>
      </c>
      <c r="E1135" t="s">
        <v>6</v>
      </c>
      <c r="F1135" t="str" cm="1">
        <f t="array" ref="F1135">IF(SUM(IF(PartList[ASSLY MARK]=PartList[[#This Row],[ASSLY MARK]],1,0))&gt;1,"No","Yes")</f>
        <v>Yes</v>
      </c>
      <c r="G1135" t="str" cm="1">
        <f t="array" ref="G1135">_xlfn.TEXTJOIN("_",TRUE,TRIM(_xlfn.TEXTSPLIT(PartList[[#This Row],[GRID LOCATION]],{"PR01","/","-"})))</f>
        <v>14_15_A_B</v>
      </c>
      <c r="H1135" t="str" cm="1">
        <f t="array" ref="H113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35" cm="1">
        <f t="array" ref="I113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35" t="str">
        <f>IF(IFERROR(SEARCH("&gt;",PartList[[#This Row],[ID]]),0),"O",IF(IFERROR(SEARCH("&lt;",PartList[[#This Row],[ID]]),0),"I",""))</f>
        <v/>
      </c>
      <c r="K1135" t="str" cm="1">
        <f t="array" ref="K11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35" t="str" cm="1">
        <f t="array" ref="L11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35" t="str">
        <f>_xlfn.TEXTJOIN("#",TRUE,PartList[[#This Row],[ASSLY MARK]],PartList[[#This Row],[BOX NO]],PartList[[#This Row],[In/Out]],PartList[[#This Row],[O1-Grid]])</f>
        <v>2HB28#Box3#InB</v>
      </c>
      <c r="N1135" t="str">
        <f>_xlfn.TEXTJOIN("#",TRUE,PartList[[#This Row],[ASSLY MARK]],PartList[[#This Row],[BOX NO]],PartList[[#This Row],[In/Out]],PartList[[#This Row],[O2-Grid]])</f>
        <v>2HB28#Box3#InB</v>
      </c>
      <c r="O1135">
        <f>IF(PartList[[#This Row],[Unique]]="Yes",_xlfn.XLOOKUP(PartList[[#This Row],[ASSLY MARK]],FilteredPL!A:A,FilteredPL!B:B,0,0),0)</f>
        <v>0</v>
      </c>
      <c r="P1135">
        <f>_xlfn.XLOOKUP(PartList[[#This Row],[ASSLY MARK]],MasterPL[SplitMarkNo],MasterPL[BILL WT.(KG)],0,0)</f>
        <v>0</v>
      </c>
      <c r="Q1135" cm="1">
        <f t="array" ref="Q113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36" spans="1:17" x14ac:dyDescent="0.25">
      <c r="A1136">
        <v>343</v>
      </c>
      <c r="B1136" t="s">
        <v>721</v>
      </c>
      <c r="C1136" t="s">
        <v>522</v>
      </c>
      <c r="D1136" t="s">
        <v>715</v>
      </c>
      <c r="E1136" t="s">
        <v>6</v>
      </c>
      <c r="F1136" t="str" cm="1">
        <f t="array" ref="F1136">IF(SUM(IF(PartList[ASSLY MARK]=PartList[[#This Row],[ASSLY MARK]],1,0))&gt;1,"No","Yes")</f>
        <v>Yes</v>
      </c>
      <c r="G1136" t="str" cm="1">
        <f t="array" ref="G1136">_xlfn.TEXTJOIN("_",TRUE,TRIM(_xlfn.TEXTSPLIT(PartList[[#This Row],[GRID LOCATION]],{"PR01","/","-"})))</f>
        <v>14_15_B&gt;</v>
      </c>
      <c r="H1136" t="str" cm="1">
        <f t="array" ref="H113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36" cm="1">
        <f t="array" ref="I113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36" t="str">
        <f>IF(IFERROR(SEARCH("&gt;",PartList[[#This Row],[ID]]),0),"O",IF(IFERROR(SEARCH("&lt;",PartList[[#This Row],[ID]]),0),"I",""))</f>
        <v>O</v>
      </c>
      <c r="K1136" t="str" cm="1">
        <f t="array" ref="K11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36" t="str" cm="1">
        <f t="array" ref="L11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36" t="str">
        <f>_xlfn.TEXTJOIN("#",TRUE,PartList[[#This Row],[ASSLY MARK]],PartList[[#This Row],[BOX NO]],PartList[[#This Row],[In/Out]],PartList[[#This Row],[O1-Grid]])</f>
        <v>2HB31#Box3_Box6#O</v>
      </c>
      <c r="N1136" t="str">
        <f>_xlfn.TEXTJOIN("#",TRUE,PartList[[#This Row],[ASSLY MARK]],PartList[[#This Row],[BOX NO]],PartList[[#This Row],[In/Out]],PartList[[#This Row],[O2-Grid]])</f>
        <v>2HB31#Box3_Box6#O</v>
      </c>
      <c r="O1136">
        <f>IF(PartList[[#This Row],[Unique]]="Yes",_xlfn.XLOOKUP(PartList[[#This Row],[ASSLY MARK]],FilteredPL!A:A,FilteredPL!B:B,0,0),0)</f>
        <v>0</v>
      </c>
      <c r="P1136">
        <f>_xlfn.XLOOKUP(PartList[[#This Row],[ASSLY MARK]],MasterPL[SplitMarkNo],MasterPL[BILL WT.(KG)],0,0)</f>
        <v>0</v>
      </c>
      <c r="Q1136" cm="1">
        <f t="array" ref="Q113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37" spans="1:17" x14ac:dyDescent="0.25">
      <c r="A1137">
        <v>348</v>
      </c>
      <c r="B1137" t="s">
        <v>724</v>
      </c>
      <c r="C1137" t="s">
        <v>527</v>
      </c>
      <c r="D1137" t="s">
        <v>523</v>
      </c>
      <c r="E1137" t="s">
        <v>645</v>
      </c>
      <c r="F1137" t="str" cm="1">
        <f t="array" ref="F1137">IF(SUM(IF(PartList[ASSLY MARK]=PartList[[#This Row],[ASSLY MARK]],1,0))&gt;1,"No","Yes")</f>
        <v>Yes</v>
      </c>
      <c r="G1137" t="str" cm="1">
        <f t="array" ref="G1137">_xlfn.TEXTJOIN("_",TRUE,TRIM(_xlfn.TEXTSPLIT(PartList[[#This Row],[GRID LOCATION]],{"PR01","/","-"})))</f>
        <v>14_15_B</v>
      </c>
      <c r="H1137" t="str" cm="1">
        <f t="array" ref="H113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37" cm="1">
        <f t="array" ref="I113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37" t="str">
        <f>IF(IFERROR(SEARCH("&gt;",PartList[[#This Row],[ID]]),0),"O",IF(IFERROR(SEARCH("&lt;",PartList[[#This Row],[ID]]),0),"I",""))</f>
        <v/>
      </c>
      <c r="K1137" t="str" cm="1">
        <f t="array" ref="K11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37" t="str" cm="1">
        <f t="array" ref="L11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37" t="str">
        <f>_xlfn.TEXTJOIN("#",TRUE,PartList[[#This Row],[ASSLY MARK]],PartList[[#This Row],[BOX NO]],PartList[[#This Row],[In/Out]],PartList[[#This Row],[O1-Grid]])</f>
        <v>2SC05#Box3_Box6#InBB</v>
      </c>
      <c r="N1137" t="str">
        <f>_xlfn.TEXTJOIN("#",TRUE,PartList[[#This Row],[ASSLY MARK]],PartList[[#This Row],[BOX NO]],PartList[[#This Row],[In/Out]],PartList[[#This Row],[O2-Grid]])</f>
        <v>2SC05#Box3_Box6#InBB</v>
      </c>
      <c r="O1137">
        <f>IF(PartList[[#This Row],[Unique]]="Yes",_xlfn.XLOOKUP(PartList[[#This Row],[ASSLY MARK]],FilteredPL!A:A,FilteredPL!B:B,0,0),0)</f>
        <v>0</v>
      </c>
      <c r="P1137">
        <f>_xlfn.XLOOKUP(PartList[[#This Row],[ASSLY MARK]],MasterPL[SplitMarkNo],MasterPL[BILL WT.(KG)],0,0)</f>
        <v>0</v>
      </c>
      <c r="Q1137" cm="1">
        <f t="array" ref="Q113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38" spans="1:17" x14ac:dyDescent="0.25">
      <c r="A1138">
        <v>364</v>
      </c>
      <c r="B1138" t="s">
        <v>218</v>
      </c>
      <c r="C1138" t="s">
        <v>525</v>
      </c>
      <c r="D1138" t="s">
        <v>725</v>
      </c>
      <c r="E1138" t="s">
        <v>5</v>
      </c>
      <c r="F1138" t="str" cm="1">
        <f t="array" ref="F1138">IF(SUM(IF(PartList[ASSLY MARK]=PartList[[#This Row],[ASSLY MARK]],1,0))&gt;1,"No","Yes")</f>
        <v>Yes</v>
      </c>
      <c r="G1138" t="str" cm="1">
        <f t="array" ref="G1138">_xlfn.TEXTJOIN("_",TRUE,TRIM(_xlfn.TEXTSPLIT(PartList[[#This Row],[GRID LOCATION]],{"PR01","/","-"})))</f>
        <v>15&gt;_B</v>
      </c>
      <c r="H1138" t="str" cm="1">
        <f t="array" ref="H113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38" cm="1">
        <f t="array" ref="I113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38" t="str">
        <f>IF(IFERROR(SEARCH("&gt;",PartList[[#This Row],[ID]]),0),"O",IF(IFERROR(SEARCH("&lt;",PartList[[#This Row],[ID]]),0),"I",""))</f>
        <v>O</v>
      </c>
      <c r="K1138" t="str" cm="1">
        <f t="array" ref="K11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38" t="str" cm="1">
        <f t="array" ref="L11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38" t="str">
        <f>_xlfn.TEXTJOIN("#",TRUE,PartList[[#This Row],[ASSLY MARK]],PartList[[#This Row],[BOX NO]],PartList[[#This Row],[In/Out]],PartList[[#This Row],[O1-Grid]])</f>
        <v>3BE11#Box3#O</v>
      </c>
      <c r="N1138" t="str">
        <f>_xlfn.TEXTJOIN("#",TRUE,PartList[[#This Row],[ASSLY MARK]],PartList[[#This Row],[BOX NO]],PartList[[#This Row],[In/Out]],PartList[[#This Row],[O2-Grid]])</f>
        <v>3BE11#Box3#O</v>
      </c>
      <c r="O1138">
        <f>IF(PartList[[#This Row],[Unique]]="Yes",_xlfn.XLOOKUP(PartList[[#This Row],[ASSLY MARK]],FilteredPL!A:A,FilteredPL!B:B,0,0),0)</f>
        <v>0</v>
      </c>
      <c r="P1138">
        <f>_xlfn.XLOOKUP(PartList[[#This Row],[ASSLY MARK]],MasterPL[SplitMarkNo],MasterPL[BILL WT.(KG)],0,0)</f>
        <v>0</v>
      </c>
      <c r="Q1138" cm="1">
        <f t="array" ref="Q113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39" spans="1:17" x14ac:dyDescent="0.25">
      <c r="A1139">
        <v>403</v>
      </c>
      <c r="B1139" t="s">
        <v>255</v>
      </c>
      <c r="C1139" t="s">
        <v>727</v>
      </c>
      <c r="D1139" t="s">
        <v>725</v>
      </c>
      <c r="E1139" t="s">
        <v>5</v>
      </c>
      <c r="F1139" t="str" cm="1">
        <f t="array" ref="F1139">IF(SUM(IF(PartList[ASSLY MARK]=PartList[[#This Row],[ASSLY MARK]],1,0))&gt;1,"No","Yes")</f>
        <v>Yes</v>
      </c>
      <c r="G1139" t="str" cm="1">
        <f t="array" ref="G1139">_xlfn.TEXTJOIN("_",TRUE,TRIM(_xlfn.TEXTSPLIT(PartList[[#This Row],[GRID LOCATION]],{"PR01","/","-"})))</f>
        <v>15&gt;_A_B</v>
      </c>
      <c r="H1139" t="str" cm="1">
        <f t="array" ref="H113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39" cm="1">
        <f t="array" ref="I113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39" t="str">
        <f>IF(IFERROR(SEARCH("&gt;",PartList[[#This Row],[ID]]),0),"O",IF(IFERROR(SEARCH("&lt;",PartList[[#This Row],[ID]]),0),"I",""))</f>
        <v>O</v>
      </c>
      <c r="K1139" t="str" cm="1">
        <f t="array" ref="K11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39" t="str" cm="1">
        <f t="array" ref="L11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39" t="str">
        <f>_xlfn.TEXTJOIN("#",TRUE,PartList[[#This Row],[ASSLY MARK]],PartList[[#This Row],[BOX NO]],PartList[[#This Row],[In/Out]],PartList[[#This Row],[O1-Grid]])</f>
        <v>3BE45#Box3#O</v>
      </c>
      <c r="N1139" t="str">
        <f>_xlfn.TEXTJOIN("#",TRUE,PartList[[#This Row],[ASSLY MARK]],PartList[[#This Row],[BOX NO]],PartList[[#This Row],[In/Out]],PartList[[#This Row],[O2-Grid]])</f>
        <v>3BE45#Box3#O</v>
      </c>
      <c r="O1139">
        <f>IF(PartList[[#This Row],[Unique]]="Yes",_xlfn.XLOOKUP(PartList[[#This Row],[ASSLY MARK]],FilteredPL!A:A,FilteredPL!B:B,0,0),0)</f>
        <v>0</v>
      </c>
      <c r="P1139">
        <f>_xlfn.XLOOKUP(PartList[[#This Row],[ASSLY MARK]],MasterPL[SplitMarkNo],MasterPL[BILL WT.(KG)],0,0)</f>
        <v>0</v>
      </c>
      <c r="Q1139" cm="1">
        <f t="array" ref="Q113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40" spans="1:17" x14ac:dyDescent="0.25">
      <c r="A1140">
        <v>419</v>
      </c>
      <c r="B1140" t="s">
        <v>271</v>
      </c>
      <c r="C1140" t="s">
        <v>526</v>
      </c>
      <c r="D1140" t="s">
        <v>725</v>
      </c>
      <c r="E1140" t="s">
        <v>5</v>
      </c>
      <c r="F1140" t="str" cm="1">
        <f t="array" ref="F1140">IF(SUM(IF(PartList[ASSLY MARK]=PartList[[#This Row],[ASSLY MARK]],1,0))&gt;1,"No","Yes")</f>
        <v>Yes</v>
      </c>
      <c r="G1140" t="str" cm="1">
        <f t="array" ref="G1140">_xlfn.TEXTJOIN("_",TRUE,TRIM(_xlfn.TEXTSPLIT(PartList[[#This Row],[GRID LOCATION]],{"PR01","/","-"})))</f>
        <v>14_15_A</v>
      </c>
      <c r="H1140" t="str" cm="1">
        <f t="array" ref="H114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40" cm="1">
        <f t="array" ref="I114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40" t="str">
        <f>IF(IFERROR(SEARCH("&gt;",PartList[[#This Row],[ID]]),0),"O",IF(IFERROR(SEARCH("&lt;",PartList[[#This Row],[ID]]),0),"I",""))</f>
        <v/>
      </c>
      <c r="K1140" t="str" cm="1">
        <f t="array" ref="K11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40" t="str" cm="1">
        <f t="array" ref="L11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40" t="str">
        <f>_xlfn.TEXTJOIN("#",TRUE,PartList[[#This Row],[ASSLY MARK]],PartList[[#This Row],[BOX NO]],PartList[[#This Row],[In/Out]],PartList[[#This Row],[O1-Grid]])</f>
        <v>3BE61#Box3_Box6#InBB</v>
      </c>
      <c r="N1140" t="str">
        <f>_xlfn.TEXTJOIN("#",TRUE,PartList[[#This Row],[ASSLY MARK]],PartList[[#This Row],[BOX NO]],PartList[[#This Row],[In/Out]],PartList[[#This Row],[O2-Grid]])</f>
        <v>3BE61#Box3_Box6#InBB</v>
      </c>
      <c r="O1140">
        <f>IF(PartList[[#This Row],[Unique]]="Yes",_xlfn.XLOOKUP(PartList[[#This Row],[ASSLY MARK]],FilteredPL!A:A,FilteredPL!B:B,0,0),0)</f>
        <v>0</v>
      </c>
      <c r="P1140">
        <f>_xlfn.XLOOKUP(PartList[[#This Row],[ASSLY MARK]],MasterPL[SplitMarkNo],MasterPL[BILL WT.(KG)],0,0)</f>
        <v>0</v>
      </c>
      <c r="Q1140" cm="1">
        <f t="array" ref="Q114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41" spans="1:17" x14ac:dyDescent="0.25">
      <c r="A1141">
        <v>420</v>
      </c>
      <c r="B1141" t="s">
        <v>272</v>
      </c>
      <c r="C1141" t="s">
        <v>527</v>
      </c>
      <c r="D1141" t="s">
        <v>725</v>
      </c>
      <c r="E1141" t="s">
        <v>5</v>
      </c>
      <c r="F1141" t="str" cm="1">
        <f t="array" ref="F1141">IF(SUM(IF(PartList[ASSLY MARK]=PartList[[#This Row],[ASSLY MARK]],1,0))&gt;1,"No","Yes")</f>
        <v>Yes</v>
      </c>
      <c r="G1141" t="str" cm="1">
        <f t="array" ref="G1141">_xlfn.TEXTJOIN("_",TRUE,TRIM(_xlfn.TEXTSPLIT(PartList[[#This Row],[GRID LOCATION]],{"PR01","/","-"})))</f>
        <v>14_15_B</v>
      </c>
      <c r="H1141" t="str" cm="1">
        <f t="array" ref="H114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41" cm="1">
        <f t="array" ref="I114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41" t="str">
        <f>IF(IFERROR(SEARCH("&gt;",PartList[[#This Row],[ID]]),0),"O",IF(IFERROR(SEARCH("&lt;",PartList[[#This Row],[ID]]),0),"I",""))</f>
        <v/>
      </c>
      <c r="K1141" t="str" cm="1">
        <f t="array" ref="K11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41" t="str" cm="1">
        <f t="array" ref="L11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41" t="str">
        <f>_xlfn.TEXTJOIN("#",TRUE,PartList[[#This Row],[ASSLY MARK]],PartList[[#This Row],[BOX NO]],PartList[[#This Row],[In/Out]],PartList[[#This Row],[O1-Grid]])</f>
        <v>3BE62#Box3_Box6#InBB</v>
      </c>
      <c r="N1141" t="str">
        <f>_xlfn.TEXTJOIN("#",TRUE,PartList[[#This Row],[ASSLY MARK]],PartList[[#This Row],[BOX NO]],PartList[[#This Row],[In/Out]],PartList[[#This Row],[O2-Grid]])</f>
        <v>3BE62#Box3_Box6#InBB</v>
      </c>
      <c r="O1141">
        <f>IF(PartList[[#This Row],[Unique]]="Yes",_xlfn.XLOOKUP(PartList[[#This Row],[ASSLY MARK]],FilteredPL!A:A,FilteredPL!B:B,0,0),0)</f>
        <v>0</v>
      </c>
      <c r="P1141">
        <f>_xlfn.XLOOKUP(PartList[[#This Row],[ASSLY MARK]],MasterPL[SplitMarkNo],MasterPL[BILL WT.(KG)],0,0)</f>
        <v>0</v>
      </c>
      <c r="Q1141" cm="1">
        <f t="array" ref="Q114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42" spans="1:17" x14ac:dyDescent="0.25">
      <c r="A1142">
        <v>421</v>
      </c>
      <c r="B1142" t="s">
        <v>273</v>
      </c>
      <c r="C1142" t="s">
        <v>565</v>
      </c>
      <c r="D1142" t="s">
        <v>725</v>
      </c>
      <c r="E1142" t="s">
        <v>5</v>
      </c>
      <c r="F1142" t="str" cm="1">
        <f t="array" ref="F1142">IF(SUM(IF(PartList[ASSLY MARK]=PartList[[#This Row],[ASSLY MARK]],1,0))&gt;1,"No","Yes")</f>
        <v>Yes</v>
      </c>
      <c r="G1142" t="str" cm="1">
        <f t="array" ref="G1142">_xlfn.TEXTJOIN("_",TRUE,TRIM(_xlfn.TEXTSPLIT(PartList[[#This Row],[GRID LOCATION]],{"PR01","/","-"})))</f>
        <v>15_A_B</v>
      </c>
      <c r="H1142" t="str" cm="1">
        <f t="array" ref="H114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42" cm="1">
        <f t="array" ref="I114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42" t="str">
        <f>IF(IFERROR(SEARCH("&gt;",PartList[[#This Row],[ID]]),0),"O",IF(IFERROR(SEARCH("&lt;",PartList[[#This Row],[ID]]),0),"I",""))</f>
        <v/>
      </c>
      <c r="K1142" t="str" cm="1">
        <f t="array" ref="K11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15_A_B</v>
      </c>
      <c r="L1142" t="str" cm="1">
        <f t="array" ref="L11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42" t="str">
        <f>_xlfn.TEXTJOIN("#",TRUE,PartList[[#This Row],[ASSLY MARK]],PartList[[#This Row],[BOX NO]],PartList[[#This Row],[In/Out]],PartList[[#This Row],[O1-Grid]])</f>
        <v>3BE63#Box3#15_A_B</v>
      </c>
      <c r="N1142" t="str">
        <f>_xlfn.TEXTJOIN("#",TRUE,PartList[[#This Row],[ASSLY MARK]],PartList[[#This Row],[BOX NO]],PartList[[#This Row],[In/Out]],PartList[[#This Row],[O2-Grid]])</f>
        <v>3BE63#Box3#InB</v>
      </c>
      <c r="O1142">
        <f>IF(PartList[[#This Row],[Unique]]="Yes",_xlfn.XLOOKUP(PartList[[#This Row],[ASSLY MARK]],FilteredPL!A:A,FilteredPL!B:B,0,0),0)</f>
        <v>0</v>
      </c>
      <c r="P1142">
        <f>_xlfn.XLOOKUP(PartList[[#This Row],[ASSLY MARK]],MasterPL[SplitMarkNo],MasterPL[BILL WT.(KG)],0,0)</f>
        <v>0</v>
      </c>
      <c r="Q1142" cm="1">
        <f t="array" ref="Q114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43" spans="1:17" x14ac:dyDescent="0.25">
      <c r="A1143">
        <v>422</v>
      </c>
      <c r="B1143" t="s">
        <v>274</v>
      </c>
      <c r="C1143" t="s">
        <v>727</v>
      </c>
      <c r="D1143" t="s">
        <v>725</v>
      </c>
      <c r="E1143" t="s">
        <v>5</v>
      </c>
      <c r="F1143" t="str" cm="1">
        <f t="array" ref="F1143">IF(SUM(IF(PartList[ASSLY MARK]=PartList[[#This Row],[ASSLY MARK]],1,0))&gt;1,"No","Yes")</f>
        <v>No</v>
      </c>
      <c r="G1143" t="str" cm="1">
        <f t="array" ref="G1143">_xlfn.TEXTJOIN("_",TRUE,TRIM(_xlfn.TEXTSPLIT(PartList[[#This Row],[GRID LOCATION]],{"PR01","/","-"})))</f>
        <v>15&gt;_A_B</v>
      </c>
      <c r="H1143" t="str" cm="1">
        <f t="array" ref="H114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43" cm="1">
        <f t="array" ref="I114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43" t="str">
        <f>IF(IFERROR(SEARCH("&gt;",PartList[[#This Row],[ID]]),0),"O",IF(IFERROR(SEARCH("&lt;",PartList[[#This Row],[ID]]),0),"I",""))</f>
        <v>O</v>
      </c>
      <c r="K1143" t="str" cm="1">
        <f t="array" ref="K11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43" t="str" cm="1">
        <f t="array" ref="L11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43" t="str">
        <f>_xlfn.TEXTJOIN("#",TRUE,PartList[[#This Row],[ASSLY MARK]],PartList[[#This Row],[BOX NO]],PartList[[#This Row],[In/Out]],PartList[[#This Row],[O1-Grid]])</f>
        <v>3BE64#Box3#O</v>
      </c>
      <c r="N1143" t="str">
        <f>_xlfn.TEXTJOIN("#",TRUE,PartList[[#This Row],[ASSLY MARK]],PartList[[#This Row],[BOX NO]],PartList[[#This Row],[In/Out]],PartList[[#This Row],[O2-Grid]])</f>
        <v>3BE64#Box3#O</v>
      </c>
      <c r="O1143">
        <f>IF(PartList[[#This Row],[Unique]]="Yes",_xlfn.XLOOKUP(PartList[[#This Row],[ASSLY MARK]],FilteredPL!A:A,FilteredPL!B:B,0,0),0)</f>
        <v>0</v>
      </c>
      <c r="P1143">
        <f>_xlfn.XLOOKUP(PartList[[#This Row],[ASSLY MARK]],MasterPL[SplitMarkNo],MasterPL[BILL WT.(KG)],0,0)</f>
        <v>0</v>
      </c>
      <c r="Q1143" cm="1">
        <f t="array" ref="Q114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44" spans="1:17" x14ac:dyDescent="0.25">
      <c r="A1144">
        <v>423</v>
      </c>
      <c r="B1144" t="s">
        <v>274</v>
      </c>
      <c r="C1144" t="s">
        <v>727</v>
      </c>
      <c r="D1144" t="s">
        <v>725</v>
      </c>
      <c r="E1144" t="s">
        <v>5</v>
      </c>
      <c r="F1144" t="str" cm="1">
        <f t="array" ref="F1144">IF(SUM(IF(PartList[ASSLY MARK]=PartList[[#This Row],[ASSLY MARK]],1,0))&gt;1,"No","Yes")</f>
        <v>No</v>
      </c>
      <c r="G1144" t="str" cm="1">
        <f t="array" ref="G1144">_xlfn.TEXTJOIN("_",TRUE,TRIM(_xlfn.TEXTSPLIT(PartList[[#This Row],[GRID LOCATION]],{"PR01","/","-"})))</f>
        <v>15&gt;_A_B</v>
      </c>
      <c r="H1144" t="str" cm="1">
        <f t="array" ref="H114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44" cm="1">
        <f t="array" ref="I114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44" t="str">
        <f>IF(IFERROR(SEARCH("&gt;",PartList[[#This Row],[ID]]),0),"O",IF(IFERROR(SEARCH("&lt;",PartList[[#This Row],[ID]]),0),"I",""))</f>
        <v>O</v>
      </c>
      <c r="K1144" t="str" cm="1">
        <f t="array" ref="K11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44" t="str" cm="1">
        <f t="array" ref="L11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44" t="str">
        <f>_xlfn.TEXTJOIN("#",TRUE,PartList[[#This Row],[ASSLY MARK]],PartList[[#This Row],[BOX NO]],PartList[[#This Row],[In/Out]],PartList[[#This Row],[O1-Grid]])</f>
        <v>3BE64#Box3#O</v>
      </c>
      <c r="N1144" t="str">
        <f>_xlfn.TEXTJOIN("#",TRUE,PartList[[#This Row],[ASSLY MARK]],PartList[[#This Row],[BOX NO]],PartList[[#This Row],[In/Out]],PartList[[#This Row],[O2-Grid]])</f>
        <v>3BE64#Box3#O</v>
      </c>
      <c r="O1144">
        <f>IF(PartList[[#This Row],[Unique]]="Yes",_xlfn.XLOOKUP(PartList[[#This Row],[ASSLY MARK]],FilteredPL!A:A,FilteredPL!B:B,0,0),0)</f>
        <v>0</v>
      </c>
      <c r="P1144">
        <f>_xlfn.XLOOKUP(PartList[[#This Row],[ASSLY MARK]],MasterPL[SplitMarkNo],MasterPL[BILL WT.(KG)],0,0)</f>
        <v>0</v>
      </c>
      <c r="Q1144" cm="1">
        <f t="array" ref="Q114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45" spans="1:17" x14ac:dyDescent="0.25">
      <c r="A1145">
        <v>424</v>
      </c>
      <c r="B1145" t="s">
        <v>274</v>
      </c>
      <c r="C1145" t="s">
        <v>727</v>
      </c>
      <c r="D1145" t="s">
        <v>725</v>
      </c>
      <c r="E1145" t="s">
        <v>5</v>
      </c>
      <c r="F1145" t="str" cm="1">
        <f t="array" ref="F1145">IF(SUM(IF(PartList[ASSLY MARK]=PartList[[#This Row],[ASSLY MARK]],1,0))&gt;1,"No","Yes")</f>
        <v>No</v>
      </c>
      <c r="G1145" t="str" cm="1">
        <f t="array" ref="G1145">_xlfn.TEXTJOIN("_",TRUE,TRIM(_xlfn.TEXTSPLIT(PartList[[#This Row],[GRID LOCATION]],{"PR01","/","-"})))</f>
        <v>15&gt;_A_B</v>
      </c>
      <c r="H1145" t="str" cm="1">
        <f t="array" ref="H114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45" cm="1">
        <f t="array" ref="I114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45" t="str">
        <f>IF(IFERROR(SEARCH("&gt;",PartList[[#This Row],[ID]]),0),"O",IF(IFERROR(SEARCH("&lt;",PartList[[#This Row],[ID]]),0),"I",""))</f>
        <v>O</v>
      </c>
      <c r="K1145" t="str" cm="1">
        <f t="array" ref="K11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45" t="str" cm="1">
        <f t="array" ref="L11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45" t="str">
        <f>_xlfn.TEXTJOIN("#",TRUE,PartList[[#This Row],[ASSLY MARK]],PartList[[#This Row],[BOX NO]],PartList[[#This Row],[In/Out]],PartList[[#This Row],[O1-Grid]])</f>
        <v>3BE64#Box3#O</v>
      </c>
      <c r="N1145" t="str">
        <f>_xlfn.TEXTJOIN("#",TRUE,PartList[[#This Row],[ASSLY MARK]],PartList[[#This Row],[BOX NO]],PartList[[#This Row],[In/Out]],PartList[[#This Row],[O2-Grid]])</f>
        <v>3BE64#Box3#O</v>
      </c>
      <c r="O1145">
        <f>IF(PartList[[#This Row],[Unique]]="Yes",_xlfn.XLOOKUP(PartList[[#This Row],[ASSLY MARK]],FilteredPL!A:A,FilteredPL!B:B,0,0),0)</f>
        <v>0</v>
      </c>
      <c r="P1145">
        <f>_xlfn.XLOOKUP(PartList[[#This Row],[ASSLY MARK]],MasterPL[SplitMarkNo],MasterPL[BILL WT.(KG)],0,0)</f>
        <v>0</v>
      </c>
      <c r="Q1145" cm="1">
        <f t="array" ref="Q114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46" spans="1:17" x14ac:dyDescent="0.25">
      <c r="A1146">
        <v>425</v>
      </c>
      <c r="B1146" t="s">
        <v>275</v>
      </c>
      <c r="C1146" t="s">
        <v>729</v>
      </c>
      <c r="D1146" t="s">
        <v>725</v>
      </c>
      <c r="E1146" t="s">
        <v>5</v>
      </c>
      <c r="F1146" t="str" cm="1">
        <f t="array" ref="F1146">IF(SUM(IF(PartList[ASSLY MARK]=PartList[[#This Row],[ASSLY MARK]],1,0))&gt;1,"No","Yes")</f>
        <v>Yes</v>
      </c>
      <c r="G1146" t="str" cm="1">
        <f t="array" ref="G1146">_xlfn.TEXTJOIN("_",TRUE,TRIM(_xlfn.TEXTSPLIT(PartList[[#This Row],[GRID LOCATION]],{"PR01","/","-"})))</f>
        <v>15&gt;_A</v>
      </c>
      <c r="H1146" t="str" cm="1">
        <f t="array" ref="H114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46" cm="1">
        <f t="array" ref="I114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46" t="str">
        <f>IF(IFERROR(SEARCH("&gt;",PartList[[#This Row],[ID]]),0),"O",IF(IFERROR(SEARCH("&lt;",PartList[[#This Row],[ID]]),0),"I",""))</f>
        <v>O</v>
      </c>
      <c r="K1146" t="str" cm="1">
        <f t="array" ref="K11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46" t="str" cm="1">
        <f t="array" ref="L11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46" t="str">
        <f>_xlfn.TEXTJOIN("#",TRUE,PartList[[#This Row],[ASSLY MARK]],PartList[[#This Row],[BOX NO]],PartList[[#This Row],[In/Out]],PartList[[#This Row],[O1-Grid]])</f>
        <v>3BE65#Box3#O</v>
      </c>
      <c r="N1146" t="str">
        <f>_xlfn.TEXTJOIN("#",TRUE,PartList[[#This Row],[ASSLY MARK]],PartList[[#This Row],[BOX NO]],PartList[[#This Row],[In/Out]],PartList[[#This Row],[O2-Grid]])</f>
        <v>3BE65#Box3#O</v>
      </c>
      <c r="O1146">
        <f>IF(PartList[[#This Row],[Unique]]="Yes",_xlfn.XLOOKUP(PartList[[#This Row],[ASSLY MARK]],FilteredPL!A:A,FilteredPL!B:B,0,0),0)</f>
        <v>0</v>
      </c>
      <c r="P1146">
        <f>_xlfn.XLOOKUP(PartList[[#This Row],[ASSLY MARK]],MasterPL[SplitMarkNo],MasterPL[BILL WT.(KG)],0,0)</f>
        <v>0</v>
      </c>
      <c r="Q1146" cm="1">
        <f t="array" ref="Q114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47" spans="1:17" x14ac:dyDescent="0.25">
      <c r="A1147">
        <v>459</v>
      </c>
      <c r="B1147" t="s">
        <v>295</v>
      </c>
      <c r="C1147" t="s">
        <v>727</v>
      </c>
      <c r="D1147" t="s">
        <v>733</v>
      </c>
      <c r="E1147" t="s">
        <v>6</v>
      </c>
      <c r="F1147" t="str" cm="1">
        <f t="array" ref="F1147">IF(SUM(IF(PartList[ASSLY MARK]=PartList[[#This Row],[ASSLY MARK]],1,0))&gt;1,"No","Yes")</f>
        <v>No</v>
      </c>
      <c r="G1147" t="str" cm="1">
        <f t="array" ref="G1147">_xlfn.TEXTJOIN("_",TRUE,TRIM(_xlfn.TEXTSPLIT(PartList[[#This Row],[GRID LOCATION]],{"PR01","/","-"})))</f>
        <v>15&gt;_A_B</v>
      </c>
      <c r="H1147" t="str" cm="1">
        <f t="array" ref="H114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47" cm="1">
        <f t="array" ref="I114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47" t="str">
        <f>IF(IFERROR(SEARCH("&gt;",PartList[[#This Row],[ID]]),0),"O",IF(IFERROR(SEARCH("&lt;",PartList[[#This Row],[ID]]),0),"I",""))</f>
        <v>O</v>
      </c>
      <c r="K1147" t="str" cm="1">
        <f t="array" ref="K11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47" t="str" cm="1">
        <f t="array" ref="L11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47" t="str">
        <f>_xlfn.TEXTJOIN("#",TRUE,PartList[[#This Row],[ASSLY MARK]],PartList[[#This Row],[BOX NO]],PartList[[#This Row],[In/Out]],PartList[[#This Row],[O1-Grid]])</f>
        <v>3HB19#Box3#O</v>
      </c>
      <c r="N1147" t="str">
        <f>_xlfn.TEXTJOIN("#",TRUE,PartList[[#This Row],[ASSLY MARK]],PartList[[#This Row],[BOX NO]],PartList[[#This Row],[In/Out]],PartList[[#This Row],[O2-Grid]])</f>
        <v>3HB19#Box3#O</v>
      </c>
      <c r="O1147">
        <f>IF(PartList[[#This Row],[Unique]]="Yes",_xlfn.XLOOKUP(PartList[[#This Row],[ASSLY MARK]],FilteredPL!A:A,FilteredPL!B:B,0,0),0)</f>
        <v>0</v>
      </c>
      <c r="P1147">
        <f>_xlfn.XLOOKUP(PartList[[#This Row],[ASSLY MARK]],MasterPL[SplitMarkNo],MasterPL[BILL WT.(KG)],0,0)</f>
        <v>0</v>
      </c>
      <c r="Q1147" cm="1">
        <f t="array" ref="Q114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48" spans="1:17" x14ac:dyDescent="0.25">
      <c r="A1148">
        <v>460</v>
      </c>
      <c r="B1148" t="s">
        <v>295</v>
      </c>
      <c r="C1148" t="s">
        <v>727</v>
      </c>
      <c r="D1148" t="s">
        <v>733</v>
      </c>
      <c r="E1148" t="s">
        <v>6</v>
      </c>
      <c r="F1148" t="str" cm="1">
        <f t="array" ref="F1148">IF(SUM(IF(PartList[ASSLY MARK]=PartList[[#This Row],[ASSLY MARK]],1,0))&gt;1,"No","Yes")</f>
        <v>No</v>
      </c>
      <c r="G1148" t="str" cm="1">
        <f t="array" ref="G1148">_xlfn.TEXTJOIN("_",TRUE,TRIM(_xlfn.TEXTSPLIT(PartList[[#This Row],[GRID LOCATION]],{"PR01","/","-"})))</f>
        <v>15&gt;_A_B</v>
      </c>
      <c r="H1148" t="str" cm="1">
        <f t="array" ref="H114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48" cm="1">
        <f t="array" ref="I114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48" t="str">
        <f>IF(IFERROR(SEARCH("&gt;",PartList[[#This Row],[ID]]),0),"O",IF(IFERROR(SEARCH("&lt;",PartList[[#This Row],[ID]]),0),"I",""))</f>
        <v>O</v>
      </c>
      <c r="K1148" t="str" cm="1">
        <f t="array" ref="K11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48" t="str" cm="1">
        <f t="array" ref="L11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48" t="str">
        <f>_xlfn.TEXTJOIN("#",TRUE,PartList[[#This Row],[ASSLY MARK]],PartList[[#This Row],[BOX NO]],PartList[[#This Row],[In/Out]],PartList[[#This Row],[O1-Grid]])</f>
        <v>3HB19#Box3#O</v>
      </c>
      <c r="N1148" t="str">
        <f>_xlfn.TEXTJOIN("#",TRUE,PartList[[#This Row],[ASSLY MARK]],PartList[[#This Row],[BOX NO]],PartList[[#This Row],[In/Out]],PartList[[#This Row],[O2-Grid]])</f>
        <v>3HB19#Box3#O</v>
      </c>
      <c r="O1148">
        <f>IF(PartList[[#This Row],[Unique]]="Yes",_xlfn.XLOOKUP(PartList[[#This Row],[ASSLY MARK]],FilteredPL!A:A,FilteredPL!B:B,0,0),0)</f>
        <v>0</v>
      </c>
      <c r="P1148">
        <f>_xlfn.XLOOKUP(PartList[[#This Row],[ASSLY MARK]],MasterPL[SplitMarkNo],MasterPL[BILL WT.(KG)],0,0)</f>
        <v>0</v>
      </c>
      <c r="Q1148" cm="1">
        <f t="array" ref="Q114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49" spans="1:17" x14ac:dyDescent="0.25">
      <c r="A1149">
        <v>461</v>
      </c>
      <c r="B1149" t="s">
        <v>296</v>
      </c>
      <c r="C1149" t="s">
        <v>727</v>
      </c>
      <c r="D1149" t="s">
        <v>733</v>
      </c>
      <c r="E1149" t="s">
        <v>6</v>
      </c>
      <c r="F1149" t="str" cm="1">
        <f t="array" ref="F1149">IF(SUM(IF(PartList[ASSLY MARK]=PartList[[#This Row],[ASSLY MARK]],1,0))&gt;1,"No","Yes")</f>
        <v>No</v>
      </c>
      <c r="G1149" t="str" cm="1">
        <f t="array" ref="G1149">_xlfn.TEXTJOIN("_",TRUE,TRIM(_xlfn.TEXTSPLIT(PartList[[#This Row],[GRID LOCATION]],{"PR01","/","-"})))</f>
        <v>15&gt;_A_B</v>
      </c>
      <c r="H1149" t="str" cm="1">
        <f t="array" ref="H114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49" cm="1">
        <f t="array" ref="I114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49" t="str">
        <f>IF(IFERROR(SEARCH("&gt;",PartList[[#This Row],[ID]]),0),"O",IF(IFERROR(SEARCH("&lt;",PartList[[#This Row],[ID]]),0),"I",""))</f>
        <v>O</v>
      </c>
      <c r="K1149" t="str" cm="1">
        <f t="array" ref="K11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49" t="str" cm="1">
        <f t="array" ref="L11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49" t="str">
        <f>_xlfn.TEXTJOIN("#",TRUE,PartList[[#This Row],[ASSLY MARK]],PartList[[#This Row],[BOX NO]],PartList[[#This Row],[In/Out]],PartList[[#This Row],[O1-Grid]])</f>
        <v>3HB20#Box3#O</v>
      </c>
      <c r="N1149" t="str">
        <f>_xlfn.TEXTJOIN("#",TRUE,PartList[[#This Row],[ASSLY MARK]],PartList[[#This Row],[BOX NO]],PartList[[#This Row],[In/Out]],PartList[[#This Row],[O2-Grid]])</f>
        <v>3HB20#Box3#O</v>
      </c>
      <c r="O1149">
        <f>IF(PartList[[#This Row],[Unique]]="Yes",_xlfn.XLOOKUP(PartList[[#This Row],[ASSLY MARK]],FilteredPL!A:A,FilteredPL!B:B,0,0),0)</f>
        <v>0</v>
      </c>
      <c r="P1149">
        <f>_xlfn.XLOOKUP(PartList[[#This Row],[ASSLY MARK]],MasterPL[SplitMarkNo],MasterPL[BILL WT.(KG)],0,0)</f>
        <v>0</v>
      </c>
      <c r="Q1149" cm="1">
        <f t="array" ref="Q114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50" spans="1:17" x14ac:dyDescent="0.25">
      <c r="A1150">
        <v>462</v>
      </c>
      <c r="B1150" t="s">
        <v>296</v>
      </c>
      <c r="C1150" t="s">
        <v>727</v>
      </c>
      <c r="D1150" t="s">
        <v>733</v>
      </c>
      <c r="E1150" t="s">
        <v>6</v>
      </c>
      <c r="F1150" t="str" cm="1">
        <f t="array" ref="F1150">IF(SUM(IF(PartList[ASSLY MARK]=PartList[[#This Row],[ASSLY MARK]],1,0))&gt;1,"No","Yes")</f>
        <v>No</v>
      </c>
      <c r="G1150" t="str" cm="1">
        <f t="array" ref="G1150">_xlfn.TEXTJOIN("_",TRUE,TRIM(_xlfn.TEXTSPLIT(PartList[[#This Row],[GRID LOCATION]],{"PR01","/","-"})))</f>
        <v>15&gt;_A_B</v>
      </c>
      <c r="H1150" t="str" cm="1">
        <f t="array" ref="H115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50" cm="1">
        <f t="array" ref="I115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50" t="str">
        <f>IF(IFERROR(SEARCH("&gt;",PartList[[#This Row],[ID]]),0),"O",IF(IFERROR(SEARCH("&lt;",PartList[[#This Row],[ID]]),0),"I",""))</f>
        <v>O</v>
      </c>
      <c r="K1150" t="str" cm="1">
        <f t="array" ref="K11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50" t="str" cm="1">
        <f t="array" ref="L11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50" t="str">
        <f>_xlfn.TEXTJOIN("#",TRUE,PartList[[#This Row],[ASSLY MARK]],PartList[[#This Row],[BOX NO]],PartList[[#This Row],[In/Out]],PartList[[#This Row],[O1-Grid]])</f>
        <v>3HB20#Box3#O</v>
      </c>
      <c r="N1150" t="str">
        <f>_xlfn.TEXTJOIN("#",TRUE,PartList[[#This Row],[ASSLY MARK]],PartList[[#This Row],[BOX NO]],PartList[[#This Row],[In/Out]],PartList[[#This Row],[O2-Grid]])</f>
        <v>3HB20#Box3#O</v>
      </c>
      <c r="O1150">
        <f>IF(PartList[[#This Row],[Unique]]="Yes",_xlfn.XLOOKUP(PartList[[#This Row],[ASSLY MARK]],FilteredPL!A:A,FilteredPL!B:B,0,0),0)</f>
        <v>0</v>
      </c>
      <c r="P1150">
        <f>_xlfn.XLOOKUP(PartList[[#This Row],[ASSLY MARK]],MasterPL[SplitMarkNo],MasterPL[BILL WT.(KG)],0,0)</f>
        <v>0</v>
      </c>
      <c r="Q1150" cm="1">
        <f t="array" ref="Q115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51" spans="1:17" x14ac:dyDescent="0.25">
      <c r="A1151">
        <v>469</v>
      </c>
      <c r="B1151" t="s">
        <v>304</v>
      </c>
      <c r="C1151" t="s">
        <v>525</v>
      </c>
      <c r="D1151" t="s">
        <v>737</v>
      </c>
      <c r="E1151" t="s">
        <v>645</v>
      </c>
      <c r="F1151" t="str" cm="1">
        <f t="array" ref="F1151">IF(SUM(IF(PartList[ASSLY MARK]=PartList[[#This Row],[ASSLY MARK]],1,0))&gt;1,"No","Yes")</f>
        <v>Yes</v>
      </c>
      <c r="G1151" t="str" cm="1">
        <f t="array" ref="G1151">_xlfn.TEXTJOIN("_",TRUE,TRIM(_xlfn.TEXTSPLIT(PartList[[#This Row],[GRID LOCATION]],{"PR01","/","-"})))</f>
        <v>15&gt;_B</v>
      </c>
      <c r="H1151" t="str" cm="1">
        <f t="array" ref="H115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51" cm="1">
        <f t="array" ref="I115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51" t="str">
        <f>IF(IFERROR(SEARCH("&gt;",PartList[[#This Row],[ID]]),0),"O",IF(IFERROR(SEARCH("&lt;",PartList[[#This Row],[ID]]),0),"I",""))</f>
        <v>O</v>
      </c>
      <c r="K1151" t="str" cm="1">
        <f t="array" ref="K11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51" t="str" cm="1">
        <f t="array" ref="L11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51" t="str">
        <f>_xlfn.TEXTJOIN("#",TRUE,PartList[[#This Row],[ASSLY MARK]],PartList[[#This Row],[BOX NO]],PartList[[#This Row],[In/Out]],PartList[[#This Row],[O1-Grid]])</f>
        <v>3SC07#Box3#O</v>
      </c>
      <c r="N1151" t="str">
        <f>_xlfn.TEXTJOIN("#",TRUE,PartList[[#This Row],[ASSLY MARK]],PartList[[#This Row],[BOX NO]],PartList[[#This Row],[In/Out]],PartList[[#This Row],[O2-Grid]])</f>
        <v>3SC07#Box3#O</v>
      </c>
      <c r="O1151">
        <f>IF(PartList[[#This Row],[Unique]]="Yes",_xlfn.XLOOKUP(PartList[[#This Row],[ASSLY MARK]],FilteredPL!A:A,FilteredPL!B:B,0,0),0)</f>
        <v>0</v>
      </c>
      <c r="P1151">
        <f>_xlfn.XLOOKUP(PartList[[#This Row],[ASSLY MARK]],MasterPL[SplitMarkNo],MasterPL[BILL WT.(KG)],0,0)</f>
        <v>0</v>
      </c>
      <c r="Q1151" cm="1">
        <f t="array" ref="Q115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52" spans="1:17" x14ac:dyDescent="0.25">
      <c r="A1152">
        <v>478</v>
      </c>
      <c r="B1152" t="s">
        <v>749</v>
      </c>
      <c r="C1152" t="s">
        <v>526</v>
      </c>
      <c r="D1152" t="s">
        <v>307</v>
      </c>
      <c r="E1152" t="s">
        <v>645</v>
      </c>
      <c r="F1152" t="str" cm="1">
        <f t="array" ref="F1152">IF(SUM(IF(PartList[ASSLY MARK]=PartList[[#This Row],[ASSLY MARK]],1,0))&gt;1,"No","Yes")</f>
        <v>Yes</v>
      </c>
      <c r="G1152" t="str" cm="1">
        <f t="array" ref="G1152">_xlfn.TEXTJOIN("_",TRUE,TRIM(_xlfn.TEXTSPLIT(PartList[[#This Row],[GRID LOCATION]],{"PR01","/","-"})))</f>
        <v>14_15_A</v>
      </c>
      <c r="H1152" t="str" cm="1">
        <f t="array" ref="H115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52" cm="1">
        <f t="array" ref="I115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52" t="str">
        <f>IF(IFERROR(SEARCH("&gt;",PartList[[#This Row],[ID]]),0),"O",IF(IFERROR(SEARCH("&lt;",PartList[[#This Row],[ID]]),0),"I",""))</f>
        <v/>
      </c>
      <c r="K1152" t="str" cm="1">
        <f t="array" ref="K11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52" t="str" cm="1">
        <f t="array" ref="L11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52" t="str">
        <f>_xlfn.TEXTJOIN("#",TRUE,PartList[[#This Row],[ASSLY MARK]],PartList[[#This Row],[BOX NO]],PartList[[#This Row],[In/Out]],PartList[[#This Row],[O1-Grid]])</f>
        <v>3SC16#Box3_Box6#InBB</v>
      </c>
      <c r="N1152" t="str">
        <f>_xlfn.TEXTJOIN("#",TRUE,PartList[[#This Row],[ASSLY MARK]],PartList[[#This Row],[BOX NO]],PartList[[#This Row],[In/Out]],PartList[[#This Row],[O2-Grid]])</f>
        <v>3SC16#Box3_Box6#InBB</v>
      </c>
      <c r="O1152">
        <f>IF(PartList[[#This Row],[Unique]]="Yes",_xlfn.XLOOKUP(PartList[[#This Row],[ASSLY MARK]],FilteredPL!A:A,FilteredPL!B:B,0,0),0)</f>
        <v>0</v>
      </c>
      <c r="P1152">
        <f>_xlfn.XLOOKUP(PartList[[#This Row],[ASSLY MARK]],MasterPL[SplitMarkNo],MasterPL[BILL WT.(KG)],0,0)</f>
        <v>0</v>
      </c>
      <c r="Q1152" cm="1">
        <f t="array" ref="Q115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53" spans="1:17" x14ac:dyDescent="0.25">
      <c r="A1153">
        <v>479</v>
      </c>
      <c r="B1153" t="s">
        <v>750</v>
      </c>
      <c r="C1153" t="s">
        <v>527</v>
      </c>
      <c r="D1153" t="s">
        <v>307</v>
      </c>
      <c r="E1153" t="s">
        <v>645</v>
      </c>
      <c r="F1153" t="str" cm="1">
        <f t="array" ref="F1153">IF(SUM(IF(PartList[ASSLY MARK]=PartList[[#This Row],[ASSLY MARK]],1,0))&gt;1,"No","Yes")</f>
        <v>Yes</v>
      </c>
      <c r="G1153" t="str" cm="1">
        <f t="array" ref="G1153">_xlfn.TEXTJOIN("_",TRUE,TRIM(_xlfn.TEXTSPLIT(PartList[[#This Row],[GRID LOCATION]],{"PR01","/","-"})))</f>
        <v>14_15_B</v>
      </c>
      <c r="H1153" t="str" cm="1">
        <f t="array" ref="H115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53" cm="1">
        <f t="array" ref="I115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53" t="str">
        <f>IF(IFERROR(SEARCH("&gt;",PartList[[#This Row],[ID]]),0),"O",IF(IFERROR(SEARCH("&lt;",PartList[[#This Row],[ID]]),0),"I",""))</f>
        <v/>
      </c>
      <c r="K1153" t="str" cm="1">
        <f t="array" ref="K11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53" t="str" cm="1">
        <f t="array" ref="L11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53" t="str">
        <f>_xlfn.TEXTJOIN("#",TRUE,PartList[[#This Row],[ASSLY MARK]],PartList[[#This Row],[BOX NO]],PartList[[#This Row],[In/Out]],PartList[[#This Row],[O1-Grid]])</f>
        <v>3SC17#Box3_Box6#InBB</v>
      </c>
      <c r="N1153" t="str">
        <f>_xlfn.TEXTJOIN("#",TRUE,PartList[[#This Row],[ASSLY MARK]],PartList[[#This Row],[BOX NO]],PartList[[#This Row],[In/Out]],PartList[[#This Row],[O2-Grid]])</f>
        <v>3SC17#Box3_Box6#InBB</v>
      </c>
      <c r="O1153">
        <f>IF(PartList[[#This Row],[Unique]]="Yes",_xlfn.XLOOKUP(PartList[[#This Row],[ASSLY MARK]],FilteredPL!A:A,FilteredPL!B:B,0,0),0)</f>
        <v>0</v>
      </c>
      <c r="P1153">
        <f>_xlfn.XLOOKUP(PartList[[#This Row],[ASSLY MARK]],MasterPL[SplitMarkNo],MasterPL[BILL WT.(KG)],0,0)</f>
        <v>0</v>
      </c>
      <c r="Q1153" cm="1">
        <f t="array" ref="Q115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54" spans="1:17" x14ac:dyDescent="0.25">
      <c r="A1154">
        <v>480</v>
      </c>
      <c r="B1154" t="s">
        <v>751</v>
      </c>
      <c r="C1154" t="s">
        <v>729</v>
      </c>
      <c r="D1154" t="s">
        <v>737</v>
      </c>
      <c r="E1154" t="s">
        <v>645</v>
      </c>
      <c r="F1154" t="str" cm="1">
        <f t="array" ref="F1154">IF(SUM(IF(PartList[ASSLY MARK]=PartList[[#This Row],[ASSLY MARK]],1,0))&gt;1,"No","Yes")</f>
        <v>Yes</v>
      </c>
      <c r="G1154" t="str" cm="1">
        <f t="array" ref="G1154">_xlfn.TEXTJOIN("_",TRUE,TRIM(_xlfn.TEXTSPLIT(PartList[[#This Row],[GRID LOCATION]],{"PR01","/","-"})))</f>
        <v>15&gt;_A</v>
      </c>
      <c r="H1154" t="str" cm="1">
        <f t="array" ref="H115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54" cm="1">
        <f t="array" ref="I115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54" t="str">
        <f>IF(IFERROR(SEARCH("&gt;",PartList[[#This Row],[ID]]),0),"O",IF(IFERROR(SEARCH("&lt;",PartList[[#This Row],[ID]]),0),"I",""))</f>
        <v>O</v>
      </c>
      <c r="K1154" t="str" cm="1">
        <f t="array" ref="K11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54" t="str" cm="1">
        <f t="array" ref="L11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54" t="str">
        <f>_xlfn.TEXTJOIN("#",TRUE,PartList[[#This Row],[ASSLY MARK]],PartList[[#This Row],[BOX NO]],PartList[[#This Row],[In/Out]],PartList[[#This Row],[O1-Grid]])</f>
        <v>3SC18#Box3#O</v>
      </c>
      <c r="N1154" t="str">
        <f>_xlfn.TEXTJOIN("#",TRUE,PartList[[#This Row],[ASSLY MARK]],PartList[[#This Row],[BOX NO]],PartList[[#This Row],[In/Out]],PartList[[#This Row],[O2-Grid]])</f>
        <v>3SC18#Box3#O</v>
      </c>
      <c r="O1154">
        <f>IF(PartList[[#This Row],[Unique]]="Yes",_xlfn.XLOOKUP(PartList[[#This Row],[ASSLY MARK]],FilteredPL!A:A,FilteredPL!B:B,0,0),0)</f>
        <v>0</v>
      </c>
      <c r="P1154">
        <f>_xlfn.XLOOKUP(PartList[[#This Row],[ASSLY MARK]],MasterPL[SplitMarkNo],MasterPL[BILL WT.(KG)],0,0)</f>
        <v>0</v>
      </c>
      <c r="Q1154" cm="1">
        <f t="array" ref="Q115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55" spans="1:17" x14ac:dyDescent="0.25">
      <c r="A1155">
        <v>489</v>
      </c>
      <c r="B1155" t="s">
        <v>315</v>
      </c>
      <c r="C1155" t="s">
        <v>522</v>
      </c>
      <c r="D1155" t="s">
        <v>736</v>
      </c>
      <c r="E1155" t="s">
        <v>5</v>
      </c>
      <c r="F1155" t="str" cm="1">
        <f t="array" ref="F1155">IF(SUM(IF(PartList[ASSLY MARK]=PartList[[#This Row],[ASSLY MARK]],1,0))&gt;1,"No","Yes")</f>
        <v>Yes</v>
      </c>
      <c r="G1155" t="str" cm="1">
        <f t="array" ref="G1155">_xlfn.TEXTJOIN("_",TRUE,TRIM(_xlfn.TEXTSPLIT(PartList[[#This Row],[GRID LOCATION]],{"PR01","/","-"})))</f>
        <v>14_15_B&gt;</v>
      </c>
      <c r="H1155" t="str" cm="1">
        <f t="array" ref="H115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55" cm="1">
        <f t="array" ref="I115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55" t="str">
        <f>IF(IFERROR(SEARCH("&gt;",PartList[[#This Row],[ID]]),0),"O",IF(IFERROR(SEARCH("&lt;",PartList[[#This Row],[ID]]),0),"I",""))</f>
        <v>O</v>
      </c>
      <c r="K1155" t="str" cm="1">
        <f t="array" ref="K11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55" t="str" cm="1">
        <f t="array" ref="L11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55" t="str">
        <f>_xlfn.TEXTJOIN("#",TRUE,PartList[[#This Row],[ASSLY MARK]],PartList[[#This Row],[BOX NO]],PartList[[#This Row],[In/Out]],PartList[[#This Row],[O1-Grid]])</f>
        <v>4BE09#Box3_Box6#O</v>
      </c>
      <c r="N1155" t="str">
        <f>_xlfn.TEXTJOIN("#",TRUE,PartList[[#This Row],[ASSLY MARK]],PartList[[#This Row],[BOX NO]],PartList[[#This Row],[In/Out]],PartList[[#This Row],[O2-Grid]])</f>
        <v>4BE09#Box3_Box6#O</v>
      </c>
      <c r="O1155">
        <f>IF(PartList[[#This Row],[Unique]]="Yes",_xlfn.XLOOKUP(PartList[[#This Row],[ASSLY MARK]],FilteredPL!A:A,FilteredPL!B:B,0,0),0)</f>
        <v>0</v>
      </c>
      <c r="P1155">
        <f>_xlfn.XLOOKUP(PartList[[#This Row],[ASSLY MARK]],MasterPL[SplitMarkNo],MasterPL[BILL WT.(KG)],0,0)</f>
        <v>0</v>
      </c>
      <c r="Q1155" cm="1">
        <f t="array" ref="Q115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56" spans="1:17" x14ac:dyDescent="0.25">
      <c r="A1156">
        <v>493</v>
      </c>
      <c r="B1156" t="s">
        <v>319</v>
      </c>
      <c r="C1156" t="s">
        <v>525</v>
      </c>
      <c r="D1156" t="s">
        <v>736</v>
      </c>
      <c r="E1156" t="s">
        <v>5</v>
      </c>
      <c r="F1156" t="str" cm="1">
        <f t="array" ref="F1156">IF(SUM(IF(PartList[ASSLY MARK]=PartList[[#This Row],[ASSLY MARK]],1,0))&gt;1,"No","Yes")</f>
        <v>Yes</v>
      </c>
      <c r="G1156" t="str" cm="1">
        <f t="array" ref="G1156">_xlfn.TEXTJOIN("_",TRUE,TRIM(_xlfn.TEXTSPLIT(PartList[[#This Row],[GRID LOCATION]],{"PR01","/","-"})))</f>
        <v>15&gt;_B</v>
      </c>
      <c r="H1156" t="str" cm="1">
        <f t="array" ref="H115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56" cm="1">
        <f t="array" ref="I115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56" t="str">
        <f>IF(IFERROR(SEARCH("&gt;",PartList[[#This Row],[ID]]),0),"O",IF(IFERROR(SEARCH("&lt;",PartList[[#This Row],[ID]]),0),"I",""))</f>
        <v>O</v>
      </c>
      <c r="K1156" t="str" cm="1">
        <f t="array" ref="K11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56" t="str" cm="1">
        <f t="array" ref="L11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56" t="str">
        <f>_xlfn.TEXTJOIN("#",TRUE,PartList[[#This Row],[ASSLY MARK]],PartList[[#This Row],[BOX NO]],PartList[[#This Row],[In/Out]],PartList[[#This Row],[O1-Grid]])</f>
        <v>4BE13#Box3#O</v>
      </c>
      <c r="N1156" t="str">
        <f>_xlfn.TEXTJOIN("#",TRUE,PartList[[#This Row],[ASSLY MARK]],PartList[[#This Row],[BOX NO]],PartList[[#This Row],[In/Out]],PartList[[#This Row],[O2-Grid]])</f>
        <v>4BE13#Box3#O</v>
      </c>
      <c r="O1156">
        <f>IF(PartList[[#This Row],[Unique]]="Yes",_xlfn.XLOOKUP(PartList[[#This Row],[ASSLY MARK]],FilteredPL!A:A,FilteredPL!B:B,0,0),0)</f>
        <v>0</v>
      </c>
      <c r="P1156">
        <f>_xlfn.XLOOKUP(PartList[[#This Row],[ASSLY MARK]],MasterPL[SplitMarkNo],MasterPL[BILL WT.(KG)],0,0)</f>
        <v>0</v>
      </c>
      <c r="Q1156" cm="1">
        <f t="array" ref="Q115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57" spans="1:17" x14ac:dyDescent="0.25">
      <c r="A1157">
        <v>498</v>
      </c>
      <c r="B1157" t="s">
        <v>324</v>
      </c>
      <c r="C1157" t="s">
        <v>727</v>
      </c>
      <c r="D1157" t="s">
        <v>737</v>
      </c>
      <c r="E1157" t="s">
        <v>5</v>
      </c>
      <c r="F1157" t="str" cm="1">
        <f t="array" ref="F1157">IF(SUM(IF(PartList[ASSLY MARK]=PartList[[#This Row],[ASSLY MARK]],1,0))&gt;1,"No","Yes")</f>
        <v>Yes</v>
      </c>
      <c r="G1157" t="str" cm="1">
        <f t="array" ref="G1157">_xlfn.TEXTJOIN("_",TRUE,TRIM(_xlfn.TEXTSPLIT(PartList[[#This Row],[GRID LOCATION]],{"PR01","/","-"})))</f>
        <v>15&gt;_A_B</v>
      </c>
      <c r="H1157" t="str" cm="1">
        <f t="array" ref="H115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57" cm="1">
        <f t="array" ref="I115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57" t="str">
        <f>IF(IFERROR(SEARCH("&gt;",PartList[[#This Row],[ID]]),0),"O",IF(IFERROR(SEARCH("&lt;",PartList[[#This Row],[ID]]),0),"I",""))</f>
        <v>O</v>
      </c>
      <c r="K1157" t="str" cm="1">
        <f t="array" ref="K11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57" t="str" cm="1">
        <f t="array" ref="L11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57" t="str">
        <f>_xlfn.TEXTJOIN("#",TRUE,PartList[[#This Row],[ASSLY MARK]],PartList[[#This Row],[BOX NO]],PartList[[#This Row],[In/Out]],PartList[[#This Row],[O1-Grid]])</f>
        <v>4BE18#Box3#O</v>
      </c>
      <c r="N1157" t="str">
        <f>_xlfn.TEXTJOIN("#",TRUE,PartList[[#This Row],[ASSLY MARK]],PartList[[#This Row],[BOX NO]],PartList[[#This Row],[In/Out]],PartList[[#This Row],[O2-Grid]])</f>
        <v>4BE18#Box3#O</v>
      </c>
      <c r="O1157">
        <f>IF(PartList[[#This Row],[Unique]]="Yes",_xlfn.XLOOKUP(PartList[[#This Row],[ASSLY MARK]],FilteredPL!A:A,FilteredPL!B:B,0,0),0)</f>
        <v>0</v>
      </c>
      <c r="P1157">
        <f>_xlfn.XLOOKUP(PartList[[#This Row],[ASSLY MARK]],MasterPL[SplitMarkNo],MasterPL[BILL WT.(KG)],0,0)</f>
        <v>0</v>
      </c>
      <c r="Q1157" cm="1">
        <f t="array" ref="Q115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58" spans="1:17" x14ac:dyDescent="0.25">
      <c r="A1158">
        <v>499</v>
      </c>
      <c r="B1158" t="s">
        <v>325</v>
      </c>
      <c r="C1158" t="s">
        <v>754</v>
      </c>
      <c r="D1158" t="s">
        <v>736</v>
      </c>
      <c r="E1158" t="s">
        <v>5</v>
      </c>
      <c r="F1158" t="str" cm="1">
        <f t="array" ref="F1158">IF(SUM(IF(PartList[ASSLY MARK]=PartList[[#This Row],[ASSLY MARK]],1,0))&gt;1,"No","Yes")</f>
        <v>Yes</v>
      </c>
      <c r="G1158" t="str" cm="1">
        <f t="array" ref="G1158">_xlfn.TEXTJOIN("_",TRUE,TRIM(_xlfn.TEXTSPLIT(PartList[[#This Row],[GRID LOCATION]],{"PR01","/","-"})))</f>
        <v>15&gt;_B&gt;</v>
      </c>
      <c r="H1158" t="str" cm="1">
        <f t="array" ref="H115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58" cm="1">
        <f t="array" ref="I115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58" t="str">
        <f>IF(IFERROR(SEARCH("&gt;",PartList[[#This Row],[ID]]),0),"O",IF(IFERROR(SEARCH("&lt;",PartList[[#This Row],[ID]]),0),"I",""))</f>
        <v>O</v>
      </c>
      <c r="K1158" t="str" cm="1">
        <f t="array" ref="K11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58" t="str" cm="1">
        <f t="array" ref="L11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58" t="str">
        <f>_xlfn.TEXTJOIN("#",TRUE,PartList[[#This Row],[ASSLY MARK]],PartList[[#This Row],[BOX NO]],PartList[[#This Row],[In/Out]],PartList[[#This Row],[O1-Grid]])</f>
        <v>4BE19#Box3#O</v>
      </c>
      <c r="N1158" t="str">
        <f>_xlfn.TEXTJOIN("#",TRUE,PartList[[#This Row],[ASSLY MARK]],PartList[[#This Row],[BOX NO]],PartList[[#This Row],[In/Out]],PartList[[#This Row],[O2-Grid]])</f>
        <v>4BE19#Box3#O</v>
      </c>
      <c r="O1158">
        <f>IF(PartList[[#This Row],[Unique]]="Yes",_xlfn.XLOOKUP(PartList[[#This Row],[ASSLY MARK]],FilteredPL!A:A,FilteredPL!B:B,0,0),0)</f>
        <v>0</v>
      </c>
      <c r="P1158">
        <f>_xlfn.XLOOKUP(PartList[[#This Row],[ASSLY MARK]],MasterPL[SplitMarkNo],MasterPL[BILL WT.(KG)],0,0)</f>
        <v>0</v>
      </c>
      <c r="Q1158" cm="1">
        <f t="array" ref="Q115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59" spans="1:17" x14ac:dyDescent="0.25">
      <c r="A1159">
        <v>516</v>
      </c>
      <c r="B1159" t="s">
        <v>771</v>
      </c>
      <c r="C1159" t="s">
        <v>754</v>
      </c>
      <c r="D1159" t="s">
        <v>736</v>
      </c>
      <c r="E1159" t="s">
        <v>5</v>
      </c>
      <c r="F1159" t="str" cm="1">
        <f t="array" ref="F1159">IF(SUM(IF(PartList[ASSLY MARK]=PartList[[#This Row],[ASSLY MARK]],1,0))&gt;1,"No","Yes")</f>
        <v>Yes</v>
      </c>
      <c r="G1159" t="str" cm="1">
        <f t="array" ref="G1159">_xlfn.TEXTJOIN("_",TRUE,TRIM(_xlfn.TEXTSPLIT(PartList[[#This Row],[GRID LOCATION]],{"PR01","/","-"})))</f>
        <v>15&gt;_B&gt;</v>
      </c>
      <c r="H1159" t="str" cm="1">
        <f t="array" ref="H115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59" cm="1">
        <f t="array" ref="I115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59" t="str">
        <f>IF(IFERROR(SEARCH("&gt;",PartList[[#This Row],[ID]]),0),"O",IF(IFERROR(SEARCH("&lt;",PartList[[#This Row],[ID]]),0),"I",""))</f>
        <v>O</v>
      </c>
      <c r="K1159" t="str" cm="1">
        <f t="array" ref="K11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59" t="str" cm="1">
        <f t="array" ref="L11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59" t="str">
        <f>_xlfn.TEXTJOIN("#",TRUE,PartList[[#This Row],[ASSLY MARK]],PartList[[#This Row],[BOX NO]],PartList[[#This Row],[In/Out]],PartList[[#This Row],[O1-Grid]])</f>
        <v>4BE36#Box3#O</v>
      </c>
      <c r="N1159" t="str">
        <f>_xlfn.TEXTJOIN("#",TRUE,PartList[[#This Row],[ASSLY MARK]],PartList[[#This Row],[BOX NO]],PartList[[#This Row],[In/Out]],PartList[[#This Row],[O2-Grid]])</f>
        <v>4BE36#Box3#O</v>
      </c>
      <c r="O1159">
        <f>IF(PartList[[#This Row],[Unique]]="Yes",_xlfn.XLOOKUP(PartList[[#This Row],[ASSLY MARK]],FilteredPL!A:A,FilteredPL!B:B,0,0),0)</f>
        <v>0</v>
      </c>
      <c r="P1159">
        <f>_xlfn.XLOOKUP(PartList[[#This Row],[ASSLY MARK]],MasterPL[SplitMarkNo],MasterPL[BILL WT.(KG)],0,0)</f>
        <v>0</v>
      </c>
      <c r="Q1159" cm="1">
        <f t="array" ref="Q115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60" spans="1:17" x14ac:dyDescent="0.25">
      <c r="A1160">
        <v>517</v>
      </c>
      <c r="B1160" t="s">
        <v>772</v>
      </c>
      <c r="C1160" t="s">
        <v>729</v>
      </c>
      <c r="D1160" t="s">
        <v>737</v>
      </c>
      <c r="E1160" t="s">
        <v>5</v>
      </c>
      <c r="F1160" t="str" cm="1">
        <f t="array" ref="F1160">IF(SUM(IF(PartList[ASSLY MARK]=PartList[[#This Row],[ASSLY MARK]],1,0))&gt;1,"No","Yes")</f>
        <v>Yes</v>
      </c>
      <c r="G1160" t="str" cm="1">
        <f t="array" ref="G1160">_xlfn.TEXTJOIN("_",TRUE,TRIM(_xlfn.TEXTSPLIT(PartList[[#This Row],[GRID LOCATION]],{"PR01","/","-"})))</f>
        <v>15&gt;_A</v>
      </c>
      <c r="H1160" t="str" cm="1">
        <f t="array" ref="H116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60" cm="1">
        <f t="array" ref="I116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60" t="str">
        <f>IF(IFERROR(SEARCH("&gt;",PartList[[#This Row],[ID]]),0),"O",IF(IFERROR(SEARCH("&lt;",PartList[[#This Row],[ID]]),0),"I",""))</f>
        <v>O</v>
      </c>
      <c r="K1160" t="str" cm="1">
        <f t="array" ref="K11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60" t="str" cm="1">
        <f t="array" ref="L11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60" t="str">
        <f>_xlfn.TEXTJOIN("#",TRUE,PartList[[#This Row],[ASSLY MARK]],PartList[[#This Row],[BOX NO]],PartList[[#This Row],[In/Out]],PartList[[#This Row],[O1-Grid]])</f>
        <v>4BE37#Box3#O</v>
      </c>
      <c r="N1160" t="str">
        <f>_xlfn.TEXTJOIN("#",TRUE,PartList[[#This Row],[ASSLY MARK]],PartList[[#This Row],[BOX NO]],PartList[[#This Row],[In/Out]],PartList[[#This Row],[O2-Grid]])</f>
        <v>4BE37#Box3#O</v>
      </c>
      <c r="O1160">
        <f>IF(PartList[[#This Row],[Unique]]="Yes",_xlfn.XLOOKUP(PartList[[#This Row],[ASSLY MARK]],FilteredPL!A:A,FilteredPL!B:B,0,0),0)</f>
        <v>0</v>
      </c>
      <c r="P1160">
        <f>_xlfn.XLOOKUP(PartList[[#This Row],[ASSLY MARK]],MasterPL[SplitMarkNo],MasterPL[BILL WT.(KG)],0,0)</f>
        <v>0</v>
      </c>
      <c r="Q1160" cm="1">
        <f t="array" ref="Q116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61" spans="1:17" x14ac:dyDescent="0.25">
      <c r="A1161">
        <v>538</v>
      </c>
      <c r="B1161" t="s">
        <v>791</v>
      </c>
      <c r="C1161" t="s">
        <v>521</v>
      </c>
      <c r="D1161" t="s">
        <v>307</v>
      </c>
      <c r="E1161" t="s">
        <v>5</v>
      </c>
      <c r="F1161" t="str" cm="1">
        <f t="array" ref="F1161">IF(SUM(IF(PartList[ASSLY MARK]=PartList[[#This Row],[ASSLY MARK]],1,0))&gt;1,"No","Yes")</f>
        <v>No</v>
      </c>
      <c r="G1161" t="str" cm="1">
        <f t="array" ref="G1161">_xlfn.TEXTJOIN("_",TRUE,TRIM(_xlfn.TEXTSPLIT(PartList[[#This Row],[GRID LOCATION]],{"PR01","/","-"})))</f>
        <v>14_15_A_B</v>
      </c>
      <c r="H1161" t="str" cm="1">
        <f t="array" ref="H116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61" cm="1">
        <f t="array" ref="I116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61" t="str">
        <f>IF(IFERROR(SEARCH("&gt;",PartList[[#This Row],[ID]]),0),"O",IF(IFERROR(SEARCH("&lt;",PartList[[#This Row],[ID]]),0),"I",""))</f>
        <v/>
      </c>
      <c r="K1161" t="str" cm="1">
        <f t="array" ref="K11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61" t="str" cm="1">
        <f t="array" ref="L11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61" t="str">
        <f>_xlfn.TEXTJOIN("#",TRUE,PartList[[#This Row],[ASSLY MARK]],PartList[[#This Row],[BOX NO]],PartList[[#This Row],[In/Out]],PartList[[#This Row],[O1-Grid]])</f>
        <v>4BE56#Box3#InB</v>
      </c>
      <c r="N1161" t="str">
        <f>_xlfn.TEXTJOIN("#",TRUE,PartList[[#This Row],[ASSLY MARK]],PartList[[#This Row],[BOX NO]],PartList[[#This Row],[In/Out]],PartList[[#This Row],[O2-Grid]])</f>
        <v>4BE56#Box3#InB</v>
      </c>
      <c r="O1161">
        <f>IF(PartList[[#This Row],[Unique]]="Yes",_xlfn.XLOOKUP(PartList[[#This Row],[ASSLY MARK]],FilteredPL!A:A,FilteredPL!B:B,0,0),0)</f>
        <v>0</v>
      </c>
      <c r="P1161">
        <f>_xlfn.XLOOKUP(PartList[[#This Row],[ASSLY MARK]],MasterPL[SplitMarkNo],MasterPL[BILL WT.(KG)],0,0)</f>
        <v>0</v>
      </c>
      <c r="Q1161" cm="1">
        <f t="array" ref="Q116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62" spans="1:17" x14ac:dyDescent="0.25">
      <c r="A1162">
        <v>539</v>
      </c>
      <c r="B1162" t="s">
        <v>791</v>
      </c>
      <c r="C1162" t="s">
        <v>521</v>
      </c>
      <c r="D1162" t="s">
        <v>307</v>
      </c>
      <c r="E1162" t="s">
        <v>5</v>
      </c>
      <c r="F1162" t="str" cm="1">
        <f t="array" ref="F1162">IF(SUM(IF(PartList[ASSLY MARK]=PartList[[#This Row],[ASSLY MARK]],1,0))&gt;1,"No","Yes")</f>
        <v>No</v>
      </c>
      <c r="G1162" t="str" cm="1">
        <f t="array" ref="G1162">_xlfn.TEXTJOIN("_",TRUE,TRIM(_xlfn.TEXTSPLIT(PartList[[#This Row],[GRID LOCATION]],{"PR01","/","-"})))</f>
        <v>14_15_A_B</v>
      </c>
      <c r="H1162" t="str" cm="1">
        <f t="array" ref="H116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62" cm="1">
        <f t="array" ref="I116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62" t="str">
        <f>IF(IFERROR(SEARCH("&gt;",PartList[[#This Row],[ID]]),0),"O",IF(IFERROR(SEARCH("&lt;",PartList[[#This Row],[ID]]),0),"I",""))</f>
        <v/>
      </c>
      <c r="K1162" t="str" cm="1">
        <f t="array" ref="K11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62" t="str" cm="1">
        <f t="array" ref="L11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62" t="str">
        <f>_xlfn.TEXTJOIN("#",TRUE,PartList[[#This Row],[ASSLY MARK]],PartList[[#This Row],[BOX NO]],PartList[[#This Row],[In/Out]],PartList[[#This Row],[O1-Grid]])</f>
        <v>4BE56#Box3#InB</v>
      </c>
      <c r="N1162" t="str">
        <f>_xlfn.TEXTJOIN("#",TRUE,PartList[[#This Row],[ASSLY MARK]],PartList[[#This Row],[BOX NO]],PartList[[#This Row],[In/Out]],PartList[[#This Row],[O2-Grid]])</f>
        <v>4BE56#Box3#InB</v>
      </c>
      <c r="O1162">
        <f>IF(PartList[[#This Row],[Unique]]="Yes",_xlfn.XLOOKUP(PartList[[#This Row],[ASSLY MARK]],FilteredPL!A:A,FilteredPL!B:B,0,0),0)</f>
        <v>0</v>
      </c>
      <c r="P1162">
        <f>_xlfn.XLOOKUP(PartList[[#This Row],[ASSLY MARK]],MasterPL[SplitMarkNo],MasterPL[BILL WT.(KG)],0,0)</f>
        <v>0</v>
      </c>
      <c r="Q1162" cm="1">
        <f t="array" ref="Q116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63" spans="1:17" x14ac:dyDescent="0.25">
      <c r="A1163">
        <v>540</v>
      </c>
      <c r="B1163" t="s">
        <v>792</v>
      </c>
      <c r="C1163" t="s">
        <v>521</v>
      </c>
      <c r="D1163" t="s">
        <v>307</v>
      </c>
      <c r="E1163" t="s">
        <v>5</v>
      </c>
      <c r="F1163" t="str" cm="1">
        <f t="array" ref="F1163">IF(SUM(IF(PartList[ASSLY MARK]=PartList[[#This Row],[ASSLY MARK]],1,0))&gt;1,"No","Yes")</f>
        <v>No</v>
      </c>
      <c r="G1163" t="str" cm="1">
        <f t="array" ref="G1163">_xlfn.TEXTJOIN("_",TRUE,TRIM(_xlfn.TEXTSPLIT(PartList[[#This Row],[GRID LOCATION]],{"PR01","/","-"})))</f>
        <v>14_15_A_B</v>
      </c>
      <c r="H1163" t="str" cm="1">
        <f t="array" ref="H116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63" cm="1">
        <f t="array" ref="I116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63" t="str">
        <f>IF(IFERROR(SEARCH("&gt;",PartList[[#This Row],[ID]]),0),"O",IF(IFERROR(SEARCH("&lt;",PartList[[#This Row],[ID]]),0),"I",""))</f>
        <v/>
      </c>
      <c r="K1163" t="str" cm="1">
        <f t="array" ref="K11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63" t="str" cm="1">
        <f t="array" ref="L11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63" t="str">
        <f>_xlfn.TEXTJOIN("#",TRUE,PartList[[#This Row],[ASSLY MARK]],PartList[[#This Row],[BOX NO]],PartList[[#This Row],[In/Out]],PartList[[#This Row],[O1-Grid]])</f>
        <v>4BE57#Box3#InB</v>
      </c>
      <c r="N1163" t="str">
        <f>_xlfn.TEXTJOIN("#",TRUE,PartList[[#This Row],[ASSLY MARK]],PartList[[#This Row],[BOX NO]],PartList[[#This Row],[In/Out]],PartList[[#This Row],[O2-Grid]])</f>
        <v>4BE57#Box3#InB</v>
      </c>
      <c r="O1163">
        <f>IF(PartList[[#This Row],[Unique]]="Yes",_xlfn.XLOOKUP(PartList[[#This Row],[ASSLY MARK]],FilteredPL!A:A,FilteredPL!B:B,0,0),0)</f>
        <v>0</v>
      </c>
      <c r="P1163">
        <f>_xlfn.XLOOKUP(PartList[[#This Row],[ASSLY MARK]],MasterPL[SplitMarkNo],MasterPL[BILL WT.(KG)],0,0)</f>
        <v>0</v>
      </c>
      <c r="Q1163" cm="1">
        <f t="array" ref="Q116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64" spans="1:17" x14ac:dyDescent="0.25">
      <c r="A1164">
        <v>541</v>
      </c>
      <c r="B1164" t="s">
        <v>792</v>
      </c>
      <c r="C1164" t="s">
        <v>521</v>
      </c>
      <c r="D1164" t="s">
        <v>307</v>
      </c>
      <c r="E1164" t="s">
        <v>5</v>
      </c>
      <c r="F1164" t="str" cm="1">
        <f t="array" ref="F1164">IF(SUM(IF(PartList[ASSLY MARK]=PartList[[#This Row],[ASSLY MARK]],1,0))&gt;1,"No","Yes")</f>
        <v>No</v>
      </c>
      <c r="G1164" t="str" cm="1">
        <f t="array" ref="G1164">_xlfn.TEXTJOIN("_",TRUE,TRIM(_xlfn.TEXTSPLIT(PartList[[#This Row],[GRID LOCATION]],{"PR01","/","-"})))</f>
        <v>14_15_A_B</v>
      </c>
      <c r="H1164" t="str" cm="1">
        <f t="array" ref="H116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64" cm="1">
        <f t="array" ref="I116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64" t="str">
        <f>IF(IFERROR(SEARCH("&gt;",PartList[[#This Row],[ID]]),0),"O",IF(IFERROR(SEARCH("&lt;",PartList[[#This Row],[ID]]),0),"I",""))</f>
        <v/>
      </c>
      <c r="K1164" t="str" cm="1">
        <f t="array" ref="K11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64" t="str" cm="1">
        <f t="array" ref="L11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64" t="str">
        <f>_xlfn.TEXTJOIN("#",TRUE,PartList[[#This Row],[ASSLY MARK]],PartList[[#This Row],[BOX NO]],PartList[[#This Row],[In/Out]],PartList[[#This Row],[O1-Grid]])</f>
        <v>4BE57#Box3#InB</v>
      </c>
      <c r="N1164" t="str">
        <f>_xlfn.TEXTJOIN("#",TRUE,PartList[[#This Row],[ASSLY MARK]],PartList[[#This Row],[BOX NO]],PartList[[#This Row],[In/Out]],PartList[[#This Row],[O2-Grid]])</f>
        <v>4BE57#Box3#InB</v>
      </c>
      <c r="O1164">
        <f>IF(PartList[[#This Row],[Unique]]="Yes",_xlfn.XLOOKUP(PartList[[#This Row],[ASSLY MARK]],FilteredPL!A:A,FilteredPL!B:B,0,0),0)</f>
        <v>0</v>
      </c>
      <c r="P1164">
        <f>_xlfn.XLOOKUP(PartList[[#This Row],[ASSLY MARK]],MasterPL[SplitMarkNo],MasterPL[BILL WT.(KG)],0,0)</f>
        <v>0</v>
      </c>
      <c r="Q1164" cm="1">
        <f t="array" ref="Q116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65" spans="1:17" x14ac:dyDescent="0.25">
      <c r="A1165">
        <v>543</v>
      </c>
      <c r="B1165" t="s">
        <v>795</v>
      </c>
      <c r="C1165" t="s">
        <v>522</v>
      </c>
      <c r="D1165" t="s">
        <v>307</v>
      </c>
      <c r="E1165" t="s">
        <v>5</v>
      </c>
      <c r="F1165" t="str" cm="1">
        <f t="array" ref="F1165">IF(SUM(IF(PartList[ASSLY MARK]=PartList[[#This Row],[ASSLY MARK]],1,0))&gt;1,"No","Yes")</f>
        <v>Yes</v>
      </c>
      <c r="G1165" t="str" cm="1">
        <f t="array" ref="G1165">_xlfn.TEXTJOIN("_",TRUE,TRIM(_xlfn.TEXTSPLIT(PartList[[#This Row],[GRID LOCATION]],{"PR01","/","-"})))</f>
        <v>14_15_B&gt;</v>
      </c>
      <c r="H1165" t="str" cm="1">
        <f t="array" ref="H116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65" cm="1">
        <f t="array" ref="I116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65" t="str">
        <f>IF(IFERROR(SEARCH("&gt;",PartList[[#This Row],[ID]]),0),"O",IF(IFERROR(SEARCH("&lt;",PartList[[#This Row],[ID]]),0),"I",""))</f>
        <v>O</v>
      </c>
      <c r="K1165" t="str" cm="1">
        <f t="array" ref="K11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65" t="str" cm="1">
        <f t="array" ref="L11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65" t="str">
        <f>_xlfn.TEXTJOIN("#",TRUE,PartList[[#This Row],[ASSLY MARK]],PartList[[#This Row],[BOX NO]],PartList[[#This Row],[In/Out]],PartList[[#This Row],[O1-Grid]])</f>
        <v>4BE59#Box3_Box6#O</v>
      </c>
      <c r="N1165" t="str">
        <f>_xlfn.TEXTJOIN("#",TRUE,PartList[[#This Row],[ASSLY MARK]],PartList[[#This Row],[BOX NO]],PartList[[#This Row],[In/Out]],PartList[[#This Row],[O2-Grid]])</f>
        <v>4BE59#Box3_Box6#O</v>
      </c>
      <c r="O1165">
        <f>IF(PartList[[#This Row],[Unique]]="Yes",_xlfn.XLOOKUP(PartList[[#This Row],[ASSLY MARK]],FilteredPL!A:A,FilteredPL!B:B,0,0),0)</f>
        <v>0</v>
      </c>
      <c r="P1165">
        <f>_xlfn.XLOOKUP(PartList[[#This Row],[ASSLY MARK]],MasterPL[SplitMarkNo],MasterPL[BILL WT.(KG)],0,0)</f>
        <v>0</v>
      </c>
      <c r="Q1165" cm="1">
        <f t="array" ref="Q116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66" spans="1:17" x14ac:dyDescent="0.25">
      <c r="A1166">
        <v>544</v>
      </c>
      <c r="B1166" t="s">
        <v>796</v>
      </c>
      <c r="C1166" t="s">
        <v>521</v>
      </c>
      <c r="D1166" t="s">
        <v>307</v>
      </c>
      <c r="E1166" t="s">
        <v>5</v>
      </c>
      <c r="F1166" t="str" cm="1">
        <f t="array" ref="F1166">IF(SUM(IF(PartList[ASSLY MARK]=PartList[[#This Row],[ASSLY MARK]],1,0))&gt;1,"No","Yes")</f>
        <v>No</v>
      </c>
      <c r="G1166" t="str" cm="1">
        <f t="array" ref="G1166">_xlfn.TEXTJOIN("_",TRUE,TRIM(_xlfn.TEXTSPLIT(PartList[[#This Row],[GRID LOCATION]],{"PR01","/","-"})))</f>
        <v>14_15_A_B</v>
      </c>
      <c r="H1166" t="str" cm="1">
        <f t="array" ref="H116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66" cm="1">
        <f t="array" ref="I116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66" t="str">
        <f>IF(IFERROR(SEARCH("&gt;",PartList[[#This Row],[ID]]),0),"O",IF(IFERROR(SEARCH("&lt;",PartList[[#This Row],[ID]]),0),"I",""))</f>
        <v/>
      </c>
      <c r="K1166" t="str" cm="1">
        <f t="array" ref="K11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66" t="str" cm="1">
        <f t="array" ref="L11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66" t="str">
        <f>_xlfn.TEXTJOIN("#",TRUE,PartList[[#This Row],[ASSLY MARK]],PartList[[#This Row],[BOX NO]],PartList[[#This Row],[In/Out]],PartList[[#This Row],[O1-Grid]])</f>
        <v>4BE60#Box3#InB</v>
      </c>
      <c r="N1166" t="str">
        <f>_xlfn.TEXTJOIN("#",TRUE,PartList[[#This Row],[ASSLY MARK]],PartList[[#This Row],[BOX NO]],PartList[[#This Row],[In/Out]],PartList[[#This Row],[O2-Grid]])</f>
        <v>4BE60#Box3#InB</v>
      </c>
      <c r="O1166">
        <f>IF(PartList[[#This Row],[Unique]]="Yes",_xlfn.XLOOKUP(PartList[[#This Row],[ASSLY MARK]],FilteredPL!A:A,FilteredPL!B:B,0,0),0)</f>
        <v>0</v>
      </c>
      <c r="P1166">
        <f>_xlfn.XLOOKUP(PartList[[#This Row],[ASSLY MARK]],MasterPL[SplitMarkNo],MasterPL[BILL WT.(KG)],0,0)</f>
        <v>0</v>
      </c>
      <c r="Q1166" cm="1">
        <f t="array" ref="Q116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67" spans="1:17" x14ac:dyDescent="0.25">
      <c r="A1167">
        <v>545</v>
      </c>
      <c r="B1167" t="s">
        <v>796</v>
      </c>
      <c r="C1167" t="s">
        <v>521</v>
      </c>
      <c r="D1167" t="s">
        <v>307</v>
      </c>
      <c r="E1167" t="s">
        <v>5</v>
      </c>
      <c r="F1167" t="str" cm="1">
        <f t="array" ref="F1167">IF(SUM(IF(PartList[ASSLY MARK]=PartList[[#This Row],[ASSLY MARK]],1,0))&gt;1,"No","Yes")</f>
        <v>No</v>
      </c>
      <c r="G1167" t="str" cm="1">
        <f t="array" ref="G1167">_xlfn.TEXTJOIN("_",TRUE,TRIM(_xlfn.TEXTSPLIT(PartList[[#This Row],[GRID LOCATION]],{"PR01","/","-"})))</f>
        <v>14_15_A_B</v>
      </c>
      <c r="H1167" t="str" cm="1">
        <f t="array" ref="H116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67" cm="1">
        <f t="array" ref="I116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67" t="str">
        <f>IF(IFERROR(SEARCH("&gt;",PartList[[#This Row],[ID]]),0),"O",IF(IFERROR(SEARCH("&lt;",PartList[[#This Row],[ID]]),0),"I",""))</f>
        <v/>
      </c>
      <c r="K1167" t="str" cm="1">
        <f t="array" ref="K11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67" t="str" cm="1">
        <f t="array" ref="L11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67" t="str">
        <f>_xlfn.TEXTJOIN("#",TRUE,PartList[[#This Row],[ASSLY MARK]],PartList[[#This Row],[BOX NO]],PartList[[#This Row],[In/Out]],PartList[[#This Row],[O1-Grid]])</f>
        <v>4BE60#Box3#InB</v>
      </c>
      <c r="N1167" t="str">
        <f>_xlfn.TEXTJOIN("#",TRUE,PartList[[#This Row],[ASSLY MARK]],PartList[[#This Row],[BOX NO]],PartList[[#This Row],[In/Out]],PartList[[#This Row],[O2-Grid]])</f>
        <v>4BE60#Box3#InB</v>
      </c>
      <c r="O1167">
        <f>IF(PartList[[#This Row],[Unique]]="Yes",_xlfn.XLOOKUP(PartList[[#This Row],[ASSLY MARK]],FilteredPL!A:A,FilteredPL!B:B,0,0),0)</f>
        <v>0</v>
      </c>
      <c r="P1167">
        <f>_xlfn.XLOOKUP(PartList[[#This Row],[ASSLY MARK]],MasterPL[SplitMarkNo],MasterPL[BILL WT.(KG)],0,0)</f>
        <v>0</v>
      </c>
      <c r="Q1167" cm="1">
        <f t="array" ref="Q116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68" spans="1:17" x14ac:dyDescent="0.25">
      <c r="A1168">
        <v>546</v>
      </c>
      <c r="B1168" t="s">
        <v>796</v>
      </c>
      <c r="C1168" t="s">
        <v>521</v>
      </c>
      <c r="D1168" t="s">
        <v>307</v>
      </c>
      <c r="E1168" t="s">
        <v>5</v>
      </c>
      <c r="F1168" t="str" cm="1">
        <f t="array" ref="F1168">IF(SUM(IF(PartList[ASSLY MARK]=PartList[[#This Row],[ASSLY MARK]],1,0))&gt;1,"No","Yes")</f>
        <v>No</v>
      </c>
      <c r="G1168" t="str" cm="1">
        <f t="array" ref="G1168">_xlfn.TEXTJOIN("_",TRUE,TRIM(_xlfn.TEXTSPLIT(PartList[[#This Row],[GRID LOCATION]],{"PR01","/","-"})))</f>
        <v>14_15_A_B</v>
      </c>
      <c r="H1168" t="str" cm="1">
        <f t="array" ref="H116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68" cm="1">
        <f t="array" ref="I116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68" t="str">
        <f>IF(IFERROR(SEARCH("&gt;",PartList[[#This Row],[ID]]),0),"O",IF(IFERROR(SEARCH("&lt;",PartList[[#This Row],[ID]]),0),"I",""))</f>
        <v/>
      </c>
      <c r="K1168" t="str" cm="1">
        <f t="array" ref="K11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68" t="str" cm="1">
        <f t="array" ref="L11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68" t="str">
        <f>_xlfn.TEXTJOIN("#",TRUE,PartList[[#This Row],[ASSLY MARK]],PartList[[#This Row],[BOX NO]],PartList[[#This Row],[In/Out]],PartList[[#This Row],[O1-Grid]])</f>
        <v>4BE60#Box3#InB</v>
      </c>
      <c r="N1168" t="str">
        <f>_xlfn.TEXTJOIN("#",TRUE,PartList[[#This Row],[ASSLY MARK]],PartList[[#This Row],[BOX NO]],PartList[[#This Row],[In/Out]],PartList[[#This Row],[O2-Grid]])</f>
        <v>4BE60#Box3#InB</v>
      </c>
      <c r="O1168">
        <f>IF(PartList[[#This Row],[Unique]]="Yes",_xlfn.XLOOKUP(PartList[[#This Row],[ASSLY MARK]],FilteredPL!A:A,FilteredPL!B:B,0,0),0)</f>
        <v>0</v>
      </c>
      <c r="P1168">
        <f>_xlfn.XLOOKUP(PartList[[#This Row],[ASSLY MARK]],MasterPL[SplitMarkNo],MasterPL[BILL WT.(KG)],0,0)</f>
        <v>0</v>
      </c>
      <c r="Q1168" cm="1">
        <f t="array" ref="Q116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69" spans="1:17" x14ac:dyDescent="0.25">
      <c r="A1169">
        <v>547</v>
      </c>
      <c r="B1169" t="s">
        <v>797</v>
      </c>
      <c r="C1169" t="s">
        <v>526</v>
      </c>
      <c r="D1169" t="s">
        <v>307</v>
      </c>
      <c r="E1169" t="s">
        <v>5</v>
      </c>
      <c r="F1169" t="str" cm="1">
        <f t="array" ref="F1169">IF(SUM(IF(PartList[ASSLY MARK]=PartList[[#This Row],[ASSLY MARK]],1,0))&gt;1,"No","Yes")</f>
        <v>Yes</v>
      </c>
      <c r="G1169" t="str" cm="1">
        <f t="array" ref="G1169">_xlfn.TEXTJOIN("_",TRUE,TRIM(_xlfn.TEXTSPLIT(PartList[[#This Row],[GRID LOCATION]],{"PR01","/","-"})))</f>
        <v>14_15_A</v>
      </c>
      <c r="H1169" t="str" cm="1">
        <f t="array" ref="H116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69" cm="1">
        <f t="array" ref="I116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69" t="str">
        <f>IF(IFERROR(SEARCH("&gt;",PartList[[#This Row],[ID]]),0),"O",IF(IFERROR(SEARCH("&lt;",PartList[[#This Row],[ID]]),0),"I",""))</f>
        <v/>
      </c>
      <c r="K1169" t="str" cm="1">
        <f t="array" ref="K11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69" t="str" cm="1">
        <f t="array" ref="L11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69" t="str">
        <f>_xlfn.TEXTJOIN("#",TRUE,PartList[[#This Row],[ASSLY MARK]],PartList[[#This Row],[BOX NO]],PartList[[#This Row],[In/Out]],PartList[[#This Row],[O1-Grid]])</f>
        <v>4BE61#Box3_Box6#InBB</v>
      </c>
      <c r="N1169" t="str">
        <f>_xlfn.TEXTJOIN("#",TRUE,PartList[[#This Row],[ASSLY MARK]],PartList[[#This Row],[BOX NO]],PartList[[#This Row],[In/Out]],PartList[[#This Row],[O2-Grid]])</f>
        <v>4BE61#Box3_Box6#InBB</v>
      </c>
      <c r="O1169">
        <f>IF(PartList[[#This Row],[Unique]]="Yes",_xlfn.XLOOKUP(PartList[[#This Row],[ASSLY MARK]],FilteredPL!A:A,FilteredPL!B:B,0,0),0)</f>
        <v>0</v>
      </c>
      <c r="P1169">
        <f>_xlfn.XLOOKUP(PartList[[#This Row],[ASSLY MARK]],MasterPL[SplitMarkNo],MasterPL[BILL WT.(KG)],0,0)</f>
        <v>0</v>
      </c>
      <c r="Q1169" cm="1">
        <f t="array" ref="Q116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70" spans="1:17" x14ac:dyDescent="0.25">
      <c r="A1170">
        <v>548</v>
      </c>
      <c r="B1170" t="s">
        <v>798</v>
      </c>
      <c r="C1170" t="s">
        <v>527</v>
      </c>
      <c r="D1170" t="s">
        <v>307</v>
      </c>
      <c r="E1170" t="s">
        <v>5</v>
      </c>
      <c r="F1170" t="str" cm="1">
        <f t="array" ref="F1170">IF(SUM(IF(PartList[ASSLY MARK]=PartList[[#This Row],[ASSLY MARK]],1,0))&gt;1,"No","Yes")</f>
        <v>Yes</v>
      </c>
      <c r="G1170" t="str" cm="1">
        <f t="array" ref="G1170">_xlfn.TEXTJOIN("_",TRUE,TRIM(_xlfn.TEXTSPLIT(PartList[[#This Row],[GRID LOCATION]],{"PR01","/","-"})))</f>
        <v>14_15_B</v>
      </c>
      <c r="H1170" t="str" cm="1">
        <f t="array" ref="H117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70" cm="1">
        <f t="array" ref="I117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70" t="str">
        <f>IF(IFERROR(SEARCH("&gt;",PartList[[#This Row],[ID]]),0),"O",IF(IFERROR(SEARCH("&lt;",PartList[[#This Row],[ID]]),0),"I",""))</f>
        <v/>
      </c>
      <c r="K1170" t="str" cm="1">
        <f t="array" ref="K11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70" t="str" cm="1">
        <f t="array" ref="L11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70" t="str">
        <f>_xlfn.TEXTJOIN("#",TRUE,PartList[[#This Row],[ASSLY MARK]],PartList[[#This Row],[BOX NO]],PartList[[#This Row],[In/Out]],PartList[[#This Row],[O1-Grid]])</f>
        <v>4BE62#Box3_Box6#InBB</v>
      </c>
      <c r="N1170" t="str">
        <f>_xlfn.TEXTJOIN("#",TRUE,PartList[[#This Row],[ASSLY MARK]],PartList[[#This Row],[BOX NO]],PartList[[#This Row],[In/Out]],PartList[[#This Row],[O2-Grid]])</f>
        <v>4BE62#Box3_Box6#InBB</v>
      </c>
      <c r="O1170">
        <f>IF(PartList[[#This Row],[Unique]]="Yes",_xlfn.XLOOKUP(PartList[[#This Row],[ASSLY MARK]],FilteredPL!A:A,FilteredPL!B:B,0,0),0)</f>
        <v>0</v>
      </c>
      <c r="P1170">
        <f>_xlfn.XLOOKUP(PartList[[#This Row],[ASSLY MARK]],MasterPL[SplitMarkNo],MasterPL[BILL WT.(KG)],0,0)</f>
        <v>0</v>
      </c>
      <c r="Q1170" cm="1">
        <f t="array" ref="Q117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71" spans="1:17" x14ac:dyDescent="0.25">
      <c r="A1171">
        <v>549</v>
      </c>
      <c r="B1171" t="s">
        <v>799</v>
      </c>
      <c r="C1171" t="s">
        <v>800</v>
      </c>
      <c r="D1171" t="s">
        <v>736</v>
      </c>
      <c r="E1171" t="s">
        <v>5</v>
      </c>
      <c r="F1171" t="str" cm="1">
        <f t="array" ref="F1171">IF(SUM(IF(PartList[ASSLY MARK]=PartList[[#This Row],[ASSLY MARK]],1,0))&gt;1,"No","Yes")</f>
        <v>Yes</v>
      </c>
      <c r="G1171" t="str" cm="1">
        <f t="array" ref="G1171">_xlfn.TEXTJOIN("_",TRUE,TRIM(_xlfn.TEXTSPLIT(PartList[[#This Row],[GRID LOCATION]],{"PR01","/","-"})))</f>
        <v>15_A'_A</v>
      </c>
      <c r="H1171" t="str" cm="1">
        <f t="array" ref="H117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71" cm="1">
        <f t="array" ref="I117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71" t="str">
        <f>IF(IFERROR(SEARCH("&gt;",PartList[[#This Row],[ID]]),0),"O",IF(IFERROR(SEARCH("&lt;",PartList[[#This Row],[ID]]),0),"I",""))</f>
        <v/>
      </c>
      <c r="K1171" t="str" cm="1">
        <f t="array" ref="K11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71" t="str" cm="1">
        <f t="array" ref="L11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71" t="str">
        <f>_xlfn.TEXTJOIN("#",TRUE,PartList[[#This Row],[ASSLY MARK]],PartList[[#This Row],[BOX NO]],PartList[[#This Row],[In/Out]],PartList[[#This Row],[O1-Grid]])</f>
        <v>4BE63#Box3_Box6#InBB</v>
      </c>
      <c r="N1171" t="str">
        <f>_xlfn.TEXTJOIN("#",TRUE,PartList[[#This Row],[ASSLY MARK]],PartList[[#This Row],[BOX NO]],PartList[[#This Row],[In/Out]],PartList[[#This Row],[O2-Grid]])</f>
        <v>4BE63#Box3_Box6#InBB</v>
      </c>
      <c r="O1171">
        <f>IF(PartList[[#This Row],[Unique]]="Yes",_xlfn.XLOOKUP(PartList[[#This Row],[ASSLY MARK]],FilteredPL!A:A,FilteredPL!B:B,0,0),0)</f>
        <v>0</v>
      </c>
      <c r="P1171">
        <f>_xlfn.XLOOKUP(PartList[[#This Row],[ASSLY MARK]],MasterPL[SplitMarkNo],MasterPL[BILL WT.(KG)],0,0)</f>
        <v>0</v>
      </c>
      <c r="Q1171" cm="1">
        <f t="array" ref="Q117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72" spans="1:17" x14ac:dyDescent="0.25">
      <c r="A1172">
        <v>550</v>
      </c>
      <c r="B1172" t="s">
        <v>801</v>
      </c>
      <c r="C1172" t="s">
        <v>521</v>
      </c>
      <c r="D1172" t="s">
        <v>307</v>
      </c>
      <c r="E1172" t="s">
        <v>5</v>
      </c>
      <c r="F1172" t="str" cm="1">
        <f t="array" ref="F1172">IF(SUM(IF(PartList[ASSLY MARK]=PartList[[#This Row],[ASSLY MARK]],1,0))&gt;1,"No","Yes")</f>
        <v>Yes</v>
      </c>
      <c r="G1172" t="str" cm="1">
        <f t="array" ref="G1172">_xlfn.TEXTJOIN("_",TRUE,TRIM(_xlfn.TEXTSPLIT(PartList[[#This Row],[GRID LOCATION]],{"PR01","/","-"})))</f>
        <v>14_15_A_B</v>
      </c>
      <c r="H1172" t="str" cm="1">
        <f t="array" ref="H117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72" cm="1">
        <f t="array" ref="I117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72" t="str">
        <f>IF(IFERROR(SEARCH("&gt;",PartList[[#This Row],[ID]]),0),"O",IF(IFERROR(SEARCH("&lt;",PartList[[#This Row],[ID]]),0),"I",""))</f>
        <v/>
      </c>
      <c r="K1172" t="str" cm="1">
        <f t="array" ref="K11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72" t="str" cm="1">
        <f t="array" ref="L11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72" t="str">
        <f>_xlfn.TEXTJOIN("#",TRUE,PartList[[#This Row],[ASSLY MARK]],PartList[[#This Row],[BOX NO]],PartList[[#This Row],[In/Out]],PartList[[#This Row],[O1-Grid]])</f>
        <v>4BE64#Box3#InB</v>
      </c>
      <c r="N1172" t="str">
        <f>_xlfn.TEXTJOIN("#",TRUE,PartList[[#This Row],[ASSLY MARK]],PartList[[#This Row],[BOX NO]],PartList[[#This Row],[In/Out]],PartList[[#This Row],[O2-Grid]])</f>
        <v>4BE64#Box3#InB</v>
      </c>
      <c r="O1172">
        <f>IF(PartList[[#This Row],[Unique]]="Yes",_xlfn.XLOOKUP(PartList[[#This Row],[ASSLY MARK]],FilteredPL!A:A,FilteredPL!B:B,0,0),0)</f>
        <v>0</v>
      </c>
      <c r="P1172">
        <f>_xlfn.XLOOKUP(PartList[[#This Row],[ASSLY MARK]],MasterPL[SplitMarkNo],MasterPL[BILL WT.(KG)],0,0)</f>
        <v>0</v>
      </c>
      <c r="Q1172" cm="1">
        <f t="array" ref="Q117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73" spans="1:17" x14ac:dyDescent="0.25">
      <c r="A1173">
        <v>551</v>
      </c>
      <c r="B1173" t="s">
        <v>802</v>
      </c>
      <c r="C1173" t="s">
        <v>565</v>
      </c>
      <c r="D1173" t="s">
        <v>736</v>
      </c>
      <c r="E1173" t="s">
        <v>5</v>
      </c>
      <c r="F1173" t="str" cm="1">
        <f t="array" ref="F1173">IF(SUM(IF(PartList[ASSLY MARK]=PartList[[#This Row],[ASSLY MARK]],1,0))&gt;1,"No","Yes")</f>
        <v>Yes</v>
      </c>
      <c r="G1173" t="str" cm="1">
        <f t="array" ref="G1173">_xlfn.TEXTJOIN("_",TRUE,TRIM(_xlfn.TEXTSPLIT(PartList[[#This Row],[GRID LOCATION]],{"PR01","/","-"})))</f>
        <v>15_A_B</v>
      </c>
      <c r="H1173" t="str" cm="1">
        <f t="array" ref="H117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73" cm="1">
        <f t="array" ref="I117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73" t="str">
        <f>IF(IFERROR(SEARCH("&gt;",PartList[[#This Row],[ID]]),0),"O",IF(IFERROR(SEARCH("&lt;",PartList[[#This Row],[ID]]),0),"I",""))</f>
        <v/>
      </c>
      <c r="K1173" t="str" cm="1">
        <f t="array" ref="K11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15_A_B</v>
      </c>
      <c r="L1173" t="str" cm="1">
        <f t="array" ref="L11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73" t="str">
        <f>_xlfn.TEXTJOIN("#",TRUE,PartList[[#This Row],[ASSLY MARK]],PartList[[#This Row],[BOX NO]],PartList[[#This Row],[In/Out]],PartList[[#This Row],[O1-Grid]])</f>
        <v>4BE65#Box3#15_A_B</v>
      </c>
      <c r="N1173" t="str">
        <f>_xlfn.TEXTJOIN("#",TRUE,PartList[[#This Row],[ASSLY MARK]],PartList[[#This Row],[BOX NO]],PartList[[#This Row],[In/Out]],PartList[[#This Row],[O2-Grid]])</f>
        <v>4BE65#Box3#InB</v>
      </c>
      <c r="O1173">
        <f>IF(PartList[[#This Row],[Unique]]="Yes",_xlfn.XLOOKUP(PartList[[#This Row],[ASSLY MARK]],FilteredPL!A:A,FilteredPL!B:B,0,0),0)</f>
        <v>0</v>
      </c>
      <c r="P1173">
        <f>_xlfn.XLOOKUP(PartList[[#This Row],[ASSLY MARK]],MasterPL[SplitMarkNo],MasterPL[BILL WT.(KG)],0,0)</f>
        <v>0</v>
      </c>
      <c r="Q1173" cm="1">
        <f t="array" ref="Q117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74" spans="1:17" x14ac:dyDescent="0.25">
      <c r="A1174">
        <v>552</v>
      </c>
      <c r="B1174" t="s">
        <v>803</v>
      </c>
      <c r="C1174" t="s">
        <v>524</v>
      </c>
      <c r="D1174" t="s">
        <v>736</v>
      </c>
      <c r="E1174" t="s">
        <v>5</v>
      </c>
      <c r="F1174" t="str" cm="1">
        <f t="array" ref="F1174">IF(SUM(IF(PartList[ASSLY MARK]=PartList[[#This Row],[ASSLY MARK]],1,0))&gt;1,"No","Yes")</f>
        <v>Yes</v>
      </c>
      <c r="G1174" t="str" cm="1">
        <f t="array" ref="G1174">_xlfn.TEXTJOIN("_",TRUE,TRIM(_xlfn.TEXTSPLIT(PartList[[#This Row],[GRID LOCATION]],{"PR01","/","-"})))</f>
        <v>15_B&gt;</v>
      </c>
      <c r="H1174" t="str" cm="1">
        <f t="array" ref="H117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74" cm="1">
        <f t="array" ref="I117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74" t="str">
        <f>IF(IFERROR(SEARCH("&gt;",PartList[[#This Row],[ID]]),0),"O",IF(IFERROR(SEARCH("&lt;",PartList[[#This Row],[ID]]),0),"I",""))</f>
        <v>O</v>
      </c>
      <c r="K1174" t="str" cm="1">
        <f t="array" ref="K11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74" t="str" cm="1">
        <f t="array" ref="L11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74" t="str">
        <f>_xlfn.TEXTJOIN("#",TRUE,PartList[[#This Row],[ASSLY MARK]],PartList[[#This Row],[BOX NO]],PartList[[#This Row],[In/Out]],PartList[[#This Row],[O1-Grid]])</f>
        <v>4BE66#Box3#O</v>
      </c>
      <c r="N1174" t="str">
        <f>_xlfn.TEXTJOIN("#",TRUE,PartList[[#This Row],[ASSLY MARK]],PartList[[#This Row],[BOX NO]],PartList[[#This Row],[In/Out]],PartList[[#This Row],[O2-Grid]])</f>
        <v>4BE66#Box3#O</v>
      </c>
      <c r="O1174">
        <f>IF(PartList[[#This Row],[Unique]]="Yes",_xlfn.XLOOKUP(PartList[[#This Row],[ASSLY MARK]],FilteredPL!A:A,FilteredPL!B:B,0,0),0)</f>
        <v>0</v>
      </c>
      <c r="P1174">
        <f>_xlfn.XLOOKUP(PartList[[#This Row],[ASSLY MARK]],MasterPL[SplitMarkNo],MasterPL[BILL WT.(KG)],0,0)</f>
        <v>0</v>
      </c>
      <c r="Q1174" cm="1">
        <f t="array" ref="Q117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75" spans="1:17" x14ac:dyDescent="0.25">
      <c r="A1175">
        <v>553</v>
      </c>
      <c r="B1175" t="s">
        <v>804</v>
      </c>
      <c r="C1175" t="s">
        <v>525</v>
      </c>
      <c r="D1175" t="s">
        <v>737</v>
      </c>
      <c r="E1175" t="s">
        <v>5</v>
      </c>
      <c r="F1175" t="str" cm="1">
        <f t="array" ref="F1175">IF(SUM(IF(PartList[ASSLY MARK]=PartList[[#This Row],[ASSLY MARK]],1,0))&gt;1,"No","Yes")</f>
        <v>Yes</v>
      </c>
      <c r="G1175" t="str" cm="1">
        <f t="array" ref="G1175">_xlfn.TEXTJOIN("_",TRUE,TRIM(_xlfn.TEXTSPLIT(PartList[[#This Row],[GRID LOCATION]],{"PR01","/","-"})))</f>
        <v>15&gt;_B</v>
      </c>
      <c r="H1175" t="str" cm="1">
        <f t="array" ref="H117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75" cm="1">
        <f t="array" ref="I117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75" t="str">
        <f>IF(IFERROR(SEARCH("&gt;",PartList[[#This Row],[ID]]),0),"O",IF(IFERROR(SEARCH("&lt;",PartList[[#This Row],[ID]]),0),"I",""))</f>
        <v>O</v>
      </c>
      <c r="K1175" t="str" cm="1">
        <f t="array" ref="K11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75" t="str" cm="1">
        <f t="array" ref="L11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75" t="str">
        <f>_xlfn.TEXTJOIN("#",TRUE,PartList[[#This Row],[ASSLY MARK]],PartList[[#This Row],[BOX NO]],PartList[[#This Row],[In/Out]],PartList[[#This Row],[O1-Grid]])</f>
        <v>4BE67#Box3#O</v>
      </c>
      <c r="N1175" t="str">
        <f>_xlfn.TEXTJOIN("#",TRUE,PartList[[#This Row],[ASSLY MARK]],PartList[[#This Row],[BOX NO]],PartList[[#This Row],[In/Out]],PartList[[#This Row],[O2-Grid]])</f>
        <v>4BE67#Box3#O</v>
      </c>
      <c r="O1175">
        <f>IF(PartList[[#This Row],[Unique]]="Yes",_xlfn.XLOOKUP(PartList[[#This Row],[ASSLY MARK]],FilteredPL!A:A,FilteredPL!B:B,0,0),0)</f>
        <v>0</v>
      </c>
      <c r="P1175">
        <f>_xlfn.XLOOKUP(PartList[[#This Row],[ASSLY MARK]],MasterPL[SplitMarkNo],MasterPL[BILL WT.(KG)],0,0)</f>
        <v>0</v>
      </c>
      <c r="Q1175" cm="1">
        <f t="array" ref="Q117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76" spans="1:17" x14ac:dyDescent="0.25">
      <c r="A1176">
        <v>554</v>
      </c>
      <c r="B1176" t="s">
        <v>805</v>
      </c>
      <c r="C1176" t="s">
        <v>527</v>
      </c>
      <c r="D1176" t="s">
        <v>736</v>
      </c>
      <c r="E1176" t="s">
        <v>5</v>
      </c>
      <c r="F1176" t="str" cm="1">
        <f t="array" ref="F1176">IF(SUM(IF(PartList[ASSLY MARK]=PartList[[#This Row],[ASSLY MARK]],1,0))&gt;1,"No","Yes")</f>
        <v>No</v>
      </c>
      <c r="G1176" t="str" cm="1">
        <f t="array" ref="G1176">_xlfn.TEXTJOIN("_",TRUE,TRIM(_xlfn.TEXTSPLIT(PartList[[#This Row],[GRID LOCATION]],{"PR01","/","-"})))</f>
        <v>14_15_B</v>
      </c>
      <c r="H1176" t="str" cm="1">
        <f t="array" ref="H117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76" cm="1">
        <f t="array" ref="I117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76" t="str">
        <f>IF(IFERROR(SEARCH("&gt;",PartList[[#This Row],[ID]]),0),"O",IF(IFERROR(SEARCH("&lt;",PartList[[#This Row],[ID]]),0),"I",""))</f>
        <v/>
      </c>
      <c r="K1176" t="str" cm="1">
        <f t="array" ref="K11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76" t="str" cm="1">
        <f t="array" ref="L11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76" t="str">
        <f>_xlfn.TEXTJOIN("#",TRUE,PartList[[#This Row],[ASSLY MARK]],PartList[[#This Row],[BOX NO]],PartList[[#This Row],[In/Out]],PartList[[#This Row],[O1-Grid]])</f>
        <v>4BE69#Box3_Box6#InBB</v>
      </c>
      <c r="N1176" t="str">
        <f>_xlfn.TEXTJOIN("#",TRUE,PartList[[#This Row],[ASSLY MARK]],PartList[[#This Row],[BOX NO]],PartList[[#This Row],[In/Out]],PartList[[#This Row],[O2-Grid]])</f>
        <v>4BE69#Box3_Box6#InBB</v>
      </c>
      <c r="O1176">
        <f>IF(PartList[[#This Row],[Unique]]="Yes",_xlfn.XLOOKUP(PartList[[#This Row],[ASSLY MARK]],FilteredPL!A:A,FilteredPL!B:B,0,0),0)</f>
        <v>0</v>
      </c>
      <c r="P1176">
        <f>_xlfn.XLOOKUP(PartList[[#This Row],[ASSLY MARK]],MasterPL[SplitMarkNo],MasterPL[BILL WT.(KG)],0,0)</f>
        <v>0</v>
      </c>
      <c r="Q1176" cm="1">
        <f t="array" ref="Q117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77" spans="1:17" x14ac:dyDescent="0.25">
      <c r="A1177">
        <v>555</v>
      </c>
      <c r="B1177" t="s">
        <v>805</v>
      </c>
      <c r="C1177" t="s">
        <v>526</v>
      </c>
      <c r="D1177" t="s">
        <v>736</v>
      </c>
      <c r="E1177" t="s">
        <v>5</v>
      </c>
      <c r="F1177" t="str" cm="1">
        <f t="array" ref="F1177">IF(SUM(IF(PartList[ASSLY MARK]=PartList[[#This Row],[ASSLY MARK]],1,0))&gt;1,"No","Yes")</f>
        <v>No</v>
      </c>
      <c r="G1177" t="str" cm="1">
        <f t="array" ref="G1177">_xlfn.TEXTJOIN("_",TRUE,TRIM(_xlfn.TEXTSPLIT(PartList[[#This Row],[GRID LOCATION]],{"PR01","/","-"})))</f>
        <v>14_15_A</v>
      </c>
      <c r="H1177" t="str" cm="1">
        <f t="array" ref="H117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77" cm="1">
        <f t="array" ref="I117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77" t="str">
        <f>IF(IFERROR(SEARCH("&gt;",PartList[[#This Row],[ID]]),0),"O",IF(IFERROR(SEARCH("&lt;",PartList[[#This Row],[ID]]),0),"I",""))</f>
        <v/>
      </c>
      <c r="K1177" t="str" cm="1">
        <f t="array" ref="K11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77" t="str" cm="1">
        <f t="array" ref="L11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77" t="str">
        <f>_xlfn.TEXTJOIN("#",TRUE,PartList[[#This Row],[ASSLY MARK]],PartList[[#This Row],[BOX NO]],PartList[[#This Row],[In/Out]],PartList[[#This Row],[O1-Grid]])</f>
        <v>4BE69#Box3_Box6#InBB</v>
      </c>
      <c r="N1177" t="str">
        <f>_xlfn.TEXTJOIN("#",TRUE,PartList[[#This Row],[ASSLY MARK]],PartList[[#This Row],[BOX NO]],PartList[[#This Row],[In/Out]],PartList[[#This Row],[O2-Grid]])</f>
        <v>4BE69#Box3_Box6#InBB</v>
      </c>
      <c r="O1177">
        <f>IF(PartList[[#This Row],[Unique]]="Yes",_xlfn.XLOOKUP(PartList[[#This Row],[ASSLY MARK]],FilteredPL!A:A,FilteredPL!B:B,0,0),0)</f>
        <v>0</v>
      </c>
      <c r="P1177">
        <f>_xlfn.XLOOKUP(PartList[[#This Row],[ASSLY MARK]],MasterPL[SplitMarkNo],MasterPL[BILL WT.(KG)],0,0)</f>
        <v>0</v>
      </c>
      <c r="Q1177" cm="1">
        <f t="array" ref="Q117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78" spans="1:17" x14ac:dyDescent="0.25">
      <c r="A1178">
        <v>558</v>
      </c>
      <c r="B1178" t="s">
        <v>808</v>
      </c>
      <c r="C1178" t="s">
        <v>521</v>
      </c>
      <c r="D1178" t="s">
        <v>736</v>
      </c>
      <c r="E1178" t="s">
        <v>128</v>
      </c>
      <c r="F1178" t="str" cm="1">
        <f t="array" ref="F1178">IF(SUM(IF(PartList[ASSLY MARK]=PartList[[#This Row],[ASSLY MARK]],1,0))&gt;1,"No","Yes")</f>
        <v>Yes</v>
      </c>
      <c r="G1178" t="str" cm="1">
        <f t="array" ref="G1178">_xlfn.TEXTJOIN("_",TRUE,TRIM(_xlfn.TEXTSPLIT(PartList[[#This Row],[GRID LOCATION]],{"PR01","/","-"})))</f>
        <v>14_15_A_B</v>
      </c>
      <c r="H1178" t="str" cm="1">
        <f t="array" ref="H117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78" cm="1">
        <f t="array" ref="I117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78" t="str">
        <f>IF(IFERROR(SEARCH("&gt;",PartList[[#This Row],[ID]]),0),"O",IF(IFERROR(SEARCH("&lt;",PartList[[#This Row],[ID]]),0),"I",""))</f>
        <v/>
      </c>
      <c r="K1178" t="str" cm="1">
        <f t="array" ref="K11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78" t="str" cm="1">
        <f t="array" ref="L11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78" t="str">
        <f>_xlfn.TEXTJOIN("#",TRUE,PartList[[#This Row],[ASSLY MARK]],PartList[[#This Row],[BOX NO]],PartList[[#This Row],[In/Out]],PartList[[#This Row],[O1-Grid]])</f>
        <v>4FR02#Box3#InB</v>
      </c>
      <c r="N1178" t="str">
        <f>_xlfn.TEXTJOIN("#",TRUE,PartList[[#This Row],[ASSLY MARK]],PartList[[#This Row],[BOX NO]],PartList[[#This Row],[In/Out]],PartList[[#This Row],[O2-Grid]])</f>
        <v>4FR02#Box3#InB</v>
      </c>
      <c r="O1178">
        <f>IF(PartList[[#This Row],[Unique]]="Yes",_xlfn.XLOOKUP(PartList[[#This Row],[ASSLY MARK]],FilteredPL!A:A,FilteredPL!B:B,0,0),0)</f>
        <v>0</v>
      </c>
      <c r="P1178">
        <f>_xlfn.XLOOKUP(PartList[[#This Row],[ASSLY MARK]],MasterPL[SplitMarkNo],MasterPL[BILL WT.(KG)],0,0)</f>
        <v>0</v>
      </c>
      <c r="Q1178" cm="1">
        <f t="array" ref="Q117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79" spans="1:17" x14ac:dyDescent="0.25">
      <c r="A1179">
        <v>604</v>
      </c>
      <c r="B1179" t="s">
        <v>842</v>
      </c>
      <c r="C1179" t="s">
        <v>522</v>
      </c>
      <c r="D1179" t="s">
        <v>819</v>
      </c>
      <c r="E1179" t="s">
        <v>6</v>
      </c>
      <c r="F1179" t="str" cm="1">
        <f t="array" ref="F1179">IF(SUM(IF(PartList[ASSLY MARK]=PartList[[#This Row],[ASSLY MARK]],1,0))&gt;1,"No","Yes")</f>
        <v>Yes</v>
      </c>
      <c r="G1179" t="str" cm="1">
        <f t="array" ref="G1179">_xlfn.TEXTJOIN("_",TRUE,TRIM(_xlfn.TEXTSPLIT(PartList[[#This Row],[GRID LOCATION]],{"PR01","/","-"})))</f>
        <v>14_15_B&gt;</v>
      </c>
      <c r="H1179" t="str" cm="1">
        <f t="array" ref="H117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79" cm="1">
        <f t="array" ref="I117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79" t="str">
        <f>IF(IFERROR(SEARCH("&gt;",PartList[[#This Row],[ID]]),0),"O",IF(IFERROR(SEARCH("&lt;",PartList[[#This Row],[ID]]),0),"I",""))</f>
        <v>O</v>
      </c>
      <c r="K1179" t="str" cm="1">
        <f t="array" ref="K11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79" t="str" cm="1">
        <f t="array" ref="L11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79" t="str">
        <f>_xlfn.TEXTJOIN("#",TRUE,PartList[[#This Row],[ASSLY MARK]],PartList[[#This Row],[BOX NO]],PartList[[#This Row],[In/Out]],PartList[[#This Row],[O1-Grid]])</f>
        <v>4HB35#Box3_Box6#O</v>
      </c>
      <c r="N1179" t="str">
        <f>_xlfn.TEXTJOIN("#",TRUE,PartList[[#This Row],[ASSLY MARK]],PartList[[#This Row],[BOX NO]],PartList[[#This Row],[In/Out]],PartList[[#This Row],[O2-Grid]])</f>
        <v>4HB35#Box3_Box6#O</v>
      </c>
      <c r="O1179">
        <f>IF(PartList[[#This Row],[Unique]]="Yes",_xlfn.XLOOKUP(PartList[[#This Row],[ASSLY MARK]],FilteredPL!A:A,FilteredPL!B:B,0,0),0)</f>
        <v>0</v>
      </c>
      <c r="P1179">
        <f>_xlfn.XLOOKUP(PartList[[#This Row],[ASSLY MARK]],MasterPL[SplitMarkNo],MasterPL[BILL WT.(KG)],0,0)</f>
        <v>0</v>
      </c>
      <c r="Q1179" cm="1">
        <f t="array" ref="Q117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80" spans="1:17" x14ac:dyDescent="0.25">
      <c r="A1180">
        <v>605</v>
      </c>
      <c r="B1180" t="s">
        <v>843</v>
      </c>
      <c r="C1180" t="s">
        <v>522</v>
      </c>
      <c r="D1180" t="s">
        <v>818</v>
      </c>
      <c r="E1180" t="s">
        <v>6</v>
      </c>
      <c r="F1180" t="str" cm="1">
        <f t="array" ref="F1180">IF(SUM(IF(PartList[ASSLY MARK]=PartList[[#This Row],[ASSLY MARK]],1,0))&gt;1,"No","Yes")</f>
        <v>Yes</v>
      </c>
      <c r="G1180" t="str" cm="1">
        <f t="array" ref="G1180">_xlfn.TEXTJOIN("_",TRUE,TRIM(_xlfn.TEXTSPLIT(PartList[[#This Row],[GRID LOCATION]],{"PR01","/","-"})))</f>
        <v>14_15_B&gt;</v>
      </c>
      <c r="H1180" t="str" cm="1">
        <f t="array" ref="H118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80" cm="1">
        <f t="array" ref="I118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80" t="str">
        <f>IF(IFERROR(SEARCH("&gt;",PartList[[#This Row],[ID]]),0),"O",IF(IFERROR(SEARCH("&lt;",PartList[[#This Row],[ID]]),0),"I",""))</f>
        <v>O</v>
      </c>
      <c r="K1180" t="str" cm="1">
        <f t="array" ref="K11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80" t="str" cm="1">
        <f t="array" ref="L11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80" t="str">
        <f>_xlfn.TEXTJOIN("#",TRUE,PartList[[#This Row],[ASSLY MARK]],PartList[[#This Row],[BOX NO]],PartList[[#This Row],[In/Out]],PartList[[#This Row],[O1-Grid]])</f>
        <v>4HB36#Box3_Box6#O</v>
      </c>
      <c r="N1180" t="str">
        <f>_xlfn.TEXTJOIN("#",TRUE,PartList[[#This Row],[ASSLY MARK]],PartList[[#This Row],[BOX NO]],PartList[[#This Row],[In/Out]],PartList[[#This Row],[O2-Grid]])</f>
        <v>4HB36#Box3_Box6#O</v>
      </c>
      <c r="O1180">
        <f>IF(PartList[[#This Row],[Unique]]="Yes",_xlfn.XLOOKUP(PartList[[#This Row],[ASSLY MARK]],FilteredPL!A:A,FilteredPL!B:B,0,0),0)</f>
        <v>0</v>
      </c>
      <c r="P1180">
        <f>_xlfn.XLOOKUP(PartList[[#This Row],[ASSLY MARK]],MasterPL[SplitMarkNo],MasterPL[BILL WT.(KG)],0,0)</f>
        <v>0</v>
      </c>
      <c r="Q1180" cm="1">
        <f t="array" ref="Q118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81" spans="1:17" x14ac:dyDescent="0.25">
      <c r="A1181">
        <v>606</v>
      </c>
      <c r="B1181" t="s">
        <v>844</v>
      </c>
      <c r="C1181" t="s">
        <v>521</v>
      </c>
      <c r="D1181" t="s">
        <v>818</v>
      </c>
      <c r="E1181" t="s">
        <v>6</v>
      </c>
      <c r="F1181" t="str" cm="1">
        <f t="array" ref="F1181">IF(SUM(IF(PartList[ASSLY MARK]=PartList[[#This Row],[ASSLY MARK]],1,0))&gt;1,"No","Yes")</f>
        <v>Yes</v>
      </c>
      <c r="G1181" t="str" cm="1">
        <f t="array" ref="G1181">_xlfn.TEXTJOIN("_",TRUE,TRIM(_xlfn.TEXTSPLIT(PartList[[#This Row],[GRID LOCATION]],{"PR01","/","-"})))</f>
        <v>14_15_A_B</v>
      </c>
      <c r="H1181" t="str" cm="1">
        <f t="array" ref="H118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81" cm="1">
        <f t="array" ref="I118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81" t="str">
        <f>IF(IFERROR(SEARCH("&gt;",PartList[[#This Row],[ID]]),0),"O",IF(IFERROR(SEARCH("&lt;",PartList[[#This Row],[ID]]),0),"I",""))</f>
        <v/>
      </c>
      <c r="K1181" t="str" cm="1">
        <f t="array" ref="K11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81" t="str" cm="1">
        <f t="array" ref="L11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81" t="str">
        <f>_xlfn.TEXTJOIN("#",TRUE,PartList[[#This Row],[ASSLY MARK]],PartList[[#This Row],[BOX NO]],PartList[[#This Row],[In/Out]],PartList[[#This Row],[O1-Grid]])</f>
        <v>4HB37#Box3#InB</v>
      </c>
      <c r="N1181" t="str">
        <f>_xlfn.TEXTJOIN("#",TRUE,PartList[[#This Row],[ASSLY MARK]],PartList[[#This Row],[BOX NO]],PartList[[#This Row],[In/Out]],PartList[[#This Row],[O2-Grid]])</f>
        <v>4HB37#Box3#InB</v>
      </c>
      <c r="O1181">
        <f>IF(PartList[[#This Row],[Unique]]="Yes",_xlfn.XLOOKUP(PartList[[#This Row],[ASSLY MARK]],FilteredPL!A:A,FilteredPL!B:B,0,0),0)</f>
        <v>0</v>
      </c>
      <c r="P1181">
        <f>_xlfn.XLOOKUP(PartList[[#This Row],[ASSLY MARK]],MasterPL[SplitMarkNo],MasterPL[BILL WT.(KG)],0,0)</f>
        <v>0</v>
      </c>
      <c r="Q1181" cm="1">
        <f t="array" ref="Q118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82" spans="1:17" x14ac:dyDescent="0.25">
      <c r="A1182">
        <v>608</v>
      </c>
      <c r="B1182" t="s">
        <v>846</v>
      </c>
      <c r="C1182" t="s">
        <v>521</v>
      </c>
      <c r="D1182" t="s">
        <v>818</v>
      </c>
      <c r="E1182" t="s">
        <v>6</v>
      </c>
      <c r="F1182" t="str" cm="1">
        <f t="array" ref="F1182">IF(SUM(IF(PartList[ASSLY MARK]=PartList[[#This Row],[ASSLY MARK]],1,0))&gt;1,"No","Yes")</f>
        <v>Yes</v>
      </c>
      <c r="G1182" t="str" cm="1">
        <f t="array" ref="G1182">_xlfn.TEXTJOIN("_",TRUE,TRIM(_xlfn.TEXTSPLIT(PartList[[#This Row],[GRID LOCATION]],{"PR01","/","-"})))</f>
        <v>14_15_A_B</v>
      </c>
      <c r="H1182" t="str" cm="1">
        <f t="array" ref="H118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82" cm="1">
        <f t="array" ref="I118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82" t="str">
        <f>IF(IFERROR(SEARCH("&gt;",PartList[[#This Row],[ID]]),0),"O",IF(IFERROR(SEARCH("&lt;",PartList[[#This Row],[ID]]),0),"I",""))</f>
        <v/>
      </c>
      <c r="K1182" t="str" cm="1">
        <f t="array" ref="K11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82" t="str" cm="1">
        <f t="array" ref="L11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82" t="str">
        <f>_xlfn.TEXTJOIN("#",TRUE,PartList[[#This Row],[ASSLY MARK]],PartList[[#This Row],[BOX NO]],PartList[[#This Row],[In/Out]],PartList[[#This Row],[O1-Grid]])</f>
        <v>4HB39#Box3#InB</v>
      </c>
      <c r="N1182" t="str">
        <f>_xlfn.TEXTJOIN("#",TRUE,PartList[[#This Row],[ASSLY MARK]],PartList[[#This Row],[BOX NO]],PartList[[#This Row],[In/Out]],PartList[[#This Row],[O2-Grid]])</f>
        <v>4HB39#Box3#InB</v>
      </c>
      <c r="O1182">
        <f>IF(PartList[[#This Row],[Unique]]="Yes",_xlfn.XLOOKUP(PartList[[#This Row],[ASSLY MARK]],FilteredPL!A:A,FilteredPL!B:B,0,0),0)</f>
        <v>0</v>
      </c>
      <c r="P1182">
        <f>_xlfn.XLOOKUP(PartList[[#This Row],[ASSLY MARK]],MasterPL[SplitMarkNo],MasterPL[BILL WT.(KG)],0,0)</f>
        <v>0</v>
      </c>
      <c r="Q1182" cm="1">
        <f t="array" ref="Q118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83" spans="1:17" x14ac:dyDescent="0.25">
      <c r="A1183">
        <v>609</v>
      </c>
      <c r="B1183" t="s">
        <v>847</v>
      </c>
      <c r="C1183" t="s">
        <v>521</v>
      </c>
      <c r="D1183" t="s">
        <v>818</v>
      </c>
      <c r="E1183" t="s">
        <v>6</v>
      </c>
      <c r="F1183" t="str" cm="1">
        <f t="array" ref="F1183">IF(SUM(IF(PartList[ASSLY MARK]=PartList[[#This Row],[ASSLY MARK]],1,0))&gt;1,"No","Yes")</f>
        <v>Yes</v>
      </c>
      <c r="G1183" t="str" cm="1">
        <f t="array" ref="G1183">_xlfn.TEXTJOIN("_",TRUE,TRIM(_xlfn.TEXTSPLIT(PartList[[#This Row],[GRID LOCATION]],{"PR01","/","-"})))</f>
        <v>14_15_A_B</v>
      </c>
      <c r="H1183" t="str" cm="1">
        <f t="array" ref="H118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83" cm="1">
        <f t="array" ref="I118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83" t="str">
        <f>IF(IFERROR(SEARCH("&gt;",PartList[[#This Row],[ID]]),0),"O",IF(IFERROR(SEARCH("&lt;",PartList[[#This Row],[ID]]),0),"I",""))</f>
        <v/>
      </c>
      <c r="K1183" t="str" cm="1">
        <f t="array" ref="K11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83" t="str" cm="1">
        <f t="array" ref="L11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83" t="str">
        <f>_xlfn.TEXTJOIN("#",TRUE,PartList[[#This Row],[ASSLY MARK]],PartList[[#This Row],[BOX NO]],PartList[[#This Row],[In/Out]],PartList[[#This Row],[O1-Grid]])</f>
        <v>4HB40#Box3#InB</v>
      </c>
      <c r="N1183" t="str">
        <f>_xlfn.TEXTJOIN("#",TRUE,PartList[[#This Row],[ASSLY MARK]],PartList[[#This Row],[BOX NO]],PartList[[#This Row],[In/Out]],PartList[[#This Row],[O2-Grid]])</f>
        <v>4HB40#Box3#InB</v>
      </c>
      <c r="O1183">
        <f>IF(PartList[[#This Row],[Unique]]="Yes",_xlfn.XLOOKUP(PartList[[#This Row],[ASSLY MARK]],FilteredPL!A:A,FilteredPL!B:B,0,0),0)</f>
        <v>0</v>
      </c>
      <c r="P1183">
        <f>_xlfn.XLOOKUP(PartList[[#This Row],[ASSLY MARK]],MasterPL[SplitMarkNo],MasterPL[BILL WT.(KG)],0,0)</f>
        <v>0</v>
      </c>
      <c r="Q1183" cm="1">
        <f t="array" ref="Q118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84" spans="1:17" x14ac:dyDescent="0.25">
      <c r="A1184">
        <v>610</v>
      </c>
      <c r="B1184" t="s">
        <v>848</v>
      </c>
      <c r="C1184" t="s">
        <v>521</v>
      </c>
      <c r="D1184" t="s">
        <v>818</v>
      </c>
      <c r="E1184" t="s">
        <v>6</v>
      </c>
      <c r="F1184" t="str" cm="1">
        <f t="array" ref="F1184">IF(SUM(IF(PartList[ASSLY MARK]=PartList[[#This Row],[ASSLY MARK]],1,0))&gt;1,"No","Yes")</f>
        <v>Yes</v>
      </c>
      <c r="G1184" t="str" cm="1">
        <f t="array" ref="G1184">_xlfn.TEXTJOIN("_",TRUE,TRIM(_xlfn.TEXTSPLIT(PartList[[#This Row],[GRID LOCATION]],{"PR01","/","-"})))</f>
        <v>14_15_A_B</v>
      </c>
      <c r="H1184" t="str" cm="1">
        <f t="array" ref="H118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84" cm="1">
        <f t="array" ref="I118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84" t="str">
        <f>IF(IFERROR(SEARCH("&gt;",PartList[[#This Row],[ID]]),0),"O",IF(IFERROR(SEARCH("&lt;",PartList[[#This Row],[ID]]),0),"I",""))</f>
        <v/>
      </c>
      <c r="K1184" t="str" cm="1">
        <f t="array" ref="K11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84" t="str" cm="1">
        <f t="array" ref="L11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84" t="str">
        <f>_xlfn.TEXTJOIN("#",TRUE,PartList[[#This Row],[ASSLY MARK]],PartList[[#This Row],[BOX NO]],PartList[[#This Row],[In/Out]],PartList[[#This Row],[O1-Grid]])</f>
        <v>4HB41#Box3#InB</v>
      </c>
      <c r="N1184" t="str">
        <f>_xlfn.TEXTJOIN("#",TRUE,PartList[[#This Row],[ASSLY MARK]],PartList[[#This Row],[BOX NO]],PartList[[#This Row],[In/Out]],PartList[[#This Row],[O2-Grid]])</f>
        <v>4HB41#Box3#InB</v>
      </c>
      <c r="O1184">
        <f>IF(PartList[[#This Row],[Unique]]="Yes",_xlfn.XLOOKUP(PartList[[#This Row],[ASSLY MARK]],FilteredPL!A:A,FilteredPL!B:B,0,0),0)</f>
        <v>0</v>
      </c>
      <c r="P1184">
        <f>_xlfn.XLOOKUP(PartList[[#This Row],[ASSLY MARK]],MasterPL[SplitMarkNo],MasterPL[BILL WT.(KG)],0,0)</f>
        <v>0</v>
      </c>
      <c r="Q1184" cm="1">
        <f t="array" ref="Q118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85" spans="1:17" x14ac:dyDescent="0.25">
      <c r="A1185">
        <v>611</v>
      </c>
      <c r="B1185" t="s">
        <v>849</v>
      </c>
      <c r="C1185" t="s">
        <v>521</v>
      </c>
      <c r="D1185" t="s">
        <v>818</v>
      </c>
      <c r="E1185" t="s">
        <v>6</v>
      </c>
      <c r="F1185" t="str" cm="1">
        <f t="array" ref="F1185">IF(SUM(IF(PartList[ASSLY MARK]=PartList[[#This Row],[ASSLY MARK]],1,0))&gt;1,"No","Yes")</f>
        <v>Yes</v>
      </c>
      <c r="G1185" t="str" cm="1">
        <f t="array" ref="G1185">_xlfn.TEXTJOIN("_",TRUE,TRIM(_xlfn.TEXTSPLIT(PartList[[#This Row],[GRID LOCATION]],{"PR01","/","-"})))</f>
        <v>14_15_A_B</v>
      </c>
      <c r="H1185" t="str" cm="1">
        <f t="array" ref="H118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85" cm="1">
        <f t="array" ref="I118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85" t="str">
        <f>IF(IFERROR(SEARCH("&gt;",PartList[[#This Row],[ID]]),0),"O",IF(IFERROR(SEARCH("&lt;",PartList[[#This Row],[ID]]),0),"I",""))</f>
        <v/>
      </c>
      <c r="K1185" t="str" cm="1">
        <f t="array" ref="K11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85" t="str" cm="1">
        <f t="array" ref="L11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85" t="str">
        <f>_xlfn.TEXTJOIN("#",TRUE,PartList[[#This Row],[ASSLY MARK]],PartList[[#This Row],[BOX NO]],PartList[[#This Row],[In/Out]],PartList[[#This Row],[O1-Grid]])</f>
        <v>4HB42#Box3#InB</v>
      </c>
      <c r="N1185" t="str">
        <f>_xlfn.TEXTJOIN("#",TRUE,PartList[[#This Row],[ASSLY MARK]],PartList[[#This Row],[BOX NO]],PartList[[#This Row],[In/Out]],PartList[[#This Row],[O2-Grid]])</f>
        <v>4HB42#Box3#InB</v>
      </c>
      <c r="O1185">
        <f>IF(PartList[[#This Row],[Unique]]="Yes",_xlfn.XLOOKUP(PartList[[#This Row],[ASSLY MARK]],FilteredPL!A:A,FilteredPL!B:B,0,0),0)</f>
        <v>0</v>
      </c>
      <c r="P1185">
        <f>_xlfn.XLOOKUP(PartList[[#This Row],[ASSLY MARK]],MasterPL[SplitMarkNo],MasterPL[BILL WT.(KG)],0,0)</f>
        <v>0</v>
      </c>
      <c r="Q1185" cm="1">
        <f t="array" ref="Q118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86" spans="1:17" x14ac:dyDescent="0.25">
      <c r="A1186">
        <v>612</v>
      </c>
      <c r="B1186" t="s">
        <v>850</v>
      </c>
      <c r="C1186" t="s">
        <v>521</v>
      </c>
      <c r="D1186" t="s">
        <v>818</v>
      </c>
      <c r="E1186" t="s">
        <v>6</v>
      </c>
      <c r="F1186" t="str" cm="1">
        <f t="array" ref="F1186">IF(SUM(IF(PartList[ASSLY MARK]=PartList[[#This Row],[ASSLY MARK]],1,0))&gt;1,"No","Yes")</f>
        <v>Yes</v>
      </c>
      <c r="G1186" t="str" cm="1">
        <f t="array" ref="G1186">_xlfn.TEXTJOIN("_",TRUE,TRIM(_xlfn.TEXTSPLIT(PartList[[#This Row],[GRID LOCATION]],{"PR01","/","-"})))</f>
        <v>14_15_A_B</v>
      </c>
      <c r="H1186" t="str" cm="1">
        <f t="array" ref="H118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86" cm="1">
        <f t="array" ref="I118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86" t="str">
        <f>IF(IFERROR(SEARCH("&gt;",PartList[[#This Row],[ID]]),0),"O",IF(IFERROR(SEARCH("&lt;",PartList[[#This Row],[ID]]),0),"I",""))</f>
        <v/>
      </c>
      <c r="K1186" t="str" cm="1">
        <f t="array" ref="K11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86" t="str" cm="1">
        <f t="array" ref="L11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86" t="str">
        <f>_xlfn.TEXTJOIN("#",TRUE,PartList[[#This Row],[ASSLY MARK]],PartList[[#This Row],[BOX NO]],PartList[[#This Row],[In/Out]],PartList[[#This Row],[O1-Grid]])</f>
        <v>4HB43#Box3#InB</v>
      </c>
      <c r="N1186" t="str">
        <f>_xlfn.TEXTJOIN("#",TRUE,PartList[[#This Row],[ASSLY MARK]],PartList[[#This Row],[BOX NO]],PartList[[#This Row],[In/Out]],PartList[[#This Row],[O2-Grid]])</f>
        <v>4HB43#Box3#InB</v>
      </c>
      <c r="O1186">
        <f>IF(PartList[[#This Row],[Unique]]="Yes",_xlfn.XLOOKUP(PartList[[#This Row],[ASSLY MARK]],FilteredPL!A:A,FilteredPL!B:B,0,0),0)</f>
        <v>0</v>
      </c>
      <c r="P1186">
        <f>_xlfn.XLOOKUP(PartList[[#This Row],[ASSLY MARK]],MasterPL[SplitMarkNo],MasterPL[BILL WT.(KG)],0,0)</f>
        <v>0</v>
      </c>
      <c r="Q1186" cm="1">
        <f t="array" ref="Q118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87" spans="1:17" x14ac:dyDescent="0.25">
      <c r="A1187">
        <v>613</v>
      </c>
      <c r="B1187" t="s">
        <v>851</v>
      </c>
      <c r="C1187" t="s">
        <v>727</v>
      </c>
      <c r="D1187" t="s">
        <v>852</v>
      </c>
      <c r="E1187" t="s">
        <v>6</v>
      </c>
      <c r="F1187" t="str" cm="1">
        <f t="array" ref="F1187">IF(SUM(IF(PartList[ASSLY MARK]=PartList[[#This Row],[ASSLY MARK]],1,0))&gt;1,"No","Yes")</f>
        <v>Yes</v>
      </c>
      <c r="G1187" t="str" cm="1">
        <f t="array" ref="G1187">_xlfn.TEXTJOIN("_",TRUE,TRIM(_xlfn.TEXTSPLIT(PartList[[#This Row],[GRID LOCATION]],{"PR01","/","-"})))</f>
        <v>15&gt;_A_B</v>
      </c>
      <c r="H1187" t="str" cm="1">
        <f t="array" ref="H118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87" cm="1">
        <f t="array" ref="I118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87" t="str">
        <f>IF(IFERROR(SEARCH("&gt;",PartList[[#This Row],[ID]]),0),"O",IF(IFERROR(SEARCH("&lt;",PartList[[#This Row],[ID]]),0),"I",""))</f>
        <v>O</v>
      </c>
      <c r="K1187" t="str" cm="1">
        <f t="array" ref="K11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87" t="str" cm="1">
        <f t="array" ref="L11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87" t="str">
        <f>_xlfn.TEXTJOIN("#",TRUE,PartList[[#This Row],[ASSLY MARK]],PartList[[#This Row],[BOX NO]],PartList[[#This Row],[In/Out]],PartList[[#This Row],[O1-Grid]])</f>
        <v>4HB44#Box3#O</v>
      </c>
      <c r="N1187" t="str">
        <f>_xlfn.TEXTJOIN("#",TRUE,PartList[[#This Row],[ASSLY MARK]],PartList[[#This Row],[BOX NO]],PartList[[#This Row],[In/Out]],PartList[[#This Row],[O2-Grid]])</f>
        <v>4HB44#Box3#O</v>
      </c>
      <c r="O1187">
        <f>IF(PartList[[#This Row],[Unique]]="Yes",_xlfn.XLOOKUP(PartList[[#This Row],[ASSLY MARK]],FilteredPL!A:A,FilteredPL!B:B,0,0),0)</f>
        <v>0</v>
      </c>
      <c r="P1187">
        <f>_xlfn.XLOOKUP(PartList[[#This Row],[ASSLY MARK]],MasterPL[SplitMarkNo],MasterPL[BILL WT.(KG)],0,0)</f>
        <v>0</v>
      </c>
      <c r="Q1187" cm="1">
        <f t="array" ref="Q118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88" spans="1:17" x14ac:dyDescent="0.25">
      <c r="A1188">
        <v>615</v>
      </c>
      <c r="B1188" t="s">
        <v>854</v>
      </c>
      <c r="C1188" t="s">
        <v>754</v>
      </c>
      <c r="D1188" t="s">
        <v>818</v>
      </c>
      <c r="E1188" t="s">
        <v>6</v>
      </c>
      <c r="F1188" t="str" cm="1">
        <f t="array" ref="F1188">IF(SUM(IF(PartList[ASSLY MARK]=PartList[[#This Row],[ASSLY MARK]],1,0))&gt;1,"No","Yes")</f>
        <v>Yes</v>
      </c>
      <c r="G1188" t="str" cm="1">
        <f t="array" ref="G1188">_xlfn.TEXTJOIN("_",TRUE,TRIM(_xlfn.TEXTSPLIT(PartList[[#This Row],[GRID LOCATION]],{"PR01","/","-"})))</f>
        <v>15&gt;_B&gt;</v>
      </c>
      <c r="H1188" t="str" cm="1">
        <f t="array" ref="H118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88" cm="1">
        <f t="array" ref="I118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88" t="str">
        <f>IF(IFERROR(SEARCH("&gt;",PartList[[#This Row],[ID]]),0),"O",IF(IFERROR(SEARCH("&lt;",PartList[[#This Row],[ID]]),0),"I",""))</f>
        <v>O</v>
      </c>
      <c r="K1188" t="str" cm="1">
        <f t="array" ref="K11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88" t="str" cm="1">
        <f t="array" ref="L11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88" t="str">
        <f>_xlfn.TEXTJOIN("#",TRUE,PartList[[#This Row],[ASSLY MARK]],PartList[[#This Row],[BOX NO]],PartList[[#This Row],[In/Out]],PartList[[#This Row],[O1-Grid]])</f>
        <v>4HB46#Box3#O</v>
      </c>
      <c r="N1188" t="str">
        <f>_xlfn.TEXTJOIN("#",TRUE,PartList[[#This Row],[ASSLY MARK]],PartList[[#This Row],[BOX NO]],PartList[[#This Row],[In/Out]],PartList[[#This Row],[O2-Grid]])</f>
        <v>4HB46#Box3#O</v>
      </c>
      <c r="O1188">
        <f>IF(PartList[[#This Row],[Unique]]="Yes",_xlfn.XLOOKUP(PartList[[#This Row],[ASSLY MARK]],FilteredPL!A:A,FilteredPL!B:B,0,0),0)</f>
        <v>0</v>
      </c>
      <c r="P1188">
        <f>_xlfn.XLOOKUP(PartList[[#This Row],[ASSLY MARK]],MasterPL[SplitMarkNo],MasterPL[BILL WT.(KG)],0,0)</f>
        <v>0</v>
      </c>
      <c r="Q1188" cm="1">
        <f t="array" ref="Q118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89" spans="1:17" x14ac:dyDescent="0.25">
      <c r="A1189">
        <v>618</v>
      </c>
      <c r="B1189" t="s">
        <v>857</v>
      </c>
      <c r="C1189" t="s">
        <v>727</v>
      </c>
      <c r="D1189" t="s">
        <v>852</v>
      </c>
      <c r="E1189" t="s">
        <v>6</v>
      </c>
      <c r="F1189" t="str" cm="1">
        <f t="array" ref="F1189">IF(SUM(IF(PartList[ASSLY MARK]=PartList[[#This Row],[ASSLY MARK]],1,0))&gt;1,"No","Yes")</f>
        <v>Yes</v>
      </c>
      <c r="G1189" t="str" cm="1">
        <f t="array" ref="G1189">_xlfn.TEXTJOIN("_",TRUE,TRIM(_xlfn.TEXTSPLIT(PartList[[#This Row],[GRID LOCATION]],{"PR01","/","-"})))</f>
        <v>15&gt;_A_B</v>
      </c>
      <c r="H1189" t="str" cm="1">
        <f t="array" ref="H118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89" cm="1">
        <f t="array" ref="I118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89" t="str">
        <f>IF(IFERROR(SEARCH("&gt;",PartList[[#This Row],[ID]]),0),"O",IF(IFERROR(SEARCH("&lt;",PartList[[#This Row],[ID]]),0),"I",""))</f>
        <v>O</v>
      </c>
      <c r="K1189" t="str" cm="1">
        <f t="array" ref="K11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89" t="str" cm="1">
        <f t="array" ref="L11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89" t="str">
        <f>_xlfn.TEXTJOIN("#",TRUE,PartList[[#This Row],[ASSLY MARK]],PartList[[#This Row],[BOX NO]],PartList[[#This Row],[In/Out]],PartList[[#This Row],[O1-Grid]])</f>
        <v>4HB49#Box3#O</v>
      </c>
      <c r="N1189" t="str">
        <f>_xlfn.TEXTJOIN("#",TRUE,PartList[[#This Row],[ASSLY MARK]],PartList[[#This Row],[BOX NO]],PartList[[#This Row],[In/Out]],PartList[[#This Row],[O2-Grid]])</f>
        <v>4HB49#Box3#O</v>
      </c>
      <c r="O1189">
        <f>IF(PartList[[#This Row],[Unique]]="Yes",_xlfn.XLOOKUP(PartList[[#This Row],[ASSLY MARK]],FilteredPL!A:A,FilteredPL!B:B,0,0),0)</f>
        <v>0</v>
      </c>
      <c r="P1189">
        <f>_xlfn.XLOOKUP(PartList[[#This Row],[ASSLY MARK]],MasterPL[SplitMarkNo],MasterPL[BILL WT.(KG)],0,0)</f>
        <v>0</v>
      </c>
      <c r="Q1189" cm="1">
        <f t="array" ref="Q118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90" spans="1:17" x14ac:dyDescent="0.25">
      <c r="A1190">
        <v>623</v>
      </c>
      <c r="B1190" t="s">
        <v>861</v>
      </c>
      <c r="C1190" t="s">
        <v>521</v>
      </c>
      <c r="D1190" t="s">
        <v>818</v>
      </c>
      <c r="E1190" t="s">
        <v>6</v>
      </c>
      <c r="F1190" t="str" cm="1">
        <f t="array" ref="F1190">IF(SUM(IF(PartList[ASSLY MARK]=PartList[[#This Row],[ASSLY MARK]],1,0))&gt;1,"No","Yes")</f>
        <v>Yes</v>
      </c>
      <c r="G1190" t="str" cm="1">
        <f t="array" ref="G1190">_xlfn.TEXTJOIN("_",TRUE,TRIM(_xlfn.TEXTSPLIT(PartList[[#This Row],[GRID LOCATION]],{"PR01","/","-"})))</f>
        <v>14_15_A_B</v>
      </c>
      <c r="H1190" t="str" cm="1">
        <f t="array" ref="H119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90" cm="1">
        <f t="array" ref="I119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90" t="str">
        <f>IF(IFERROR(SEARCH("&gt;",PartList[[#This Row],[ID]]),0),"O",IF(IFERROR(SEARCH("&lt;",PartList[[#This Row],[ID]]),0),"I",""))</f>
        <v/>
      </c>
      <c r="K1190" t="str" cm="1">
        <f t="array" ref="K11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90" t="str" cm="1">
        <f t="array" ref="L11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90" t="str">
        <f>_xlfn.TEXTJOIN("#",TRUE,PartList[[#This Row],[ASSLY MARK]],PartList[[#This Row],[BOX NO]],PartList[[#This Row],[In/Out]],PartList[[#This Row],[O1-Grid]])</f>
        <v>4HB53#Box3#InB</v>
      </c>
      <c r="N1190" t="str">
        <f>_xlfn.TEXTJOIN("#",TRUE,PartList[[#This Row],[ASSLY MARK]],PartList[[#This Row],[BOX NO]],PartList[[#This Row],[In/Out]],PartList[[#This Row],[O2-Grid]])</f>
        <v>4HB53#Box3#InB</v>
      </c>
      <c r="O1190">
        <f>IF(PartList[[#This Row],[Unique]]="Yes",_xlfn.XLOOKUP(PartList[[#This Row],[ASSLY MARK]],FilteredPL!A:A,FilteredPL!B:B,0,0),0)</f>
        <v>0</v>
      </c>
      <c r="P1190">
        <f>_xlfn.XLOOKUP(PartList[[#This Row],[ASSLY MARK]],MasterPL[SplitMarkNo],MasterPL[BILL WT.(KG)],0,0)</f>
        <v>0</v>
      </c>
      <c r="Q1190" cm="1">
        <f t="array" ref="Q119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91" spans="1:17" x14ac:dyDescent="0.25">
      <c r="A1191">
        <v>702</v>
      </c>
      <c r="B1191" t="s">
        <v>388</v>
      </c>
      <c r="C1191" t="s">
        <v>524</v>
      </c>
      <c r="D1191" t="s">
        <v>378</v>
      </c>
      <c r="E1191" t="s">
        <v>5</v>
      </c>
      <c r="F1191" t="str" cm="1">
        <f t="array" ref="F1191">IF(SUM(IF(PartList[ASSLY MARK]=PartList[[#This Row],[ASSLY MARK]],1,0))&gt;1,"No","Yes")</f>
        <v>Yes</v>
      </c>
      <c r="G1191" t="str" cm="1">
        <f t="array" ref="G1191">_xlfn.TEXTJOIN("_",TRUE,TRIM(_xlfn.TEXTSPLIT(PartList[[#This Row],[GRID LOCATION]],{"PR01","/","-"})))</f>
        <v>15_B&gt;</v>
      </c>
      <c r="H1191" t="str" cm="1">
        <f t="array" ref="H119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91" cm="1">
        <f t="array" ref="I119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91" t="str">
        <f>IF(IFERROR(SEARCH("&gt;",PartList[[#This Row],[ID]]),0),"O",IF(IFERROR(SEARCH("&lt;",PartList[[#This Row],[ID]]),0),"I",""))</f>
        <v>O</v>
      </c>
      <c r="K1191" t="str" cm="1">
        <f t="array" ref="K11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91" t="str" cm="1">
        <f t="array" ref="L11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91" t="str">
        <f>_xlfn.TEXTJOIN("#",TRUE,PartList[[#This Row],[ASSLY MARK]],PartList[[#This Row],[BOX NO]],PartList[[#This Row],[In/Out]],PartList[[#This Row],[O1-Grid]])</f>
        <v>6BE11#Box3#O</v>
      </c>
      <c r="N1191" t="str">
        <f>_xlfn.TEXTJOIN("#",TRUE,PartList[[#This Row],[ASSLY MARK]],PartList[[#This Row],[BOX NO]],PartList[[#This Row],[In/Out]],PartList[[#This Row],[O2-Grid]])</f>
        <v>6BE11#Box3#O</v>
      </c>
      <c r="O1191">
        <f>IF(PartList[[#This Row],[Unique]]="Yes",_xlfn.XLOOKUP(PartList[[#This Row],[ASSLY MARK]],FilteredPL!A:A,FilteredPL!B:B,0,0),0)</f>
        <v>0</v>
      </c>
      <c r="P1191">
        <f>_xlfn.XLOOKUP(PartList[[#This Row],[ASSLY MARK]],MasterPL[SplitMarkNo],MasterPL[BILL WT.(KG)],0,0)</f>
        <v>0</v>
      </c>
      <c r="Q1191" cm="1">
        <f t="array" ref="Q119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92" spans="1:17" x14ac:dyDescent="0.25">
      <c r="A1192">
        <v>719</v>
      </c>
      <c r="B1192" t="s">
        <v>909</v>
      </c>
      <c r="C1192" t="s">
        <v>525</v>
      </c>
      <c r="D1192" t="s">
        <v>378</v>
      </c>
      <c r="E1192" t="s">
        <v>5</v>
      </c>
      <c r="F1192" t="str" cm="1">
        <f t="array" ref="F1192">IF(SUM(IF(PartList[ASSLY MARK]=PartList[[#This Row],[ASSLY MARK]],1,0))&gt;1,"No","Yes")</f>
        <v>Yes</v>
      </c>
      <c r="G1192" t="str" cm="1">
        <f t="array" ref="G1192">_xlfn.TEXTJOIN("_",TRUE,TRIM(_xlfn.TEXTSPLIT(PartList[[#This Row],[GRID LOCATION]],{"PR01","/","-"})))</f>
        <v>15&gt;_B</v>
      </c>
      <c r="H1192" t="str" cm="1">
        <f t="array" ref="H119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92" cm="1">
        <f t="array" ref="I119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92" t="str">
        <f>IF(IFERROR(SEARCH("&gt;",PartList[[#This Row],[ID]]),0),"O",IF(IFERROR(SEARCH("&lt;",PartList[[#This Row],[ID]]),0),"I",""))</f>
        <v>O</v>
      </c>
      <c r="K1192" t="str" cm="1">
        <f t="array" ref="K11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92" t="str" cm="1">
        <f t="array" ref="L11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92" t="str">
        <f>_xlfn.TEXTJOIN("#",TRUE,PartList[[#This Row],[ASSLY MARK]],PartList[[#This Row],[BOX NO]],PartList[[#This Row],[In/Out]],PartList[[#This Row],[O1-Grid]])</f>
        <v>6BE28#Box3#O</v>
      </c>
      <c r="N1192" t="str">
        <f>_xlfn.TEXTJOIN("#",TRUE,PartList[[#This Row],[ASSLY MARK]],PartList[[#This Row],[BOX NO]],PartList[[#This Row],[In/Out]],PartList[[#This Row],[O2-Grid]])</f>
        <v>6BE28#Box3#O</v>
      </c>
      <c r="O1192">
        <f>IF(PartList[[#This Row],[Unique]]="Yes",_xlfn.XLOOKUP(PartList[[#This Row],[ASSLY MARK]],FilteredPL!A:A,FilteredPL!B:B,0,0),0)</f>
        <v>0</v>
      </c>
      <c r="P1192">
        <f>_xlfn.XLOOKUP(PartList[[#This Row],[ASSLY MARK]],MasterPL[SplitMarkNo],MasterPL[BILL WT.(KG)],0,0)</f>
        <v>0</v>
      </c>
      <c r="Q1192" cm="1">
        <f t="array" ref="Q119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93" spans="1:17" x14ac:dyDescent="0.25">
      <c r="A1193">
        <v>793</v>
      </c>
      <c r="B1193" t="s">
        <v>969</v>
      </c>
      <c r="C1193" t="s">
        <v>521</v>
      </c>
      <c r="D1193" t="s">
        <v>378</v>
      </c>
      <c r="E1193" t="s">
        <v>5</v>
      </c>
      <c r="F1193" t="str" cm="1">
        <f t="array" ref="F1193">IF(SUM(IF(PartList[ASSLY MARK]=PartList[[#This Row],[ASSLY MARK]],1,0))&gt;1,"No","Yes")</f>
        <v>Yes</v>
      </c>
      <c r="G1193" t="str" cm="1">
        <f t="array" ref="G1193">_xlfn.TEXTJOIN("_",TRUE,TRIM(_xlfn.TEXTSPLIT(PartList[[#This Row],[GRID LOCATION]],{"PR01","/","-"})))</f>
        <v>14_15_A_B</v>
      </c>
      <c r="H1193" t="str" cm="1">
        <f t="array" ref="H119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93" cm="1">
        <f t="array" ref="I119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93" t="str">
        <f>IF(IFERROR(SEARCH("&gt;",PartList[[#This Row],[ID]]),0),"O",IF(IFERROR(SEARCH("&lt;",PartList[[#This Row],[ID]]),0),"I",""))</f>
        <v/>
      </c>
      <c r="K1193" t="str" cm="1">
        <f t="array" ref="K11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93" t="str" cm="1">
        <f t="array" ref="L11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93" t="str">
        <f>_xlfn.TEXTJOIN("#",TRUE,PartList[[#This Row],[ASSLY MARK]],PartList[[#This Row],[BOX NO]],PartList[[#This Row],[In/Out]],PartList[[#This Row],[O1-Grid]])</f>
        <v>6BE87#Box3#InB</v>
      </c>
      <c r="N1193" t="str">
        <f>_xlfn.TEXTJOIN("#",TRUE,PartList[[#This Row],[ASSLY MARK]],PartList[[#This Row],[BOX NO]],PartList[[#This Row],[In/Out]],PartList[[#This Row],[O2-Grid]])</f>
        <v>6BE87#Box3#InB</v>
      </c>
      <c r="O1193">
        <f>IF(PartList[[#This Row],[Unique]]="Yes",_xlfn.XLOOKUP(PartList[[#This Row],[ASSLY MARK]],FilteredPL!A:A,FilteredPL!B:B,0,0),0)</f>
        <v>0</v>
      </c>
      <c r="P1193">
        <f>_xlfn.XLOOKUP(PartList[[#This Row],[ASSLY MARK]],MasterPL[SplitMarkNo],MasterPL[BILL WT.(KG)],0,0)</f>
        <v>0</v>
      </c>
      <c r="Q1193" cm="1">
        <f t="array" ref="Q119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94" spans="1:17" x14ac:dyDescent="0.25">
      <c r="A1194">
        <v>794</v>
      </c>
      <c r="B1194" t="s">
        <v>970</v>
      </c>
      <c r="C1194" t="s">
        <v>521</v>
      </c>
      <c r="D1194" t="s">
        <v>378</v>
      </c>
      <c r="E1194" t="s">
        <v>5</v>
      </c>
      <c r="F1194" t="str" cm="1">
        <f t="array" ref="F1194">IF(SUM(IF(PartList[ASSLY MARK]=PartList[[#This Row],[ASSLY MARK]],1,0))&gt;1,"No","Yes")</f>
        <v>Yes</v>
      </c>
      <c r="G1194" t="str" cm="1">
        <f t="array" ref="G1194">_xlfn.TEXTJOIN("_",TRUE,TRIM(_xlfn.TEXTSPLIT(PartList[[#This Row],[GRID LOCATION]],{"PR01","/","-"})))</f>
        <v>14_15_A_B</v>
      </c>
      <c r="H1194" t="str" cm="1">
        <f t="array" ref="H119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94" cm="1">
        <f t="array" ref="I119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94" t="str">
        <f>IF(IFERROR(SEARCH("&gt;",PartList[[#This Row],[ID]]),0),"O",IF(IFERROR(SEARCH("&lt;",PartList[[#This Row],[ID]]),0),"I",""))</f>
        <v/>
      </c>
      <c r="K1194" t="str" cm="1">
        <f t="array" ref="K11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94" t="str" cm="1">
        <f t="array" ref="L11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94" t="str">
        <f>_xlfn.TEXTJOIN("#",TRUE,PartList[[#This Row],[ASSLY MARK]],PartList[[#This Row],[BOX NO]],PartList[[#This Row],[In/Out]],PartList[[#This Row],[O1-Grid]])</f>
        <v>6BE88#Box3#InB</v>
      </c>
      <c r="N1194" t="str">
        <f>_xlfn.TEXTJOIN("#",TRUE,PartList[[#This Row],[ASSLY MARK]],PartList[[#This Row],[BOX NO]],PartList[[#This Row],[In/Out]],PartList[[#This Row],[O2-Grid]])</f>
        <v>6BE88#Box3#InB</v>
      </c>
      <c r="O1194">
        <f>IF(PartList[[#This Row],[Unique]]="Yes",_xlfn.XLOOKUP(PartList[[#This Row],[ASSLY MARK]],FilteredPL!A:A,FilteredPL!B:B,0,0),0)</f>
        <v>0</v>
      </c>
      <c r="P1194">
        <f>_xlfn.XLOOKUP(PartList[[#This Row],[ASSLY MARK]],MasterPL[SplitMarkNo],MasterPL[BILL WT.(KG)],0,0)</f>
        <v>0</v>
      </c>
      <c r="Q1194" cm="1">
        <f t="array" ref="Q119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95" spans="1:17" x14ac:dyDescent="0.25">
      <c r="A1195">
        <v>795</v>
      </c>
      <c r="B1195" t="s">
        <v>971</v>
      </c>
      <c r="C1195" t="s">
        <v>521</v>
      </c>
      <c r="D1195" t="s">
        <v>378</v>
      </c>
      <c r="E1195" t="s">
        <v>5</v>
      </c>
      <c r="F1195" t="str" cm="1">
        <f t="array" ref="F1195">IF(SUM(IF(PartList[ASSLY MARK]=PartList[[#This Row],[ASSLY MARK]],1,0))&gt;1,"No","Yes")</f>
        <v>Yes</v>
      </c>
      <c r="G1195" t="str" cm="1">
        <f t="array" ref="G1195">_xlfn.TEXTJOIN("_",TRUE,TRIM(_xlfn.TEXTSPLIT(PartList[[#This Row],[GRID LOCATION]],{"PR01","/","-"})))</f>
        <v>14_15_A_B</v>
      </c>
      <c r="H1195" t="str" cm="1">
        <f t="array" ref="H119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95" cm="1">
        <f t="array" ref="I119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95" t="str">
        <f>IF(IFERROR(SEARCH("&gt;",PartList[[#This Row],[ID]]),0),"O",IF(IFERROR(SEARCH("&lt;",PartList[[#This Row],[ID]]),0),"I",""))</f>
        <v/>
      </c>
      <c r="K1195" t="str" cm="1">
        <f t="array" ref="K11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95" t="str" cm="1">
        <f t="array" ref="L11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95" t="str">
        <f>_xlfn.TEXTJOIN("#",TRUE,PartList[[#This Row],[ASSLY MARK]],PartList[[#This Row],[BOX NO]],PartList[[#This Row],[In/Out]],PartList[[#This Row],[O1-Grid]])</f>
        <v>6BE89#Box3#InB</v>
      </c>
      <c r="N1195" t="str">
        <f>_xlfn.TEXTJOIN("#",TRUE,PartList[[#This Row],[ASSLY MARK]],PartList[[#This Row],[BOX NO]],PartList[[#This Row],[In/Out]],PartList[[#This Row],[O2-Grid]])</f>
        <v>6BE89#Box3#InB</v>
      </c>
      <c r="O1195">
        <f>IF(PartList[[#This Row],[Unique]]="Yes",_xlfn.XLOOKUP(PartList[[#This Row],[ASSLY MARK]],FilteredPL!A:A,FilteredPL!B:B,0,0),0)</f>
        <v>0</v>
      </c>
      <c r="P1195">
        <f>_xlfn.XLOOKUP(PartList[[#This Row],[ASSLY MARK]],MasterPL[SplitMarkNo],MasterPL[BILL WT.(KG)],0,0)</f>
        <v>0</v>
      </c>
      <c r="Q1195" cm="1">
        <f t="array" ref="Q119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96" spans="1:17" x14ac:dyDescent="0.25">
      <c r="A1196">
        <v>796</v>
      </c>
      <c r="B1196" t="s">
        <v>972</v>
      </c>
      <c r="C1196" t="s">
        <v>521</v>
      </c>
      <c r="D1196" t="s">
        <v>378</v>
      </c>
      <c r="E1196" t="s">
        <v>5</v>
      </c>
      <c r="F1196" t="str" cm="1">
        <f t="array" ref="F1196">IF(SUM(IF(PartList[ASSLY MARK]=PartList[[#This Row],[ASSLY MARK]],1,0))&gt;1,"No","Yes")</f>
        <v>Yes</v>
      </c>
      <c r="G1196" t="str" cm="1">
        <f t="array" ref="G1196">_xlfn.TEXTJOIN("_",TRUE,TRIM(_xlfn.TEXTSPLIT(PartList[[#This Row],[GRID LOCATION]],{"PR01","/","-"})))</f>
        <v>14_15_A_B</v>
      </c>
      <c r="H1196" t="str" cm="1">
        <f t="array" ref="H119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196" cm="1">
        <f t="array" ref="I119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96" t="str">
        <f>IF(IFERROR(SEARCH("&gt;",PartList[[#This Row],[ID]]),0),"O",IF(IFERROR(SEARCH("&lt;",PartList[[#This Row],[ID]]),0),"I",""))</f>
        <v/>
      </c>
      <c r="K1196" t="str" cm="1">
        <f t="array" ref="K11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196" t="str" cm="1">
        <f t="array" ref="L11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196" t="str">
        <f>_xlfn.TEXTJOIN("#",TRUE,PartList[[#This Row],[ASSLY MARK]],PartList[[#This Row],[BOX NO]],PartList[[#This Row],[In/Out]],PartList[[#This Row],[O1-Grid]])</f>
        <v>6BE90#Box3#InB</v>
      </c>
      <c r="N1196" t="str">
        <f>_xlfn.TEXTJOIN("#",TRUE,PartList[[#This Row],[ASSLY MARK]],PartList[[#This Row],[BOX NO]],PartList[[#This Row],[In/Out]],PartList[[#This Row],[O2-Grid]])</f>
        <v>6BE90#Box3#InB</v>
      </c>
      <c r="O1196">
        <f>IF(PartList[[#This Row],[Unique]]="Yes",_xlfn.XLOOKUP(PartList[[#This Row],[ASSLY MARK]],FilteredPL!A:A,FilteredPL!B:B,0,0),0)</f>
        <v>0</v>
      </c>
      <c r="P1196">
        <f>_xlfn.XLOOKUP(PartList[[#This Row],[ASSLY MARK]],MasterPL[SplitMarkNo],MasterPL[BILL WT.(KG)],0,0)</f>
        <v>0</v>
      </c>
      <c r="Q1196" cm="1">
        <f t="array" ref="Q119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97" spans="1:17" x14ac:dyDescent="0.25">
      <c r="A1197">
        <v>797</v>
      </c>
      <c r="B1197" t="s">
        <v>973</v>
      </c>
      <c r="C1197" t="s">
        <v>522</v>
      </c>
      <c r="D1197" t="s">
        <v>378</v>
      </c>
      <c r="E1197" t="s">
        <v>5</v>
      </c>
      <c r="F1197" t="str" cm="1">
        <f t="array" ref="F1197">IF(SUM(IF(PartList[ASSLY MARK]=PartList[[#This Row],[ASSLY MARK]],1,0))&gt;1,"No","Yes")</f>
        <v>No</v>
      </c>
      <c r="G1197" t="str" cm="1">
        <f t="array" ref="G1197">_xlfn.TEXTJOIN("_",TRUE,TRIM(_xlfn.TEXTSPLIT(PartList[[#This Row],[GRID LOCATION]],{"PR01","/","-"})))</f>
        <v>14_15_B&gt;</v>
      </c>
      <c r="H1197" t="str" cm="1">
        <f t="array" ref="H119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97" cm="1">
        <f t="array" ref="I119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97" t="str">
        <f>IF(IFERROR(SEARCH("&gt;",PartList[[#This Row],[ID]]),0),"O",IF(IFERROR(SEARCH("&lt;",PartList[[#This Row],[ID]]),0),"I",""))</f>
        <v>O</v>
      </c>
      <c r="K1197" t="str" cm="1">
        <f t="array" ref="K11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97" t="str" cm="1">
        <f t="array" ref="L11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97" t="str">
        <f>_xlfn.TEXTJOIN("#",TRUE,PartList[[#This Row],[ASSLY MARK]],PartList[[#This Row],[BOX NO]],PartList[[#This Row],[In/Out]],PartList[[#This Row],[O1-Grid]])</f>
        <v>6BE91#Box3_Box6#O</v>
      </c>
      <c r="N1197" t="str">
        <f>_xlfn.TEXTJOIN("#",TRUE,PartList[[#This Row],[ASSLY MARK]],PartList[[#This Row],[BOX NO]],PartList[[#This Row],[In/Out]],PartList[[#This Row],[O2-Grid]])</f>
        <v>6BE91#Box3_Box6#O</v>
      </c>
      <c r="O1197">
        <f>IF(PartList[[#This Row],[Unique]]="Yes",_xlfn.XLOOKUP(PartList[[#This Row],[ASSLY MARK]],FilteredPL!A:A,FilteredPL!B:B,0,0),0)</f>
        <v>0</v>
      </c>
      <c r="P1197">
        <f>_xlfn.XLOOKUP(PartList[[#This Row],[ASSLY MARK]],MasterPL[SplitMarkNo],MasterPL[BILL WT.(KG)],0,0)</f>
        <v>0</v>
      </c>
      <c r="Q1197" cm="1">
        <f t="array" ref="Q119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98" spans="1:17" x14ac:dyDescent="0.25">
      <c r="A1198">
        <v>798</v>
      </c>
      <c r="B1198" t="s">
        <v>973</v>
      </c>
      <c r="C1198" t="s">
        <v>522</v>
      </c>
      <c r="D1198" t="s">
        <v>378</v>
      </c>
      <c r="E1198" t="s">
        <v>5</v>
      </c>
      <c r="F1198" t="str" cm="1">
        <f t="array" ref="F1198">IF(SUM(IF(PartList[ASSLY MARK]=PartList[[#This Row],[ASSLY MARK]],1,0))&gt;1,"No","Yes")</f>
        <v>No</v>
      </c>
      <c r="G1198" t="str" cm="1">
        <f t="array" ref="G1198">_xlfn.TEXTJOIN("_",TRUE,TRIM(_xlfn.TEXTSPLIT(PartList[[#This Row],[GRID LOCATION]],{"PR01","/","-"})))</f>
        <v>14_15_B&gt;</v>
      </c>
      <c r="H1198" t="str" cm="1">
        <f t="array" ref="H119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98" cm="1">
        <f t="array" ref="I119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98" t="str">
        <f>IF(IFERROR(SEARCH("&gt;",PartList[[#This Row],[ID]]),0),"O",IF(IFERROR(SEARCH("&lt;",PartList[[#This Row],[ID]]),0),"I",""))</f>
        <v>O</v>
      </c>
      <c r="K1198" t="str" cm="1">
        <f t="array" ref="K11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198" t="str" cm="1">
        <f t="array" ref="L11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198" t="str">
        <f>_xlfn.TEXTJOIN("#",TRUE,PartList[[#This Row],[ASSLY MARK]],PartList[[#This Row],[BOX NO]],PartList[[#This Row],[In/Out]],PartList[[#This Row],[O1-Grid]])</f>
        <v>6BE91#Box3_Box6#O</v>
      </c>
      <c r="N1198" t="str">
        <f>_xlfn.TEXTJOIN("#",TRUE,PartList[[#This Row],[ASSLY MARK]],PartList[[#This Row],[BOX NO]],PartList[[#This Row],[In/Out]],PartList[[#This Row],[O2-Grid]])</f>
        <v>6BE91#Box3_Box6#O</v>
      </c>
      <c r="O1198">
        <f>IF(PartList[[#This Row],[Unique]]="Yes",_xlfn.XLOOKUP(PartList[[#This Row],[ASSLY MARK]],FilteredPL!A:A,FilteredPL!B:B,0,0),0)</f>
        <v>0</v>
      </c>
      <c r="P1198">
        <f>_xlfn.XLOOKUP(PartList[[#This Row],[ASSLY MARK]],MasterPL[SplitMarkNo],MasterPL[BILL WT.(KG)],0,0)</f>
        <v>0</v>
      </c>
      <c r="Q1198" cm="1">
        <f t="array" ref="Q119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199" spans="1:17" x14ac:dyDescent="0.25">
      <c r="A1199">
        <v>801</v>
      </c>
      <c r="B1199" t="s">
        <v>976</v>
      </c>
      <c r="C1199" t="s">
        <v>526</v>
      </c>
      <c r="D1199" t="s">
        <v>353</v>
      </c>
      <c r="E1199" t="s">
        <v>5</v>
      </c>
      <c r="F1199" t="str" cm="1">
        <f t="array" ref="F1199">IF(SUM(IF(PartList[ASSLY MARK]=PartList[[#This Row],[ASSLY MARK]],1,0))&gt;1,"No","Yes")</f>
        <v>No</v>
      </c>
      <c r="G1199" t="str" cm="1">
        <f t="array" ref="G1199">_xlfn.TEXTJOIN("_",TRUE,TRIM(_xlfn.TEXTSPLIT(PartList[[#This Row],[GRID LOCATION]],{"PR01","/","-"})))</f>
        <v>14_15_A</v>
      </c>
      <c r="H1199" t="str" cm="1">
        <f t="array" ref="H119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199" cm="1">
        <f t="array" ref="I119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199" t="str">
        <f>IF(IFERROR(SEARCH("&gt;",PartList[[#This Row],[ID]]),0),"O",IF(IFERROR(SEARCH("&lt;",PartList[[#This Row],[ID]]),0),"I",""))</f>
        <v/>
      </c>
      <c r="K1199" t="str" cm="1">
        <f t="array" ref="K11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199" t="str" cm="1">
        <f t="array" ref="L11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199" t="str">
        <f>_xlfn.TEXTJOIN("#",TRUE,PartList[[#This Row],[ASSLY MARK]],PartList[[#This Row],[BOX NO]],PartList[[#This Row],[In/Out]],PartList[[#This Row],[O1-Grid]])</f>
        <v>6BE94#Box3_Box6#InBB</v>
      </c>
      <c r="N1199" t="str">
        <f>_xlfn.TEXTJOIN("#",TRUE,PartList[[#This Row],[ASSLY MARK]],PartList[[#This Row],[BOX NO]],PartList[[#This Row],[In/Out]],PartList[[#This Row],[O2-Grid]])</f>
        <v>6BE94#Box3_Box6#InBB</v>
      </c>
      <c r="O1199">
        <f>IF(PartList[[#This Row],[Unique]]="Yes",_xlfn.XLOOKUP(PartList[[#This Row],[ASSLY MARK]],FilteredPL!A:A,FilteredPL!B:B,0,0),0)</f>
        <v>0</v>
      </c>
      <c r="P1199">
        <f>_xlfn.XLOOKUP(PartList[[#This Row],[ASSLY MARK]],MasterPL[SplitMarkNo],MasterPL[BILL WT.(KG)],0,0)</f>
        <v>0</v>
      </c>
      <c r="Q1199" cm="1">
        <f t="array" ref="Q119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00" spans="1:17" x14ac:dyDescent="0.25">
      <c r="A1200">
        <v>802</v>
      </c>
      <c r="B1200" t="s">
        <v>976</v>
      </c>
      <c r="C1200" t="s">
        <v>527</v>
      </c>
      <c r="D1200" t="s">
        <v>353</v>
      </c>
      <c r="E1200" t="s">
        <v>5</v>
      </c>
      <c r="F1200" t="str" cm="1">
        <f t="array" ref="F1200">IF(SUM(IF(PartList[ASSLY MARK]=PartList[[#This Row],[ASSLY MARK]],1,0))&gt;1,"No","Yes")</f>
        <v>No</v>
      </c>
      <c r="G1200" t="str" cm="1">
        <f t="array" ref="G1200">_xlfn.TEXTJOIN("_",TRUE,TRIM(_xlfn.TEXTSPLIT(PartList[[#This Row],[GRID LOCATION]],{"PR01","/","-"})))</f>
        <v>14_15_B</v>
      </c>
      <c r="H1200" t="str" cm="1">
        <f t="array" ref="H120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200" cm="1">
        <f t="array" ref="I120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00" t="str">
        <f>IF(IFERROR(SEARCH("&gt;",PartList[[#This Row],[ID]]),0),"O",IF(IFERROR(SEARCH("&lt;",PartList[[#This Row],[ID]]),0),"I",""))</f>
        <v/>
      </c>
      <c r="K1200" t="str" cm="1">
        <f t="array" ref="K12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00" t="str" cm="1">
        <f t="array" ref="L12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00" t="str">
        <f>_xlfn.TEXTJOIN("#",TRUE,PartList[[#This Row],[ASSLY MARK]],PartList[[#This Row],[BOX NO]],PartList[[#This Row],[In/Out]],PartList[[#This Row],[O1-Grid]])</f>
        <v>6BE94#Box3_Box6#InBB</v>
      </c>
      <c r="N1200" t="str">
        <f>_xlfn.TEXTJOIN("#",TRUE,PartList[[#This Row],[ASSLY MARK]],PartList[[#This Row],[BOX NO]],PartList[[#This Row],[In/Out]],PartList[[#This Row],[O2-Grid]])</f>
        <v>6BE94#Box3_Box6#InBB</v>
      </c>
      <c r="O1200">
        <f>IF(PartList[[#This Row],[Unique]]="Yes",_xlfn.XLOOKUP(PartList[[#This Row],[ASSLY MARK]],FilteredPL!A:A,FilteredPL!B:B,0,0),0)</f>
        <v>0</v>
      </c>
      <c r="P1200">
        <f>_xlfn.XLOOKUP(PartList[[#This Row],[ASSLY MARK]],MasterPL[SplitMarkNo],MasterPL[BILL WT.(KG)],0,0)</f>
        <v>0</v>
      </c>
      <c r="Q1200" cm="1">
        <f t="array" ref="Q120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01" spans="1:17" x14ac:dyDescent="0.25">
      <c r="A1201">
        <v>803</v>
      </c>
      <c r="B1201" t="s">
        <v>977</v>
      </c>
      <c r="C1201" t="s">
        <v>526</v>
      </c>
      <c r="D1201" t="s">
        <v>378</v>
      </c>
      <c r="E1201" t="s">
        <v>5</v>
      </c>
      <c r="F1201" t="str" cm="1">
        <f t="array" ref="F1201">IF(SUM(IF(PartList[ASSLY MARK]=PartList[[#This Row],[ASSLY MARK]],1,0))&gt;1,"No","Yes")</f>
        <v>Yes</v>
      </c>
      <c r="G1201" t="str" cm="1">
        <f t="array" ref="G1201">_xlfn.TEXTJOIN("_",TRUE,TRIM(_xlfn.TEXTSPLIT(PartList[[#This Row],[GRID LOCATION]],{"PR01","/","-"})))</f>
        <v>14_15_A</v>
      </c>
      <c r="H1201" t="str" cm="1">
        <f t="array" ref="H120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201" cm="1">
        <f t="array" ref="I120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01" t="str">
        <f>IF(IFERROR(SEARCH("&gt;",PartList[[#This Row],[ID]]),0),"O",IF(IFERROR(SEARCH("&lt;",PartList[[#This Row],[ID]]),0),"I",""))</f>
        <v/>
      </c>
      <c r="K1201" t="str" cm="1">
        <f t="array" ref="K12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01" t="str" cm="1">
        <f t="array" ref="L12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01" t="str">
        <f>_xlfn.TEXTJOIN("#",TRUE,PartList[[#This Row],[ASSLY MARK]],PartList[[#This Row],[BOX NO]],PartList[[#This Row],[In/Out]],PartList[[#This Row],[O1-Grid]])</f>
        <v>6BE95#Box3_Box6#InBB</v>
      </c>
      <c r="N1201" t="str">
        <f>_xlfn.TEXTJOIN("#",TRUE,PartList[[#This Row],[ASSLY MARK]],PartList[[#This Row],[BOX NO]],PartList[[#This Row],[In/Out]],PartList[[#This Row],[O2-Grid]])</f>
        <v>6BE95#Box3_Box6#InBB</v>
      </c>
      <c r="O1201">
        <f>IF(PartList[[#This Row],[Unique]]="Yes",_xlfn.XLOOKUP(PartList[[#This Row],[ASSLY MARK]],FilteredPL!A:A,FilteredPL!B:B,0,0),0)</f>
        <v>0</v>
      </c>
      <c r="P1201">
        <f>_xlfn.XLOOKUP(PartList[[#This Row],[ASSLY MARK]],MasterPL[SplitMarkNo],MasterPL[BILL WT.(KG)],0,0)</f>
        <v>0</v>
      </c>
      <c r="Q1201" cm="1">
        <f t="array" ref="Q120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02" spans="1:17" x14ac:dyDescent="0.25">
      <c r="A1202">
        <v>804</v>
      </c>
      <c r="B1202" t="s">
        <v>978</v>
      </c>
      <c r="C1202" t="s">
        <v>521</v>
      </c>
      <c r="D1202" t="s">
        <v>378</v>
      </c>
      <c r="E1202" t="s">
        <v>5</v>
      </c>
      <c r="F1202" t="str" cm="1">
        <f t="array" ref="F1202">IF(SUM(IF(PartList[ASSLY MARK]=PartList[[#This Row],[ASSLY MARK]],1,0))&gt;1,"No","Yes")</f>
        <v>Yes</v>
      </c>
      <c r="G1202" t="str" cm="1">
        <f t="array" ref="G1202">_xlfn.TEXTJOIN("_",TRUE,TRIM(_xlfn.TEXTSPLIT(PartList[[#This Row],[GRID LOCATION]],{"PR01","/","-"})))</f>
        <v>14_15_A_B</v>
      </c>
      <c r="H1202" t="str" cm="1">
        <f t="array" ref="H120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02" cm="1">
        <f t="array" ref="I120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02" t="str">
        <f>IF(IFERROR(SEARCH("&gt;",PartList[[#This Row],[ID]]),0),"O",IF(IFERROR(SEARCH("&lt;",PartList[[#This Row],[ID]]),0),"I",""))</f>
        <v/>
      </c>
      <c r="K1202" t="str" cm="1">
        <f t="array" ref="K12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02" t="str" cm="1">
        <f t="array" ref="L12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02" t="str">
        <f>_xlfn.TEXTJOIN("#",TRUE,PartList[[#This Row],[ASSLY MARK]],PartList[[#This Row],[BOX NO]],PartList[[#This Row],[In/Out]],PartList[[#This Row],[O1-Grid]])</f>
        <v>6BE96#Box3#InB</v>
      </c>
      <c r="N1202" t="str">
        <f>_xlfn.TEXTJOIN("#",TRUE,PartList[[#This Row],[ASSLY MARK]],PartList[[#This Row],[BOX NO]],PartList[[#This Row],[In/Out]],PartList[[#This Row],[O2-Grid]])</f>
        <v>6BE96#Box3#InB</v>
      </c>
      <c r="O1202">
        <f>IF(PartList[[#This Row],[Unique]]="Yes",_xlfn.XLOOKUP(PartList[[#This Row],[ASSLY MARK]],FilteredPL!A:A,FilteredPL!B:B,0,0),0)</f>
        <v>0</v>
      </c>
      <c r="P1202">
        <f>_xlfn.XLOOKUP(PartList[[#This Row],[ASSLY MARK]],MasterPL[SplitMarkNo],MasterPL[BILL WT.(KG)],0,0)</f>
        <v>0</v>
      </c>
      <c r="Q1202" cm="1">
        <f t="array" ref="Q120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03" spans="1:17" x14ac:dyDescent="0.25">
      <c r="A1203">
        <v>805</v>
      </c>
      <c r="B1203" t="s">
        <v>979</v>
      </c>
      <c r="C1203" t="s">
        <v>521</v>
      </c>
      <c r="D1203" t="s">
        <v>378</v>
      </c>
      <c r="E1203" t="s">
        <v>5</v>
      </c>
      <c r="F1203" t="str" cm="1">
        <f t="array" ref="F1203">IF(SUM(IF(PartList[ASSLY MARK]=PartList[[#This Row],[ASSLY MARK]],1,0))&gt;1,"No","Yes")</f>
        <v>Yes</v>
      </c>
      <c r="G1203" t="str" cm="1">
        <f t="array" ref="G1203">_xlfn.TEXTJOIN("_",TRUE,TRIM(_xlfn.TEXTSPLIT(PartList[[#This Row],[GRID LOCATION]],{"PR01","/","-"})))</f>
        <v>14_15_A_B</v>
      </c>
      <c r="H1203" t="str" cm="1">
        <f t="array" ref="H120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03" cm="1">
        <f t="array" ref="I120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03" t="str">
        <f>IF(IFERROR(SEARCH("&gt;",PartList[[#This Row],[ID]]),0),"O",IF(IFERROR(SEARCH("&lt;",PartList[[#This Row],[ID]]),0),"I",""))</f>
        <v/>
      </c>
      <c r="K1203" t="str" cm="1">
        <f t="array" ref="K12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03" t="str" cm="1">
        <f t="array" ref="L12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03" t="str">
        <f>_xlfn.TEXTJOIN("#",TRUE,PartList[[#This Row],[ASSLY MARK]],PartList[[#This Row],[BOX NO]],PartList[[#This Row],[In/Out]],PartList[[#This Row],[O1-Grid]])</f>
        <v>6BE97#Box3#InB</v>
      </c>
      <c r="N1203" t="str">
        <f>_xlfn.TEXTJOIN("#",TRUE,PartList[[#This Row],[ASSLY MARK]],PartList[[#This Row],[BOX NO]],PartList[[#This Row],[In/Out]],PartList[[#This Row],[O2-Grid]])</f>
        <v>6BE97#Box3#InB</v>
      </c>
      <c r="O1203">
        <f>IF(PartList[[#This Row],[Unique]]="Yes",_xlfn.XLOOKUP(PartList[[#This Row],[ASSLY MARK]],FilteredPL!A:A,FilteredPL!B:B,0,0),0)</f>
        <v>0</v>
      </c>
      <c r="P1203">
        <f>_xlfn.XLOOKUP(PartList[[#This Row],[ASSLY MARK]],MasterPL[SplitMarkNo],MasterPL[BILL WT.(KG)],0,0)</f>
        <v>0</v>
      </c>
      <c r="Q1203" cm="1">
        <f t="array" ref="Q120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04" spans="1:17" x14ac:dyDescent="0.25">
      <c r="A1204">
        <v>806</v>
      </c>
      <c r="B1204" t="s">
        <v>980</v>
      </c>
      <c r="C1204" t="s">
        <v>521</v>
      </c>
      <c r="D1204" t="s">
        <v>378</v>
      </c>
      <c r="E1204" t="s">
        <v>5</v>
      </c>
      <c r="F1204" t="str" cm="1">
        <f t="array" ref="F1204">IF(SUM(IF(PartList[ASSLY MARK]=PartList[[#This Row],[ASSLY MARK]],1,0))&gt;1,"No","Yes")</f>
        <v>Yes</v>
      </c>
      <c r="G1204" t="str" cm="1">
        <f t="array" ref="G1204">_xlfn.TEXTJOIN("_",TRUE,TRIM(_xlfn.TEXTSPLIT(PartList[[#This Row],[GRID LOCATION]],{"PR01","/","-"})))</f>
        <v>14_15_A_B</v>
      </c>
      <c r="H1204" t="str" cm="1">
        <f t="array" ref="H120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04" cm="1">
        <f t="array" ref="I120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04" t="str">
        <f>IF(IFERROR(SEARCH("&gt;",PartList[[#This Row],[ID]]),0),"O",IF(IFERROR(SEARCH("&lt;",PartList[[#This Row],[ID]]),0),"I",""))</f>
        <v/>
      </c>
      <c r="K1204" t="str" cm="1">
        <f t="array" ref="K12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04" t="str" cm="1">
        <f t="array" ref="L12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04" t="str">
        <f>_xlfn.TEXTJOIN("#",TRUE,PartList[[#This Row],[ASSLY MARK]],PartList[[#This Row],[BOX NO]],PartList[[#This Row],[In/Out]],PartList[[#This Row],[O1-Grid]])</f>
        <v>6BE98#Box3#InB</v>
      </c>
      <c r="N1204" t="str">
        <f>_xlfn.TEXTJOIN("#",TRUE,PartList[[#This Row],[ASSLY MARK]],PartList[[#This Row],[BOX NO]],PartList[[#This Row],[In/Out]],PartList[[#This Row],[O2-Grid]])</f>
        <v>6BE98#Box3#InB</v>
      </c>
      <c r="O1204">
        <f>IF(PartList[[#This Row],[Unique]]="Yes",_xlfn.XLOOKUP(PartList[[#This Row],[ASSLY MARK]],FilteredPL!A:A,FilteredPL!B:B,0,0),0)</f>
        <v>0</v>
      </c>
      <c r="P1204">
        <f>_xlfn.XLOOKUP(PartList[[#This Row],[ASSLY MARK]],MasterPL[SplitMarkNo],MasterPL[BILL WT.(KG)],0,0)</f>
        <v>0</v>
      </c>
      <c r="Q1204" cm="1">
        <f t="array" ref="Q120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05" spans="1:17" x14ac:dyDescent="0.25">
      <c r="A1205">
        <v>807</v>
      </c>
      <c r="B1205" t="s">
        <v>981</v>
      </c>
      <c r="C1205" t="s">
        <v>527</v>
      </c>
      <c r="D1205" t="s">
        <v>378</v>
      </c>
      <c r="E1205" t="s">
        <v>5</v>
      </c>
      <c r="F1205" t="str" cm="1">
        <f t="array" ref="F1205">IF(SUM(IF(PartList[ASSLY MARK]=PartList[[#This Row],[ASSLY MARK]],1,0))&gt;1,"No","Yes")</f>
        <v>Yes</v>
      </c>
      <c r="G1205" t="str" cm="1">
        <f t="array" ref="G1205">_xlfn.TEXTJOIN("_",TRUE,TRIM(_xlfn.TEXTSPLIT(PartList[[#This Row],[GRID LOCATION]],{"PR01","/","-"})))</f>
        <v>14_15_B</v>
      </c>
      <c r="H1205" t="str" cm="1">
        <f t="array" ref="H120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205" cm="1">
        <f t="array" ref="I120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05" t="str">
        <f>IF(IFERROR(SEARCH("&gt;",PartList[[#This Row],[ID]]),0),"O",IF(IFERROR(SEARCH("&lt;",PartList[[#This Row],[ID]]),0),"I",""))</f>
        <v/>
      </c>
      <c r="K1205" t="str" cm="1">
        <f t="array" ref="K12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05" t="str" cm="1">
        <f t="array" ref="L12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05" t="str">
        <f>_xlfn.TEXTJOIN("#",TRUE,PartList[[#This Row],[ASSLY MARK]],PartList[[#This Row],[BOX NO]],PartList[[#This Row],[In/Out]],PartList[[#This Row],[O1-Grid]])</f>
        <v>6BE99#Box3_Box6#InBB</v>
      </c>
      <c r="N1205" t="str">
        <f>_xlfn.TEXTJOIN("#",TRUE,PartList[[#This Row],[ASSLY MARK]],PartList[[#This Row],[BOX NO]],PartList[[#This Row],[In/Out]],PartList[[#This Row],[O2-Grid]])</f>
        <v>6BE99#Box3_Box6#InBB</v>
      </c>
      <c r="O1205">
        <f>IF(PartList[[#This Row],[Unique]]="Yes",_xlfn.XLOOKUP(PartList[[#This Row],[ASSLY MARK]],FilteredPL!A:A,FilteredPL!B:B,0,0),0)</f>
        <v>0</v>
      </c>
      <c r="P1205">
        <f>_xlfn.XLOOKUP(PartList[[#This Row],[ASSLY MARK]],MasterPL[SplitMarkNo],MasterPL[BILL WT.(KG)],0,0)</f>
        <v>0</v>
      </c>
      <c r="Q1205" cm="1">
        <f t="array" ref="Q120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06" spans="1:17" x14ac:dyDescent="0.25">
      <c r="A1206">
        <v>808</v>
      </c>
      <c r="B1206" t="s">
        <v>982</v>
      </c>
      <c r="C1206" t="s">
        <v>522</v>
      </c>
      <c r="D1206" t="s">
        <v>378</v>
      </c>
      <c r="E1206" t="s">
        <v>5</v>
      </c>
      <c r="F1206" t="str" cm="1">
        <f t="array" ref="F1206">IF(SUM(IF(PartList[ASSLY MARK]=PartList[[#This Row],[ASSLY MARK]],1,0))&gt;1,"No","Yes")</f>
        <v>Yes</v>
      </c>
      <c r="G1206" t="str" cm="1">
        <f t="array" ref="G1206">_xlfn.TEXTJOIN("_",TRUE,TRIM(_xlfn.TEXTSPLIT(PartList[[#This Row],[GRID LOCATION]],{"PR01","/","-"})))</f>
        <v>14_15_B&gt;</v>
      </c>
      <c r="H1206" t="str" cm="1">
        <f t="array" ref="H120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206" cm="1">
        <f t="array" ref="I120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06" t="str">
        <f>IF(IFERROR(SEARCH("&gt;",PartList[[#This Row],[ID]]),0),"O",IF(IFERROR(SEARCH("&lt;",PartList[[#This Row],[ID]]),0),"I",""))</f>
        <v>O</v>
      </c>
      <c r="K1206" t="str" cm="1">
        <f t="array" ref="K12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206" t="str" cm="1">
        <f t="array" ref="L12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206" t="str">
        <f>_xlfn.TEXTJOIN("#",TRUE,PartList[[#This Row],[ASSLY MARK]],PartList[[#This Row],[BOX NO]],PartList[[#This Row],[In/Out]],PartList[[#This Row],[O1-Grid]])</f>
        <v>6BE100#Box3_Box6#O</v>
      </c>
      <c r="N1206" t="str">
        <f>_xlfn.TEXTJOIN("#",TRUE,PartList[[#This Row],[ASSLY MARK]],PartList[[#This Row],[BOX NO]],PartList[[#This Row],[In/Out]],PartList[[#This Row],[O2-Grid]])</f>
        <v>6BE100#Box3_Box6#O</v>
      </c>
      <c r="O1206">
        <f>IF(PartList[[#This Row],[Unique]]="Yes",_xlfn.XLOOKUP(PartList[[#This Row],[ASSLY MARK]],FilteredPL!A:A,FilteredPL!B:B,0,0),0)</f>
        <v>0</v>
      </c>
      <c r="P1206">
        <f>_xlfn.XLOOKUP(PartList[[#This Row],[ASSLY MARK]],MasterPL[SplitMarkNo],MasterPL[BILL WT.(KG)],0,0)</f>
        <v>0</v>
      </c>
      <c r="Q1206" cm="1">
        <f t="array" ref="Q120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07" spans="1:17" x14ac:dyDescent="0.25">
      <c r="A1207">
        <v>809</v>
      </c>
      <c r="B1207" t="s">
        <v>983</v>
      </c>
      <c r="C1207" t="s">
        <v>521</v>
      </c>
      <c r="D1207" t="s">
        <v>378</v>
      </c>
      <c r="E1207" t="s">
        <v>5</v>
      </c>
      <c r="F1207" t="str" cm="1">
        <f t="array" ref="F1207">IF(SUM(IF(PartList[ASSLY MARK]=PartList[[#This Row],[ASSLY MARK]],1,0))&gt;1,"No","Yes")</f>
        <v>Yes</v>
      </c>
      <c r="G1207" t="str" cm="1">
        <f t="array" ref="G1207">_xlfn.TEXTJOIN("_",TRUE,TRIM(_xlfn.TEXTSPLIT(PartList[[#This Row],[GRID LOCATION]],{"PR01","/","-"})))</f>
        <v>14_15_A_B</v>
      </c>
      <c r="H1207" t="str" cm="1">
        <f t="array" ref="H120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07" cm="1">
        <f t="array" ref="I120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07" t="str">
        <f>IF(IFERROR(SEARCH("&gt;",PartList[[#This Row],[ID]]),0),"O",IF(IFERROR(SEARCH("&lt;",PartList[[#This Row],[ID]]),0),"I",""))</f>
        <v/>
      </c>
      <c r="K1207" t="str" cm="1">
        <f t="array" ref="K12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07" t="str" cm="1">
        <f t="array" ref="L12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07" t="str">
        <f>_xlfn.TEXTJOIN("#",TRUE,PartList[[#This Row],[ASSLY MARK]],PartList[[#This Row],[BOX NO]],PartList[[#This Row],[In/Out]],PartList[[#This Row],[O1-Grid]])</f>
        <v>6BE101#Box3#InB</v>
      </c>
      <c r="N1207" t="str">
        <f>_xlfn.TEXTJOIN("#",TRUE,PartList[[#This Row],[ASSLY MARK]],PartList[[#This Row],[BOX NO]],PartList[[#This Row],[In/Out]],PartList[[#This Row],[O2-Grid]])</f>
        <v>6BE101#Box3#InB</v>
      </c>
      <c r="O1207">
        <f>IF(PartList[[#This Row],[Unique]]="Yes",_xlfn.XLOOKUP(PartList[[#This Row],[ASSLY MARK]],FilteredPL!A:A,FilteredPL!B:B,0,0),0)</f>
        <v>0</v>
      </c>
      <c r="P1207">
        <f>_xlfn.XLOOKUP(PartList[[#This Row],[ASSLY MARK]],MasterPL[SplitMarkNo],MasterPL[BILL WT.(KG)],0,0)</f>
        <v>0</v>
      </c>
      <c r="Q1207" cm="1">
        <f t="array" ref="Q120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08" spans="1:17" x14ac:dyDescent="0.25">
      <c r="A1208">
        <v>810</v>
      </c>
      <c r="B1208" t="s">
        <v>984</v>
      </c>
      <c r="C1208" t="s">
        <v>521</v>
      </c>
      <c r="D1208" t="s">
        <v>378</v>
      </c>
      <c r="E1208" t="s">
        <v>5</v>
      </c>
      <c r="F1208" t="str" cm="1">
        <f t="array" ref="F1208">IF(SUM(IF(PartList[ASSLY MARK]=PartList[[#This Row],[ASSLY MARK]],1,0))&gt;1,"No","Yes")</f>
        <v>Yes</v>
      </c>
      <c r="G1208" t="str" cm="1">
        <f t="array" ref="G1208">_xlfn.TEXTJOIN("_",TRUE,TRIM(_xlfn.TEXTSPLIT(PartList[[#This Row],[GRID LOCATION]],{"PR01","/","-"})))</f>
        <v>14_15_A_B</v>
      </c>
      <c r="H1208" t="str" cm="1">
        <f t="array" ref="H120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08" cm="1">
        <f t="array" ref="I120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08" t="str">
        <f>IF(IFERROR(SEARCH("&gt;",PartList[[#This Row],[ID]]),0),"O",IF(IFERROR(SEARCH("&lt;",PartList[[#This Row],[ID]]),0),"I",""))</f>
        <v/>
      </c>
      <c r="K1208" t="str" cm="1">
        <f t="array" ref="K12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08" t="str" cm="1">
        <f t="array" ref="L12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08" t="str">
        <f>_xlfn.TEXTJOIN("#",TRUE,PartList[[#This Row],[ASSLY MARK]],PartList[[#This Row],[BOX NO]],PartList[[#This Row],[In/Out]],PartList[[#This Row],[O1-Grid]])</f>
        <v>6BE102#Box3#InB</v>
      </c>
      <c r="N1208" t="str">
        <f>_xlfn.TEXTJOIN("#",TRUE,PartList[[#This Row],[ASSLY MARK]],PartList[[#This Row],[BOX NO]],PartList[[#This Row],[In/Out]],PartList[[#This Row],[O2-Grid]])</f>
        <v>6BE102#Box3#InB</v>
      </c>
      <c r="O1208">
        <f>IF(PartList[[#This Row],[Unique]]="Yes",_xlfn.XLOOKUP(PartList[[#This Row],[ASSLY MARK]],FilteredPL!A:A,FilteredPL!B:B,0,0),0)</f>
        <v>0</v>
      </c>
      <c r="P1208">
        <f>_xlfn.XLOOKUP(PartList[[#This Row],[ASSLY MARK]],MasterPL[SplitMarkNo],MasterPL[BILL WT.(KG)],0,0)</f>
        <v>0</v>
      </c>
      <c r="Q1208" cm="1">
        <f t="array" ref="Q120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09" spans="1:17" x14ac:dyDescent="0.25">
      <c r="A1209">
        <v>811</v>
      </c>
      <c r="B1209" t="s">
        <v>985</v>
      </c>
      <c r="C1209" t="s">
        <v>521</v>
      </c>
      <c r="D1209" t="s">
        <v>378</v>
      </c>
      <c r="E1209" t="s">
        <v>5</v>
      </c>
      <c r="F1209" t="str" cm="1">
        <f t="array" ref="F1209">IF(SUM(IF(PartList[ASSLY MARK]=PartList[[#This Row],[ASSLY MARK]],1,0))&gt;1,"No","Yes")</f>
        <v>Yes</v>
      </c>
      <c r="G1209" t="str" cm="1">
        <f t="array" ref="G1209">_xlfn.TEXTJOIN("_",TRUE,TRIM(_xlfn.TEXTSPLIT(PartList[[#This Row],[GRID LOCATION]],{"PR01","/","-"})))</f>
        <v>14_15_A_B</v>
      </c>
      <c r="H1209" t="str" cm="1">
        <f t="array" ref="H120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09" cm="1">
        <f t="array" ref="I120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09" t="str">
        <f>IF(IFERROR(SEARCH("&gt;",PartList[[#This Row],[ID]]),0),"O",IF(IFERROR(SEARCH("&lt;",PartList[[#This Row],[ID]]),0),"I",""))</f>
        <v/>
      </c>
      <c r="K1209" t="str" cm="1">
        <f t="array" ref="K12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09" t="str" cm="1">
        <f t="array" ref="L12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09" t="str">
        <f>_xlfn.TEXTJOIN("#",TRUE,PartList[[#This Row],[ASSLY MARK]],PartList[[#This Row],[BOX NO]],PartList[[#This Row],[In/Out]],PartList[[#This Row],[O1-Grid]])</f>
        <v>6BE103#Box3#InB</v>
      </c>
      <c r="N1209" t="str">
        <f>_xlfn.TEXTJOIN("#",TRUE,PartList[[#This Row],[ASSLY MARK]],PartList[[#This Row],[BOX NO]],PartList[[#This Row],[In/Out]],PartList[[#This Row],[O2-Grid]])</f>
        <v>6BE103#Box3#InB</v>
      </c>
      <c r="O1209">
        <f>IF(PartList[[#This Row],[Unique]]="Yes",_xlfn.XLOOKUP(PartList[[#This Row],[ASSLY MARK]],FilteredPL!A:A,FilteredPL!B:B,0,0),0)</f>
        <v>0</v>
      </c>
      <c r="P1209">
        <f>_xlfn.XLOOKUP(PartList[[#This Row],[ASSLY MARK]],MasterPL[SplitMarkNo],MasterPL[BILL WT.(KG)],0,0)</f>
        <v>0</v>
      </c>
      <c r="Q1209" cm="1">
        <f t="array" ref="Q120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10" spans="1:17" x14ac:dyDescent="0.25">
      <c r="A1210">
        <v>812</v>
      </c>
      <c r="B1210" t="s">
        <v>986</v>
      </c>
      <c r="C1210" t="s">
        <v>521</v>
      </c>
      <c r="D1210" t="s">
        <v>378</v>
      </c>
      <c r="E1210" t="s">
        <v>5</v>
      </c>
      <c r="F1210" t="str" cm="1">
        <f t="array" ref="F1210">IF(SUM(IF(PartList[ASSLY MARK]=PartList[[#This Row],[ASSLY MARK]],1,0))&gt;1,"No","Yes")</f>
        <v>Yes</v>
      </c>
      <c r="G1210" t="str" cm="1">
        <f t="array" ref="G1210">_xlfn.TEXTJOIN("_",TRUE,TRIM(_xlfn.TEXTSPLIT(PartList[[#This Row],[GRID LOCATION]],{"PR01","/","-"})))</f>
        <v>14_15_A_B</v>
      </c>
      <c r="H1210" t="str" cm="1">
        <f t="array" ref="H121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10" cm="1">
        <f t="array" ref="I121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10" t="str">
        <f>IF(IFERROR(SEARCH("&gt;",PartList[[#This Row],[ID]]),0),"O",IF(IFERROR(SEARCH("&lt;",PartList[[#This Row],[ID]]),0),"I",""))</f>
        <v/>
      </c>
      <c r="K1210" t="str" cm="1">
        <f t="array" ref="K12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10" t="str" cm="1">
        <f t="array" ref="L12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10" t="str">
        <f>_xlfn.TEXTJOIN("#",TRUE,PartList[[#This Row],[ASSLY MARK]],PartList[[#This Row],[BOX NO]],PartList[[#This Row],[In/Out]],PartList[[#This Row],[O1-Grid]])</f>
        <v>6BE104#Box3#InB</v>
      </c>
      <c r="N1210" t="str">
        <f>_xlfn.TEXTJOIN("#",TRUE,PartList[[#This Row],[ASSLY MARK]],PartList[[#This Row],[BOX NO]],PartList[[#This Row],[In/Out]],PartList[[#This Row],[O2-Grid]])</f>
        <v>6BE104#Box3#InB</v>
      </c>
      <c r="O1210">
        <f>IF(PartList[[#This Row],[Unique]]="Yes",_xlfn.XLOOKUP(PartList[[#This Row],[ASSLY MARK]],FilteredPL!A:A,FilteredPL!B:B,0,0),0)</f>
        <v>0</v>
      </c>
      <c r="P1210">
        <f>_xlfn.XLOOKUP(PartList[[#This Row],[ASSLY MARK]],MasterPL[SplitMarkNo],MasterPL[BILL WT.(KG)],0,0)</f>
        <v>0</v>
      </c>
      <c r="Q1210" cm="1">
        <f t="array" ref="Q121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11" spans="1:17" x14ac:dyDescent="0.25">
      <c r="A1211">
        <v>814</v>
      </c>
      <c r="B1211" t="s">
        <v>988</v>
      </c>
      <c r="C1211" t="s">
        <v>800</v>
      </c>
      <c r="D1211" t="s">
        <v>378</v>
      </c>
      <c r="E1211" t="s">
        <v>5</v>
      </c>
      <c r="F1211" t="str" cm="1">
        <f t="array" ref="F1211">IF(SUM(IF(PartList[ASSLY MARK]=PartList[[#This Row],[ASSLY MARK]],1,0))&gt;1,"No","Yes")</f>
        <v>Yes</v>
      </c>
      <c r="G1211" t="str" cm="1">
        <f t="array" ref="G1211">_xlfn.TEXTJOIN("_",TRUE,TRIM(_xlfn.TEXTSPLIT(PartList[[#This Row],[GRID LOCATION]],{"PR01","/","-"})))</f>
        <v>15_A'_A</v>
      </c>
      <c r="H1211" t="str" cm="1">
        <f t="array" ref="H121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211" cm="1">
        <f t="array" ref="I121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11" t="str">
        <f>IF(IFERROR(SEARCH("&gt;",PartList[[#This Row],[ID]]),0),"O",IF(IFERROR(SEARCH("&lt;",PartList[[#This Row],[ID]]),0),"I",""))</f>
        <v/>
      </c>
      <c r="K1211" t="str" cm="1">
        <f t="array" ref="K12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11" t="str" cm="1">
        <f t="array" ref="L12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11" t="str">
        <f>_xlfn.TEXTJOIN("#",TRUE,PartList[[#This Row],[ASSLY MARK]],PartList[[#This Row],[BOX NO]],PartList[[#This Row],[In/Out]],PartList[[#This Row],[O1-Grid]])</f>
        <v>6BE106#Box3_Box6#InBB</v>
      </c>
      <c r="N1211" t="str">
        <f>_xlfn.TEXTJOIN("#",TRUE,PartList[[#This Row],[ASSLY MARK]],PartList[[#This Row],[BOX NO]],PartList[[#This Row],[In/Out]],PartList[[#This Row],[O2-Grid]])</f>
        <v>6BE106#Box3_Box6#InBB</v>
      </c>
      <c r="O1211">
        <f>IF(PartList[[#This Row],[Unique]]="Yes",_xlfn.XLOOKUP(PartList[[#This Row],[ASSLY MARK]],FilteredPL!A:A,FilteredPL!B:B,0,0),0)</f>
        <v>0</v>
      </c>
      <c r="P1211">
        <f>_xlfn.XLOOKUP(PartList[[#This Row],[ASSLY MARK]],MasterPL[SplitMarkNo],MasterPL[BILL WT.(KG)],0,0)</f>
        <v>0</v>
      </c>
      <c r="Q1211" cm="1">
        <f t="array" ref="Q121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12" spans="1:17" x14ac:dyDescent="0.25">
      <c r="A1212">
        <v>815</v>
      </c>
      <c r="B1212" t="s">
        <v>989</v>
      </c>
      <c r="C1212" t="s">
        <v>565</v>
      </c>
      <c r="D1212" t="s">
        <v>378</v>
      </c>
      <c r="E1212" t="s">
        <v>5</v>
      </c>
      <c r="F1212" t="str" cm="1">
        <f t="array" ref="F1212">IF(SUM(IF(PartList[ASSLY MARK]=PartList[[#This Row],[ASSLY MARK]],1,0))&gt;1,"No","Yes")</f>
        <v>Yes</v>
      </c>
      <c r="G1212" t="str" cm="1">
        <f t="array" ref="G1212">_xlfn.TEXTJOIN("_",TRUE,TRIM(_xlfn.TEXTSPLIT(PartList[[#This Row],[GRID LOCATION]],{"PR01","/","-"})))</f>
        <v>15_A_B</v>
      </c>
      <c r="H1212" t="str" cm="1">
        <f t="array" ref="H121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12" cm="1">
        <f t="array" ref="I121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12" t="str">
        <f>IF(IFERROR(SEARCH("&gt;",PartList[[#This Row],[ID]]),0),"O",IF(IFERROR(SEARCH("&lt;",PartList[[#This Row],[ID]]),0),"I",""))</f>
        <v/>
      </c>
      <c r="K1212" t="str" cm="1">
        <f t="array" ref="K12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15_A_B</v>
      </c>
      <c r="L1212" t="str" cm="1">
        <f t="array" ref="L12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12" t="str">
        <f>_xlfn.TEXTJOIN("#",TRUE,PartList[[#This Row],[ASSLY MARK]],PartList[[#This Row],[BOX NO]],PartList[[#This Row],[In/Out]],PartList[[#This Row],[O1-Grid]])</f>
        <v>6BE107#Box3#15_A_B</v>
      </c>
      <c r="N1212" t="str">
        <f>_xlfn.TEXTJOIN("#",TRUE,PartList[[#This Row],[ASSLY MARK]],PartList[[#This Row],[BOX NO]],PartList[[#This Row],[In/Out]],PartList[[#This Row],[O2-Grid]])</f>
        <v>6BE107#Box3#InB</v>
      </c>
      <c r="O1212">
        <f>IF(PartList[[#This Row],[Unique]]="Yes",_xlfn.XLOOKUP(PartList[[#This Row],[ASSLY MARK]],FilteredPL!A:A,FilteredPL!B:B,0,0),0)</f>
        <v>0</v>
      </c>
      <c r="P1212">
        <f>_xlfn.XLOOKUP(PartList[[#This Row],[ASSLY MARK]],MasterPL[SplitMarkNo],MasterPL[BILL WT.(KG)],0,0)</f>
        <v>0</v>
      </c>
      <c r="Q1212" cm="1">
        <f t="array" ref="Q121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13" spans="1:17" x14ac:dyDescent="0.25">
      <c r="A1213">
        <v>876</v>
      </c>
      <c r="B1213" t="s">
        <v>1028</v>
      </c>
      <c r="C1213" t="s">
        <v>521</v>
      </c>
      <c r="D1213" t="s">
        <v>393</v>
      </c>
      <c r="E1213" t="s">
        <v>6</v>
      </c>
      <c r="F1213" t="str" cm="1">
        <f t="array" ref="F1213">IF(SUM(IF(PartList[ASSLY MARK]=PartList[[#This Row],[ASSLY MARK]],1,0))&gt;1,"No","Yes")</f>
        <v>Yes</v>
      </c>
      <c r="G1213" t="str" cm="1">
        <f t="array" ref="G1213">_xlfn.TEXTJOIN("_",TRUE,TRIM(_xlfn.TEXTSPLIT(PartList[[#This Row],[GRID LOCATION]],{"PR01","/","-"})))</f>
        <v>14_15_A_B</v>
      </c>
      <c r="H1213" t="str" cm="1">
        <f t="array" ref="H121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13" cm="1">
        <f t="array" ref="I121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13" t="str">
        <f>IF(IFERROR(SEARCH("&gt;",PartList[[#This Row],[ID]]),0),"O",IF(IFERROR(SEARCH("&lt;",PartList[[#This Row],[ID]]),0),"I",""))</f>
        <v/>
      </c>
      <c r="K1213" t="str" cm="1">
        <f t="array" ref="K12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13" t="str" cm="1">
        <f t="array" ref="L12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13" t="str">
        <f>_xlfn.TEXTJOIN("#",TRUE,PartList[[#This Row],[ASSLY MARK]],PartList[[#This Row],[BOX NO]],PartList[[#This Row],[In/Out]],PartList[[#This Row],[O1-Grid]])</f>
        <v>6HB45#Box3#InB</v>
      </c>
      <c r="N1213" t="str">
        <f>_xlfn.TEXTJOIN("#",TRUE,PartList[[#This Row],[ASSLY MARK]],PartList[[#This Row],[BOX NO]],PartList[[#This Row],[In/Out]],PartList[[#This Row],[O2-Grid]])</f>
        <v>6HB45#Box3#InB</v>
      </c>
      <c r="O1213">
        <f>IF(PartList[[#This Row],[Unique]]="Yes",_xlfn.XLOOKUP(PartList[[#This Row],[ASSLY MARK]],FilteredPL!A:A,FilteredPL!B:B,0,0),0)</f>
        <v>0</v>
      </c>
      <c r="P1213">
        <f>_xlfn.XLOOKUP(PartList[[#This Row],[ASSLY MARK]],MasterPL[SplitMarkNo],MasterPL[BILL WT.(KG)],0,0)</f>
        <v>0</v>
      </c>
      <c r="Q1213" cm="1">
        <f t="array" ref="Q121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14" spans="1:17" x14ac:dyDescent="0.25">
      <c r="A1214">
        <v>877</v>
      </c>
      <c r="B1214" t="s">
        <v>1029</v>
      </c>
      <c r="C1214" t="s">
        <v>521</v>
      </c>
      <c r="D1214" t="s">
        <v>393</v>
      </c>
      <c r="E1214" t="s">
        <v>6</v>
      </c>
      <c r="F1214" t="str" cm="1">
        <f t="array" ref="F1214">IF(SUM(IF(PartList[ASSLY MARK]=PartList[[#This Row],[ASSLY MARK]],1,0))&gt;1,"No","Yes")</f>
        <v>No</v>
      </c>
      <c r="G1214" t="str" cm="1">
        <f t="array" ref="G1214">_xlfn.TEXTJOIN("_",TRUE,TRIM(_xlfn.TEXTSPLIT(PartList[[#This Row],[GRID LOCATION]],{"PR01","/","-"})))</f>
        <v>14_15_A_B</v>
      </c>
      <c r="H1214" t="str" cm="1">
        <f t="array" ref="H121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14" cm="1">
        <f t="array" ref="I121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14" t="str">
        <f>IF(IFERROR(SEARCH("&gt;",PartList[[#This Row],[ID]]),0),"O",IF(IFERROR(SEARCH("&lt;",PartList[[#This Row],[ID]]),0),"I",""))</f>
        <v/>
      </c>
      <c r="K1214" t="str" cm="1">
        <f t="array" ref="K12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14" t="str" cm="1">
        <f t="array" ref="L12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14" t="str">
        <f>_xlfn.TEXTJOIN("#",TRUE,PartList[[#This Row],[ASSLY MARK]],PartList[[#This Row],[BOX NO]],PartList[[#This Row],[In/Out]],PartList[[#This Row],[O1-Grid]])</f>
        <v>6HB46#Box3#InB</v>
      </c>
      <c r="N1214" t="str">
        <f>_xlfn.TEXTJOIN("#",TRUE,PartList[[#This Row],[ASSLY MARK]],PartList[[#This Row],[BOX NO]],PartList[[#This Row],[In/Out]],PartList[[#This Row],[O2-Grid]])</f>
        <v>6HB46#Box3#InB</v>
      </c>
      <c r="O1214">
        <f>IF(PartList[[#This Row],[Unique]]="Yes",_xlfn.XLOOKUP(PartList[[#This Row],[ASSLY MARK]],FilteredPL!A:A,FilteredPL!B:B,0,0),0)</f>
        <v>0</v>
      </c>
      <c r="P1214">
        <f>_xlfn.XLOOKUP(PartList[[#This Row],[ASSLY MARK]],MasterPL[SplitMarkNo],MasterPL[BILL WT.(KG)],0,0)</f>
        <v>0</v>
      </c>
      <c r="Q1214" cm="1">
        <f t="array" ref="Q121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15" spans="1:17" x14ac:dyDescent="0.25">
      <c r="A1215">
        <v>878</v>
      </c>
      <c r="B1215" t="s">
        <v>1029</v>
      </c>
      <c r="C1215" t="s">
        <v>521</v>
      </c>
      <c r="D1215" t="s">
        <v>393</v>
      </c>
      <c r="E1215" t="s">
        <v>6</v>
      </c>
      <c r="F1215" t="str" cm="1">
        <f t="array" ref="F1215">IF(SUM(IF(PartList[ASSLY MARK]=PartList[[#This Row],[ASSLY MARK]],1,0))&gt;1,"No","Yes")</f>
        <v>No</v>
      </c>
      <c r="G1215" t="str" cm="1">
        <f t="array" ref="G1215">_xlfn.TEXTJOIN("_",TRUE,TRIM(_xlfn.TEXTSPLIT(PartList[[#This Row],[GRID LOCATION]],{"PR01","/","-"})))</f>
        <v>14_15_A_B</v>
      </c>
      <c r="H1215" t="str" cm="1">
        <f t="array" ref="H121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15" cm="1">
        <f t="array" ref="I121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15" t="str">
        <f>IF(IFERROR(SEARCH("&gt;",PartList[[#This Row],[ID]]),0),"O",IF(IFERROR(SEARCH("&lt;",PartList[[#This Row],[ID]]),0),"I",""))</f>
        <v/>
      </c>
      <c r="K1215" t="str" cm="1">
        <f t="array" ref="K12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15" t="str" cm="1">
        <f t="array" ref="L12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15" t="str">
        <f>_xlfn.TEXTJOIN("#",TRUE,PartList[[#This Row],[ASSLY MARK]],PartList[[#This Row],[BOX NO]],PartList[[#This Row],[In/Out]],PartList[[#This Row],[O1-Grid]])</f>
        <v>6HB46#Box3#InB</v>
      </c>
      <c r="N1215" t="str">
        <f>_xlfn.TEXTJOIN("#",TRUE,PartList[[#This Row],[ASSLY MARK]],PartList[[#This Row],[BOX NO]],PartList[[#This Row],[In/Out]],PartList[[#This Row],[O2-Grid]])</f>
        <v>6HB46#Box3#InB</v>
      </c>
      <c r="O1215">
        <f>IF(PartList[[#This Row],[Unique]]="Yes",_xlfn.XLOOKUP(PartList[[#This Row],[ASSLY MARK]],FilteredPL!A:A,FilteredPL!B:B,0,0),0)</f>
        <v>0</v>
      </c>
      <c r="P1215">
        <f>_xlfn.XLOOKUP(PartList[[#This Row],[ASSLY MARK]],MasterPL[SplitMarkNo],MasterPL[BILL WT.(KG)],0,0)</f>
        <v>0</v>
      </c>
      <c r="Q1215" cm="1">
        <f t="array" ref="Q121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16" spans="1:17" x14ac:dyDescent="0.25">
      <c r="A1216">
        <v>879</v>
      </c>
      <c r="B1216" t="s">
        <v>1030</v>
      </c>
      <c r="C1216" t="s">
        <v>521</v>
      </c>
      <c r="D1216" t="s">
        <v>393</v>
      </c>
      <c r="E1216" t="s">
        <v>6</v>
      </c>
      <c r="F1216" t="str" cm="1">
        <f t="array" ref="F1216">IF(SUM(IF(PartList[ASSLY MARK]=PartList[[#This Row],[ASSLY MARK]],1,0))&gt;1,"No","Yes")</f>
        <v>Yes</v>
      </c>
      <c r="G1216" t="str" cm="1">
        <f t="array" ref="G1216">_xlfn.TEXTJOIN("_",TRUE,TRIM(_xlfn.TEXTSPLIT(PartList[[#This Row],[GRID LOCATION]],{"PR01","/","-"})))</f>
        <v>14_15_A_B</v>
      </c>
      <c r="H1216" t="str" cm="1">
        <f t="array" ref="H121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16" cm="1">
        <f t="array" ref="I121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16" t="str">
        <f>IF(IFERROR(SEARCH("&gt;",PartList[[#This Row],[ID]]),0),"O",IF(IFERROR(SEARCH("&lt;",PartList[[#This Row],[ID]]),0),"I",""))</f>
        <v/>
      </c>
      <c r="K1216" t="str" cm="1">
        <f t="array" ref="K12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16" t="str" cm="1">
        <f t="array" ref="L12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16" t="str">
        <f>_xlfn.TEXTJOIN("#",TRUE,PartList[[#This Row],[ASSLY MARK]],PartList[[#This Row],[BOX NO]],PartList[[#This Row],[In/Out]],PartList[[#This Row],[O1-Grid]])</f>
        <v>6HB47#Box3#InB</v>
      </c>
      <c r="N1216" t="str">
        <f>_xlfn.TEXTJOIN("#",TRUE,PartList[[#This Row],[ASSLY MARK]],PartList[[#This Row],[BOX NO]],PartList[[#This Row],[In/Out]],PartList[[#This Row],[O2-Grid]])</f>
        <v>6HB47#Box3#InB</v>
      </c>
      <c r="O1216">
        <f>IF(PartList[[#This Row],[Unique]]="Yes",_xlfn.XLOOKUP(PartList[[#This Row],[ASSLY MARK]],FilteredPL!A:A,FilteredPL!B:B,0,0),0)</f>
        <v>0</v>
      </c>
      <c r="P1216">
        <f>_xlfn.XLOOKUP(PartList[[#This Row],[ASSLY MARK]],MasterPL[SplitMarkNo],MasterPL[BILL WT.(KG)],0,0)</f>
        <v>0</v>
      </c>
      <c r="Q1216" cm="1">
        <f t="array" ref="Q121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17" spans="1:17" x14ac:dyDescent="0.25">
      <c r="A1217">
        <v>880</v>
      </c>
      <c r="B1217" t="s">
        <v>1031</v>
      </c>
      <c r="C1217" t="s">
        <v>521</v>
      </c>
      <c r="D1217" t="s">
        <v>393</v>
      </c>
      <c r="E1217" t="s">
        <v>6</v>
      </c>
      <c r="F1217" t="str" cm="1">
        <f t="array" ref="F1217">IF(SUM(IF(PartList[ASSLY MARK]=PartList[[#This Row],[ASSLY MARK]],1,0))&gt;1,"No","Yes")</f>
        <v>No</v>
      </c>
      <c r="G1217" t="str" cm="1">
        <f t="array" ref="G1217">_xlfn.TEXTJOIN("_",TRUE,TRIM(_xlfn.TEXTSPLIT(PartList[[#This Row],[GRID LOCATION]],{"PR01","/","-"})))</f>
        <v>14_15_A_B</v>
      </c>
      <c r="H1217" t="str" cm="1">
        <f t="array" ref="H121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17" cm="1">
        <f t="array" ref="I121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17" t="str">
        <f>IF(IFERROR(SEARCH("&gt;",PartList[[#This Row],[ID]]),0),"O",IF(IFERROR(SEARCH("&lt;",PartList[[#This Row],[ID]]),0),"I",""))</f>
        <v/>
      </c>
      <c r="K1217" t="str" cm="1">
        <f t="array" ref="K12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17" t="str" cm="1">
        <f t="array" ref="L12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17" t="str">
        <f>_xlfn.TEXTJOIN("#",TRUE,PartList[[#This Row],[ASSLY MARK]],PartList[[#This Row],[BOX NO]],PartList[[#This Row],[In/Out]],PartList[[#This Row],[O1-Grid]])</f>
        <v>6HB48#Box3#InB</v>
      </c>
      <c r="N1217" t="str">
        <f>_xlfn.TEXTJOIN("#",TRUE,PartList[[#This Row],[ASSLY MARK]],PartList[[#This Row],[BOX NO]],PartList[[#This Row],[In/Out]],PartList[[#This Row],[O2-Grid]])</f>
        <v>6HB48#Box3#InB</v>
      </c>
      <c r="O1217">
        <f>IF(PartList[[#This Row],[Unique]]="Yes",_xlfn.XLOOKUP(PartList[[#This Row],[ASSLY MARK]],FilteredPL!A:A,FilteredPL!B:B,0,0),0)</f>
        <v>0</v>
      </c>
      <c r="P1217">
        <f>_xlfn.XLOOKUP(PartList[[#This Row],[ASSLY MARK]],MasterPL[SplitMarkNo],MasterPL[BILL WT.(KG)],0,0)</f>
        <v>0</v>
      </c>
      <c r="Q1217" cm="1">
        <f t="array" ref="Q121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18" spans="1:17" x14ac:dyDescent="0.25">
      <c r="A1218">
        <v>881</v>
      </c>
      <c r="B1218" t="s">
        <v>1031</v>
      </c>
      <c r="C1218" t="s">
        <v>521</v>
      </c>
      <c r="D1218" t="s">
        <v>393</v>
      </c>
      <c r="E1218" t="s">
        <v>6</v>
      </c>
      <c r="F1218" t="str" cm="1">
        <f t="array" ref="F1218">IF(SUM(IF(PartList[ASSLY MARK]=PartList[[#This Row],[ASSLY MARK]],1,0))&gt;1,"No","Yes")</f>
        <v>No</v>
      </c>
      <c r="G1218" t="str" cm="1">
        <f t="array" ref="G1218">_xlfn.TEXTJOIN("_",TRUE,TRIM(_xlfn.TEXTSPLIT(PartList[[#This Row],[GRID LOCATION]],{"PR01","/","-"})))</f>
        <v>14_15_A_B</v>
      </c>
      <c r="H1218" t="str" cm="1">
        <f t="array" ref="H121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18" cm="1">
        <f t="array" ref="I121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18" t="str">
        <f>IF(IFERROR(SEARCH("&gt;",PartList[[#This Row],[ID]]),0),"O",IF(IFERROR(SEARCH("&lt;",PartList[[#This Row],[ID]]),0),"I",""))</f>
        <v/>
      </c>
      <c r="K1218" t="str" cm="1">
        <f t="array" ref="K12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18" t="str" cm="1">
        <f t="array" ref="L12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18" t="str">
        <f>_xlfn.TEXTJOIN("#",TRUE,PartList[[#This Row],[ASSLY MARK]],PartList[[#This Row],[BOX NO]],PartList[[#This Row],[In/Out]],PartList[[#This Row],[O1-Grid]])</f>
        <v>6HB48#Box3#InB</v>
      </c>
      <c r="N1218" t="str">
        <f>_xlfn.TEXTJOIN("#",TRUE,PartList[[#This Row],[ASSLY MARK]],PartList[[#This Row],[BOX NO]],PartList[[#This Row],[In/Out]],PartList[[#This Row],[O2-Grid]])</f>
        <v>6HB48#Box3#InB</v>
      </c>
      <c r="O1218">
        <f>IF(PartList[[#This Row],[Unique]]="Yes",_xlfn.XLOOKUP(PartList[[#This Row],[ASSLY MARK]],FilteredPL!A:A,FilteredPL!B:B,0,0),0)</f>
        <v>0</v>
      </c>
      <c r="P1218">
        <f>_xlfn.XLOOKUP(PartList[[#This Row],[ASSLY MARK]],MasterPL[SplitMarkNo],MasterPL[BILL WT.(KG)],0,0)</f>
        <v>0</v>
      </c>
      <c r="Q1218" cm="1">
        <f t="array" ref="Q121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19" spans="1:17" x14ac:dyDescent="0.25">
      <c r="A1219">
        <v>882</v>
      </c>
      <c r="B1219" t="s">
        <v>1032</v>
      </c>
      <c r="C1219" t="s">
        <v>521</v>
      </c>
      <c r="D1219" t="s">
        <v>393</v>
      </c>
      <c r="E1219" t="s">
        <v>6</v>
      </c>
      <c r="F1219" t="str" cm="1">
        <f t="array" ref="F1219">IF(SUM(IF(PartList[ASSLY MARK]=PartList[[#This Row],[ASSLY MARK]],1,0))&gt;1,"No","Yes")</f>
        <v>No</v>
      </c>
      <c r="G1219" t="str" cm="1">
        <f t="array" ref="G1219">_xlfn.TEXTJOIN("_",TRUE,TRIM(_xlfn.TEXTSPLIT(PartList[[#This Row],[GRID LOCATION]],{"PR01","/","-"})))</f>
        <v>14_15_A_B</v>
      </c>
      <c r="H1219" t="str" cm="1">
        <f t="array" ref="H121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19" cm="1">
        <f t="array" ref="I121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19" t="str">
        <f>IF(IFERROR(SEARCH("&gt;",PartList[[#This Row],[ID]]),0),"O",IF(IFERROR(SEARCH("&lt;",PartList[[#This Row],[ID]]),0),"I",""))</f>
        <v/>
      </c>
      <c r="K1219" t="str" cm="1">
        <f t="array" ref="K12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19" t="str" cm="1">
        <f t="array" ref="L12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19" t="str">
        <f>_xlfn.TEXTJOIN("#",TRUE,PartList[[#This Row],[ASSLY MARK]],PartList[[#This Row],[BOX NO]],PartList[[#This Row],[In/Out]],PartList[[#This Row],[O1-Grid]])</f>
        <v>6HB49#Box3#InB</v>
      </c>
      <c r="N1219" t="str">
        <f>_xlfn.TEXTJOIN("#",TRUE,PartList[[#This Row],[ASSLY MARK]],PartList[[#This Row],[BOX NO]],PartList[[#This Row],[In/Out]],PartList[[#This Row],[O2-Grid]])</f>
        <v>6HB49#Box3#InB</v>
      </c>
      <c r="O1219">
        <f>IF(PartList[[#This Row],[Unique]]="Yes",_xlfn.XLOOKUP(PartList[[#This Row],[ASSLY MARK]],FilteredPL!A:A,FilteredPL!B:B,0,0),0)</f>
        <v>0</v>
      </c>
      <c r="P1219">
        <f>_xlfn.XLOOKUP(PartList[[#This Row],[ASSLY MARK]],MasterPL[SplitMarkNo],MasterPL[BILL WT.(KG)],0,0)</f>
        <v>0</v>
      </c>
      <c r="Q1219" cm="1">
        <f t="array" ref="Q121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20" spans="1:17" x14ac:dyDescent="0.25">
      <c r="A1220">
        <v>883</v>
      </c>
      <c r="B1220" t="s">
        <v>1032</v>
      </c>
      <c r="C1220" t="s">
        <v>521</v>
      </c>
      <c r="D1220" t="s">
        <v>393</v>
      </c>
      <c r="E1220" t="s">
        <v>6</v>
      </c>
      <c r="F1220" t="str" cm="1">
        <f t="array" ref="F1220">IF(SUM(IF(PartList[ASSLY MARK]=PartList[[#This Row],[ASSLY MARK]],1,0))&gt;1,"No","Yes")</f>
        <v>No</v>
      </c>
      <c r="G1220" t="str" cm="1">
        <f t="array" ref="G1220">_xlfn.TEXTJOIN("_",TRUE,TRIM(_xlfn.TEXTSPLIT(PartList[[#This Row],[GRID LOCATION]],{"PR01","/","-"})))</f>
        <v>14_15_A_B</v>
      </c>
      <c r="H1220" t="str" cm="1">
        <f t="array" ref="H122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20" cm="1">
        <f t="array" ref="I122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20" t="str">
        <f>IF(IFERROR(SEARCH("&gt;",PartList[[#This Row],[ID]]),0),"O",IF(IFERROR(SEARCH("&lt;",PartList[[#This Row],[ID]]),0),"I",""))</f>
        <v/>
      </c>
      <c r="K1220" t="str" cm="1">
        <f t="array" ref="K12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20" t="str" cm="1">
        <f t="array" ref="L12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20" t="str">
        <f>_xlfn.TEXTJOIN("#",TRUE,PartList[[#This Row],[ASSLY MARK]],PartList[[#This Row],[BOX NO]],PartList[[#This Row],[In/Out]],PartList[[#This Row],[O1-Grid]])</f>
        <v>6HB49#Box3#InB</v>
      </c>
      <c r="N1220" t="str">
        <f>_xlfn.TEXTJOIN("#",TRUE,PartList[[#This Row],[ASSLY MARK]],PartList[[#This Row],[BOX NO]],PartList[[#This Row],[In/Out]],PartList[[#This Row],[O2-Grid]])</f>
        <v>6HB49#Box3#InB</v>
      </c>
      <c r="O1220">
        <f>IF(PartList[[#This Row],[Unique]]="Yes",_xlfn.XLOOKUP(PartList[[#This Row],[ASSLY MARK]],FilteredPL!A:A,FilteredPL!B:B,0,0),0)</f>
        <v>0</v>
      </c>
      <c r="P1220">
        <f>_xlfn.XLOOKUP(PartList[[#This Row],[ASSLY MARK]],MasterPL[SplitMarkNo],MasterPL[BILL WT.(KG)],0,0)</f>
        <v>0</v>
      </c>
      <c r="Q1220" cm="1">
        <f t="array" ref="Q122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21" spans="1:17" x14ac:dyDescent="0.25">
      <c r="A1221">
        <v>884</v>
      </c>
      <c r="B1221" t="s">
        <v>1033</v>
      </c>
      <c r="C1221" t="s">
        <v>521</v>
      </c>
      <c r="D1221" t="s">
        <v>393</v>
      </c>
      <c r="E1221" t="s">
        <v>6</v>
      </c>
      <c r="F1221" t="str" cm="1">
        <f t="array" ref="F1221">IF(SUM(IF(PartList[ASSLY MARK]=PartList[[#This Row],[ASSLY MARK]],1,0))&gt;1,"No","Yes")</f>
        <v>Yes</v>
      </c>
      <c r="G1221" t="str" cm="1">
        <f t="array" ref="G1221">_xlfn.TEXTJOIN("_",TRUE,TRIM(_xlfn.TEXTSPLIT(PartList[[#This Row],[GRID LOCATION]],{"PR01","/","-"})))</f>
        <v>14_15_A_B</v>
      </c>
      <c r="H1221" t="str" cm="1">
        <f t="array" ref="H122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21" cm="1">
        <f t="array" ref="I122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21" t="str">
        <f>IF(IFERROR(SEARCH("&gt;",PartList[[#This Row],[ID]]),0),"O",IF(IFERROR(SEARCH("&lt;",PartList[[#This Row],[ID]]),0),"I",""))</f>
        <v/>
      </c>
      <c r="K1221" t="str" cm="1">
        <f t="array" ref="K12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21" t="str" cm="1">
        <f t="array" ref="L12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21" t="str">
        <f>_xlfn.TEXTJOIN("#",TRUE,PartList[[#This Row],[ASSLY MARK]],PartList[[#This Row],[BOX NO]],PartList[[#This Row],[In/Out]],PartList[[#This Row],[O1-Grid]])</f>
        <v>6HB50#Box3#InB</v>
      </c>
      <c r="N1221" t="str">
        <f>_xlfn.TEXTJOIN("#",TRUE,PartList[[#This Row],[ASSLY MARK]],PartList[[#This Row],[BOX NO]],PartList[[#This Row],[In/Out]],PartList[[#This Row],[O2-Grid]])</f>
        <v>6HB50#Box3#InB</v>
      </c>
      <c r="O1221">
        <f>IF(PartList[[#This Row],[Unique]]="Yes",_xlfn.XLOOKUP(PartList[[#This Row],[ASSLY MARK]],FilteredPL!A:A,FilteredPL!B:B,0,0),0)</f>
        <v>0</v>
      </c>
      <c r="P1221">
        <f>_xlfn.XLOOKUP(PartList[[#This Row],[ASSLY MARK]],MasterPL[SplitMarkNo],MasterPL[BILL WT.(KG)],0,0)</f>
        <v>0</v>
      </c>
      <c r="Q1221" cm="1">
        <f t="array" ref="Q122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22" spans="1:17" x14ac:dyDescent="0.25">
      <c r="A1222">
        <v>885</v>
      </c>
      <c r="B1222" t="s">
        <v>1034</v>
      </c>
      <c r="C1222" t="s">
        <v>521</v>
      </c>
      <c r="D1222" t="s">
        <v>393</v>
      </c>
      <c r="E1222" t="s">
        <v>6</v>
      </c>
      <c r="F1222" t="str" cm="1">
        <f t="array" ref="F1222">IF(SUM(IF(PartList[ASSLY MARK]=PartList[[#This Row],[ASSLY MARK]],1,0))&gt;1,"No","Yes")</f>
        <v>No</v>
      </c>
      <c r="G1222" t="str" cm="1">
        <f t="array" ref="G1222">_xlfn.TEXTJOIN("_",TRUE,TRIM(_xlfn.TEXTSPLIT(PartList[[#This Row],[GRID LOCATION]],{"PR01","/","-"})))</f>
        <v>14_15_A_B</v>
      </c>
      <c r="H1222" t="str" cm="1">
        <f t="array" ref="H122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22" cm="1">
        <f t="array" ref="I122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22" t="str">
        <f>IF(IFERROR(SEARCH("&gt;",PartList[[#This Row],[ID]]),0),"O",IF(IFERROR(SEARCH("&lt;",PartList[[#This Row],[ID]]),0),"I",""))</f>
        <v/>
      </c>
      <c r="K1222" t="str" cm="1">
        <f t="array" ref="K12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22" t="str" cm="1">
        <f t="array" ref="L12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22" t="str">
        <f>_xlfn.TEXTJOIN("#",TRUE,PartList[[#This Row],[ASSLY MARK]],PartList[[#This Row],[BOX NO]],PartList[[#This Row],[In/Out]],PartList[[#This Row],[O1-Grid]])</f>
        <v>6HB51#Box3#InB</v>
      </c>
      <c r="N1222" t="str">
        <f>_xlfn.TEXTJOIN("#",TRUE,PartList[[#This Row],[ASSLY MARK]],PartList[[#This Row],[BOX NO]],PartList[[#This Row],[In/Out]],PartList[[#This Row],[O2-Grid]])</f>
        <v>6HB51#Box3#InB</v>
      </c>
      <c r="O1222">
        <f>IF(PartList[[#This Row],[Unique]]="Yes",_xlfn.XLOOKUP(PartList[[#This Row],[ASSLY MARK]],FilteredPL!A:A,FilteredPL!B:B,0,0),0)</f>
        <v>0</v>
      </c>
      <c r="P1222">
        <f>_xlfn.XLOOKUP(PartList[[#This Row],[ASSLY MARK]],MasterPL[SplitMarkNo],MasterPL[BILL WT.(KG)],0,0)</f>
        <v>0</v>
      </c>
      <c r="Q1222" cm="1">
        <f t="array" ref="Q122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23" spans="1:17" x14ac:dyDescent="0.25">
      <c r="A1223">
        <v>886</v>
      </c>
      <c r="B1223" t="s">
        <v>1034</v>
      </c>
      <c r="C1223" t="s">
        <v>521</v>
      </c>
      <c r="D1223" t="s">
        <v>393</v>
      </c>
      <c r="E1223" t="s">
        <v>6</v>
      </c>
      <c r="F1223" t="str" cm="1">
        <f t="array" ref="F1223">IF(SUM(IF(PartList[ASSLY MARK]=PartList[[#This Row],[ASSLY MARK]],1,0))&gt;1,"No","Yes")</f>
        <v>No</v>
      </c>
      <c r="G1223" t="str" cm="1">
        <f t="array" ref="G1223">_xlfn.TEXTJOIN("_",TRUE,TRIM(_xlfn.TEXTSPLIT(PartList[[#This Row],[GRID LOCATION]],{"PR01","/","-"})))</f>
        <v>14_15_A_B</v>
      </c>
      <c r="H1223" t="str" cm="1">
        <f t="array" ref="H122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23" cm="1">
        <f t="array" ref="I122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23" t="str">
        <f>IF(IFERROR(SEARCH("&gt;",PartList[[#This Row],[ID]]),0),"O",IF(IFERROR(SEARCH("&lt;",PartList[[#This Row],[ID]]),0),"I",""))</f>
        <v/>
      </c>
      <c r="K1223" t="str" cm="1">
        <f t="array" ref="K12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23" t="str" cm="1">
        <f t="array" ref="L12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23" t="str">
        <f>_xlfn.TEXTJOIN("#",TRUE,PartList[[#This Row],[ASSLY MARK]],PartList[[#This Row],[BOX NO]],PartList[[#This Row],[In/Out]],PartList[[#This Row],[O1-Grid]])</f>
        <v>6HB51#Box3#InB</v>
      </c>
      <c r="N1223" t="str">
        <f>_xlfn.TEXTJOIN("#",TRUE,PartList[[#This Row],[ASSLY MARK]],PartList[[#This Row],[BOX NO]],PartList[[#This Row],[In/Out]],PartList[[#This Row],[O2-Grid]])</f>
        <v>6HB51#Box3#InB</v>
      </c>
      <c r="O1223">
        <f>IF(PartList[[#This Row],[Unique]]="Yes",_xlfn.XLOOKUP(PartList[[#This Row],[ASSLY MARK]],FilteredPL!A:A,FilteredPL!B:B,0,0),0)</f>
        <v>0</v>
      </c>
      <c r="P1223">
        <f>_xlfn.XLOOKUP(PartList[[#This Row],[ASSLY MARK]],MasterPL[SplitMarkNo],MasterPL[BILL WT.(KG)],0,0)</f>
        <v>0</v>
      </c>
      <c r="Q1223" cm="1">
        <f t="array" ref="Q122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24" spans="1:17" x14ac:dyDescent="0.25">
      <c r="A1224">
        <v>887</v>
      </c>
      <c r="B1224" t="s">
        <v>1035</v>
      </c>
      <c r="C1224" t="s">
        <v>521</v>
      </c>
      <c r="D1224" t="s">
        <v>393</v>
      </c>
      <c r="E1224" t="s">
        <v>6</v>
      </c>
      <c r="F1224" t="str" cm="1">
        <f t="array" ref="F1224">IF(SUM(IF(PartList[ASSLY MARK]=PartList[[#This Row],[ASSLY MARK]],1,0))&gt;1,"No","Yes")</f>
        <v>Yes</v>
      </c>
      <c r="G1224" t="str" cm="1">
        <f t="array" ref="G1224">_xlfn.TEXTJOIN("_",TRUE,TRIM(_xlfn.TEXTSPLIT(PartList[[#This Row],[GRID LOCATION]],{"PR01","/","-"})))</f>
        <v>14_15_A_B</v>
      </c>
      <c r="H1224" t="str" cm="1">
        <f t="array" ref="H122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24" cm="1">
        <f t="array" ref="I122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24" t="str">
        <f>IF(IFERROR(SEARCH("&gt;",PartList[[#This Row],[ID]]),0),"O",IF(IFERROR(SEARCH("&lt;",PartList[[#This Row],[ID]]),0),"I",""))</f>
        <v/>
      </c>
      <c r="K1224" t="str" cm="1">
        <f t="array" ref="K12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24" t="str" cm="1">
        <f t="array" ref="L12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224" t="str">
        <f>_xlfn.TEXTJOIN("#",TRUE,PartList[[#This Row],[ASSLY MARK]],PartList[[#This Row],[BOX NO]],PartList[[#This Row],[In/Out]],PartList[[#This Row],[O1-Grid]])</f>
        <v>6HB52#Box3#InB</v>
      </c>
      <c r="N1224" t="str">
        <f>_xlfn.TEXTJOIN("#",TRUE,PartList[[#This Row],[ASSLY MARK]],PartList[[#This Row],[BOX NO]],PartList[[#This Row],[In/Out]],PartList[[#This Row],[O2-Grid]])</f>
        <v>6HB52#Box3#InB</v>
      </c>
      <c r="O1224">
        <f>IF(PartList[[#This Row],[Unique]]="Yes",_xlfn.XLOOKUP(PartList[[#This Row],[ASSLY MARK]],FilteredPL!A:A,FilteredPL!B:B,0,0),0)</f>
        <v>0</v>
      </c>
      <c r="P1224">
        <f>_xlfn.XLOOKUP(PartList[[#This Row],[ASSLY MARK]],MasterPL[SplitMarkNo],MasterPL[BILL WT.(KG)],0,0)</f>
        <v>0</v>
      </c>
      <c r="Q1224" cm="1">
        <f t="array" ref="Q122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25" spans="1:17" x14ac:dyDescent="0.25">
      <c r="A1225">
        <v>913</v>
      </c>
      <c r="B1225" t="s">
        <v>1061</v>
      </c>
      <c r="C1225" t="s">
        <v>1062</v>
      </c>
      <c r="D1225" t="s">
        <v>1063</v>
      </c>
      <c r="E1225" t="s">
        <v>7</v>
      </c>
      <c r="F1225" t="str" cm="1">
        <f t="array" ref="F1225">IF(SUM(IF(PartList[ASSLY MARK]=PartList[[#This Row],[ASSLY MARK]],1,0))&gt;1,"No","Yes")</f>
        <v>Yes</v>
      </c>
      <c r="G1225" t="str" cm="1">
        <f t="array" ref="G1225">_xlfn.TEXTJOIN("_",TRUE,TRIM(_xlfn.TEXTSPLIT(PartList[[#This Row],[GRID LOCATION]],{"PR01","/","-"})))</f>
        <v>15_A</v>
      </c>
      <c r="H1225" t="str" cm="1">
        <f t="array" ref="H122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25" cm="1">
        <f t="array" ref="I122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25" t="str">
        <f>IF(IFERROR(SEARCH("&gt;",PartList[[#This Row],[ID]]),0),"O",IF(IFERROR(SEARCH("&lt;",PartList[[#This Row],[ID]]),0),"I",""))</f>
        <v/>
      </c>
      <c r="K1225" t="str" cm="1">
        <f t="array" ref="K12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25" t="str" cm="1">
        <f t="array" ref="L12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15_-_A</v>
      </c>
      <c r="M1225" t="str">
        <f>_xlfn.TEXTJOIN("#",TRUE,PartList[[#This Row],[ASSLY MARK]],PartList[[#This Row],[BOX NO]],PartList[[#This Row],[In/Out]],PartList[[#This Row],[O1-Grid]])</f>
        <v>C24#Box3#15_B_A</v>
      </c>
      <c r="N1225" t="str">
        <f>_xlfn.TEXTJOIN("#",TRUE,PartList[[#This Row],[ASSLY MARK]],PartList[[#This Row],[BOX NO]],PartList[[#This Row],[In/Out]],PartList[[#This Row],[O2-Grid]])</f>
        <v>C24#Box3#15_-_A</v>
      </c>
      <c r="O1225">
        <f>IF(PartList[[#This Row],[Unique]]="Yes",_xlfn.XLOOKUP(PartList[[#This Row],[ASSLY MARK]],FilteredPL!A:A,FilteredPL!B:B,0,0),0)</f>
        <v>0</v>
      </c>
      <c r="P1225">
        <f>_xlfn.XLOOKUP(PartList[[#This Row],[ASSLY MARK]],MasterPL[SplitMarkNo],MasterPL[BILL WT.(KG)],0,0)</f>
        <v>0</v>
      </c>
      <c r="Q1225" cm="1">
        <f t="array" ref="Q122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26" spans="1:17" x14ac:dyDescent="0.25">
      <c r="A1226">
        <v>914</v>
      </c>
      <c r="B1226" t="s">
        <v>1064</v>
      </c>
      <c r="C1226" t="s">
        <v>1062</v>
      </c>
      <c r="D1226" t="s">
        <v>407</v>
      </c>
      <c r="E1226" t="s">
        <v>7</v>
      </c>
      <c r="F1226" t="str" cm="1">
        <f t="array" ref="F1226">IF(SUM(IF(PartList[ASSLY MARK]=PartList[[#This Row],[ASSLY MARK]],1,0))&gt;1,"No","Yes")</f>
        <v>Yes</v>
      </c>
      <c r="G1226" t="str" cm="1">
        <f t="array" ref="G1226">_xlfn.TEXTJOIN("_",TRUE,TRIM(_xlfn.TEXTSPLIT(PartList[[#This Row],[GRID LOCATION]],{"PR01","/","-"})))</f>
        <v>15_A</v>
      </c>
      <c r="H1226" t="str" cm="1">
        <f t="array" ref="H122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26" cm="1">
        <f t="array" ref="I122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26" t="str">
        <f>IF(IFERROR(SEARCH("&gt;",PartList[[#This Row],[ID]]),0),"O",IF(IFERROR(SEARCH("&lt;",PartList[[#This Row],[ID]]),0),"I",""))</f>
        <v/>
      </c>
      <c r="K1226" t="str" cm="1">
        <f t="array" ref="K12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26" t="str" cm="1">
        <f t="array" ref="L12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15_-_A</v>
      </c>
      <c r="M1226" t="str">
        <f>_xlfn.TEXTJOIN("#",TRUE,PartList[[#This Row],[ASSLY MARK]],PartList[[#This Row],[BOX NO]],PartList[[#This Row],[In/Out]],PartList[[#This Row],[O1-Grid]])</f>
        <v>C25#Box3#15_B_A</v>
      </c>
      <c r="N1226" t="str">
        <f>_xlfn.TEXTJOIN("#",TRUE,PartList[[#This Row],[ASSLY MARK]],PartList[[#This Row],[BOX NO]],PartList[[#This Row],[In/Out]],PartList[[#This Row],[O2-Grid]])</f>
        <v>C25#Box3#15_-_A</v>
      </c>
      <c r="O1226">
        <f>IF(PartList[[#This Row],[Unique]]="Yes",_xlfn.XLOOKUP(PartList[[#This Row],[ASSLY MARK]],FilteredPL!A:A,FilteredPL!B:B,0,0),0)</f>
        <v>0</v>
      </c>
      <c r="P1226">
        <f>_xlfn.XLOOKUP(PartList[[#This Row],[ASSLY MARK]],MasterPL[SplitMarkNo],MasterPL[BILL WT.(KG)],0,0)</f>
        <v>0</v>
      </c>
      <c r="Q1226" cm="1">
        <f t="array" ref="Q122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27" spans="1:17" x14ac:dyDescent="0.25">
      <c r="A1227">
        <v>917</v>
      </c>
      <c r="B1227" t="s">
        <v>1068</v>
      </c>
      <c r="C1227" t="s">
        <v>1069</v>
      </c>
      <c r="D1227" t="s">
        <v>1063</v>
      </c>
      <c r="E1227" t="s">
        <v>7</v>
      </c>
      <c r="F1227" t="str" cm="1">
        <f t="array" ref="F1227">IF(SUM(IF(PartList[ASSLY MARK]=PartList[[#This Row],[ASSLY MARK]],1,0))&gt;1,"No","Yes")</f>
        <v>Yes</v>
      </c>
      <c r="G1227" t="str" cm="1">
        <f t="array" ref="G1227">_xlfn.TEXTJOIN("_",TRUE,TRIM(_xlfn.TEXTSPLIT(PartList[[#This Row],[GRID LOCATION]],{"PR01","/","-"})))</f>
        <v>15_B</v>
      </c>
      <c r="H1227" t="str" cm="1">
        <f t="array" ref="H122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27" cm="1">
        <f t="array" ref="I122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27" t="str">
        <f>IF(IFERROR(SEARCH("&gt;",PartList[[#This Row],[ID]]),0),"O",IF(IFERROR(SEARCH("&lt;",PartList[[#This Row],[ID]]),0),"I",""))</f>
        <v/>
      </c>
      <c r="K1227" t="str" cm="1">
        <f t="array" ref="K12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27" t="str" cm="1">
        <f t="array" ref="L12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15_-_B</v>
      </c>
      <c r="M1227" t="str">
        <f>_xlfn.TEXTJOIN("#",TRUE,PartList[[#This Row],[ASSLY MARK]],PartList[[#This Row],[BOX NO]],PartList[[#This Row],[In/Out]],PartList[[#This Row],[O1-Grid]])</f>
        <v>C28#Box3#15_B_A</v>
      </c>
      <c r="N1227" t="str">
        <f>_xlfn.TEXTJOIN("#",TRUE,PartList[[#This Row],[ASSLY MARK]],PartList[[#This Row],[BOX NO]],PartList[[#This Row],[In/Out]],PartList[[#This Row],[O2-Grid]])</f>
        <v>C28#Box3#15_-_B</v>
      </c>
      <c r="O1227">
        <f>IF(PartList[[#This Row],[Unique]]="Yes",_xlfn.XLOOKUP(PartList[[#This Row],[ASSLY MARK]],FilteredPL!A:A,FilteredPL!B:B,0,0),0)</f>
        <v>0</v>
      </c>
      <c r="P1227">
        <f>_xlfn.XLOOKUP(PartList[[#This Row],[ASSLY MARK]],MasterPL[SplitMarkNo],MasterPL[BILL WT.(KG)],0,0)</f>
        <v>0</v>
      </c>
      <c r="Q1227" cm="1">
        <f t="array" ref="Q122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28" spans="1:17" x14ac:dyDescent="0.25">
      <c r="A1228">
        <v>920</v>
      </c>
      <c r="B1228" t="s">
        <v>1075</v>
      </c>
      <c r="C1228" t="s">
        <v>1069</v>
      </c>
      <c r="D1228" t="s">
        <v>407</v>
      </c>
      <c r="E1228" t="s">
        <v>7</v>
      </c>
      <c r="F1228" t="str" cm="1">
        <f t="array" ref="F1228">IF(SUM(IF(PartList[ASSLY MARK]=PartList[[#This Row],[ASSLY MARK]],1,0))&gt;1,"No","Yes")</f>
        <v>Yes</v>
      </c>
      <c r="G1228" t="str" cm="1">
        <f t="array" ref="G1228">_xlfn.TEXTJOIN("_",TRUE,TRIM(_xlfn.TEXTSPLIT(PartList[[#This Row],[GRID LOCATION]],{"PR01","/","-"})))</f>
        <v>15_B</v>
      </c>
      <c r="H1228" t="str" cm="1">
        <f t="array" ref="H122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28" cm="1">
        <f t="array" ref="I122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28" t="str">
        <f>IF(IFERROR(SEARCH("&gt;",PartList[[#This Row],[ID]]),0),"O",IF(IFERROR(SEARCH("&lt;",PartList[[#This Row],[ID]]),0),"I",""))</f>
        <v/>
      </c>
      <c r="K1228" t="str" cm="1">
        <f t="array" ref="K12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28" t="str" cm="1">
        <f t="array" ref="L12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15_-_B</v>
      </c>
      <c r="M1228" t="str">
        <f>_xlfn.TEXTJOIN("#",TRUE,PartList[[#This Row],[ASSLY MARK]],PartList[[#This Row],[BOX NO]],PartList[[#This Row],[In/Out]],PartList[[#This Row],[O1-Grid]])</f>
        <v>C31#Box3#15_B_A</v>
      </c>
      <c r="N1228" t="str">
        <f>_xlfn.TEXTJOIN("#",TRUE,PartList[[#This Row],[ASSLY MARK]],PartList[[#This Row],[BOX NO]],PartList[[#This Row],[In/Out]],PartList[[#This Row],[O2-Grid]])</f>
        <v>C31#Box3#15_-_B</v>
      </c>
      <c r="O1228">
        <f>IF(PartList[[#This Row],[Unique]]="Yes",_xlfn.XLOOKUP(PartList[[#This Row],[ASSLY MARK]],FilteredPL!A:A,FilteredPL!B:B,0,0),0)</f>
        <v>1</v>
      </c>
      <c r="P1228">
        <f>_xlfn.XLOOKUP(PartList[[#This Row],[ASSLY MARK]],MasterPL[SplitMarkNo],MasterPL[BILL WT.(KG)],0,0)</f>
        <v>2122.09</v>
      </c>
      <c r="Q1228" cm="1">
        <f t="array" ref="Q122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29" spans="1:17" x14ac:dyDescent="0.25">
      <c r="A1229">
        <v>1002</v>
      </c>
      <c r="B1229" t="s">
        <v>427</v>
      </c>
      <c r="C1229" t="s">
        <v>1069</v>
      </c>
      <c r="D1229" t="s">
        <v>1095</v>
      </c>
      <c r="E1229" t="s">
        <v>1086</v>
      </c>
      <c r="F1229" t="str" cm="1">
        <f t="array" ref="F1229">IF(SUM(IF(PartList[ASSLY MARK]=PartList[[#This Row],[ASSLY MARK]],1,0))&gt;1,"No","Yes")</f>
        <v>No</v>
      </c>
      <c r="G1229" t="str" cm="1">
        <f t="array" ref="G1229">_xlfn.TEXTJOIN("_",TRUE,TRIM(_xlfn.TEXTSPLIT(PartList[[#This Row],[GRID LOCATION]],{"PR01","/","-"})))</f>
        <v>15_B</v>
      </c>
      <c r="H1229" t="str" cm="1">
        <f t="array" ref="H122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29" cm="1">
        <f t="array" ref="I122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29" t="str">
        <f>IF(IFERROR(SEARCH("&gt;",PartList[[#This Row],[ID]]),0),"O",IF(IFERROR(SEARCH("&lt;",PartList[[#This Row],[ID]]),0),"I",""))</f>
        <v/>
      </c>
      <c r="K1229" t="str" cm="1">
        <f t="array" ref="K12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29" t="str" cm="1">
        <f t="array" ref="L12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15_-_B</v>
      </c>
      <c r="M1229" t="str">
        <f>_xlfn.TEXTJOIN("#",TRUE,PartList[[#This Row],[ASSLY MARK]],PartList[[#This Row],[BOX NO]],PartList[[#This Row],[In/Out]],PartList[[#This Row],[O1-Grid]])</f>
        <v>SF02#Box3#15_B_A</v>
      </c>
      <c r="N1229" t="str">
        <f>_xlfn.TEXTJOIN("#",TRUE,PartList[[#This Row],[ASSLY MARK]],PartList[[#This Row],[BOX NO]],PartList[[#This Row],[In/Out]],PartList[[#This Row],[O2-Grid]])</f>
        <v>SF02#Box3#15_-_B</v>
      </c>
      <c r="O1229">
        <v>1</v>
      </c>
      <c r="P1229">
        <f>_xlfn.XLOOKUP(PartList[[#This Row],[ASSLY MARK]],MasterPL[SplitMarkNo],MasterPL[BILL WT.(KG)],0,0)</f>
        <v>1440.79</v>
      </c>
      <c r="Q1229" cm="1">
        <f t="array" ref="Q122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30" spans="1:17" x14ac:dyDescent="0.25">
      <c r="A1230">
        <v>1005</v>
      </c>
      <c r="B1230" t="s">
        <v>427</v>
      </c>
      <c r="C1230" t="s">
        <v>1069</v>
      </c>
      <c r="D1230" t="s">
        <v>1095</v>
      </c>
      <c r="E1230" t="s">
        <v>1086</v>
      </c>
      <c r="F1230" t="str" cm="1">
        <f t="array" ref="F1230">IF(SUM(IF(PartList[ASSLY MARK]=PartList[[#This Row],[ASSLY MARK]],1,0))&gt;1,"No","Yes")</f>
        <v>No</v>
      </c>
      <c r="G1230" t="str" cm="1">
        <f t="array" ref="G1230">_xlfn.TEXTJOIN("_",TRUE,TRIM(_xlfn.TEXTSPLIT(PartList[[#This Row],[GRID LOCATION]],{"PR01","/","-"})))</f>
        <v>15_B</v>
      </c>
      <c r="H1230" t="str" cm="1">
        <f t="array" ref="H123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30" cm="1">
        <f t="array" ref="I123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30" t="str">
        <f>IF(IFERROR(SEARCH("&gt;",PartList[[#This Row],[ID]]),0),"O",IF(IFERROR(SEARCH("&lt;",PartList[[#This Row],[ID]]),0),"I",""))</f>
        <v/>
      </c>
      <c r="K1230" t="str" cm="1">
        <f t="array" ref="K12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30" t="str" cm="1">
        <f t="array" ref="L12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15_-_B</v>
      </c>
      <c r="M1230" t="str">
        <f>_xlfn.TEXTJOIN("#",TRUE,PartList[[#This Row],[ASSLY MARK]],PartList[[#This Row],[BOX NO]],PartList[[#This Row],[In/Out]],PartList[[#This Row],[O1-Grid]])</f>
        <v>SF02#Box3#15_B_A</v>
      </c>
      <c r="N1230" t="str">
        <f>_xlfn.TEXTJOIN("#",TRUE,PartList[[#This Row],[ASSLY MARK]],PartList[[#This Row],[BOX NO]],PartList[[#This Row],[In/Out]],PartList[[#This Row],[O2-Grid]])</f>
        <v>SF02#Box3#15_-_B</v>
      </c>
      <c r="O1230">
        <v>1</v>
      </c>
      <c r="P1230">
        <f>_xlfn.XLOOKUP(PartList[[#This Row],[ASSLY MARK]],MasterPL[SplitMarkNo],MasterPL[BILL WT.(KG)],0,0)</f>
        <v>1440.79</v>
      </c>
      <c r="Q1230" cm="1">
        <f t="array" ref="Q123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31" spans="1:17" x14ac:dyDescent="0.25">
      <c r="A1231">
        <v>1007</v>
      </c>
      <c r="B1231" t="s">
        <v>427</v>
      </c>
      <c r="C1231" t="s">
        <v>1069</v>
      </c>
      <c r="D1231" t="s">
        <v>1095</v>
      </c>
      <c r="E1231" t="s">
        <v>1086</v>
      </c>
      <c r="F1231" t="str" cm="1">
        <f t="array" ref="F1231">IF(SUM(IF(PartList[ASSLY MARK]=PartList[[#This Row],[ASSLY MARK]],1,0))&gt;1,"No","Yes")</f>
        <v>No</v>
      </c>
      <c r="G1231" t="str" cm="1">
        <f t="array" ref="G1231">_xlfn.TEXTJOIN("_",TRUE,TRIM(_xlfn.TEXTSPLIT(PartList[[#This Row],[GRID LOCATION]],{"PR01","/","-"})))</f>
        <v>15_B</v>
      </c>
      <c r="H1231" t="str" cm="1">
        <f t="array" ref="H123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31" cm="1">
        <f t="array" ref="I123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31" t="str">
        <f>IF(IFERROR(SEARCH("&gt;",PartList[[#This Row],[ID]]),0),"O",IF(IFERROR(SEARCH("&lt;",PartList[[#This Row],[ID]]),0),"I",""))</f>
        <v/>
      </c>
      <c r="K1231" t="str" cm="1">
        <f t="array" ref="K12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31" t="str" cm="1">
        <f t="array" ref="L12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15_-_B</v>
      </c>
      <c r="M1231" t="str">
        <f>_xlfn.TEXTJOIN("#",TRUE,PartList[[#This Row],[ASSLY MARK]],PartList[[#This Row],[BOX NO]],PartList[[#This Row],[In/Out]],PartList[[#This Row],[O1-Grid]])</f>
        <v>SF02#Box3#15_B_A</v>
      </c>
      <c r="N1231" t="str">
        <f>_xlfn.TEXTJOIN("#",TRUE,PartList[[#This Row],[ASSLY MARK]],PartList[[#This Row],[BOX NO]],PartList[[#This Row],[In/Out]],PartList[[#This Row],[O2-Grid]])</f>
        <v>SF02#Box3#15_-_B</v>
      </c>
      <c r="O1231">
        <v>1</v>
      </c>
      <c r="P1231">
        <f>_xlfn.XLOOKUP(PartList[[#This Row],[ASSLY MARK]],MasterPL[SplitMarkNo],MasterPL[BILL WT.(KG)],0,0)</f>
        <v>1440.79</v>
      </c>
      <c r="Q1231" cm="1">
        <f t="array" ref="Q123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32" spans="1:17" x14ac:dyDescent="0.25">
      <c r="A1232">
        <v>1008</v>
      </c>
      <c r="B1232" t="s">
        <v>427</v>
      </c>
      <c r="C1232" t="s">
        <v>1062</v>
      </c>
      <c r="D1232" t="s">
        <v>1091</v>
      </c>
      <c r="E1232" t="s">
        <v>1086</v>
      </c>
      <c r="F1232" t="str" cm="1">
        <f t="array" ref="F1232">IF(SUM(IF(PartList[ASSLY MARK]=PartList[[#This Row],[ASSLY MARK]],1,0))&gt;1,"No","Yes")</f>
        <v>No</v>
      </c>
      <c r="G1232" t="str" cm="1">
        <f t="array" ref="G1232">_xlfn.TEXTJOIN("_",TRUE,TRIM(_xlfn.TEXTSPLIT(PartList[[#This Row],[GRID LOCATION]],{"PR01","/","-"})))</f>
        <v>15_A</v>
      </c>
      <c r="H1232" t="str" cm="1">
        <f t="array" ref="H123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32" cm="1">
        <f t="array" ref="I123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32" t="str">
        <f>IF(IFERROR(SEARCH("&gt;",PartList[[#This Row],[ID]]),0),"O",IF(IFERROR(SEARCH("&lt;",PartList[[#This Row],[ID]]),0),"I",""))</f>
        <v/>
      </c>
      <c r="K1232" t="str" cm="1">
        <f t="array" ref="K12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32" t="str" cm="1">
        <f t="array" ref="L12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15_-_A</v>
      </c>
      <c r="M1232" t="str">
        <f>_xlfn.TEXTJOIN("#",TRUE,PartList[[#This Row],[ASSLY MARK]],PartList[[#This Row],[BOX NO]],PartList[[#This Row],[In/Out]],PartList[[#This Row],[O1-Grid]])</f>
        <v>SF02#Box3#15_B_A</v>
      </c>
      <c r="N1232" t="str">
        <f>_xlfn.TEXTJOIN("#",TRUE,PartList[[#This Row],[ASSLY MARK]],PartList[[#This Row],[BOX NO]],PartList[[#This Row],[In/Out]],PartList[[#This Row],[O2-Grid]])</f>
        <v>SF02#Box3#15_-_A</v>
      </c>
      <c r="O1232">
        <v>1</v>
      </c>
      <c r="P1232">
        <f>_xlfn.XLOOKUP(PartList[[#This Row],[ASSLY MARK]],MasterPL[SplitMarkNo],MasterPL[BILL WT.(KG)],0,0)</f>
        <v>1440.79</v>
      </c>
      <c r="Q1232" cm="1">
        <f t="array" ref="Q123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33" spans="1:17" x14ac:dyDescent="0.25">
      <c r="A1233">
        <v>1010</v>
      </c>
      <c r="B1233" t="s">
        <v>427</v>
      </c>
      <c r="C1233" t="s">
        <v>1069</v>
      </c>
      <c r="D1233" t="s">
        <v>1095</v>
      </c>
      <c r="E1233" t="s">
        <v>1086</v>
      </c>
      <c r="F1233" t="str" cm="1">
        <f t="array" ref="F1233">IF(SUM(IF(PartList[ASSLY MARK]=PartList[[#This Row],[ASSLY MARK]],1,0))&gt;1,"No","Yes")</f>
        <v>No</v>
      </c>
      <c r="G1233" t="str" cm="1">
        <f t="array" ref="G1233">_xlfn.TEXTJOIN("_",TRUE,TRIM(_xlfn.TEXTSPLIT(PartList[[#This Row],[GRID LOCATION]],{"PR01","/","-"})))</f>
        <v>15_B</v>
      </c>
      <c r="H1233" t="str" cm="1">
        <f t="array" ref="H123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33" cm="1">
        <f t="array" ref="I123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33" t="str">
        <f>IF(IFERROR(SEARCH("&gt;",PartList[[#This Row],[ID]]),0),"O",IF(IFERROR(SEARCH("&lt;",PartList[[#This Row],[ID]]),0),"I",""))</f>
        <v/>
      </c>
      <c r="K1233" t="str" cm="1">
        <f t="array" ref="K12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33" t="str" cm="1">
        <f t="array" ref="L12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15_-_B</v>
      </c>
      <c r="M1233" t="str">
        <f>_xlfn.TEXTJOIN("#",TRUE,PartList[[#This Row],[ASSLY MARK]],PartList[[#This Row],[BOX NO]],PartList[[#This Row],[In/Out]],PartList[[#This Row],[O1-Grid]])</f>
        <v>SF02#Box3#15_B_A</v>
      </c>
      <c r="N1233" t="str">
        <f>_xlfn.TEXTJOIN("#",TRUE,PartList[[#This Row],[ASSLY MARK]],PartList[[#This Row],[BOX NO]],PartList[[#This Row],[In/Out]],PartList[[#This Row],[O2-Grid]])</f>
        <v>SF02#Box3#15_-_B</v>
      </c>
      <c r="O1233">
        <v>1</v>
      </c>
      <c r="P1233">
        <f>_xlfn.XLOOKUP(PartList[[#This Row],[ASSLY MARK]],MasterPL[SplitMarkNo],MasterPL[BILL WT.(KG)],0,0)</f>
        <v>1440.79</v>
      </c>
      <c r="Q1233" cm="1">
        <f t="array" ref="Q123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34" spans="1:17" x14ac:dyDescent="0.25">
      <c r="A1234">
        <v>1011</v>
      </c>
      <c r="B1234" t="s">
        <v>427</v>
      </c>
      <c r="C1234" t="s">
        <v>1062</v>
      </c>
      <c r="D1234" t="s">
        <v>1095</v>
      </c>
      <c r="E1234" t="s">
        <v>1086</v>
      </c>
      <c r="F1234" t="str" cm="1">
        <f t="array" ref="F1234">IF(SUM(IF(PartList[ASSLY MARK]=PartList[[#This Row],[ASSLY MARK]],1,0))&gt;1,"No","Yes")</f>
        <v>No</v>
      </c>
      <c r="G1234" t="str" cm="1">
        <f t="array" ref="G1234">_xlfn.TEXTJOIN("_",TRUE,TRIM(_xlfn.TEXTSPLIT(PartList[[#This Row],[GRID LOCATION]],{"PR01","/","-"})))</f>
        <v>15_A</v>
      </c>
      <c r="H1234" t="str" cm="1">
        <f t="array" ref="H123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34" cm="1">
        <f t="array" ref="I123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34" t="str">
        <f>IF(IFERROR(SEARCH("&gt;",PartList[[#This Row],[ID]]),0),"O",IF(IFERROR(SEARCH("&lt;",PartList[[#This Row],[ID]]),0),"I",""))</f>
        <v/>
      </c>
      <c r="K1234" t="str" cm="1">
        <f t="array" ref="K12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34" t="str" cm="1">
        <f t="array" ref="L12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15_-_A</v>
      </c>
      <c r="M1234" t="str">
        <f>_xlfn.TEXTJOIN("#",TRUE,PartList[[#This Row],[ASSLY MARK]],PartList[[#This Row],[BOX NO]],PartList[[#This Row],[In/Out]],PartList[[#This Row],[O1-Grid]])</f>
        <v>SF02#Box3#15_B_A</v>
      </c>
      <c r="N1234" t="str">
        <f>_xlfn.TEXTJOIN("#",TRUE,PartList[[#This Row],[ASSLY MARK]],PartList[[#This Row],[BOX NO]],PartList[[#This Row],[In/Out]],PartList[[#This Row],[O2-Grid]])</f>
        <v>SF02#Box3#15_-_A</v>
      </c>
      <c r="O1234">
        <v>1</v>
      </c>
      <c r="P1234">
        <f>_xlfn.XLOOKUP(PartList[[#This Row],[ASSLY MARK]],MasterPL[SplitMarkNo],MasterPL[BILL WT.(KG)],0,0)</f>
        <v>1440.79</v>
      </c>
      <c r="Q1234" cm="1">
        <f t="array" ref="Q123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35" spans="1:17" x14ac:dyDescent="0.25">
      <c r="A1235">
        <v>1013</v>
      </c>
      <c r="B1235" t="s">
        <v>427</v>
      </c>
      <c r="C1235" t="s">
        <v>1062</v>
      </c>
      <c r="D1235" t="s">
        <v>1091</v>
      </c>
      <c r="E1235" t="s">
        <v>1086</v>
      </c>
      <c r="F1235" t="str" cm="1">
        <f t="array" ref="F1235">IF(SUM(IF(PartList[ASSLY MARK]=PartList[[#This Row],[ASSLY MARK]],1,0))&gt;1,"No","Yes")</f>
        <v>No</v>
      </c>
      <c r="G1235" t="str" cm="1">
        <f t="array" ref="G1235">_xlfn.TEXTJOIN("_",TRUE,TRIM(_xlfn.TEXTSPLIT(PartList[[#This Row],[GRID LOCATION]],{"PR01","/","-"})))</f>
        <v>15_A</v>
      </c>
      <c r="H1235" t="str" cm="1">
        <f t="array" ref="H123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35" cm="1">
        <f t="array" ref="I123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35" t="str">
        <f>IF(IFERROR(SEARCH("&gt;",PartList[[#This Row],[ID]]),0),"O",IF(IFERROR(SEARCH("&lt;",PartList[[#This Row],[ID]]),0),"I",""))</f>
        <v/>
      </c>
      <c r="K1235" t="str" cm="1">
        <f t="array" ref="K12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35" t="str" cm="1">
        <f t="array" ref="L12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15_-_A</v>
      </c>
      <c r="M1235" t="str">
        <f>_xlfn.TEXTJOIN("#",TRUE,PartList[[#This Row],[ASSLY MARK]],PartList[[#This Row],[BOX NO]],PartList[[#This Row],[In/Out]],PartList[[#This Row],[O1-Grid]])</f>
        <v>SF02#Box3#15_B_A</v>
      </c>
      <c r="N1235" t="str">
        <f>_xlfn.TEXTJOIN("#",TRUE,PartList[[#This Row],[ASSLY MARK]],PartList[[#This Row],[BOX NO]],PartList[[#This Row],[In/Out]],PartList[[#This Row],[O2-Grid]])</f>
        <v>SF02#Box3#15_-_A</v>
      </c>
      <c r="O1235">
        <v>1</v>
      </c>
      <c r="P1235">
        <f>_xlfn.XLOOKUP(PartList[[#This Row],[ASSLY MARK]],MasterPL[SplitMarkNo],MasterPL[BILL WT.(KG)],0,0)</f>
        <v>1440.79</v>
      </c>
      <c r="Q1235" cm="1">
        <f t="array" ref="Q123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36" spans="1:17" x14ac:dyDescent="0.25">
      <c r="A1236">
        <v>1014</v>
      </c>
      <c r="B1236" t="s">
        <v>427</v>
      </c>
      <c r="C1236" t="s">
        <v>1062</v>
      </c>
      <c r="D1236" t="s">
        <v>1095</v>
      </c>
      <c r="E1236" t="s">
        <v>1086</v>
      </c>
      <c r="F1236" t="str" cm="1">
        <f t="array" ref="F1236">IF(SUM(IF(PartList[ASSLY MARK]=PartList[[#This Row],[ASSLY MARK]],1,0))&gt;1,"No","Yes")</f>
        <v>No</v>
      </c>
      <c r="G1236" t="str" cm="1">
        <f t="array" ref="G1236">_xlfn.TEXTJOIN("_",TRUE,TRIM(_xlfn.TEXTSPLIT(PartList[[#This Row],[GRID LOCATION]],{"PR01","/","-"})))</f>
        <v>15_A</v>
      </c>
      <c r="H1236" t="str" cm="1">
        <f t="array" ref="H123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36" cm="1">
        <f t="array" ref="I123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36" t="str">
        <f>IF(IFERROR(SEARCH("&gt;",PartList[[#This Row],[ID]]),0),"O",IF(IFERROR(SEARCH("&lt;",PartList[[#This Row],[ID]]),0),"I",""))</f>
        <v/>
      </c>
      <c r="K1236" t="str" cm="1">
        <f t="array" ref="K12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36" t="str" cm="1">
        <f t="array" ref="L12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15_-_A</v>
      </c>
      <c r="M1236" t="str">
        <f>_xlfn.TEXTJOIN("#",TRUE,PartList[[#This Row],[ASSLY MARK]],PartList[[#This Row],[BOX NO]],PartList[[#This Row],[In/Out]],PartList[[#This Row],[O1-Grid]])</f>
        <v>SF02#Box3#15_B_A</v>
      </c>
      <c r="N1236" t="str">
        <f>_xlfn.TEXTJOIN("#",TRUE,PartList[[#This Row],[ASSLY MARK]],PartList[[#This Row],[BOX NO]],PartList[[#This Row],[In/Out]],PartList[[#This Row],[O2-Grid]])</f>
        <v>SF02#Box3#15_-_A</v>
      </c>
      <c r="O1236">
        <v>1</v>
      </c>
      <c r="P1236">
        <f>_xlfn.XLOOKUP(PartList[[#This Row],[ASSLY MARK]],MasterPL[SplitMarkNo],MasterPL[BILL WT.(KG)],0,0)</f>
        <v>1440.79</v>
      </c>
      <c r="Q1236" cm="1">
        <f t="array" ref="Q123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37" spans="1:17" x14ac:dyDescent="0.25">
      <c r="A1237">
        <v>1016</v>
      </c>
      <c r="B1237" t="s">
        <v>427</v>
      </c>
      <c r="C1237" t="s">
        <v>1062</v>
      </c>
      <c r="D1237" t="s">
        <v>1095</v>
      </c>
      <c r="E1237" t="s">
        <v>1086</v>
      </c>
      <c r="F1237" t="str" cm="1">
        <f t="array" ref="F1237">IF(SUM(IF(PartList[ASSLY MARK]=PartList[[#This Row],[ASSLY MARK]],1,0))&gt;1,"No","Yes")</f>
        <v>No</v>
      </c>
      <c r="G1237" t="str" cm="1">
        <f t="array" ref="G1237">_xlfn.TEXTJOIN("_",TRUE,TRIM(_xlfn.TEXTSPLIT(PartList[[#This Row],[GRID LOCATION]],{"PR01","/","-"})))</f>
        <v>15_A</v>
      </c>
      <c r="H1237" t="str" cm="1">
        <f t="array" ref="H123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37" cm="1">
        <f t="array" ref="I123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37" t="str">
        <f>IF(IFERROR(SEARCH("&gt;",PartList[[#This Row],[ID]]),0),"O",IF(IFERROR(SEARCH("&lt;",PartList[[#This Row],[ID]]),0),"I",""))</f>
        <v/>
      </c>
      <c r="K1237" t="str" cm="1">
        <f t="array" ref="K12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37" t="str" cm="1">
        <f t="array" ref="L12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15_-_A</v>
      </c>
      <c r="M1237" t="str">
        <f>_xlfn.TEXTJOIN("#",TRUE,PartList[[#This Row],[ASSLY MARK]],PartList[[#This Row],[BOX NO]],PartList[[#This Row],[In/Out]],PartList[[#This Row],[O1-Grid]])</f>
        <v>SF02#Box3#15_B_A</v>
      </c>
      <c r="N1237" t="str">
        <f>_xlfn.TEXTJOIN("#",TRUE,PartList[[#This Row],[ASSLY MARK]],PartList[[#This Row],[BOX NO]],PartList[[#This Row],[In/Out]],PartList[[#This Row],[O2-Grid]])</f>
        <v>SF02#Box3#15_-_A</v>
      </c>
      <c r="O1237">
        <v>1</v>
      </c>
      <c r="P1237">
        <f>_xlfn.XLOOKUP(PartList[[#This Row],[ASSLY MARK]],MasterPL[SplitMarkNo],MasterPL[BILL WT.(KG)],0,0)</f>
        <v>1440.79</v>
      </c>
      <c r="Q1237" cm="1">
        <f t="array" ref="Q123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38" spans="1:17" x14ac:dyDescent="0.25">
      <c r="A1238">
        <v>1017</v>
      </c>
      <c r="B1238" t="s">
        <v>427</v>
      </c>
      <c r="C1238" t="s">
        <v>1062</v>
      </c>
      <c r="D1238" t="s">
        <v>1091</v>
      </c>
      <c r="E1238" t="s">
        <v>1086</v>
      </c>
      <c r="F1238" t="str" cm="1">
        <f t="array" ref="F1238">IF(SUM(IF(PartList[ASSLY MARK]=PartList[[#This Row],[ASSLY MARK]],1,0))&gt;1,"No","Yes")</f>
        <v>No</v>
      </c>
      <c r="G1238" t="str" cm="1">
        <f t="array" ref="G1238">_xlfn.TEXTJOIN("_",TRUE,TRIM(_xlfn.TEXTSPLIT(PartList[[#This Row],[GRID LOCATION]],{"PR01","/","-"})))</f>
        <v>15_A</v>
      </c>
      <c r="H1238" t="str" cm="1">
        <f t="array" ref="H123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38" cm="1">
        <f t="array" ref="I123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38" t="str">
        <f>IF(IFERROR(SEARCH("&gt;",PartList[[#This Row],[ID]]),0),"O",IF(IFERROR(SEARCH("&lt;",PartList[[#This Row],[ID]]),0),"I",""))</f>
        <v/>
      </c>
      <c r="K1238" t="str" cm="1">
        <f t="array" ref="K12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38" t="str" cm="1">
        <f t="array" ref="L12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15_-_A</v>
      </c>
      <c r="M1238" t="str">
        <f>_xlfn.TEXTJOIN("#",TRUE,PartList[[#This Row],[ASSLY MARK]],PartList[[#This Row],[BOX NO]],PartList[[#This Row],[In/Out]],PartList[[#This Row],[O1-Grid]])</f>
        <v>SF02#Box3#15_B_A</v>
      </c>
      <c r="N1238" t="str">
        <f>_xlfn.TEXTJOIN("#",TRUE,PartList[[#This Row],[ASSLY MARK]],PartList[[#This Row],[BOX NO]],PartList[[#This Row],[In/Out]],PartList[[#This Row],[O2-Grid]])</f>
        <v>SF02#Box3#15_-_A</v>
      </c>
      <c r="O1238">
        <v>1</v>
      </c>
      <c r="P1238">
        <f>_xlfn.XLOOKUP(PartList[[#This Row],[ASSLY MARK]],MasterPL[SplitMarkNo],MasterPL[BILL WT.(KG)],0,0)</f>
        <v>1440.79</v>
      </c>
      <c r="Q1238" cm="1">
        <f t="array" ref="Q123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39" spans="1:17" x14ac:dyDescent="0.25">
      <c r="A1239">
        <v>1019</v>
      </c>
      <c r="B1239" t="s">
        <v>427</v>
      </c>
      <c r="C1239" t="s">
        <v>1062</v>
      </c>
      <c r="D1239" t="s">
        <v>1095</v>
      </c>
      <c r="E1239" t="s">
        <v>1086</v>
      </c>
      <c r="F1239" t="str" cm="1">
        <f t="array" ref="F1239">IF(SUM(IF(PartList[ASSLY MARK]=PartList[[#This Row],[ASSLY MARK]],1,0))&gt;1,"No","Yes")</f>
        <v>No</v>
      </c>
      <c r="G1239" t="str" cm="1">
        <f t="array" ref="G1239">_xlfn.TEXTJOIN("_",TRUE,TRIM(_xlfn.TEXTSPLIT(PartList[[#This Row],[GRID LOCATION]],{"PR01","/","-"})))</f>
        <v>15_A</v>
      </c>
      <c r="H1239" t="str" cm="1">
        <f t="array" ref="H123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39" cm="1">
        <f t="array" ref="I123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39" t="str">
        <f>IF(IFERROR(SEARCH("&gt;",PartList[[#This Row],[ID]]),0),"O",IF(IFERROR(SEARCH("&lt;",PartList[[#This Row],[ID]]),0),"I",""))</f>
        <v/>
      </c>
      <c r="K1239" t="str" cm="1">
        <f t="array" ref="K12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39" t="str" cm="1">
        <f t="array" ref="L12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15_-_A</v>
      </c>
      <c r="M1239" t="str">
        <f>_xlfn.TEXTJOIN("#",TRUE,PartList[[#This Row],[ASSLY MARK]],PartList[[#This Row],[BOX NO]],PartList[[#This Row],[In/Out]],PartList[[#This Row],[O1-Grid]])</f>
        <v>SF02#Box3#15_B_A</v>
      </c>
      <c r="N1239" t="str">
        <f>_xlfn.TEXTJOIN("#",TRUE,PartList[[#This Row],[ASSLY MARK]],PartList[[#This Row],[BOX NO]],PartList[[#This Row],[In/Out]],PartList[[#This Row],[O2-Grid]])</f>
        <v>SF02#Box3#15_-_A</v>
      </c>
      <c r="O1239">
        <v>1</v>
      </c>
      <c r="P1239">
        <f>_xlfn.XLOOKUP(PartList[[#This Row],[ASSLY MARK]],MasterPL[SplitMarkNo],MasterPL[BILL WT.(KG)],0,0)</f>
        <v>1440.79</v>
      </c>
      <c r="Q1239" cm="1">
        <f t="array" ref="Q123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40" spans="1:17" x14ac:dyDescent="0.25">
      <c r="A1240">
        <v>1020</v>
      </c>
      <c r="B1240" t="s">
        <v>427</v>
      </c>
      <c r="C1240" t="s">
        <v>1069</v>
      </c>
      <c r="D1240" t="s">
        <v>1091</v>
      </c>
      <c r="E1240" t="s">
        <v>1086</v>
      </c>
      <c r="F1240" t="str" cm="1">
        <f t="array" ref="F1240">IF(SUM(IF(PartList[ASSLY MARK]=PartList[[#This Row],[ASSLY MARK]],1,0))&gt;1,"No","Yes")</f>
        <v>No</v>
      </c>
      <c r="G1240" t="str" cm="1">
        <f t="array" ref="G1240">_xlfn.TEXTJOIN("_",TRUE,TRIM(_xlfn.TEXTSPLIT(PartList[[#This Row],[GRID LOCATION]],{"PR01","/","-"})))</f>
        <v>15_B</v>
      </c>
      <c r="H1240" t="str" cm="1">
        <f t="array" ref="H124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40" cm="1">
        <f t="array" ref="I124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40" t="str">
        <f>IF(IFERROR(SEARCH("&gt;",PartList[[#This Row],[ID]]),0),"O",IF(IFERROR(SEARCH("&lt;",PartList[[#This Row],[ID]]),0),"I",""))</f>
        <v/>
      </c>
      <c r="K1240" t="str" cm="1">
        <f t="array" ref="K12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40" t="str" cm="1">
        <f t="array" ref="L12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15_-_B</v>
      </c>
      <c r="M1240" t="str">
        <f>_xlfn.TEXTJOIN("#",TRUE,PartList[[#This Row],[ASSLY MARK]],PartList[[#This Row],[BOX NO]],PartList[[#This Row],[In/Out]],PartList[[#This Row],[O1-Grid]])</f>
        <v>SF02#Box3#15_B_A</v>
      </c>
      <c r="N1240" t="str">
        <f>_xlfn.TEXTJOIN("#",TRUE,PartList[[#This Row],[ASSLY MARK]],PartList[[#This Row],[BOX NO]],PartList[[#This Row],[In/Out]],PartList[[#This Row],[O2-Grid]])</f>
        <v>SF02#Box3#15_-_B</v>
      </c>
      <c r="O1240">
        <v>1</v>
      </c>
      <c r="P1240">
        <f>_xlfn.XLOOKUP(PartList[[#This Row],[ASSLY MARK]],MasterPL[SplitMarkNo],MasterPL[BILL WT.(KG)],0,0)</f>
        <v>1440.79</v>
      </c>
      <c r="Q1240" cm="1">
        <f t="array" ref="Q124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41" spans="1:17" x14ac:dyDescent="0.25">
      <c r="A1241">
        <v>1022</v>
      </c>
      <c r="B1241" t="s">
        <v>427</v>
      </c>
      <c r="C1241" t="s">
        <v>1062</v>
      </c>
      <c r="D1241" t="s">
        <v>1091</v>
      </c>
      <c r="E1241" t="s">
        <v>1086</v>
      </c>
      <c r="F1241" t="str" cm="1">
        <f t="array" ref="F1241">IF(SUM(IF(PartList[ASSLY MARK]=PartList[[#This Row],[ASSLY MARK]],1,0))&gt;1,"No","Yes")</f>
        <v>No</v>
      </c>
      <c r="G1241" t="str" cm="1">
        <f t="array" ref="G1241">_xlfn.TEXTJOIN("_",TRUE,TRIM(_xlfn.TEXTSPLIT(PartList[[#This Row],[GRID LOCATION]],{"PR01","/","-"})))</f>
        <v>15_A</v>
      </c>
      <c r="H1241" t="str" cm="1">
        <f t="array" ref="H124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41" cm="1">
        <f t="array" ref="I124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41" t="str">
        <f>IF(IFERROR(SEARCH("&gt;",PartList[[#This Row],[ID]]),0),"O",IF(IFERROR(SEARCH("&lt;",PartList[[#This Row],[ID]]),0),"I",""))</f>
        <v/>
      </c>
      <c r="K1241" t="str" cm="1">
        <f t="array" ref="K12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41" t="str" cm="1">
        <f t="array" ref="L12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15_-_A</v>
      </c>
      <c r="M1241" t="str">
        <f>_xlfn.TEXTJOIN("#",TRUE,PartList[[#This Row],[ASSLY MARK]],PartList[[#This Row],[BOX NO]],PartList[[#This Row],[In/Out]],PartList[[#This Row],[O1-Grid]])</f>
        <v>SF02#Box3#15_B_A</v>
      </c>
      <c r="N1241" t="str">
        <f>_xlfn.TEXTJOIN("#",TRUE,PartList[[#This Row],[ASSLY MARK]],PartList[[#This Row],[BOX NO]],PartList[[#This Row],[In/Out]],PartList[[#This Row],[O2-Grid]])</f>
        <v>SF02#Box3#15_-_A</v>
      </c>
      <c r="O1241">
        <v>1</v>
      </c>
      <c r="P1241">
        <f>_xlfn.XLOOKUP(PartList[[#This Row],[ASSLY MARK]],MasterPL[SplitMarkNo],MasterPL[BILL WT.(KG)],0,0)</f>
        <v>1440.79</v>
      </c>
      <c r="Q1241" cm="1">
        <f t="array" ref="Q124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42" spans="1:17" x14ac:dyDescent="0.25">
      <c r="A1242">
        <v>1023</v>
      </c>
      <c r="B1242" t="s">
        <v>427</v>
      </c>
      <c r="C1242" t="s">
        <v>1069</v>
      </c>
      <c r="D1242" t="s">
        <v>1091</v>
      </c>
      <c r="E1242" t="s">
        <v>1086</v>
      </c>
      <c r="F1242" t="str" cm="1">
        <f t="array" ref="F1242">IF(SUM(IF(PartList[ASSLY MARK]=PartList[[#This Row],[ASSLY MARK]],1,0))&gt;1,"No","Yes")</f>
        <v>No</v>
      </c>
      <c r="G1242" t="str" cm="1">
        <f t="array" ref="G1242">_xlfn.TEXTJOIN("_",TRUE,TRIM(_xlfn.TEXTSPLIT(PartList[[#This Row],[GRID LOCATION]],{"PR01","/","-"})))</f>
        <v>15_B</v>
      </c>
      <c r="H1242" t="str" cm="1">
        <f t="array" ref="H124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42" cm="1">
        <f t="array" ref="I124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42" t="str">
        <f>IF(IFERROR(SEARCH("&gt;",PartList[[#This Row],[ID]]),0),"O",IF(IFERROR(SEARCH("&lt;",PartList[[#This Row],[ID]]),0),"I",""))</f>
        <v/>
      </c>
      <c r="K1242" t="str" cm="1">
        <f t="array" ref="K12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42" t="str" cm="1">
        <f t="array" ref="L12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15_-_B</v>
      </c>
      <c r="M1242" t="str">
        <f>_xlfn.TEXTJOIN("#",TRUE,PartList[[#This Row],[ASSLY MARK]],PartList[[#This Row],[BOX NO]],PartList[[#This Row],[In/Out]],PartList[[#This Row],[O1-Grid]])</f>
        <v>SF02#Box3#15_B_A</v>
      </c>
      <c r="N1242" t="str">
        <f>_xlfn.TEXTJOIN("#",TRUE,PartList[[#This Row],[ASSLY MARK]],PartList[[#This Row],[BOX NO]],PartList[[#This Row],[In/Out]],PartList[[#This Row],[O2-Grid]])</f>
        <v>SF02#Box3#15_-_B</v>
      </c>
      <c r="O1242">
        <v>1</v>
      </c>
      <c r="P1242">
        <f>_xlfn.XLOOKUP(PartList[[#This Row],[ASSLY MARK]],MasterPL[SplitMarkNo],MasterPL[BILL WT.(KG)],0,0)</f>
        <v>1440.79</v>
      </c>
      <c r="Q1242" cm="1">
        <f t="array" ref="Q124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43" spans="1:17" x14ac:dyDescent="0.25">
      <c r="A1243">
        <v>1025</v>
      </c>
      <c r="B1243" t="s">
        <v>427</v>
      </c>
      <c r="C1243" t="s">
        <v>1069</v>
      </c>
      <c r="D1243" t="s">
        <v>1091</v>
      </c>
      <c r="E1243" t="s">
        <v>1086</v>
      </c>
      <c r="F1243" t="str" cm="1">
        <f t="array" ref="F1243">IF(SUM(IF(PartList[ASSLY MARK]=PartList[[#This Row],[ASSLY MARK]],1,0))&gt;1,"No","Yes")</f>
        <v>No</v>
      </c>
      <c r="G1243" t="str" cm="1">
        <f t="array" ref="G1243">_xlfn.TEXTJOIN("_",TRUE,TRIM(_xlfn.TEXTSPLIT(PartList[[#This Row],[GRID LOCATION]],{"PR01","/","-"})))</f>
        <v>15_B</v>
      </c>
      <c r="H1243" t="str" cm="1">
        <f t="array" ref="H124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43" cm="1">
        <f t="array" ref="I124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43" t="str">
        <f>IF(IFERROR(SEARCH("&gt;",PartList[[#This Row],[ID]]),0),"O",IF(IFERROR(SEARCH("&lt;",PartList[[#This Row],[ID]]),0),"I",""))</f>
        <v/>
      </c>
      <c r="K1243" t="str" cm="1">
        <f t="array" ref="K12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43" t="str" cm="1">
        <f t="array" ref="L12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15_-_B</v>
      </c>
      <c r="M1243" t="str">
        <f>_xlfn.TEXTJOIN("#",TRUE,PartList[[#This Row],[ASSLY MARK]],PartList[[#This Row],[BOX NO]],PartList[[#This Row],[In/Out]],PartList[[#This Row],[O1-Grid]])</f>
        <v>SF02#Box3#15_B_A</v>
      </c>
      <c r="N1243" t="str">
        <f>_xlfn.TEXTJOIN("#",TRUE,PartList[[#This Row],[ASSLY MARK]],PartList[[#This Row],[BOX NO]],PartList[[#This Row],[In/Out]],PartList[[#This Row],[O2-Grid]])</f>
        <v>SF02#Box3#15_-_B</v>
      </c>
      <c r="O1243">
        <v>1</v>
      </c>
      <c r="P1243">
        <f>_xlfn.XLOOKUP(PartList[[#This Row],[ASSLY MARK]],MasterPL[SplitMarkNo],MasterPL[BILL WT.(KG)],0,0)</f>
        <v>1440.79</v>
      </c>
      <c r="Q1243" cm="1">
        <f t="array" ref="Q124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44" spans="1:17" x14ac:dyDescent="0.25">
      <c r="A1244">
        <v>1026</v>
      </c>
      <c r="B1244" t="s">
        <v>427</v>
      </c>
      <c r="C1244" t="s">
        <v>1069</v>
      </c>
      <c r="D1244" t="s">
        <v>1091</v>
      </c>
      <c r="E1244" t="s">
        <v>1086</v>
      </c>
      <c r="F1244" t="str" cm="1">
        <f t="array" ref="F1244">IF(SUM(IF(PartList[ASSLY MARK]=PartList[[#This Row],[ASSLY MARK]],1,0))&gt;1,"No","Yes")</f>
        <v>No</v>
      </c>
      <c r="G1244" t="str" cm="1">
        <f t="array" ref="G1244">_xlfn.TEXTJOIN("_",TRUE,TRIM(_xlfn.TEXTSPLIT(PartList[[#This Row],[GRID LOCATION]],{"PR01","/","-"})))</f>
        <v>15_B</v>
      </c>
      <c r="H1244" t="str" cm="1">
        <f t="array" ref="H124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44" cm="1">
        <f t="array" ref="I124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44" t="str">
        <f>IF(IFERROR(SEARCH("&gt;",PartList[[#This Row],[ID]]),0),"O",IF(IFERROR(SEARCH("&lt;",PartList[[#This Row],[ID]]),0),"I",""))</f>
        <v/>
      </c>
      <c r="K1244" t="str" cm="1">
        <f t="array" ref="K12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44" t="str" cm="1">
        <f t="array" ref="L12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15_-_B</v>
      </c>
      <c r="M1244" t="str">
        <f>_xlfn.TEXTJOIN("#",TRUE,PartList[[#This Row],[ASSLY MARK]],PartList[[#This Row],[BOX NO]],PartList[[#This Row],[In/Out]],PartList[[#This Row],[O1-Grid]])</f>
        <v>SF02#Box3#15_B_A</v>
      </c>
      <c r="N1244" t="str">
        <f>_xlfn.TEXTJOIN("#",TRUE,PartList[[#This Row],[ASSLY MARK]],PartList[[#This Row],[BOX NO]],PartList[[#This Row],[In/Out]],PartList[[#This Row],[O2-Grid]])</f>
        <v>SF02#Box3#15_-_B</v>
      </c>
      <c r="O1244">
        <v>1</v>
      </c>
      <c r="P1244">
        <f>_xlfn.XLOOKUP(PartList[[#This Row],[ASSLY MARK]],MasterPL[SplitMarkNo],MasterPL[BILL WT.(KG)],0,0)</f>
        <v>1440.79</v>
      </c>
      <c r="Q1244" cm="1">
        <f t="array" ref="Q124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45" spans="1:17" x14ac:dyDescent="0.25">
      <c r="A1245">
        <v>1042</v>
      </c>
      <c r="B1245" t="s">
        <v>429</v>
      </c>
      <c r="C1245" t="s">
        <v>1069</v>
      </c>
      <c r="D1245" t="s">
        <v>1095</v>
      </c>
      <c r="E1245" t="s">
        <v>1086</v>
      </c>
      <c r="F1245" t="str" cm="1">
        <f t="array" ref="F1245">IF(SUM(IF(PartList[ASSLY MARK]=PartList[[#This Row],[ASSLY MARK]],1,0))&gt;1,"No","Yes")</f>
        <v>No</v>
      </c>
      <c r="G1245" t="str" cm="1">
        <f t="array" ref="G1245">_xlfn.TEXTJOIN("_",TRUE,TRIM(_xlfn.TEXTSPLIT(PartList[[#This Row],[GRID LOCATION]],{"PR01","/","-"})))</f>
        <v>15_B</v>
      </c>
      <c r="H1245" t="str" cm="1">
        <f t="array" ref="H124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45" cm="1">
        <f t="array" ref="I124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45" t="str">
        <f>IF(IFERROR(SEARCH("&gt;",PartList[[#This Row],[ID]]),0),"O",IF(IFERROR(SEARCH("&lt;",PartList[[#This Row],[ID]]),0),"I",""))</f>
        <v/>
      </c>
      <c r="K1245" t="str" cm="1">
        <f t="array" ref="K12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45" t="str" cm="1">
        <f t="array" ref="L12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15_-_B</v>
      </c>
      <c r="M1245" t="str">
        <f>_xlfn.TEXTJOIN("#",TRUE,PartList[[#This Row],[ASSLY MARK]],PartList[[#This Row],[BOX NO]],PartList[[#This Row],[In/Out]],PartList[[#This Row],[O1-Grid]])</f>
        <v>SF04#Box3#15_B_A</v>
      </c>
      <c r="N1245" t="str">
        <f>_xlfn.TEXTJOIN("#",TRUE,PartList[[#This Row],[ASSLY MARK]],PartList[[#This Row],[BOX NO]],PartList[[#This Row],[In/Out]],PartList[[#This Row],[O2-Grid]])</f>
        <v>SF04#Box3#15_-_B</v>
      </c>
      <c r="O1245">
        <v>1</v>
      </c>
      <c r="P1245">
        <f>_xlfn.XLOOKUP(PartList[[#This Row],[ASSLY MARK]],MasterPL[SplitMarkNo],MasterPL[BILL WT.(KG)],0,0)</f>
        <v>2104.31</v>
      </c>
      <c r="Q1245" cm="1">
        <f t="array" ref="Q124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46" spans="1:17" x14ac:dyDescent="0.25">
      <c r="A1246">
        <v>1045</v>
      </c>
      <c r="B1246" t="s">
        <v>429</v>
      </c>
      <c r="C1246" t="s">
        <v>1069</v>
      </c>
      <c r="D1246" t="s">
        <v>1095</v>
      </c>
      <c r="E1246" t="s">
        <v>1086</v>
      </c>
      <c r="F1246" t="str" cm="1">
        <f t="array" ref="F1246">IF(SUM(IF(PartList[ASSLY MARK]=PartList[[#This Row],[ASSLY MARK]],1,0))&gt;1,"No","Yes")</f>
        <v>No</v>
      </c>
      <c r="G1246" t="str" cm="1">
        <f t="array" ref="G1246">_xlfn.TEXTJOIN("_",TRUE,TRIM(_xlfn.TEXTSPLIT(PartList[[#This Row],[GRID LOCATION]],{"PR01","/","-"})))</f>
        <v>15_B</v>
      </c>
      <c r="H1246" t="str" cm="1">
        <f t="array" ref="H124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46" cm="1">
        <f t="array" ref="I124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46" t="str">
        <f>IF(IFERROR(SEARCH("&gt;",PartList[[#This Row],[ID]]),0),"O",IF(IFERROR(SEARCH("&lt;",PartList[[#This Row],[ID]]),0),"I",""))</f>
        <v/>
      </c>
      <c r="K1246" t="str" cm="1">
        <f t="array" ref="K12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46" t="str" cm="1">
        <f t="array" ref="L12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15_-_B</v>
      </c>
      <c r="M1246" t="str">
        <f>_xlfn.TEXTJOIN("#",TRUE,PartList[[#This Row],[ASSLY MARK]],PartList[[#This Row],[BOX NO]],PartList[[#This Row],[In/Out]],PartList[[#This Row],[O1-Grid]])</f>
        <v>SF04#Box3#15_B_A</v>
      </c>
      <c r="N1246" t="str">
        <f>_xlfn.TEXTJOIN("#",TRUE,PartList[[#This Row],[ASSLY MARK]],PartList[[#This Row],[BOX NO]],PartList[[#This Row],[In/Out]],PartList[[#This Row],[O2-Grid]])</f>
        <v>SF04#Box3#15_-_B</v>
      </c>
      <c r="O1246">
        <v>1</v>
      </c>
      <c r="P1246">
        <f>_xlfn.XLOOKUP(PartList[[#This Row],[ASSLY MARK]],MasterPL[SplitMarkNo],MasterPL[BILL WT.(KG)],0,0)</f>
        <v>2104.31</v>
      </c>
      <c r="Q1246" cm="1">
        <f t="array" ref="Q124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47" spans="1:17" x14ac:dyDescent="0.25">
      <c r="A1247">
        <v>1050</v>
      </c>
      <c r="B1247" t="s">
        <v>429</v>
      </c>
      <c r="C1247" t="s">
        <v>1062</v>
      </c>
      <c r="D1247" t="s">
        <v>1095</v>
      </c>
      <c r="E1247" t="s">
        <v>1086</v>
      </c>
      <c r="F1247" t="str" cm="1">
        <f t="array" ref="F1247">IF(SUM(IF(PartList[ASSLY MARK]=PartList[[#This Row],[ASSLY MARK]],1,0))&gt;1,"No","Yes")</f>
        <v>No</v>
      </c>
      <c r="G1247" t="str" cm="1">
        <f t="array" ref="G1247">_xlfn.TEXTJOIN("_",TRUE,TRIM(_xlfn.TEXTSPLIT(PartList[[#This Row],[GRID LOCATION]],{"PR01","/","-"})))</f>
        <v>15_A</v>
      </c>
      <c r="H1247" t="str" cm="1">
        <f t="array" ref="H124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47" cm="1">
        <f t="array" ref="I124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47" t="str">
        <f>IF(IFERROR(SEARCH("&gt;",PartList[[#This Row],[ID]]),0),"O",IF(IFERROR(SEARCH("&lt;",PartList[[#This Row],[ID]]),0),"I",""))</f>
        <v/>
      </c>
      <c r="K1247" t="str" cm="1">
        <f t="array" ref="K12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47" t="str" cm="1">
        <f t="array" ref="L12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15_-_A</v>
      </c>
      <c r="M1247" t="str">
        <f>_xlfn.TEXTJOIN("#",TRUE,PartList[[#This Row],[ASSLY MARK]],PartList[[#This Row],[BOX NO]],PartList[[#This Row],[In/Out]],PartList[[#This Row],[O1-Grid]])</f>
        <v>SF04#Box3#15_B_A</v>
      </c>
      <c r="N1247" t="str">
        <f>_xlfn.TEXTJOIN("#",TRUE,PartList[[#This Row],[ASSLY MARK]],PartList[[#This Row],[BOX NO]],PartList[[#This Row],[In/Out]],PartList[[#This Row],[O2-Grid]])</f>
        <v>SF04#Box3#15_-_A</v>
      </c>
      <c r="O1247">
        <v>1</v>
      </c>
      <c r="P1247">
        <f>_xlfn.XLOOKUP(PartList[[#This Row],[ASSLY MARK]],MasterPL[SplitMarkNo],MasterPL[BILL WT.(KG)],0,0)</f>
        <v>2104.31</v>
      </c>
      <c r="Q1247" cm="1">
        <f t="array" ref="Q124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48" spans="1:17" x14ac:dyDescent="0.25">
      <c r="A1248">
        <v>1053</v>
      </c>
      <c r="B1248" t="s">
        <v>429</v>
      </c>
      <c r="C1248" t="s">
        <v>1062</v>
      </c>
      <c r="D1248" t="s">
        <v>1095</v>
      </c>
      <c r="E1248" t="s">
        <v>1086</v>
      </c>
      <c r="F1248" t="str" cm="1">
        <f t="array" ref="F1248">IF(SUM(IF(PartList[ASSLY MARK]=PartList[[#This Row],[ASSLY MARK]],1,0))&gt;1,"No","Yes")</f>
        <v>No</v>
      </c>
      <c r="G1248" t="str" cm="1">
        <f t="array" ref="G1248">_xlfn.TEXTJOIN("_",TRUE,TRIM(_xlfn.TEXTSPLIT(PartList[[#This Row],[GRID LOCATION]],{"PR01","/","-"})))</f>
        <v>15_A</v>
      </c>
      <c r="H1248" t="str" cm="1">
        <f t="array" ref="H124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48" cm="1">
        <f t="array" ref="I124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48" t="str">
        <f>IF(IFERROR(SEARCH("&gt;",PartList[[#This Row],[ID]]),0),"O",IF(IFERROR(SEARCH("&lt;",PartList[[#This Row],[ID]]),0),"I",""))</f>
        <v/>
      </c>
      <c r="K1248" t="str" cm="1">
        <f t="array" ref="K12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48" t="str" cm="1">
        <f t="array" ref="L12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15_-_A</v>
      </c>
      <c r="M1248" t="str">
        <f>_xlfn.TEXTJOIN("#",TRUE,PartList[[#This Row],[ASSLY MARK]],PartList[[#This Row],[BOX NO]],PartList[[#This Row],[In/Out]],PartList[[#This Row],[O1-Grid]])</f>
        <v>SF04#Box3#15_B_A</v>
      </c>
      <c r="N1248" t="str">
        <f>_xlfn.TEXTJOIN("#",TRUE,PartList[[#This Row],[ASSLY MARK]],PartList[[#This Row],[BOX NO]],PartList[[#This Row],[In/Out]],PartList[[#This Row],[O2-Grid]])</f>
        <v>SF04#Box3#15_-_A</v>
      </c>
      <c r="O1248">
        <v>1</v>
      </c>
      <c r="P1248">
        <f>_xlfn.XLOOKUP(PartList[[#This Row],[ASSLY MARK]],MasterPL[SplitMarkNo],MasterPL[BILL WT.(KG)],0,0)</f>
        <v>2104.31</v>
      </c>
      <c r="Q1248" cm="1">
        <f t="array" ref="Q124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49" spans="1:17" x14ac:dyDescent="0.25">
      <c r="A1249">
        <v>1056</v>
      </c>
      <c r="B1249" t="s">
        <v>429</v>
      </c>
      <c r="C1249" t="s">
        <v>1069</v>
      </c>
      <c r="D1249" t="s">
        <v>1091</v>
      </c>
      <c r="E1249" t="s">
        <v>1086</v>
      </c>
      <c r="F1249" t="str" cm="1">
        <f t="array" ref="F1249">IF(SUM(IF(PartList[ASSLY MARK]=PartList[[#This Row],[ASSLY MARK]],1,0))&gt;1,"No","Yes")</f>
        <v>No</v>
      </c>
      <c r="G1249" t="str" cm="1">
        <f t="array" ref="G1249">_xlfn.TEXTJOIN("_",TRUE,TRIM(_xlfn.TEXTSPLIT(PartList[[#This Row],[GRID LOCATION]],{"PR01","/","-"})))</f>
        <v>15_B</v>
      </c>
      <c r="H1249" t="str" cm="1">
        <f t="array" ref="H124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49" cm="1">
        <f t="array" ref="I124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49" t="str">
        <f>IF(IFERROR(SEARCH("&gt;",PartList[[#This Row],[ID]]),0),"O",IF(IFERROR(SEARCH("&lt;",PartList[[#This Row],[ID]]),0),"I",""))</f>
        <v/>
      </c>
      <c r="K1249" t="str" cm="1">
        <f t="array" ref="K12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49" t="str" cm="1">
        <f t="array" ref="L12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15_-_B</v>
      </c>
      <c r="M1249" t="str">
        <f>_xlfn.TEXTJOIN("#",TRUE,PartList[[#This Row],[ASSLY MARK]],PartList[[#This Row],[BOX NO]],PartList[[#This Row],[In/Out]],PartList[[#This Row],[O1-Grid]])</f>
        <v>SF04#Box3#15_B_A</v>
      </c>
      <c r="N1249" t="str">
        <f>_xlfn.TEXTJOIN("#",TRUE,PartList[[#This Row],[ASSLY MARK]],PartList[[#This Row],[BOX NO]],PartList[[#This Row],[In/Out]],PartList[[#This Row],[O2-Grid]])</f>
        <v>SF04#Box3#15_-_B</v>
      </c>
      <c r="O1249">
        <v>1</v>
      </c>
      <c r="P1249">
        <f>_xlfn.XLOOKUP(PartList[[#This Row],[ASSLY MARK]],MasterPL[SplitMarkNo],MasterPL[BILL WT.(KG)],0,0)</f>
        <v>2104.31</v>
      </c>
      <c r="Q1249" cm="1">
        <f t="array" ref="Q124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50" spans="1:17" x14ac:dyDescent="0.25">
      <c r="A1250">
        <v>1059</v>
      </c>
      <c r="B1250" t="s">
        <v>429</v>
      </c>
      <c r="C1250" t="s">
        <v>1069</v>
      </c>
      <c r="D1250" t="s">
        <v>1091</v>
      </c>
      <c r="E1250" t="s">
        <v>1086</v>
      </c>
      <c r="F1250" t="str" cm="1">
        <f t="array" ref="F1250">IF(SUM(IF(PartList[ASSLY MARK]=PartList[[#This Row],[ASSLY MARK]],1,0))&gt;1,"No","Yes")</f>
        <v>No</v>
      </c>
      <c r="G1250" t="str" cm="1">
        <f t="array" ref="G1250">_xlfn.TEXTJOIN("_",TRUE,TRIM(_xlfn.TEXTSPLIT(PartList[[#This Row],[GRID LOCATION]],{"PR01","/","-"})))</f>
        <v>15_B</v>
      </c>
      <c r="H1250" t="str" cm="1">
        <f t="array" ref="H125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50" cm="1">
        <f t="array" ref="I125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50" t="str">
        <f>IF(IFERROR(SEARCH("&gt;",PartList[[#This Row],[ID]]),0),"O",IF(IFERROR(SEARCH("&lt;",PartList[[#This Row],[ID]]),0),"I",""))</f>
        <v/>
      </c>
      <c r="K1250" t="str" cm="1">
        <f t="array" ref="K12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50" t="str" cm="1">
        <f t="array" ref="L12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15_-_B</v>
      </c>
      <c r="M1250" t="str">
        <f>_xlfn.TEXTJOIN("#",TRUE,PartList[[#This Row],[ASSLY MARK]],PartList[[#This Row],[BOX NO]],PartList[[#This Row],[In/Out]],PartList[[#This Row],[O1-Grid]])</f>
        <v>SF04#Box3#15_B_A</v>
      </c>
      <c r="N1250" t="str">
        <f>_xlfn.TEXTJOIN("#",TRUE,PartList[[#This Row],[ASSLY MARK]],PartList[[#This Row],[BOX NO]],PartList[[#This Row],[In/Out]],PartList[[#This Row],[O2-Grid]])</f>
        <v>SF04#Box3#15_-_B</v>
      </c>
      <c r="O1250">
        <v>1</v>
      </c>
      <c r="P1250">
        <f>_xlfn.XLOOKUP(PartList[[#This Row],[ASSLY MARK]],MasterPL[SplitMarkNo],MasterPL[BILL WT.(KG)],0,0)</f>
        <v>2104.31</v>
      </c>
      <c r="Q1250" cm="1">
        <f t="array" ref="Q125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51" spans="1:17" x14ac:dyDescent="0.25">
      <c r="A1251">
        <v>1062</v>
      </c>
      <c r="B1251" t="s">
        <v>429</v>
      </c>
      <c r="C1251" t="s">
        <v>1062</v>
      </c>
      <c r="D1251" t="s">
        <v>1091</v>
      </c>
      <c r="E1251" t="s">
        <v>1086</v>
      </c>
      <c r="F1251" t="str" cm="1">
        <f t="array" ref="F1251">IF(SUM(IF(PartList[ASSLY MARK]=PartList[[#This Row],[ASSLY MARK]],1,0))&gt;1,"No","Yes")</f>
        <v>No</v>
      </c>
      <c r="G1251" t="str" cm="1">
        <f t="array" ref="G1251">_xlfn.TEXTJOIN("_",TRUE,TRIM(_xlfn.TEXTSPLIT(PartList[[#This Row],[GRID LOCATION]],{"PR01","/","-"})))</f>
        <v>15_A</v>
      </c>
      <c r="H1251" t="str" cm="1">
        <f t="array" ref="H125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51" cm="1">
        <f t="array" ref="I125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51" t="str">
        <f>IF(IFERROR(SEARCH("&gt;",PartList[[#This Row],[ID]]),0),"O",IF(IFERROR(SEARCH("&lt;",PartList[[#This Row],[ID]]),0),"I",""))</f>
        <v/>
      </c>
      <c r="K1251" t="str" cm="1">
        <f t="array" ref="K12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51" t="str" cm="1">
        <f t="array" ref="L12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15_-_A</v>
      </c>
      <c r="M1251" t="str">
        <f>_xlfn.TEXTJOIN("#",TRUE,PartList[[#This Row],[ASSLY MARK]],PartList[[#This Row],[BOX NO]],PartList[[#This Row],[In/Out]],PartList[[#This Row],[O1-Grid]])</f>
        <v>SF04#Box3#15_B_A</v>
      </c>
      <c r="N1251" t="str">
        <f>_xlfn.TEXTJOIN("#",TRUE,PartList[[#This Row],[ASSLY MARK]],PartList[[#This Row],[BOX NO]],PartList[[#This Row],[In/Out]],PartList[[#This Row],[O2-Grid]])</f>
        <v>SF04#Box3#15_-_A</v>
      </c>
      <c r="O1251">
        <v>1</v>
      </c>
      <c r="P1251">
        <f>_xlfn.XLOOKUP(PartList[[#This Row],[ASSLY MARK]],MasterPL[SplitMarkNo],MasterPL[BILL WT.(KG)],0,0)</f>
        <v>2104.31</v>
      </c>
      <c r="Q1251" cm="1">
        <f t="array" ref="Q125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52" spans="1:17" x14ac:dyDescent="0.25">
      <c r="A1252">
        <v>1065</v>
      </c>
      <c r="B1252" t="s">
        <v>429</v>
      </c>
      <c r="C1252" t="s">
        <v>1062</v>
      </c>
      <c r="D1252" t="s">
        <v>1091</v>
      </c>
      <c r="E1252" t="s">
        <v>1086</v>
      </c>
      <c r="F1252" t="str" cm="1">
        <f t="array" ref="F1252">IF(SUM(IF(PartList[ASSLY MARK]=PartList[[#This Row],[ASSLY MARK]],1,0))&gt;1,"No","Yes")</f>
        <v>No</v>
      </c>
      <c r="G1252" t="str" cm="1">
        <f t="array" ref="G1252">_xlfn.TEXTJOIN("_",TRUE,TRIM(_xlfn.TEXTSPLIT(PartList[[#This Row],[GRID LOCATION]],{"PR01","/","-"})))</f>
        <v>15_A</v>
      </c>
      <c r="H1252" t="str" cm="1">
        <f t="array" ref="H125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52" cm="1">
        <f t="array" ref="I125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52" t="str">
        <f>IF(IFERROR(SEARCH("&gt;",PartList[[#This Row],[ID]]),0),"O",IF(IFERROR(SEARCH("&lt;",PartList[[#This Row],[ID]]),0),"I",""))</f>
        <v/>
      </c>
      <c r="K1252" t="str" cm="1">
        <f t="array" ref="K12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52" t="str" cm="1">
        <f t="array" ref="L12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15_-_A</v>
      </c>
      <c r="M1252" t="str">
        <f>_xlfn.TEXTJOIN("#",TRUE,PartList[[#This Row],[ASSLY MARK]],PartList[[#This Row],[BOX NO]],PartList[[#This Row],[In/Out]],PartList[[#This Row],[O1-Grid]])</f>
        <v>SF04#Box3#15_B_A</v>
      </c>
      <c r="N1252" t="str">
        <f>_xlfn.TEXTJOIN("#",TRUE,PartList[[#This Row],[ASSLY MARK]],PartList[[#This Row],[BOX NO]],PartList[[#This Row],[In/Out]],PartList[[#This Row],[O2-Grid]])</f>
        <v>SF04#Box3#15_-_A</v>
      </c>
      <c r="O1252">
        <v>1</v>
      </c>
      <c r="P1252">
        <f>_xlfn.XLOOKUP(PartList[[#This Row],[ASSLY MARK]],MasterPL[SplitMarkNo],MasterPL[BILL WT.(KG)],0,0)</f>
        <v>2104.31</v>
      </c>
      <c r="Q1252" cm="1">
        <f t="array" ref="Q125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53" spans="1:17" x14ac:dyDescent="0.25">
      <c r="A1253">
        <v>1165</v>
      </c>
      <c r="B1253" t="s">
        <v>435</v>
      </c>
      <c r="C1253" t="s">
        <v>1069</v>
      </c>
      <c r="D1253" t="s">
        <v>434</v>
      </c>
      <c r="E1253" t="s">
        <v>1086</v>
      </c>
      <c r="F1253" t="str" cm="1">
        <f t="array" ref="F1253">IF(SUM(IF(PartList[ASSLY MARK]=PartList[[#This Row],[ASSLY MARK]],1,0))&gt;1,"No","Yes")</f>
        <v>No</v>
      </c>
      <c r="G1253" t="str" cm="1">
        <f t="array" ref="G1253">_xlfn.TEXTJOIN("_",TRUE,TRIM(_xlfn.TEXTSPLIT(PartList[[#This Row],[GRID LOCATION]],{"PR01","/","-"})))</f>
        <v>15_B</v>
      </c>
      <c r="H1253" t="str" cm="1">
        <f t="array" ref="H125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53" cm="1">
        <f t="array" ref="I125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53" t="str">
        <f>IF(IFERROR(SEARCH("&gt;",PartList[[#This Row],[ID]]),0),"O",IF(IFERROR(SEARCH("&lt;",PartList[[#This Row],[ID]]),0),"I",""))</f>
        <v/>
      </c>
      <c r="K1253" t="str" cm="1">
        <f t="array" ref="K12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53" t="str" cm="1">
        <f t="array" ref="L12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15_-_B</v>
      </c>
      <c r="M1253" t="str">
        <f>_xlfn.TEXTJOIN("#",TRUE,PartList[[#This Row],[ASSLY MARK]],PartList[[#This Row],[BOX NO]],PartList[[#This Row],[In/Out]],PartList[[#This Row],[O1-Grid]])</f>
        <v>SW02#Box3#15_B_A</v>
      </c>
      <c r="N1253" t="str">
        <f>_xlfn.TEXTJOIN("#",TRUE,PartList[[#This Row],[ASSLY MARK]],PartList[[#This Row],[BOX NO]],PartList[[#This Row],[In/Out]],PartList[[#This Row],[O2-Grid]])</f>
        <v>SW02#Box3#15_-_B</v>
      </c>
      <c r="O1253">
        <f>IF(PartList[[#This Row],[Unique]]="Yes",_xlfn.XLOOKUP(PartList[[#This Row],[ASSLY MARK]],FilteredPL!A:A,FilteredPL!B:B,0,0),0)</f>
        <v>0</v>
      </c>
      <c r="P1253">
        <f>_xlfn.XLOOKUP(PartList[[#This Row],[ASSLY MARK]],MasterPL[SplitMarkNo],MasterPL[BILL WT.(KG)],0,0)</f>
        <v>0</v>
      </c>
      <c r="Q1253" cm="1">
        <f t="array" ref="Q125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54" spans="1:17" x14ac:dyDescent="0.25">
      <c r="A1254">
        <v>1167</v>
      </c>
      <c r="B1254" t="s">
        <v>435</v>
      </c>
      <c r="C1254" t="s">
        <v>1069</v>
      </c>
      <c r="D1254" t="s">
        <v>1114</v>
      </c>
      <c r="E1254" t="s">
        <v>1086</v>
      </c>
      <c r="F1254" t="str" cm="1">
        <f t="array" ref="F1254">IF(SUM(IF(PartList[ASSLY MARK]=PartList[[#This Row],[ASSLY MARK]],1,0))&gt;1,"No","Yes")</f>
        <v>No</v>
      </c>
      <c r="G1254" t="str" cm="1">
        <f t="array" ref="G1254">_xlfn.TEXTJOIN("_",TRUE,TRIM(_xlfn.TEXTSPLIT(PartList[[#This Row],[GRID LOCATION]],{"PR01","/","-"})))</f>
        <v>15_B</v>
      </c>
      <c r="H1254" t="str" cm="1">
        <f t="array" ref="H125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54" cm="1">
        <f t="array" ref="I125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54" t="str">
        <f>IF(IFERROR(SEARCH("&gt;",PartList[[#This Row],[ID]]),0),"O",IF(IFERROR(SEARCH("&lt;",PartList[[#This Row],[ID]]),0),"I",""))</f>
        <v/>
      </c>
      <c r="K1254" t="str" cm="1">
        <f t="array" ref="K12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54" t="str" cm="1">
        <f t="array" ref="L12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15_-_B</v>
      </c>
      <c r="M1254" t="str">
        <f>_xlfn.TEXTJOIN("#",TRUE,PartList[[#This Row],[ASSLY MARK]],PartList[[#This Row],[BOX NO]],PartList[[#This Row],[In/Out]],PartList[[#This Row],[O1-Grid]])</f>
        <v>SW02#Box3#15_B_A</v>
      </c>
      <c r="N1254" t="str">
        <f>_xlfn.TEXTJOIN("#",TRUE,PartList[[#This Row],[ASSLY MARK]],PartList[[#This Row],[BOX NO]],PartList[[#This Row],[In/Out]],PartList[[#This Row],[O2-Grid]])</f>
        <v>SW02#Box3#15_-_B</v>
      </c>
      <c r="O1254">
        <f>IF(PartList[[#This Row],[Unique]]="Yes",_xlfn.XLOOKUP(PartList[[#This Row],[ASSLY MARK]],FilteredPL!A:A,FilteredPL!B:B,0,0),0)</f>
        <v>0</v>
      </c>
      <c r="P1254">
        <f>_xlfn.XLOOKUP(PartList[[#This Row],[ASSLY MARK]],MasterPL[SplitMarkNo],MasterPL[BILL WT.(KG)],0,0)</f>
        <v>0</v>
      </c>
      <c r="Q1254" cm="1">
        <f t="array" ref="Q125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55" spans="1:17" x14ac:dyDescent="0.25">
      <c r="A1255">
        <v>1170</v>
      </c>
      <c r="B1255" t="s">
        <v>435</v>
      </c>
      <c r="C1255" t="s">
        <v>1069</v>
      </c>
      <c r="D1255" t="s">
        <v>1114</v>
      </c>
      <c r="E1255" t="s">
        <v>1086</v>
      </c>
      <c r="F1255" t="str" cm="1">
        <f t="array" ref="F1255">IF(SUM(IF(PartList[ASSLY MARK]=PartList[[#This Row],[ASSLY MARK]],1,0))&gt;1,"No","Yes")</f>
        <v>No</v>
      </c>
      <c r="G1255" t="str" cm="1">
        <f t="array" ref="G1255">_xlfn.TEXTJOIN("_",TRUE,TRIM(_xlfn.TEXTSPLIT(PartList[[#This Row],[GRID LOCATION]],{"PR01","/","-"})))</f>
        <v>15_B</v>
      </c>
      <c r="H1255" t="str" cm="1">
        <f t="array" ref="H125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55" cm="1">
        <f t="array" ref="I125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55" t="str">
        <f>IF(IFERROR(SEARCH("&gt;",PartList[[#This Row],[ID]]),0),"O",IF(IFERROR(SEARCH("&lt;",PartList[[#This Row],[ID]]),0),"I",""))</f>
        <v/>
      </c>
      <c r="K1255" t="str" cm="1">
        <f t="array" ref="K12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55" t="str" cm="1">
        <f t="array" ref="L12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15_-_B</v>
      </c>
      <c r="M1255" t="str">
        <f>_xlfn.TEXTJOIN("#",TRUE,PartList[[#This Row],[ASSLY MARK]],PartList[[#This Row],[BOX NO]],PartList[[#This Row],[In/Out]],PartList[[#This Row],[O1-Grid]])</f>
        <v>SW02#Box3#15_B_A</v>
      </c>
      <c r="N1255" t="str">
        <f>_xlfn.TEXTJOIN("#",TRUE,PartList[[#This Row],[ASSLY MARK]],PartList[[#This Row],[BOX NO]],PartList[[#This Row],[In/Out]],PartList[[#This Row],[O2-Grid]])</f>
        <v>SW02#Box3#15_-_B</v>
      </c>
      <c r="O1255">
        <f>IF(PartList[[#This Row],[Unique]]="Yes",_xlfn.XLOOKUP(PartList[[#This Row],[ASSLY MARK]],FilteredPL!A:A,FilteredPL!B:B,0,0),0)</f>
        <v>0</v>
      </c>
      <c r="P1255">
        <f>_xlfn.XLOOKUP(PartList[[#This Row],[ASSLY MARK]],MasterPL[SplitMarkNo],MasterPL[BILL WT.(KG)],0,0)</f>
        <v>0</v>
      </c>
      <c r="Q1255" cm="1">
        <f t="array" ref="Q125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56" spans="1:17" x14ac:dyDescent="0.25">
      <c r="A1256">
        <v>1173</v>
      </c>
      <c r="B1256" t="s">
        <v>435</v>
      </c>
      <c r="C1256" t="s">
        <v>1062</v>
      </c>
      <c r="D1256" t="s">
        <v>434</v>
      </c>
      <c r="E1256" t="s">
        <v>1086</v>
      </c>
      <c r="F1256" t="str" cm="1">
        <f t="array" ref="F1256">IF(SUM(IF(PartList[ASSLY MARK]=PartList[[#This Row],[ASSLY MARK]],1,0))&gt;1,"No","Yes")</f>
        <v>No</v>
      </c>
      <c r="G1256" t="str" cm="1">
        <f t="array" ref="G1256">_xlfn.TEXTJOIN("_",TRUE,TRIM(_xlfn.TEXTSPLIT(PartList[[#This Row],[GRID LOCATION]],{"PR01","/","-"})))</f>
        <v>15_A</v>
      </c>
      <c r="H1256" t="str" cm="1">
        <f t="array" ref="H125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56" cm="1">
        <f t="array" ref="I125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56" t="str">
        <f>IF(IFERROR(SEARCH("&gt;",PartList[[#This Row],[ID]]),0),"O",IF(IFERROR(SEARCH("&lt;",PartList[[#This Row],[ID]]),0),"I",""))</f>
        <v/>
      </c>
      <c r="K1256" t="str" cm="1">
        <f t="array" ref="K12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56" t="str" cm="1">
        <f t="array" ref="L12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15_-_A</v>
      </c>
      <c r="M1256" t="str">
        <f>_xlfn.TEXTJOIN("#",TRUE,PartList[[#This Row],[ASSLY MARK]],PartList[[#This Row],[BOX NO]],PartList[[#This Row],[In/Out]],PartList[[#This Row],[O1-Grid]])</f>
        <v>SW02#Box3#15_B_A</v>
      </c>
      <c r="N1256" t="str">
        <f>_xlfn.TEXTJOIN("#",TRUE,PartList[[#This Row],[ASSLY MARK]],PartList[[#This Row],[BOX NO]],PartList[[#This Row],[In/Out]],PartList[[#This Row],[O2-Grid]])</f>
        <v>SW02#Box3#15_-_A</v>
      </c>
      <c r="O1256">
        <f>IF(PartList[[#This Row],[Unique]]="Yes",_xlfn.XLOOKUP(PartList[[#This Row],[ASSLY MARK]],FilteredPL!A:A,FilteredPL!B:B,0,0),0)</f>
        <v>0</v>
      </c>
      <c r="P1256">
        <f>_xlfn.XLOOKUP(PartList[[#This Row],[ASSLY MARK]],MasterPL[SplitMarkNo],MasterPL[BILL WT.(KG)],0,0)</f>
        <v>0</v>
      </c>
      <c r="Q1256" cm="1">
        <f t="array" ref="Q125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57" spans="1:17" x14ac:dyDescent="0.25">
      <c r="A1257">
        <v>1176</v>
      </c>
      <c r="B1257" t="s">
        <v>435</v>
      </c>
      <c r="C1257" t="s">
        <v>1062</v>
      </c>
      <c r="D1257" t="s">
        <v>1114</v>
      </c>
      <c r="E1257" t="s">
        <v>1086</v>
      </c>
      <c r="F1257" t="str" cm="1">
        <f t="array" ref="F1257">IF(SUM(IF(PartList[ASSLY MARK]=PartList[[#This Row],[ASSLY MARK]],1,0))&gt;1,"No","Yes")</f>
        <v>No</v>
      </c>
      <c r="G1257" t="str" cm="1">
        <f t="array" ref="G1257">_xlfn.TEXTJOIN("_",TRUE,TRIM(_xlfn.TEXTSPLIT(PartList[[#This Row],[GRID LOCATION]],{"PR01","/","-"})))</f>
        <v>15_A</v>
      </c>
      <c r="H1257" t="str" cm="1">
        <f t="array" ref="H125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57" cm="1">
        <f t="array" ref="I125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57" t="str">
        <f>IF(IFERROR(SEARCH("&gt;",PartList[[#This Row],[ID]]),0),"O",IF(IFERROR(SEARCH("&lt;",PartList[[#This Row],[ID]]),0),"I",""))</f>
        <v/>
      </c>
      <c r="K1257" t="str" cm="1">
        <f t="array" ref="K12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57" t="str" cm="1">
        <f t="array" ref="L12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15_-_A</v>
      </c>
      <c r="M1257" t="str">
        <f>_xlfn.TEXTJOIN("#",TRUE,PartList[[#This Row],[ASSLY MARK]],PartList[[#This Row],[BOX NO]],PartList[[#This Row],[In/Out]],PartList[[#This Row],[O1-Grid]])</f>
        <v>SW02#Box3#15_B_A</v>
      </c>
      <c r="N1257" t="str">
        <f>_xlfn.TEXTJOIN("#",TRUE,PartList[[#This Row],[ASSLY MARK]],PartList[[#This Row],[BOX NO]],PartList[[#This Row],[In/Out]],PartList[[#This Row],[O2-Grid]])</f>
        <v>SW02#Box3#15_-_A</v>
      </c>
      <c r="O1257">
        <f>IF(PartList[[#This Row],[Unique]]="Yes",_xlfn.XLOOKUP(PartList[[#This Row],[ASSLY MARK]],FilteredPL!A:A,FilteredPL!B:B,0,0),0)</f>
        <v>0</v>
      </c>
      <c r="P1257">
        <f>_xlfn.XLOOKUP(PartList[[#This Row],[ASSLY MARK]],MasterPL[SplitMarkNo],MasterPL[BILL WT.(KG)],0,0)</f>
        <v>0</v>
      </c>
      <c r="Q1257" cm="1">
        <f t="array" ref="Q125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58" spans="1:17" x14ac:dyDescent="0.25">
      <c r="A1258">
        <v>1179</v>
      </c>
      <c r="B1258" t="s">
        <v>435</v>
      </c>
      <c r="C1258" t="s">
        <v>1062</v>
      </c>
      <c r="D1258" t="s">
        <v>1114</v>
      </c>
      <c r="E1258" t="s">
        <v>1086</v>
      </c>
      <c r="F1258" t="str" cm="1">
        <f t="array" ref="F1258">IF(SUM(IF(PartList[ASSLY MARK]=PartList[[#This Row],[ASSLY MARK]],1,0))&gt;1,"No","Yes")</f>
        <v>No</v>
      </c>
      <c r="G1258" t="str" cm="1">
        <f t="array" ref="G1258">_xlfn.TEXTJOIN("_",TRUE,TRIM(_xlfn.TEXTSPLIT(PartList[[#This Row],[GRID LOCATION]],{"PR01","/","-"})))</f>
        <v>15_A</v>
      </c>
      <c r="H1258" t="str" cm="1">
        <f t="array" ref="H125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58" cm="1">
        <f t="array" ref="I125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58" t="str">
        <f>IF(IFERROR(SEARCH("&gt;",PartList[[#This Row],[ID]]),0),"O",IF(IFERROR(SEARCH("&lt;",PartList[[#This Row],[ID]]),0),"I",""))</f>
        <v/>
      </c>
      <c r="K1258" t="str" cm="1">
        <f t="array" ref="K12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58" t="str" cm="1">
        <f t="array" ref="L12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15_-_A</v>
      </c>
      <c r="M1258" t="str">
        <f>_xlfn.TEXTJOIN("#",TRUE,PartList[[#This Row],[ASSLY MARK]],PartList[[#This Row],[BOX NO]],PartList[[#This Row],[In/Out]],PartList[[#This Row],[O1-Grid]])</f>
        <v>SW02#Box3#15_B_A</v>
      </c>
      <c r="N1258" t="str">
        <f>_xlfn.TEXTJOIN("#",TRUE,PartList[[#This Row],[ASSLY MARK]],PartList[[#This Row],[BOX NO]],PartList[[#This Row],[In/Out]],PartList[[#This Row],[O2-Grid]])</f>
        <v>SW02#Box3#15_-_A</v>
      </c>
      <c r="O1258">
        <f>IF(PartList[[#This Row],[Unique]]="Yes",_xlfn.XLOOKUP(PartList[[#This Row],[ASSLY MARK]],FilteredPL!A:A,FilteredPL!B:B,0,0),0)</f>
        <v>0</v>
      </c>
      <c r="P1258">
        <f>_xlfn.XLOOKUP(PartList[[#This Row],[ASSLY MARK]],MasterPL[SplitMarkNo],MasterPL[BILL WT.(KG)],0,0)</f>
        <v>0</v>
      </c>
      <c r="Q1258" cm="1">
        <f t="array" ref="Q125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59" spans="1:17" x14ac:dyDescent="0.25">
      <c r="A1259">
        <v>1182</v>
      </c>
      <c r="B1259" t="s">
        <v>435</v>
      </c>
      <c r="C1259" t="s">
        <v>1062</v>
      </c>
      <c r="D1259" t="s">
        <v>434</v>
      </c>
      <c r="E1259" t="s">
        <v>1086</v>
      </c>
      <c r="F1259" t="str" cm="1">
        <f t="array" ref="F1259">IF(SUM(IF(PartList[ASSLY MARK]=PartList[[#This Row],[ASSLY MARK]],1,0))&gt;1,"No","Yes")</f>
        <v>No</v>
      </c>
      <c r="G1259" t="str" cm="1">
        <f t="array" ref="G1259">_xlfn.TEXTJOIN("_",TRUE,TRIM(_xlfn.TEXTSPLIT(PartList[[#This Row],[GRID LOCATION]],{"PR01","/","-"})))</f>
        <v>15_A</v>
      </c>
      <c r="H1259" t="str" cm="1">
        <f t="array" ref="H125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59" cm="1">
        <f t="array" ref="I125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59" t="str">
        <f>IF(IFERROR(SEARCH("&gt;",PartList[[#This Row],[ID]]),0),"O",IF(IFERROR(SEARCH("&lt;",PartList[[#This Row],[ID]]),0),"I",""))</f>
        <v/>
      </c>
      <c r="K1259" t="str" cm="1">
        <f t="array" ref="K12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59" t="str" cm="1">
        <f t="array" ref="L12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15_-_A</v>
      </c>
      <c r="M1259" t="str">
        <f>_xlfn.TEXTJOIN("#",TRUE,PartList[[#This Row],[ASSLY MARK]],PartList[[#This Row],[BOX NO]],PartList[[#This Row],[In/Out]],PartList[[#This Row],[O1-Grid]])</f>
        <v>SW02#Box3#15_B_A</v>
      </c>
      <c r="N1259" t="str">
        <f>_xlfn.TEXTJOIN("#",TRUE,PartList[[#This Row],[ASSLY MARK]],PartList[[#This Row],[BOX NO]],PartList[[#This Row],[In/Out]],PartList[[#This Row],[O2-Grid]])</f>
        <v>SW02#Box3#15_-_A</v>
      </c>
      <c r="O1259">
        <f>IF(PartList[[#This Row],[Unique]]="Yes",_xlfn.XLOOKUP(PartList[[#This Row],[ASSLY MARK]],FilteredPL!A:A,FilteredPL!B:B,0,0),0)</f>
        <v>0</v>
      </c>
      <c r="P1259">
        <f>_xlfn.XLOOKUP(PartList[[#This Row],[ASSLY MARK]],MasterPL[SplitMarkNo],MasterPL[BILL WT.(KG)],0,0)</f>
        <v>0</v>
      </c>
      <c r="Q1259" cm="1">
        <f t="array" ref="Q125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60" spans="1:17" x14ac:dyDescent="0.25">
      <c r="A1260">
        <v>1185</v>
      </c>
      <c r="B1260" t="s">
        <v>435</v>
      </c>
      <c r="C1260" t="s">
        <v>1069</v>
      </c>
      <c r="D1260" t="s">
        <v>434</v>
      </c>
      <c r="E1260" t="s">
        <v>1086</v>
      </c>
      <c r="F1260" t="str" cm="1">
        <f t="array" ref="F1260">IF(SUM(IF(PartList[ASSLY MARK]=PartList[[#This Row],[ASSLY MARK]],1,0))&gt;1,"No","Yes")</f>
        <v>No</v>
      </c>
      <c r="G1260" t="str" cm="1">
        <f t="array" ref="G1260">_xlfn.TEXTJOIN("_",TRUE,TRIM(_xlfn.TEXTSPLIT(PartList[[#This Row],[GRID LOCATION]],{"PR01","/","-"})))</f>
        <v>15_B</v>
      </c>
      <c r="H1260" t="str" cm="1">
        <f t="array" ref="H126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60" cm="1">
        <f t="array" ref="I126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60" t="str">
        <f>IF(IFERROR(SEARCH("&gt;",PartList[[#This Row],[ID]]),0),"O",IF(IFERROR(SEARCH("&lt;",PartList[[#This Row],[ID]]),0),"I",""))</f>
        <v/>
      </c>
      <c r="K1260" t="str" cm="1">
        <f t="array" ref="K12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15_B_A</v>
      </c>
      <c r="L1260" t="str" cm="1">
        <f t="array" ref="L12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15_-_B</v>
      </c>
      <c r="M1260" t="str">
        <f>_xlfn.TEXTJOIN("#",TRUE,PartList[[#This Row],[ASSLY MARK]],PartList[[#This Row],[BOX NO]],PartList[[#This Row],[In/Out]],PartList[[#This Row],[O1-Grid]])</f>
        <v>SW02#Box3#15_B_A</v>
      </c>
      <c r="N1260" t="str">
        <f>_xlfn.TEXTJOIN("#",TRUE,PartList[[#This Row],[ASSLY MARK]],PartList[[#This Row],[BOX NO]],PartList[[#This Row],[In/Out]],PartList[[#This Row],[O2-Grid]])</f>
        <v>SW02#Box3#15_-_B</v>
      </c>
      <c r="O1260">
        <f>IF(PartList[[#This Row],[Unique]]="Yes",_xlfn.XLOOKUP(PartList[[#This Row],[ASSLY MARK]],FilteredPL!A:A,FilteredPL!B:B,0,0),0)</f>
        <v>0</v>
      </c>
      <c r="P1260">
        <f>_xlfn.XLOOKUP(PartList[[#This Row],[ASSLY MARK]],MasterPL[SplitMarkNo],MasterPL[BILL WT.(KG)],0,0)</f>
        <v>0</v>
      </c>
      <c r="Q1260" cm="1">
        <f t="array" ref="Q126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61" spans="1:17" x14ac:dyDescent="0.25">
      <c r="A1261">
        <v>1283</v>
      </c>
      <c r="B1261" t="s">
        <v>487</v>
      </c>
      <c r="C1261" t="s">
        <v>522</v>
      </c>
      <c r="D1261" t="s">
        <v>1149</v>
      </c>
      <c r="E1261" t="s">
        <v>1122</v>
      </c>
      <c r="F1261" t="str" cm="1">
        <f t="array" ref="F1261">IF(SUM(IF(PartList[ASSLY MARK]=PartList[[#This Row],[ASSLY MARK]],1,0))&gt;1,"No","Yes")</f>
        <v>Yes</v>
      </c>
      <c r="G1261" t="str" cm="1">
        <f t="array" ref="G1261">_xlfn.TEXTJOIN("_",TRUE,TRIM(_xlfn.TEXTSPLIT(PartList[[#This Row],[GRID LOCATION]],{"PR01","/","-"})))</f>
        <v>14_15_B&gt;</v>
      </c>
      <c r="H1261" t="str" cm="1">
        <f t="array" ref="H126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261" cm="1">
        <f t="array" ref="I126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61" t="str">
        <f>IF(IFERROR(SEARCH("&gt;",PartList[[#This Row],[ID]]),0),"O",IF(IFERROR(SEARCH("&lt;",PartList[[#This Row],[ID]]),0),"I",""))</f>
        <v>O</v>
      </c>
      <c r="K1261" t="str" cm="1">
        <f t="array" ref="K12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261" t="str" cm="1">
        <f t="array" ref="L12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261" t="str">
        <f>_xlfn.TEXTJOIN("#",TRUE,PartList[[#This Row],[ASSLY MARK]],PartList[[#This Row],[BOX NO]],PartList[[#This Row],[In/Out]],PartList[[#This Row],[O1-Grid]])</f>
        <v>VB45#Box3_Box6#O</v>
      </c>
      <c r="N1261" t="str">
        <f>_xlfn.TEXTJOIN("#",TRUE,PartList[[#This Row],[ASSLY MARK]],PartList[[#This Row],[BOX NO]],PartList[[#This Row],[In/Out]],PartList[[#This Row],[O2-Grid]])</f>
        <v>VB45#Box3_Box6#O</v>
      </c>
      <c r="O1261">
        <f>IF(PartList[[#This Row],[Unique]]="Yes",_xlfn.XLOOKUP(PartList[[#This Row],[ASSLY MARK]],FilteredPL!A:A,FilteredPL!B:B,0,0),0)</f>
        <v>0</v>
      </c>
      <c r="P1261">
        <f>_xlfn.XLOOKUP(PartList[[#This Row],[ASSLY MARK]],MasterPL[SplitMarkNo],MasterPL[BILL WT.(KG)],0,0)</f>
        <v>0</v>
      </c>
      <c r="Q1261" cm="1">
        <f t="array" ref="Q126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62" spans="1:17" x14ac:dyDescent="0.25">
      <c r="A1262">
        <v>1303</v>
      </c>
      <c r="B1262" t="s">
        <v>1160</v>
      </c>
      <c r="C1262" t="s">
        <v>522</v>
      </c>
      <c r="D1262" t="s">
        <v>1161</v>
      </c>
      <c r="E1262" t="s">
        <v>1122</v>
      </c>
      <c r="F1262" t="str" cm="1">
        <f t="array" ref="F1262">IF(SUM(IF(PartList[ASSLY MARK]=PartList[[#This Row],[ASSLY MARK]],1,0))&gt;1,"No","Yes")</f>
        <v>Yes</v>
      </c>
      <c r="G1262" t="str" cm="1">
        <f t="array" ref="G1262">_xlfn.TEXTJOIN("_",TRUE,TRIM(_xlfn.TEXTSPLIT(PartList[[#This Row],[GRID LOCATION]],{"PR01","/","-"})))</f>
        <v>14_15_B&gt;</v>
      </c>
      <c r="H1262" t="str" cm="1">
        <f t="array" ref="H126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262" cm="1">
        <f t="array" ref="I126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62" t="str">
        <f>IF(IFERROR(SEARCH("&gt;",PartList[[#This Row],[ID]]),0),"O",IF(IFERROR(SEARCH("&lt;",PartList[[#This Row],[ID]]),0),"I",""))</f>
        <v>O</v>
      </c>
      <c r="K1262" t="str" cm="1">
        <f t="array" ref="K12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262" t="str" cm="1">
        <f t="array" ref="L12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262" t="str">
        <f>_xlfn.TEXTJOIN("#",TRUE,PartList[[#This Row],[ASSLY MARK]],PartList[[#This Row],[BOX NO]],PartList[[#This Row],[In/Out]],PartList[[#This Row],[O1-Grid]])</f>
        <v>VB59#Box3_Box6#O</v>
      </c>
      <c r="N1262" t="str">
        <f>_xlfn.TEXTJOIN("#",TRUE,PartList[[#This Row],[ASSLY MARK]],PartList[[#This Row],[BOX NO]],PartList[[#This Row],[In/Out]],PartList[[#This Row],[O2-Grid]])</f>
        <v>VB59#Box3_Box6#O</v>
      </c>
      <c r="O1262">
        <f>IF(PartList[[#This Row],[Unique]]="Yes",_xlfn.XLOOKUP(PartList[[#This Row],[ASSLY MARK]],FilteredPL!A:A,FilteredPL!B:B,0,0),0)</f>
        <v>0</v>
      </c>
      <c r="P1262">
        <f>_xlfn.XLOOKUP(PartList[[#This Row],[ASSLY MARK]],MasterPL[SplitMarkNo],MasterPL[BILL WT.(KG)],0,0)</f>
        <v>0</v>
      </c>
      <c r="Q1262" cm="1">
        <f t="array" ref="Q126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63" spans="1:17" x14ac:dyDescent="0.25">
      <c r="A1263">
        <v>1316</v>
      </c>
      <c r="B1263" t="s">
        <v>1178</v>
      </c>
      <c r="C1263" t="s">
        <v>525</v>
      </c>
      <c r="D1263" t="s">
        <v>1179</v>
      </c>
      <c r="E1263" t="s">
        <v>1122</v>
      </c>
      <c r="F1263" t="str" cm="1">
        <f t="array" ref="F1263">IF(SUM(IF(PartList[ASSLY MARK]=PartList[[#This Row],[ASSLY MARK]],1,0))&gt;1,"No","Yes")</f>
        <v>Yes</v>
      </c>
      <c r="G1263" t="str" cm="1">
        <f t="array" ref="G1263">_xlfn.TEXTJOIN("_",TRUE,TRIM(_xlfn.TEXTSPLIT(PartList[[#This Row],[GRID LOCATION]],{"PR01","/","-"})))</f>
        <v>15&gt;_B</v>
      </c>
      <c r="H1263" t="str" cm="1">
        <f t="array" ref="H126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63" cm="1">
        <f t="array" ref="I126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63" t="str">
        <f>IF(IFERROR(SEARCH("&gt;",PartList[[#This Row],[ID]]),0),"O",IF(IFERROR(SEARCH("&lt;",PartList[[#This Row],[ID]]),0),"I",""))</f>
        <v>O</v>
      </c>
      <c r="K1263" t="str" cm="1">
        <f t="array" ref="K12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263" t="str" cm="1">
        <f t="array" ref="L12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263" t="str">
        <f>_xlfn.TEXTJOIN("#",TRUE,PartList[[#This Row],[ASSLY MARK]],PartList[[#This Row],[BOX NO]],PartList[[#This Row],[In/Out]],PartList[[#This Row],[O1-Grid]])</f>
        <v>VB68#Box3#O</v>
      </c>
      <c r="N1263" t="str">
        <f>_xlfn.TEXTJOIN("#",TRUE,PartList[[#This Row],[ASSLY MARK]],PartList[[#This Row],[BOX NO]],PartList[[#This Row],[In/Out]],PartList[[#This Row],[O2-Grid]])</f>
        <v>VB68#Box3#O</v>
      </c>
      <c r="O1263">
        <f>IF(PartList[[#This Row],[Unique]]="Yes",_xlfn.XLOOKUP(PartList[[#This Row],[ASSLY MARK]],FilteredPL!A:A,FilteredPL!B:B,0,0),0)</f>
        <v>0</v>
      </c>
      <c r="P1263">
        <f>_xlfn.XLOOKUP(PartList[[#This Row],[ASSLY MARK]],MasterPL[SplitMarkNo],MasterPL[BILL WT.(KG)],0,0)</f>
        <v>0</v>
      </c>
      <c r="Q1263" cm="1">
        <f t="array" ref="Q126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64" spans="1:17" x14ac:dyDescent="0.25">
      <c r="A1264">
        <v>1325</v>
      </c>
      <c r="B1264" t="s">
        <v>1190</v>
      </c>
      <c r="C1264" t="s">
        <v>525</v>
      </c>
      <c r="D1264" t="s">
        <v>1153</v>
      </c>
      <c r="E1264" t="s">
        <v>1122</v>
      </c>
      <c r="F1264" t="str" cm="1">
        <f t="array" ref="F1264">IF(SUM(IF(PartList[ASSLY MARK]=PartList[[#This Row],[ASSLY MARK]],1,0))&gt;1,"No","Yes")</f>
        <v>Yes</v>
      </c>
      <c r="G1264" t="str" cm="1">
        <f t="array" ref="G1264">_xlfn.TEXTJOIN("_",TRUE,TRIM(_xlfn.TEXTSPLIT(PartList[[#This Row],[GRID LOCATION]],{"PR01","/","-"})))</f>
        <v>15&gt;_B</v>
      </c>
      <c r="H1264" t="str" cm="1">
        <f t="array" ref="H126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64" cm="1">
        <f t="array" ref="I126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64" t="str">
        <f>IF(IFERROR(SEARCH("&gt;",PartList[[#This Row],[ID]]),0),"O",IF(IFERROR(SEARCH("&lt;",PartList[[#This Row],[ID]]),0),"I",""))</f>
        <v>O</v>
      </c>
      <c r="K1264" t="str" cm="1">
        <f t="array" ref="K12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264" t="str" cm="1">
        <f t="array" ref="L126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264" t="str">
        <f>_xlfn.TEXTJOIN("#",TRUE,PartList[[#This Row],[ASSLY MARK]],PartList[[#This Row],[BOX NO]],PartList[[#This Row],[In/Out]],PartList[[#This Row],[O1-Grid]])</f>
        <v>VB76#Box3#O</v>
      </c>
      <c r="N1264" t="str">
        <f>_xlfn.TEXTJOIN("#",TRUE,PartList[[#This Row],[ASSLY MARK]],PartList[[#This Row],[BOX NO]],PartList[[#This Row],[In/Out]],PartList[[#This Row],[O2-Grid]])</f>
        <v>VB76#Box3#O</v>
      </c>
      <c r="O1264">
        <f>IF(PartList[[#This Row],[Unique]]="Yes",_xlfn.XLOOKUP(PartList[[#This Row],[ASSLY MARK]],FilteredPL!A:A,FilteredPL!B:B,0,0),0)</f>
        <v>0</v>
      </c>
      <c r="P1264">
        <f>_xlfn.XLOOKUP(PartList[[#This Row],[ASSLY MARK]],MasterPL[SplitMarkNo],MasterPL[BILL WT.(KG)],0,0)</f>
        <v>0</v>
      </c>
      <c r="Q1264" cm="1">
        <f t="array" ref="Q126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65" spans="1:17" x14ac:dyDescent="0.25">
      <c r="A1265">
        <v>1328</v>
      </c>
      <c r="B1265" t="s">
        <v>1194</v>
      </c>
      <c r="C1265" t="s">
        <v>729</v>
      </c>
      <c r="D1265" t="s">
        <v>1195</v>
      </c>
      <c r="E1265" t="s">
        <v>1122</v>
      </c>
      <c r="F1265" t="str" cm="1">
        <f t="array" ref="F1265">IF(SUM(IF(PartList[ASSLY MARK]=PartList[[#This Row],[ASSLY MARK]],1,0))&gt;1,"No","Yes")</f>
        <v>Yes</v>
      </c>
      <c r="G1265" t="str" cm="1">
        <f t="array" ref="G1265">_xlfn.TEXTJOIN("_",TRUE,TRIM(_xlfn.TEXTSPLIT(PartList[[#This Row],[GRID LOCATION]],{"PR01","/","-"})))</f>
        <v>15&gt;_A</v>
      </c>
      <c r="H1265" t="str" cm="1">
        <f t="array" ref="H126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65" cm="1">
        <f t="array" ref="I126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65" t="str">
        <f>IF(IFERROR(SEARCH("&gt;",PartList[[#This Row],[ID]]),0),"O",IF(IFERROR(SEARCH("&lt;",PartList[[#This Row],[ID]]),0),"I",""))</f>
        <v>O</v>
      </c>
      <c r="K1265" t="str" cm="1">
        <f t="array" ref="K12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265" t="str" cm="1">
        <f t="array" ref="L126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265" t="str">
        <f>_xlfn.TEXTJOIN("#",TRUE,PartList[[#This Row],[ASSLY MARK]],PartList[[#This Row],[BOX NO]],PartList[[#This Row],[In/Out]],PartList[[#This Row],[O1-Grid]])</f>
        <v>VB79#Box3#O</v>
      </c>
      <c r="N1265" t="str">
        <f>_xlfn.TEXTJOIN("#",TRUE,PartList[[#This Row],[ASSLY MARK]],PartList[[#This Row],[BOX NO]],PartList[[#This Row],[In/Out]],PartList[[#This Row],[O2-Grid]])</f>
        <v>VB79#Box3#O</v>
      </c>
      <c r="O1265">
        <f>IF(PartList[[#This Row],[Unique]]="Yes",_xlfn.XLOOKUP(PartList[[#This Row],[ASSLY MARK]],FilteredPL!A:A,FilteredPL!B:B,0,0),0)</f>
        <v>0</v>
      </c>
      <c r="P1265">
        <f>_xlfn.XLOOKUP(PartList[[#This Row],[ASSLY MARK]],MasterPL[SplitMarkNo],MasterPL[BILL WT.(KG)],0,0)</f>
        <v>0</v>
      </c>
      <c r="Q1265" cm="1">
        <f t="array" ref="Q126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66" spans="1:17" x14ac:dyDescent="0.25">
      <c r="A1266">
        <v>1329</v>
      </c>
      <c r="B1266" t="s">
        <v>1196</v>
      </c>
      <c r="C1266" t="s">
        <v>526</v>
      </c>
      <c r="D1266" t="s">
        <v>1197</v>
      </c>
      <c r="E1266" t="s">
        <v>1122</v>
      </c>
      <c r="F1266" t="str" cm="1">
        <f t="array" ref="F1266">IF(SUM(IF(PartList[ASSLY MARK]=PartList[[#This Row],[ASSLY MARK]],1,0))&gt;1,"No","Yes")</f>
        <v>No</v>
      </c>
      <c r="G1266" t="str" cm="1">
        <f t="array" ref="G1266">_xlfn.TEXTJOIN("_",TRUE,TRIM(_xlfn.TEXTSPLIT(PartList[[#This Row],[GRID LOCATION]],{"PR01","/","-"})))</f>
        <v>14_15_A</v>
      </c>
      <c r="H1266" t="str" cm="1">
        <f t="array" ref="H126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266" cm="1">
        <f t="array" ref="I126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66" t="str">
        <f>IF(IFERROR(SEARCH("&gt;",PartList[[#This Row],[ID]]),0),"O",IF(IFERROR(SEARCH("&lt;",PartList[[#This Row],[ID]]),0),"I",""))</f>
        <v/>
      </c>
      <c r="K1266" t="str" cm="1">
        <f t="array" ref="K12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66" t="str" cm="1">
        <f t="array" ref="L126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66" t="str">
        <f>_xlfn.TEXTJOIN("#",TRUE,PartList[[#This Row],[ASSLY MARK]],PartList[[#This Row],[BOX NO]],PartList[[#This Row],[In/Out]],PartList[[#This Row],[O1-Grid]])</f>
        <v>VB80#Box3_Box6#InBB</v>
      </c>
      <c r="N1266" t="str">
        <f>_xlfn.TEXTJOIN("#",TRUE,PartList[[#This Row],[ASSLY MARK]],PartList[[#This Row],[BOX NO]],PartList[[#This Row],[In/Out]],PartList[[#This Row],[O2-Grid]])</f>
        <v>VB80#Box3_Box6#InBB</v>
      </c>
      <c r="O1266">
        <f>IF(PartList[[#This Row],[Unique]]="Yes",_xlfn.XLOOKUP(PartList[[#This Row],[ASSLY MARK]],FilteredPL!A:A,FilteredPL!B:B,0,0),0)</f>
        <v>0</v>
      </c>
      <c r="P1266">
        <f>_xlfn.XLOOKUP(PartList[[#This Row],[ASSLY MARK]],MasterPL[SplitMarkNo],MasterPL[BILL WT.(KG)],0,0)</f>
        <v>0</v>
      </c>
      <c r="Q1266" cm="1">
        <f t="array" ref="Q126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67" spans="1:17" x14ac:dyDescent="0.25">
      <c r="A1267">
        <v>1330</v>
      </c>
      <c r="B1267" t="s">
        <v>1196</v>
      </c>
      <c r="C1267" t="s">
        <v>527</v>
      </c>
      <c r="D1267" t="s">
        <v>1197</v>
      </c>
      <c r="E1267" t="s">
        <v>1122</v>
      </c>
      <c r="F1267" t="str" cm="1">
        <f t="array" ref="F1267">IF(SUM(IF(PartList[ASSLY MARK]=PartList[[#This Row],[ASSLY MARK]],1,0))&gt;1,"No","Yes")</f>
        <v>No</v>
      </c>
      <c r="G1267" t="str" cm="1">
        <f t="array" ref="G1267">_xlfn.TEXTJOIN("_",TRUE,TRIM(_xlfn.TEXTSPLIT(PartList[[#This Row],[GRID LOCATION]],{"PR01","/","-"})))</f>
        <v>14_15_B</v>
      </c>
      <c r="H1267" t="str" cm="1">
        <f t="array" ref="H126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267" cm="1">
        <f t="array" ref="I126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67" t="str">
        <f>IF(IFERROR(SEARCH("&gt;",PartList[[#This Row],[ID]]),0),"O",IF(IFERROR(SEARCH("&lt;",PartList[[#This Row],[ID]]),0),"I",""))</f>
        <v/>
      </c>
      <c r="K1267" t="str" cm="1">
        <f t="array" ref="K12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67" t="str" cm="1">
        <f t="array" ref="L126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67" t="str">
        <f>_xlfn.TEXTJOIN("#",TRUE,PartList[[#This Row],[ASSLY MARK]],PartList[[#This Row],[BOX NO]],PartList[[#This Row],[In/Out]],PartList[[#This Row],[O1-Grid]])</f>
        <v>VB80#Box3_Box6#InBB</v>
      </c>
      <c r="N1267" t="str">
        <f>_xlfn.TEXTJOIN("#",TRUE,PartList[[#This Row],[ASSLY MARK]],PartList[[#This Row],[BOX NO]],PartList[[#This Row],[In/Out]],PartList[[#This Row],[O2-Grid]])</f>
        <v>VB80#Box3_Box6#InBB</v>
      </c>
      <c r="O1267">
        <f>IF(PartList[[#This Row],[Unique]]="Yes",_xlfn.XLOOKUP(PartList[[#This Row],[ASSLY MARK]],FilteredPL!A:A,FilteredPL!B:B,0,0),0)</f>
        <v>0</v>
      </c>
      <c r="P1267">
        <f>_xlfn.XLOOKUP(PartList[[#This Row],[ASSLY MARK]],MasterPL[SplitMarkNo],MasterPL[BILL WT.(KG)],0,0)</f>
        <v>0</v>
      </c>
      <c r="Q1267" cm="1">
        <f t="array" ref="Q126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68" spans="1:17" x14ac:dyDescent="0.25">
      <c r="A1268">
        <v>1332</v>
      </c>
      <c r="B1268" t="s">
        <v>1199</v>
      </c>
      <c r="C1268" t="s">
        <v>522</v>
      </c>
      <c r="D1268" t="s">
        <v>1152</v>
      </c>
      <c r="E1268" t="s">
        <v>1122</v>
      </c>
      <c r="F1268" t="str" cm="1">
        <f t="array" ref="F1268">IF(SUM(IF(PartList[ASSLY MARK]=PartList[[#This Row],[ASSLY MARK]],1,0))&gt;1,"No","Yes")</f>
        <v>Yes</v>
      </c>
      <c r="G1268" t="str" cm="1">
        <f t="array" ref="G1268">_xlfn.TEXTJOIN("_",TRUE,TRIM(_xlfn.TEXTSPLIT(PartList[[#This Row],[GRID LOCATION]],{"PR01","/","-"})))</f>
        <v>14_15_B&gt;</v>
      </c>
      <c r="H1268" t="str" cm="1">
        <f t="array" ref="H126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268" cm="1">
        <f t="array" ref="I126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68" t="str">
        <f>IF(IFERROR(SEARCH("&gt;",PartList[[#This Row],[ID]]),0),"O",IF(IFERROR(SEARCH("&lt;",PartList[[#This Row],[ID]]),0),"I",""))</f>
        <v>O</v>
      </c>
      <c r="K1268" t="str" cm="1">
        <f t="array" ref="K12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268" t="str" cm="1">
        <f t="array" ref="L126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268" t="str">
        <f>_xlfn.TEXTJOIN("#",TRUE,PartList[[#This Row],[ASSLY MARK]],PartList[[#This Row],[BOX NO]],PartList[[#This Row],[In/Out]],PartList[[#This Row],[O1-Grid]])</f>
        <v>VB82#Box3_Box6#O</v>
      </c>
      <c r="N1268" t="str">
        <f>_xlfn.TEXTJOIN("#",TRUE,PartList[[#This Row],[ASSLY MARK]],PartList[[#This Row],[BOX NO]],PartList[[#This Row],[In/Out]],PartList[[#This Row],[O2-Grid]])</f>
        <v>VB82#Box3_Box6#O</v>
      </c>
      <c r="O1268">
        <f>IF(PartList[[#This Row],[Unique]]="Yes",_xlfn.XLOOKUP(PartList[[#This Row],[ASSLY MARK]],FilteredPL!A:A,FilteredPL!B:B,0,0),0)</f>
        <v>0</v>
      </c>
      <c r="P1268">
        <f>_xlfn.XLOOKUP(PartList[[#This Row],[ASSLY MARK]],MasterPL[SplitMarkNo],MasterPL[BILL WT.(KG)],0,0)</f>
        <v>0</v>
      </c>
      <c r="Q1268" cm="1">
        <f t="array" ref="Q126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69" spans="1:17" x14ac:dyDescent="0.25">
      <c r="A1269">
        <v>1334</v>
      </c>
      <c r="B1269" t="s">
        <v>1201</v>
      </c>
      <c r="C1269" t="s">
        <v>527</v>
      </c>
      <c r="D1269" t="s">
        <v>1202</v>
      </c>
      <c r="E1269" t="s">
        <v>1122</v>
      </c>
      <c r="F1269" t="str" cm="1">
        <f t="array" ref="F1269">IF(SUM(IF(PartList[ASSLY MARK]=PartList[[#This Row],[ASSLY MARK]],1,0))&gt;1,"No","Yes")</f>
        <v>No</v>
      </c>
      <c r="G1269" t="str" cm="1">
        <f t="array" ref="G1269">_xlfn.TEXTJOIN("_",TRUE,TRIM(_xlfn.TEXTSPLIT(PartList[[#This Row],[GRID LOCATION]],{"PR01","/","-"})))</f>
        <v>14_15_B</v>
      </c>
      <c r="H1269" t="str" cm="1">
        <f t="array" ref="H126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269" cm="1">
        <f t="array" ref="I126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69" t="str">
        <f>IF(IFERROR(SEARCH("&gt;",PartList[[#This Row],[ID]]),0),"O",IF(IFERROR(SEARCH("&lt;",PartList[[#This Row],[ID]]),0),"I",""))</f>
        <v/>
      </c>
      <c r="K1269" t="str" cm="1">
        <f t="array" ref="K12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69" t="str" cm="1">
        <f t="array" ref="L126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69" t="str">
        <f>_xlfn.TEXTJOIN("#",TRUE,PartList[[#This Row],[ASSLY MARK]],PartList[[#This Row],[BOX NO]],PartList[[#This Row],[In/Out]],PartList[[#This Row],[O1-Grid]])</f>
        <v>VB84#Box3_Box6#InBB</v>
      </c>
      <c r="N1269" t="str">
        <f>_xlfn.TEXTJOIN("#",TRUE,PartList[[#This Row],[ASSLY MARK]],PartList[[#This Row],[BOX NO]],PartList[[#This Row],[In/Out]],PartList[[#This Row],[O2-Grid]])</f>
        <v>VB84#Box3_Box6#InBB</v>
      </c>
      <c r="O1269">
        <f>IF(PartList[[#This Row],[Unique]]="Yes",_xlfn.XLOOKUP(PartList[[#This Row],[ASSLY MARK]],FilteredPL!A:A,FilteredPL!B:B,0,0),0)</f>
        <v>0</v>
      </c>
      <c r="P1269">
        <f>_xlfn.XLOOKUP(PartList[[#This Row],[ASSLY MARK]],MasterPL[SplitMarkNo],MasterPL[BILL WT.(KG)],0,0)</f>
        <v>0</v>
      </c>
      <c r="Q1269" cm="1">
        <f t="array" ref="Q126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70" spans="1:17" x14ac:dyDescent="0.25">
      <c r="A1270">
        <v>1335</v>
      </c>
      <c r="B1270" t="s">
        <v>1201</v>
      </c>
      <c r="C1270" t="s">
        <v>526</v>
      </c>
      <c r="D1270" t="s">
        <v>1202</v>
      </c>
      <c r="E1270" t="s">
        <v>1122</v>
      </c>
      <c r="F1270" t="str" cm="1">
        <f t="array" ref="F1270">IF(SUM(IF(PartList[ASSLY MARK]=PartList[[#This Row],[ASSLY MARK]],1,0))&gt;1,"No","Yes")</f>
        <v>No</v>
      </c>
      <c r="G1270" t="str" cm="1">
        <f t="array" ref="G1270">_xlfn.TEXTJOIN("_",TRUE,TRIM(_xlfn.TEXTSPLIT(PartList[[#This Row],[GRID LOCATION]],{"PR01","/","-"})))</f>
        <v>14_15_A</v>
      </c>
      <c r="H1270" t="str" cm="1">
        <f t="array" ref="H127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270" cm="1">
        <f t="array" ref="I127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70" t="str">
        <f>IF(IFERROR(SEARCH("&gt;",PartList[[#This Row],[ID]]),0),"O",IF(IFERROR(SEARCH("&lt;",PartList[[#This Row],[ID]]),0),"I",""))</f>
        <v/>
      </c>
      <c r="K1270" t="str" cm="1">
        <f t="array" ref="K12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70" t="str" cm="1">
        <f t="array" ref="L127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70" t="str">
        <f>_xlfn.TEXTJOIN("#",TRUE,PartList[[#This Row],[ASSLY MARK]],PartList[[#This Row],[BOX NO]],PartList[[#This Row],[In/Out]],PartList[[#This Row],[O1-Grid]])</f>
        <v>VB84#Box3_Box6#InBB</v>
      </c>
      <c r="N1270" t="str">
        <f>_xlfn.TEXTJOIN("#",TRUE,PartList[[#This Row],[ASSLY MARK]],PartList[[#This Row],[BOX NO]],PartList[[#This Row],[In/Out]],PartList[[#This Row],[O2-Grid]])</f>
        <v>VB84#Box3_Box6#InBB</v>
      </c>
      <c r="O1270">
        <f>IF(PartList[[#This Row],[Unique]]="Yes",_xlfn.XLOOKUP(PartList[[#This Row],[ASSLY MARK]],FilteredPL!A:A,FilteredPL!B:B,0,0),0)</f>
        <v>0</v>
      </c>
      <c r="P1270">
        <f>_xlfn.XLOOKUP(PartList[[#This Row],[ASSLY MARK]],MasterPL[SplitMarkNo],MasterPL[BILL WT.(KG)],0,0)</f>
        <v>0</v>
      </c>
      <c r="Q1270" cm="1">
        <f t="array" ref="Q127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71" spans="1:17" x14ac:dyDescent="0.25">
      <c r="A1271">
        <v>1336</v>
      </c>
      <c r="B1271" t="s">
        <v>1203</v>
      </c>
      <c r="C1271" t="s">
        <v>525</v>
      </c>
      <c r="D1271" t="s">
        <v>1195</v>
      </c>
      <c r="E1271" t="s">
        <v>1122</v>
      </c>
      <c r="F1271" t="str" cm="1">
        <f t="array" ref="F1271">IF(SUM(IF(PartList[ASSLY MARK]=PartList[[#This Row],[ASSLY MARK]],1,0))&gt;1,"No","Yes")</f>
        <v>Yes</v>
      </c>
      <c r="G1271" t="str" cm="1">
        <f t="array" ref="G1271">_xlfn.TEXTJOIN("_",TRUE,TRIM(_xlfn.TEXTSPLIT(PartList[[#This Row],[GRID LOCATION]],{"PR01","/","-"})))</f>
        <v>15&gt;_B</v>
      </c>
      <c r="H1271" t="str" cm="1">
        <f t="array" ref="H127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71" cm="1">
        <f t="array" ref="I127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71" t="str">
        <f>IF(IFERROR(SEARCH("&gt;",PartList[[#This Row],[ID]]),0),"O",IF(IFERROR(SEARCH("&lt;",PartList[[#This Row],[ID]]),0),"I",""))</f>
        <v>O</v>
      </c>
      <c r="K1271" t="str" cm="1">
        <f t="array" ref="K12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271" t="str" cm="1">
        <f t="array" ref="L127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271" t="str">
        <f>_xlfn.TEXTJOIN("#",TRUE,PartList[[#This Row],[ASSLY MARK]],PartList[[#This Row],[BOX NO]],PartList[[#This Row],[In/Out]],PartList[[#This Row],[O1-Grid]])</f>
        <v>VB85#Box3#O</v>
      </c>
      <c r="N1271" t="str">
        <f>_xlfn.TEXTJOIN("#",TRUE,PartList[[#This Row],[ASSLY MARK]],PartList[[#This Row],[BOX NO]],PartList[[#This Row],[In/Out]],PartList[[#This Row],[O2-Grid]])</f>
        <v>VB85#Box3#O</v>
      </c>
      <c r="O1271">
        <f>IF(PartList[[#This Row],[Unique]]="Yes",_xlfn.XLOOKUP(PartList[[#This Row],[ASSLY MARK]],FilteredPL!A:A,FilteredPL!B:B,0,0),0)</f>
        <v>0</v>
      </c>
      <c r="P1271">
        <f>_xlfn.XLOOKUP(PartList[[#This Row],[ASSLY MARK]],MasterPL[SplitMarkNo],MasterPL[BILL WT.(KG)],0,0)</f>
        <v>0</v>
      </c>
      <c r="Q1271" cm="1">
        <f t="array" ref="Q127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72" spans="1:17" x14ac:dyDescent="0.25">
      <c r="A1272">
        <v>1337</v>
      </c>
      <c r="B1272" t="s">
        <v>1204</v>
      </c>
      <c r="C1272" t="s">
        <v>524</v>
      </c>
      <c r="D1272" t="s">
        <v>1149</v>
      </c>
      <c r="E1272" t="s">
        <v>1122</v>
      </c>
      <c r="F1272" t="str" cm="1">
        <f t="array" ref="F1272">IF(SUM(IF(PartList[ASSLY MARK]=PartList[[#This Row],[ASSLY MARK]],1,0))&gt;1,"No","Yes")</f>
        <v>No</v>
      </c>
      <c r="G1272" t="str" cm="1">
        <f t="array" ref="G1272">_xlfn.TEXTJOIN("_",TRUE,TRIM(_xlfn.TEXTSPLIT(PartList[[#This Row],[GRID LOCATION]],{"PR01","/","-"})))</f>
        <v>15_B&gt;</v>
      </c>
      <c r="H1272" t="str" cm="1">
        <f t="array" ref="H127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72" cm="1">
        <f t="array" ref="I127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72" t="str">
        <f>IF(IFERROR(SEARCH("&gt;",PartList[[#This Row],[ID]]),0),"O",IF(IFERROR(SEARCH("&lt;",PartList[[#This Row],[ID]]),0),"I",""))</f>
        <v>O</v>
      </c>
      <c r="K1272" t="str" cm="1">
        <f t="array" ref="K12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272" t="str" cm="1">
        <f t="array" ref="L127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272" t="str">
        <f>_xlfn.TEXTJOIN("#",TRUE,PartList[[#This Row],[ASSLY MARK]],PartList[[#This Row],[BOX NO]],PartList[[#This Row],[In/Out]],PartList[[#This Row],[O1-Grid]])</f>
        <v>VB86#Box3#O</v>
      </c>
      <c r="N1272" t="str">
        <f>_xlfn.TEXTJOIN("#",TRUE,PartList[[#This Row],[ASSLY MARK]],PartList[[#This Row],[BOX NO]],PartList[[#This Row],[In/Out]],PartList[[#This Row],[O2-Grid]])</f>
        <v>VB86#Box3#O</v>
      </c>
      <c r="O1272">
        <f>IF(PartList[[#This Row],[Unique]]="Yes",_xlfn.XLOOKUP(PartList[[#This Row],[ASSLY MARK]],FilteredPL!A:A,FilteredPL!B:B,0,0),0)</f>
        <v>0</v>
      </c>
      <c r="P1272">
        <f>_xlfn.XLOOKUP(PartList[[#This Row],[ASSLY MARK]],MasterPL[SplitMarkNo],MasterPL[BILL WT.(KG)],0,0)</f>
        <v>0</v>
      </c>
      <c r="Q1272" cm="1">
        <f t="array" ref="Q127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73" spans="1:17" x14ac:dyDescent="0.25">
      <c r="A1273">
        <v>1338</v>
      </c>
      <c r="B1273" t="s">
        <v>1204</v>
      </c>
      <c r="C1273" t="s">
        <v>800</v>
      </c>
      <c r="D1273" t="s">
        <v>1149</v>
      </c>
      <c r="E1273" t="s">
        <v>1122</v>
      </c>
      <c r="F1273" t="str" cm="1">
        <f t="array" ref="F1273">IF(SUM(IF(PartList[ASSLY MARK]=PartList[[#This Row],[ASSLY MARK]],1,0))&gt;1,"No","Yes")</f>
        <v>No</v>
      </c>
      <c r="G1273" t="str" cm="1">
        <f t="array" ref="G1273">_xlfn.TEXTJOIN("_",TRUE,TRIM(_xlfn.TEXTSPLIT(PartList[[#This Row],[GRID LOCATION]],{"PR01","/","-"})))</f>
        <v>15_A'_A</v>
      </c>
      <c r="H1273" t="str" cm="1">
        <f t="array" ref="H127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273" cm="1">
        <f t="array" ref="I127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73" t="str">
        <f>IF(IFERROR(SEARCH("&gt;",PartList[[#This Row],[ID]]),0),"O",IF(IFERROR(SEARCH("&lt;",PartList[[#This Row],[ID]]),0),"I",""))</f>
        <v/>
      </c>
      <c r="K1273" t="str" cm="1">
        <f t="array" ref="K12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73" t="str" cm="1">
        <f t="array" ref="L127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73" t="str">
        <f>_xlfn.TEXTJOIN("#",TRUE,PartList[[#This Row],[ASSLY MARK]],PartList[[#This Row],[BOX NO]],PartList[[#This Row],[In/Out]],PartList[[#This Row],[O1-Grid]])</f>
        <v>VB86#Box3_Box6#InBB</v>
      </c>
      <c r="N1273" t="str">
        <f>_xlfn.TEXTJOIN("#",TRUE,PartList[[#This Row],[ASSLY MARK]],PartList[[#This Row],[BOX NO]],PartList[[#This Row],[In/Out]],PartList[[#This Row],[O2-Grid]])</f>
        <v>VB86#Box3_Box6#InBB</v>
      </c>
      <c r="O1273">
        <f>IF(PartList[[#This Row],[Unique]]="Yes",_xlfn.XLOOKUP(PartList[[#This Row],[ASSLY MARK]],FilteredPL!A:A,FilteredPL!B:B,0,0),0)</f>
        <v>0</v>
      </c>
      <c r="P1273">
        <f>_xlfn.XLOOKUP(PartList[[#This Row],[ASSLY MARK]],MasterPL[SplitMarkNo],MasterPL[BILL WT.(KG)],0,0)</f>
        <v>0</v>
      </c>
      <c r="Q1273" cm="1">
        <f t="array" ref="Q127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74" spans="1:17" x14ac:dyDescent="0.25">
      <c r="A1274">
        <v>1339</v>
      </c>
      <c r="B1274" t="s">
        <v>1205</v>
      </c>
      <c r="C1274" t="s">
        <v>800</v>
      </c>
      <c r="D1274" t="s">
        <v>1206</v>
      </c>
      <c r="E1274" t="s">
        <v>1122</v>
      </c>
      <c r="F1274" t="str" cm="1">
        <f t="array" ref="F1274">IF(SUM(IF(PartList[ASSLY MARK]=PartList[[#This Row],[ASSLY MARK]],1,0))&gt;1,"No","Yes")</f>
        <v>Yes</v>
      </c>
      <c r="G1274" t="str" cm="1">
        <f t="array" ref="G1274">_xlfn.TEXTJOIN("_",TRUE,TRIM(_xlfn.TEXTSPLIT(PartList[[#This Row],[GRID LOCATION]],{"PR01","/","-"})))</f>
        <v>15_A'_A</v>
      </c>
      <c r="H1274" t="str" cm="1">
        <f t="array" ref="H127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Box3_Box6</v>
      </c>
      <c r="I1274" cm="1">
        <f t="array" ref="I127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74" t="str">
        <f>IF(IFERROR(SEARCH("&gt;",PartList[[#This Row],[ID]]),0),"O",IF(IFERROR(SEARCH("&lt;",PartList[[#This Row],[ID]]),0),"I",""))</f>
        <v/>
      </c>
      <c r="K1274" t="str" cm="1">
        <f t="array" ref="K12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74" t="str" cm="1">
        <f t="array" ref="L127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74" t="str">
        <f>_xlfn.TEXTJOIN("#",TRUE,PartList[[#This Row],[ASSLY MARK]],PartList[[#This Row],[BOX NO]],PartList[[#This Row],[In/Out]],PartList[[#This Row],[O1-Grid]])</f>
        <v>VB87#Box3_Box6#InBB</v>
      </c>
      <c r="N1274" t="str">
        <f>_xlfn.TEXTJOIN("#",TRUE,PartList[[#This Row],[ASSLY MARK]],PartList[[#This Row],[BOX NO]],PartList[[#This Row],[In/Out]],PartList[[#This Row],[O2-Grid]])</f>
        <v>VB87#Box3_Box6#InBB</v>
      </c>
      <c r="O1274">
        <f>IF(PartList[[#This Row],[Unique]]="Yes",_xlfn.XLOOKUP(PartList[[#This Row],[ASSLY MARK]],FilteredPL!A:A,FilteredPL!B:B,0,0),0)</f>
        <v>0</v>
      </c>
      <c r="P1274">
        <f>_xlfn.XLOOKUP(PartList[[#This Row],[ASSLY MARK]],MasterPL[SplitMarkNo],MasterPL[BILL WT.(KG)],0,0)</f>
        <v>0</v>
      </c>
      <c r="Q1274" cm="1">
        <f t="array" ref="Q127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75" spans="1:17" x14ac:dyDescent="0.25">
      <c r="A1275">
        <v>1340</v>
      </c>
      <c r="B1275" t="s">
        <v>1207</v>
      </c>
      <c r="C1275" t="s">
        <v>754</v>
      </c>
      <c r="D1275" t="s">
        <v>1149</v>
      </c>
      <c r="E1275" t="s">
        <v>1122</v>
      </c>
      <c r="F1275" t="str" cm="1">
        <f t="array" ref="F1275">IF(SUM(IF(PartList[ASSLY MARK]=PartList[[#This Row],[ASSLY MARK]],1,0))&gt;1,"No","Yes")</f>
        <v>Yes</v>
      </c>
      <c r="G1275" t="str" cm="1">
        <f t="array" ref="G1275">_xlfn.TEXTJOIN("_",TRUE,TRIM(_xlfn.TEXTSPLIT(PartList[[#This Row],[GRID LOCATION]],{"PR01","/","-"})))</f>
        <v>15&gt;_B&gt;</v>
      </c>
      <c r="H1275" t="str" cm="1">
        <f t="array" ref="H127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75" cm="1">
        <f t="array" ref="I127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75" t="str">
        <f>IF(IFERROR(SEARCH("&gt;",PartList[[#This Row],[ID]]),0),"O",IF(IFERROR(SEARCH("&lt;",PartList[[#This Row],[ID]]),0),"I",""))</f>
        <v>O</v>
      </c>
      <c r="K1275" t="str" cm="1">
        <f t="array" ref="K12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275" t="str" cm="1">
        <f t="array" ref="L127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275" t="str">
        <f>_xlfn.TEXTJOIN("#",TRUE,PartList[[#This Row],[ASSLY MARK]],PartList[[#This Row],[BOX NO]],PartList[[#This Row],[In/Out]],PartList[[#This Row],[O1-Grid]])</f>
        <v>VB88#Box3#O</v>
      </c>
      <c r="N1275" t="str">
        <f>_xlfn.TEXTJOIN("#",TRUE,PartList[[#This Row],[ASSLY MARK]],PartList[[#This Row],[BOX NO]],PartList[[#This Row],[In/Out]],PartList[[#This Row],[O2-Grid]])</f>
        <v>VB88#Box3#O</v>
      </c>
      <c r="O1275">
        <f>IF(PartList[[#This Row],[Unique]]="Yes",_xlfn.XLOOKUP(PartList[[#This Row],[ASSLY MARK]],FilteredPL!A:A,FilteredPL!B:B,0,0),0)</f>
        <v>0</v>
      </c>
      <c r="P1275">
        <f>_xlfn.XLOOKUP(PartList[[#This Row],[ASSLY MARK]],MasterPL[SplitMarkNo],MasterPL[BILL WT.(KG)],0,0)</f>
        <v>0</v>
      </c>
      <c r="Q1275" cm="1">
        <f t="array" ref="Q127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76" spans="1:17" x14ac:dyDescent="0.25">
      <c r="A1276">
        <v>1341</v>
      </c>
      <c r="B1276" t="s">
        <v>1208</v>
      </c>
      <c r="C1276" t="s">
        <v>524</v>
      </c>
      <c r="D1276" t="s">
        <v>1153</v>
      </c>
      <c r="E1276" t="s">
        <v>1122</v>
      </c>
      <c r="F1276" t="str" cm="1">
        <f t="array" ref="F1276">IF(SUM(IF(PartList[ASSLY MARK]=PartList[[#This Row],[ASSLY MARK]],1,0))&gt;1,"No","Yes")</f>
        <v>Yes</v>
      </c>
      <c r="G1276" t="str" cm="1">
        <f t="array" ref="G1276">_xlfn.TEXTJOIN("_",TRUE,TRIM(_xlfn.TEXTSPLIT(PartList[[#This Row],[GRID LOCATION]],{"PR01","/","-"})))</f>
        <v>15_B&gt;</v>
      </c>
      <c r="H1276" t="str" cm="1">
        <f t="array" ref="H127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76" cm="1">
        <f t="array" ref="I127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76" t="str">
        <f>IF(IFERROR(SEARCH("&gt;",PartList[[#This Row],[ID]]),0),"O",IF(IFERROR(SEARCH("&lt;",PartList[[#This Row],[ID]]),0),"I",""))</f>
        <v>O</v>
      </c>
      <c r="K1276" t="str" cm="1">
        <f t="array" ref="K12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276" t="str" cm="1">
        <f t="array" ref="L127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276" t="str">
        <f>_xlfn.TEXTJOIN("#",TRUE,PartList[[#This Row],[ASSLY MARK]],PartList[[#This Row],[BOX NO]],PartList[[#This Row],[In/Out]],PartList[[#This Row],[O1-Grid]])</f>
        <v>VB89#Box3#O</v>
      </c>
      <c r="N1276" t="str">
        <f>_xlfn.TEXTJOIN("#",TRUE,PartList[[#This Row],[ASSLY MARK]],PartList[[#This Row],[BOX NO]],PartList[[#This Row],[In/Out]],PartList[[#This Row],[O2-Grid]])</f>
        <v>VB89#Box3#O</v>
      </c>
      <c r="O1276">
        <f>IF(PartList[[#This Row],[Unique]]="Yes",_xlfn.XLOOKUP(PartList[[#This Row],[ASSLY MARK]],FilteredPL!A:A,FilteredPL!B:B,0,0),0)</f>
        <v>0</v>
      </c>
      <c r="P1276">
        <f>_xlfn.XLOOKUP(PartList[[#This Row],[ASSLY MARK]],MasterPL[SplitMarkNo],MasterPL[BILL WT.(KG)],0,0)</f>
        <v>0</v>
      </c>
      <c r="Q1276" cm="1">
        <f t="array" ref="Q127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77" spans="1:17" x14ac:dyDescent="0.25">
      <c r="A1277">
        <v>1342</v>
      </c>
      <c r="B1277" t="s">
        <v>1209</v>
      </c>
      <c r="C1277" t="s">
        <v>524</v>
      </c>
      <c r="D1277" t="s">
        <v>1206</v>
      </c>
      <c r="E1277" t="s">
        <v>1122</v>
      </c>
      <c r="F1277" t="str" cm="1">
        <f t="array" ref="F1277">IF(SUM(IF(PartList[ASSLY MARK]=PartList[[#This Row],[ASSLY MARK]],1,0))&gt;1,"No","Yes")</f>
        <v>Yes</v>
      </c>
      <c r="G1277" t="str" cm="1">
        <f t="array" ref="G1277">_xlfn.TEXTJOIN("_",TRUE,TRIM(_xlfn.TEXTSPLIT(PartList[[#This Row],[GRID LOCATION]],{"PR01","/","-"})))</f>
        <v>15_B&gt;</v>
      </c>
      <c r="H1277" t="str" cm="1">
        <f t="array" ref="H127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Box3</v>
      </c>
      <c r="I1277" cm="1">
        <f t="array" ref="I127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3</v>
      </c>
      <c r="J1277" t="str">
        <f>IF(IFERROR(SEARCH("&gt;",PartList[[#This Row],[ID]]),0),"O",IF(IFERROR(SEARCH("&lt;",PartList[[#This Row],[ID]]),0),"I",""))</f>
        <v>O</v>
      </c>
      <c r="K1277" t="str" cm="1">
        <f t="array" ref="K12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/>
      </c>
      <c r="L1277" t="str" cm="1">
        <f t="array" ref="L127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/>
      </c>
      <c r="M1277" t="str">
        <f>_xlfn.TEXTJOIN("#",TRUE,PartList[[#This Row],[ASSLY MARK]],PartList[[#This Row],[BOX NO]],PartList[[#This Row],[In/Out]],PartList[[#This Row],[O1-Grid]])</f>
        <v>VB90#Box3#O</v>
      </c>
      <c r="N1277" t="str">
        <f>_xlfn.TEXTJOIN("#",TRUE,PartList[[#This Row],[ASSLY MARK]],PartList[[#This Row],[BOX NO]],PartList[[#This Row],[In/Out]],PartList[[#This Row],[O2-Grid]])</f>
        <v>VB90#Box3#O</v>
      </c>
      <c r="O1277">
        <f>IF(PartList[[#This Row],[Unique]]="Yes",_xlfn.XLOOKUP(PartList[[#This Row],[ASSLY MARK]],FilteredPL!A:A,FilteredPL!B:B,0,0),0)</f>
        <v>0</v>
      </c>
      <c r="P1277">
        <f>_xlfn.XLOOKUP(PartList[[#This Row],[ASSLY MARK]],MasterPL[SplitMarkNo],MasterPL[BILL WT.(KG)],0,0)</f>
        <v>0</v>
      </c>
      <c r="Q1277" cm="1">
        <f t="array" ref="Q127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78" spans="1:17" x14ac:dyDescent="0.25">
      <c r="A1278">
        <v>124</v>
      </c>
      <c r="B1278" t="s">
        <v>590</v>
      </c>
      <c r="C1278" t="s">
        <v>591</v>
      </c>
      <c r="D1278" t="s">
        <v>90</v>
      </c>
      <c r="E1278" t="s">
        <v>5</v>
      </c>
      <c r="F1278" t="str" cm="1">
        <f t="array" ref="F1278">IF(SUM(IF(PartList[ASSLY MARK]=PartList[[#This Row],[ASSLY MARK]],1,0))&gt;1,"No","Yes")</f>
        <v>Yes</v>
      </c>
      <c r="G1278" t="str" cm="1">
        <f t="array" ref="G1278">_xlfn.TEXTJOIN("_",TRUE,TRIM(_xlfn.TEXTSPLIT(PartList[[#This Row],[GRID LOCATION]],{"PR01","/","-"})))</f>
        <v>12_13_A"</v>
      </c>
      <c r="H1278" t="str" cm="1">
        <f t="array" ref="H127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278" cm="1">
        <f t="array" ref="I127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78" t="str">
        <f>IF(IFERROR(SEARCH("&gt;",PartList[[#This Row],[ID]]),0),"O",IF(IFERROR(SEARCH("&lt;",PartList[[#This Row],[ID]]),0),"I",""))</f>
        <v/>
      </c>
      <c r="K1278" t="str" cm="1">
        <f t="array" ref="K12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78" t="str" cm="1">
        <f t="array" ref="L127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278" t="str">
        <f>_xlfn.TEXTJOIN("#",TRUE,PartList[[#This Row],[ASSLY MARK]],PartList[[#This Row],[BOX NO]],PartList[[#This Row],[In/Out]],PartList[[#This Row],[O1-Grid]])</f>
        <v>1BE84#Box5#InB</v>
      </c>
      <c r="N1278" t="str">
        <f>_xlfn.TEXTJOIN("#",TRUE,PartList[[#This Row],[ASSLY MARK]],PartList[[#This Row],[BOX NO]],PartList[[#This Row],[In/Out]],PartList[[#This Row],[O2-Grid]])</f>
        <v>1BE84#Box5#12_13_A"</v>
      </c>
      <c r="O1278">
        <f>IF(PartList[[#This Row],[Unique]]="Yes",_xlfn.XLOOKUP(PartList[[#This Row],[ASSLY MARK]],FilteredPL!A:A,FilteredPL!B:B,0,0),0)</f>
        <v>0</v>
      </c>
      <c r="P1278">
        <f>_xlfn.XLOOKUP(PartList[[#This Row],[ASSLY MARK]],MasterPL[SplitMarkNo],MasterPL[BILL WT.(KG)],0,0)</f>
        <v>0</v>
      </c>
      <c r="Q1278" cm="1">
        <f t="array" ref="Q127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79" spans="1:17" x14ac:dyDescent="0.25">
      <c r="A1279">
        <v>132</v>
      </c>
      <c r="B1279" t="s">
        <v>603</v>
      </c>
      <c r="C1279" t="s">
        <v>604</v>
      </c>
      <c r="D1279" t="s">
        <v>595</v>
      </c>
      <c r="E1279" t="s">
        <v>5</v>
      </c>
      <c r="F1279" t="str" cm="1">
        <f t="array" ref="F1279">IF(SUM(IF(PartList[ASSLY MARK]=PartList[[#This Row],[ASSLY MARK]],1,0))&gt;1,"No","Yes")</f>
        <v>Yes</v>
      </c>
      <c r="G1279" t="str" cm="1">
        <f t="array" ref="G1279">_xlfn.TEXTJOIN("_",TRUE,TRIM(_xlfn.TEXTSPLIT(PartList[[#This Row],[GRID LOCATION]],{"PR01","/","-"})))</f>
        <v>13_14_A"</v>
      </c>
      <c r="H1279" t="str" cm="1">
        <f t="array" ref="H127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279" cm="1">
        <f t="array" ref="I127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79" t="str">
        <f>IF(IFERROR(SEARCH("&gt;",PartList[[#This Row],[ID]]),0),"O",IF(IFERROR(SEARCH("&lt;",PartList[[#This Row],[ID]]),0),"I",""))</f>
        <v/>
      </c>
      <c r="K1279" t="str" cm="1">
        <f t="array" ref="K12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79" t="str" cm="1">
        <f t="array" ref="L127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79" t="str">
        <f>_xlfn.TEXTJOIN("#",TRUE,PartList[[#This Row],[ASSLY MARK]],PartList[[#This Row],[BOX NO]],PartList[[#This Row],[In/Out]],PartList[[#This Row],[O1-Grid]])</f>
        <v>1BE91#Box5_Box6#InBB</v>
      </c>
      <c r="N1279" t="str">
        <f>_xlfn.TEXTJOIN("#",TRUE,PartList[[#This Row],[ASSLY MARK]],PartList[[#This Row],[BOX NO]],PartList[[#This Row],[In/Out]],PartList[[#This Row],[O2-Grid]])</f>
        <v>1BE91#Box5_Box6#InBB</v>
      </c>
      <c r="O1279">
        <f>IF(PartList[[#This Row],[Unique]]="Yes",_xlfn.XLOOKUP(PartList[[#This Row],[ASSLY MARK]],FilteredPL!A:A,FilteredPL!B:B,0,0),0)</f>
        <v>0</v>
      </c>
      <c r="P1279">
        <f>_xlfn.XLOOKUP(PartList[[#This Row],[ASSLY MARK]],MasterPL[SplitMarkNo],MasterPL[BILL WT.(KG)],0,0)</f>
        <v>0</v>
      </c>
      <c r="Q1279" cm="1">
        <f t="array" ref="Q127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80" spans="1:17" x14ac:dyDescent="0.25">
      <c r="A1280">
        <v>133</v>
      </c>
      <c r="B1280" t="s">
        <v>605</v>
      </c>
      <c r="C1280" t="s">
        <v>604</v>
      </c>
      <c r="D1280" t="s">
        <v>606</v>
      </c>
      <c r="E1280" t="s">
        <v>5</v>
      </c>
      <c r="F1280" t="str" cm="1">
        <f t="array" ref="F1280">IF(SUM(IF(PartList[ASSLY MARK]=PartList[[#This Row],[ASSLY MARK]],1,0))&gt;1,"No","Yes")</f>
        <v>Yes</v>
      </c>
      <c r="G1280" t="str" cm="1">
        <f t="array" ref="G1280">_xlfn.TEXTJOIN("_",TRUE,TRIM(_xlfn.TEXTSPLIT(PartList[[#This Row],[GRID LOCATION]],{"PR01","/","-"})))</f>
        <v>13_14_A"</v>
      </c>
      <c r="H1280" t="str" cm="1">
        <f t="array" ref="H128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280" cm="1">
        <f t="array" ref="I128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80" t="str">
        <f>IF(IFERROR(SEARCH("&gt;",PartList[[#This Row],[ID]]),0),"O",IF(IFERROR(SEARCH("&lt;",PartList[[#This Row],[ID]]),0),"I",""))</f>
        <v/>
      </c>
      <c r="K1280" t="str" cm="1">
        <f t="array" ref="K12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80" t="str" cm="1">
        <f t="array" ref="L128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80" t="str">
        <f>_xlfn.TEXTJOIN("#",TRUE,PartList[[#This Row],[ASSLY MARK]],PartList[[#This Row],[BOX NO]],PartList[[#This Row],[In/Out]],PartList[[#This Row],[O1-Grid]])</f>
        <v>1BE92#Box5_Box6#InBB</v>
      </c>
      <c r="N1280" t="str">
        <f>_xlfn.TEXTJOIN("#",TRUE,PartList[[#This Row],[ASSLY MARK]],PartList[[#This Row],[BOX NO]],PartList[[#This Row],[In/Out]],PartList[[#This Row],[O2-Grid]])</f>
        <v>1BE92#Box5_Box6#InBB</v>
      </c>
      <c r="O1280">
        <f>IF(PartList[[#This Row],[Unique]]="Yes",_xlfn.XLOOKUP(PartList[[#This Row],[ASSLY MARK]],FilteredPL!A:A,FilteredPL!B:B,0,0),0)</f>
        <v>0</v>
      </c>
      <c r="P1280">
        <f>_xlfn.XLOOKUP(PartList[[#This Row],[ASSLY MARK]],MasterPL[SplitMarkNo],MasterPL[BILL WT.(KG)],0,0)</f>
        <v>0</v>
      </c>
      <c r="Q1280" cm="1">
        <f t="array" ref="Q128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81" spans="1:17" x14ac:dyDescent="0.25">
      <c r="A1281">
        <v>134</v>
      </c>
      <c r="B1281" t="s">
        <v>607</v>
      </c>
      <c r="C1281" t="s">
        <v>604</v>
      </c>
      <c r="D1281" t="s">
        <v>90</v>
      </c>
      <c r="E1281" t="s">
        <v>5</v>
      </c>
      <c r="F1281" t="str" cm="1">
        <f t="array" ref="F1281">IF(SUM(IF(PartList[ASSLY MARK]=PartList[[#This Row],[ASSLY MARK]],1,0))&gt;1,"No","Yes")</f>
        <v>Yes</v>
      </c>
      <c r="G1281" t="str" cm="1">
        <f t="array" ref="G1281">_xlfn.TEXTJOIN("_",TRUE,TRIM(_xlfn.TEXTSPLIT(PartList[[#This Row],[GRID LOCATION]],{"PR01","/","-"})))</f>
        <v>13_14_A"</v>
      </c>
      <c r="H1281" t="str" cm="1">
        <f t="array" ref="H128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281" cm="1">
        <f t="array" ref="I128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81" t="str">
        <f>IF(IFERROR(SEARCH("&gt;",PartList[[#This Row],[ID]]),0),"O",IF(IFERROR(SEARCH("&lt;",PartList[[#This Row],[ID]]),0),"I",""))</f>
        <v/>
      </c>
      <c r="K1281" t="str" cm="1">
        <f t="array" ref="K12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81" t="str" cm="1">
        <f t="array" ref="L128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81" t="str">
        <f>_xlfn.TEXTJOIN("#",TRUE,PartList[[#This Row],[ASSLY MARK]],PartList[[#This Row],[BOX NO]],PartList[[#This Row],[In/Out]],PartList[[#This Row],[O1-Grid]])</f>
        <v>1BE93#Box5_Box6#InBB</v>
      </c>
      <c r="N1281" t="str">
        <f>_xlfn.TEXTJOIN("#",TRUE,PartList[[#This Row],[ASSLY MARK]],PartList[[#This Row],[BOX NO]],PartList[[#This Row],[In/Out]],PartList[[#This Row],[O2-Grid]])</f>
        <v>1BE93#Box5_Box6#InBB</v>
      </c>
      <c r="O1281">
        <f>IF(PartList[[#This Row],[Unique]]="Yes",_xlfn.XLOOKUP(PartList[[#This Row],[ASSLY MARK]],FilteredPL!A:A,FilteredPL!B:B,0,0),0)</f>
        <v>0</v>
      </c>
      <c r="P1281">
        <f>_xlfn.XLOOKUP(PartList[[#This Row],[ASSLY MARK]],MasterPL[SplitMarkNo],MasterPL[BILL WT.(KG)],0,0)</f>
        <v>0</v>
      </c>
      <c r="Q1281" cm="1">
        <f t="array" ref="Q128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82" spans="1:17" x14ac:dyDescent="0.25">
      <c r="A1282">
        <v>266</v>
      </c>
      <c r="B1282" t="s">
        <v>679</v>
      </c>
      <c r="C1282" t="s">
        <v>604</v>
      </c>
      <c r="D1282" t="s">
        <v>680</v>
      </c>
      <c r="E1282" t="s">
        <v>5</v>
      </c>
      <c r="F1282" t="str" cm="1">
        <f t="array" ref="F1282">IF(SUM(IF(PartList[ASSLY MARK]=PartList[[#This Row],[ASSLY MARK]],1,0))&gt;1,"No","Yes")</f>
        <v>Yes</v>
      </c>
      <c r="G1282" t="str" cm="1">
        <f t="array" ref="G1282">_xlfn.TEXTJOIN("_",TRUE,TRIM(_xlfn.TEXTSPLIT(PartList[[#This Row],[GRID LOCATION]],{"PR01","/","-"})))</f>
        <v>13_14_A"</v>
      </c>
      <c r="H1282" t="str" cm="1">
        <f t="array" ref="H128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282" cm="1">
        <f t="array" ref="I128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82" t="str">
        <f>IF(IFERROR(SEARCH("&gt;",PartList[[#This Row],[ID]]),0),"O",IF(IFERROR(SEARCH("&lt;",PartList[[#This Row],[ID]]),0),"I",""))</f>
        <v/>
      </c>
      <c r="K1282" t="str" cm="1">
        <f t="array" ref="K12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82" t="str" cm="1">
        <f t="array" ref="L128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82" t="str">
        <f>_xlfn.TEXTJOIN("#",TRUE,PartList[[#This Row],[ASSLY MARK]],PartList[[#This Row],[BOX NO]],PartList[[#This Row],[In/Out]],PartList[[#This Row],[O1-Grid]])</f>
        <v>2BE48#Box5_Box6#InBB</v>
      </c>
      <c r="N1282" t="str">
        <f>_xlfn.TEXTJOIN("#",TRUE,PartList[[#This Row],[ASSLY MARK]],PartList[[#This Row],[BOX NO]],PartList[[#This Row],[In/Out]],PartList[[#This Row],[O2-Grid]])</f>
        <v>2BE48#Box5_Box6#InBB</v>
      </c>
      <c r="O1282">
        <f>IF(PartList[[#This Row],[Unique]]="Yes",_xlfn.XLOOKUP(PartList[[#This Row],[ASSLY MARK]],FilteredPL!A:A,FilteredPL!B:B,0,0),0)</f>
        <v>0</v>
      </c>
      <c r="P1282">
        <f>_xlfn.XLOOKUP(PartList[[#This Row],[ASSLY MARK]],MasterPL[SplitMarkNo],MasterPL[BILL WT.(KG)],0,0)</f>
        <v>0</v>
      </c>
      <c r="Q1282" cm="1">
        <f t="array" ref="Q128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83" spans="1:17" x14ac:dyDescent="0.25">
      <c r="A1283">
        <v>267</v>
      </c>
      <c r="B1283" t="s">
        <v>681</v>
      </c>
      <c r="C1283" t="s">
        <v>604</v>
      </c>
      <c r="D1283" t="s">
        <v>649</v>
      </c>
      <c r="E1283" t="s">
        <v>5</v>
      </c>
      <c r="F1283" t="str" cm="1">
        <f t="array" ref="F1283">IF(SUM(IF(PartList[ASSLY MARK]=PartList[[#This Row],[ASSLY MARK]],1,0))&gt;1,"No","Yes")</f>
        <v>Yes</v>
      </c>
      <c r="G1283" t="str" cm="1">
        <f t="array" ref="G1283">_xlfn.TEXTJOIN("_",TRUE,TRIM(_xlfn.TEXTSPLIT(PartList[[#This Row],[GRID LOCATION]],{"PR01","/","-"})))</f>
        <v>13_14_A"</v>
      </c>
      <c r="H1283" t="str" cm="1">
        <f t="array" ref="H128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283" cm="1">
        <f t="array" ref="I128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83" t="str">
        <f>IF(IFERROR(SEARCH("&gt;",PartList[[#This Row],[ID]]),0),"O",IF(IFERROR(SEARCH("&lt;",PartList[[#This Row],[ID]]),0),"I",""))</f>
        <v/>
      </c>
      <c r="K1283" t="str" cm="1">
        <f t="array" ref="K12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83" t="str" cm="1">
        <f t="array" ref="L128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83" t="str">
        <f>_xlfn.TEXTJOIN("#",TRUE,PartList[[#This Row],[ASSLY MARK]],PartList[[#This Row],[BOX NO]],PartList[[#This Row],[In/Out]],PartList[[#This Row],[O1-Grid]])</f>
        <v>2BE49#Box5_Box6#InBB</v>
      </c>
      <c r="N1283" t="str">
        <f>_xlfn.TEXTJOIN("#",TRUE,PartList[[#This Row],[ASSLY MARK]],PartList[[#This Row],[BOX NO]],PartList[[#This Row],[In/Out]],PartList[[#This Row],[O2-Grid]])</f>
        <v>2BE49#Box5_Box6#InBB</v>
      </c>
      <c r="O1283">
        <f>IF(PartList[[#This Row],[Unique]]="Yes",_xlfn.XLOOKUP(PartList[[#This Row],[ASSLY MARK]],FilteredPL!A:A,FilteredPL!B:B,0,0),0)</f>
        <v>0</v>
      </c>
      <c r="P1283">
        <f>_xlfn.XLOOKUP(PartList[[#This Row],[ASSLY MARK]],MasterPL[SplitMarkNo],MasterPL[BILL WT.(KG)],0,0)</f>
        <v>0</v>
      </c>
      <c r="Q1283" cm="1">
        <f t="array" ref="Q128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84" spans="1:17" x14ac:dyDescent="0.25">
      <c r="A1284">
        <v>412</v>
      </c>
      <c r="B1284" t="s">
        <v>264</v>
      </c>
      <c r="C1284" t="s">
        <v>604</v>
      </c>
      <c r="D1284" t="s">
        <v>728</v>
      </c>
      <c r="E1284" t="s">
        <v>5</v>
      </c>
      <c r="F1284" t="str" cm="1">
        <f t="array" ref="F1284">IF(SUM(IF(PartList[ASSLY MARK]=PartList[[#This Row],[ASSLY MARK]],1,0))&gt;1,"No","Yes")</f>
        <v>Yes</v>
      </c>
      <c r="G1284" t="str" cm="1">
        <f t="array" ref="G1284">_xlfn.TEXTJOIN("_",TRUE,TRIM(_xlfn.TEXTSPLIT(PartList[[#This Row],[GRID LOCATION]],{"PR01","/","-"})))</f>
        <v>13_14_A"</v>
      </c>
      <c r="H1284" t="str" cm="1">
        <f t="array" ref="H128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284" cm="1">
        <f t="array" ref="I128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84" t="str">
        <f>IF(IFERROR(SEARCH("&gt;",PartList[[#This Row],[ID]]),0),"O",IF(IFERROR(SEARCH("&lt;",PartList[[#This Row],[ID]]),0),"I",""))</f>
        <v/>
      </c>
      <c r="K1284" t="str" cm="1">
        <f t="array" ref="K12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84" t="str" cm="1">
        <f t="array" ref="L128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84" t="str">
        <f>_xlfn.TEXTJOIN("#",TRUE,PartList[[#This Row],[ASSLY MARK]],PartList[[#This Row],[BOX NO]],PartList[[#This Row],[In/Out]],PartList[[#This Row],[O1-Grid]])</f>
        <v>3BE54#Box5_Box6#InBB</v>
      </c>
      <c r="N1284" t="str">
        <f>_xlfn.TEXTJOIN("#",TRUE,PartList[[#This Row],[ASSLY MARK]],PartList[[#This Row],[BOX NO]],PartList[[#This Row],[In/Out]],PartList[[#This Row],[O2-Grid]])</f>
        <v>3BE54#Box5_Box6#InBB</v>
      </c>
      <c r="O1284">
        <f>IF(PartList[[#This Row],[Unique]]="Yes",_xlfn.XLOOKUP(PartList[[#This Row],[ASSLY MARK]],FilteredPL!A:A,FilteredPL!B:B,0,0),0)</f>
        <v>0</v>
      </c>
      <c r="P1284">
        <f>_xlfn.XLOOKUP(PartList[[#This Row],[ASSLY MARK]],MasterPL[SplitMarkNo],MasterPL[BILL WT.(KG)],0,0)</f>
        <v>0</v>
      </c>
      <c r="Q1284" cm="1">
        <f t="array" ref="Q128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85" spans="1:17" x14ac:dyDescent="0.25">
      <c r="A1285">
        <v>508</v>
      </c>
      <c r="B1285" t="s">
        <v>763</v>
      </c>
      <c r="C1285" t="s">
        <v>591</v>
      </c>
      <c r="D1285" t="s">
        <v>307</v>
      </c>
      <c r="E1285" t="s">
        <v>5</v>
      </c>
      <c r="F1285" t="str" cm="1">
        <f t="array" ref="F1285">IF(SUM(IF(PartList[ASSLY MARK]=PartList[[#This Row],[ASSLY MARK]],1,0))&gt;1,"No","Yes")</f>
        <v>Yes</v>
      </c>
      <c r="G1285" t="str" cm="1">
        <f t="array" ref="G1285">_xlfn.TEXTJOIN("_",TRUE,TRIM(_xlfn.TEXTSPLIT(PartList[[#This Row],[GRID LOCATION]],{"PR01","/","-"})))</f>
        <v>12_13_A"</v>
      </c>
      <c r="H1285" t="str" cm="1">
        <f t="array" ref="H128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285" cm="1">
        <f t="array" ref="I128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85" t="str">
        <f>IF(IFERROR(SEARCH("&gt;",PartList[[#This Row],[ID]]),0),"O",IF(IFERROR(SEARCH("&lt;",PartList[[#This Row],[ID]]),0),"I",""))</f>
        <v/>
      </c>
      <c r="K1285" t="str" cm="1">
        <f t="array" ref="K12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285" t="str" cm="1">
        <f t="array" ref="L128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285" t="str">
        <f>_xlfn.TEXTJOIN("#",TRUE,PartList[[#This Row],[ASSLY MARK]],PartList[[#This Row],[BOX NO]],PartList[[#This Row],[In/Out]],PartList[[#This Row],[O1-Grid]])</f>
        <v>4BE28#Box5#InB</v>
      </c>
      <c r="N1285" t="str">
        <f>_xlfn.TEXTJOIN("#",TRUE,PartList[[#This Row],[ASSLY MARK]],PartList[[#This Row],[BOX NO]],PartList[[#This Row],[In/Out]],PartList[[#This Row],[O2-Grid]])</f>
        <v>4BE28#Box5#12_13_A"</v>
      </c>
      <c r="O1285">
        <f>IF(PartList[[#This Row],[Unique]]="Yes",_xlfn.XLOOKUP(PartList[[#This Row],[ASSLY MARK]],FilteredPL!A:A,FilteredPL!B:B,0,0),0)</f>
        <v>0</v>
      </c>
      <c r="P1285">
        <f>_xlfn.XLOOKUP(PartList[[#This Row],[ASSLY MARK]],MasterPL[SplitMarkNo],MasterPL[BILL WT.(KG)],0,0)</f>
        <v>0</v>
      </c>
      <c r="Q1285" cm="1">
        <f t="array" ref="Q128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86" spans="1:17" x14ac:dyDescent="0.25">
      <c r="A1286">
        <v>521</v>
      </c>
      <c r="B1286" t="s">
        <v>776</v>
      </c>
      <c r="C1286" t="s">
        <v>604</v>
      </c>
      <c r="D1286" t="s">
        <v>307</v>
      </c>
      <c r="E1286" t="s">
        <v>5</v>
      </c>
      <c r="F1286" t="str" cm="1">
        <f t="array" ref="F1286">IF(SUM(IF(PartList[ASSLY MARK]=PartList[[#This Row],[ASSLY MARK]],1,0))&gt;1,"No","Yes")</f>
        <v>Yes</v>
      </c>
      <c r="G1286" t="str" cm="1">
        <f t="array" ref="G1286">_xlfn.TEXTJOIN("_",TRUE,TRIM(_xlfn.TEXTSPLIT(PartList[[#This Row],[GRID LOCATION]],{"PR01","/","-"})))</f>
        <v>13_14_A"</v>
      </c>
      <c r="H1286" t="str" cm="1">
        <f t="array" ref="H128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286" cm="1">
        <f t="array" ref="I128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86" t="str">
        <f>IF(IFERROR(SEARCH("&gt;",PartList[[#This Row],[ID]]),0),"O",IF(IFERROR(SEARCH("&lt;",PartList[[#This Row],[ID]]),0),"I",""))</f>
        <v/>
      </c>
      <c r="K1286" t="str" cm="1">
        <f t="array" ref="K12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86" t="str" cm="1">
        <f t="array" ref="L128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86" t="str">
        <f>_xlfn.TEXTJOIN("#",TRUE,PartList[[#This Row],[ASSLY MARK]],PartList[[#This Row],[BOX NO]],PartList[[#This Row],[In/Out]],PartList[[#This Row],[O1-Grid]])</f>
        <v>4BE41#Box5_Box6#InBB</v>
      </c>
      <c r="N1286" t="str">
        <f>_xlfn.TEXTJOIN("#",TRUE,PartList[[#This Row],[ASSLY MARK]],PartList[[#This Row],[BOX NO]],PartList[[#This Row],[In/Out]],PartList[[#This Row],[O2-Grid]])</f>
        <v>4BE41#Box5_Box6#InBB</v>
      </c>
      <c r="O1286">
        <f>IF(PartList[[#This Row],[Unique]]="Yes",_xlfn.XLOOKUP(PartList[[#This Row],[ASSLY MARK]],FilteredPL!A:A,FilteredPL!B:B,0,0),0)</f>
        <v>0</v>
      </c>
      <c r="P1286">
        <f>_xlfn.XLOOKUP(PartList[[#This Row],[ASSLY MARK]],MasterPL[SplitMarkNo],MasterPL[BILL WT.(KG)],0,0)</f>
        <v>0</v>
      </c>
      <c r="Q1286" cm="1">
        <f t="array" ref="Q128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87" spans="1:17" x14ac:dyDescent="0.25">
      <c r="A1287">
        <v>776</v>
      </c>
      <c r="B1287" t="s">
        <v>952</v>
      </c>
      <c r="C1287" t="s">
        <v>604</v>
      </c>
      <c r="D1287" t="s">
        <v>353</v>
      </c>
      <c r="E1287" t="s">
        <v>5</v>
      </c>
      <c r="F1287" t="str" cm="1">
        <f t="array" ref="F1287">IF(SUM(IF(PartList[ASSLY MARK]=PartList[[#This Row],[ASSLY MARK]],1,0))&gt;1,"No","Yes")</f>
        <v>Yes</v>
      </c>
      <c r="G1287" t="str" cm="1">
        <f t="array" ref="G1287">_xlfn.TEXTJOIN("_",TRUE,TRIM(_xlfn.TEXTSPLIT(PartList[[#This Row],[GRID LOCATION]],{"PR01","/","-"})))</f>
        <v>13_14_A"</v>
      </c>
      <c r="H1287" t="str" cm="1">
        <f t="array" ref="H128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287" cm="1">
        <f t="array" ref="I128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87" t="str">
        <f>IF(IFERROR(SEARCH("&gt;",PartList[[#This Row],[ID]]),0),"O",IF(IFERROR(SEARCH("&lt;",PartList[[#This Row],[ID]]),0),"I",""))</f>
        <v/>
      </c>
      <c r="K1287" t="str" cm="1">
        <f t="array" ref="K12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87" t="str" cm="1">
        <f t="array" ref="L128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87" t="str">
        <f>_xlfn.TEXTJOIN("#",TRUE,PartList[[#This Row],[ASSLY MARK]],PartList[[#This Row],[BOX NO]],PartList[[#This Row],[In/Out]],PartList[[#This Row],[O1-Grid]])</f>
        <v>6BE70#Box5_Box6#InBB</v>
      </c>
      <c r="N1287" t="str">
        <f>_xlfn.TEXTJOIN("#",TRUE,PartList[[#This Row],[ASSLY MARK]],PartList[[#This Row],[BOX NO]],PartList[[#This Row],[In/Out]],PartList[[#This Row],[O2-Grid]])</f>
        <v>6BE70#Box5_Box6#InBB</v>
      </c>
      <c r="O1287">
        <f>IF(PartList[[#This Row],[Unique]]="Yes",_xlfn.XLOOKUP(PartList[[#This Row],[ASSLY MARK]],FilteredPL!A:A,FilteredPL!B:B,0,0),0)</f>
        <v>0</v>
      </c>
      <c r="P1287">
        <f>_xlfn.XLOOKUP(PartList[[#This Row],[ASSLY MARK]],MasterPL[SplitMarkNo],MasterPL[BILL WT.(KG)],0,0)</f>
        <v>0</v>
      </c>
      <c r="Q1287" cm="1">
        <f t="array" ref="Q128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88" spans="1:17" x14ac:dyDescent="0.25">
      <c r="A1288">
        <v>777</v>
      </c>
      <c r="B1288" t="s">
        <v>953</v>
      </c>
      <c r="C1288" t="s">
        <v>604</v>
      </c>
      <c r="D1288" t="s">
        <v>378</v>
      </c>
      <c r="E1288" t="s">
        <v>5</v>
      </c>
      <c r="F1288" t="str" cm="1">
        <f t="array" ref="F1288">IF(SUM(IF(PartList[ASSLY MARK]=PartList[[#This Row],[ASSLY MARK]],1,0))&gt;1,"No","Yes")</f>
        <v>Yes</v>
      </c>
      <c r="G1288" t="str" cm="1">
        <f t="array" ref="G1288">_xlfn.TEXTJOIN("_",TRUE,TRIM(_xlfn.TEXTSPLIT(PartList[[#This Row],[GRID LOCATION]],{"PR01","/","-"})))</f>
        <v>13_14_A"</v>
      </c>
      <c r="H1288" t="str" cm="1">
        <f t="array" ref="H128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288" cm="1">
        <f t="array" ref="I128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88" t="str">
        <f>IF(IFERROR(SEARCH("&gt;",PartList[[#This Row],[ID]]),0),"O",IF(IFERROR(SEARCH("&lt;",PartList[[#This Row],[ID]]),0),"I",""))</f>
        <v/>
      </c>
      <c r="K1288" t="str" cm="1">
        <f t="array" ref="K12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288" t="str" cm="1">
        <f t="array" ref="L128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288" t="str">
        <f>_xlfn.TEXTJOIN("#",TRUE,PartList[[#This Row],[ASSLY MARK]],PartList[[#This Row],[BOX NO]],PartList[[#This Row],[In/Out]],PartList[[#This Row],[O1-Grid]])</f>
        <v>6BE71#Box5_Box6#InBB</v>
      </c>
      <c r="N1288" t="str">
        <f>_xlfn.TEXTJOIN("#",TRUE,PartList[[#This Row],[ASSLY MARK]],PartList[[#This Row],[BOX NO]],PartList[[#This Row],[In/Out]],PartList[[#This Row],[O2-Grid]])</f>
        <v>6BE71#Box5_Box6#InBB</v>
      </c>
      <c r="O1288">
        <f>IF(PartList[[#This Row],[Unique]]="Yes",_xlfn.XLOOKUP(PartList[[#This Row],[ASSLY MARK]],FilteredPL!A:A,FilteredPL!B:B,0,0),0)</f>
        <v>0</v>
      </c>
      <c r="P1288">
        <f>_xlfn.XLOOKUP(PartList[[#This Row],[ASSLY MARK]],MasterPL[SplitMarkNo],MasterPL[BILL WT.(KG)],0,0)</f>
        <v>0</v>
      </c>
      <c r="Q1288" cm="1">
        <f t="array" ref="Q128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89" spans="1:17" x14ac:dyDescent="0.25">
      <c r="A1289">
        <v>915</v>
      </c>
      <c r="B1289" t="s">
        <v>1065</v>
      </c>
      <c r="C1289" t="s">
        <v>1066</v>
      </c>
      <c r="D1289" t="s">
        <v>1043</v>
      </c>
      <c r="E1289" t="s">
        <v>7</v>
      </c>
      <c r="F1289" t="str" cm="1">
        <f t="array" ref="F1289">IF(SUM(IF(PartList[ASSLY MARK]=PartList[[#This Row],[ASSLY MARK]],1,0))&gt;1,"No","Yes")</f>
        <v>Yes</v>
      </c>
      <c r="G1289" t="str" cm="1">
        <f t="array" ref="G1289">_xlfn.TEXTJOIN("_",TRUE,TRIM(_xlfn.TEXTSPLIT(PartList[[#This Row],[GRID LOCATION]],{"PR01","/","-"})))</f>
        <v>13_A"</v>
      </c>
      <c r="H1289" t="str" cm="1">
        <f t="array" ref="H128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289" cm="1">
        <f t="array" ref="I128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89" t="str">
        <f>IF(IFERROR(SEARCH("&gt;",PartList[[#This Row],[ID]]),0),"O",IF(IFERROR(SEARCH("&lt;",PartList[[#This Row],[ID]]),0),"I",""))</f>
        <v/>
      </c>
      <c r="K1289" t="str" cm="1">
        <f t="array" ref="K12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289" t="str" cm="1">
        <f t="array" ref="L128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289" t="str">
        <f>_xlfn.TEXTJOIN("#",TRUE,PartList[[#This Row],[ASSLY MARK]],PartList[[#This Row],[BOX NO]],PartList[[#This Row],[In/Out]],PartList[[#This Row],[O1-Grid]])</f>
        <v>C26#Box5#13_A'_A"</v>
      </c>
      <c r="N1289" t="str">
        <f>_xlfn.TEXTJOIN("#",TRUE,PartList[[#This Row],[ASSLY MARK]],PartList[[#This Row],[BOX NO]],PartList[[#This Row],[In/Out]],PartList[[#This Row],[O2-Grid]])</f>
        <v>C26#Box5#12_13_A"</v>
      </c>
      <c r="O1289">
        <f>IF(PartList[[#This Row],[Unique]]="Yes",_xlfn.XLOOKUP(PartList[[#This Row],[ASSLY MARK]],FilteredPL!A:A,FilteredPL!B:B,0,0),0)</f>
        <v>0</v>
      </c>
      <c r="P1289">
        <f>_xlfn.XLOOKUP(PartList[[#This Row],[ASSLY MARK]],MasterPL[SplitMarkNo],MasterPL[BILL WT.(KG)],0,0)</f>
        <v>0</v>
      </c>
      <c r="Q1289" cm="1">
        <f t="array" ref="Q128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90" spans="1:17" x14ac:dyDescent="0.25">
      <c r="A1290">
        <v>916</v>
      </c>
      <c r="B1290" t="s">
        <v>1067</v>
      </c>
      <c r="C1290" t="s">
        <v>1066</v>
      </c>
      <c r="D1290" t="s">
        <v>1044</v>
      </c>
      <c r="E1290" t="s">
        <v>7</v>
      </c>
      <c r="F1290" t="str" cm="1">
        <f t="array" ref="F1290">IF(SUM(IF(PartList[ASSLY MARK]=PartList[[#This Row],[ASSLY MARK]],1,0))&gt;1,"No","Yes")</f>
        <v>Yes</v>
      </c>
      <c r="G1290" t="str" cm="1">
        <f t="array" ref="G1290">_xlfn.TEXTJOIN("_",TRUE,TRIM(_xlfn.TEXTSPLIT(PartList[[#This Row],[GRID LOCATION]],{"PR01","/","-"})))</f>
        <v>13_A"</v>
      </c>
      <c r="H1290" t="str" cm="1">
        <f t="array" ref="H129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290" cm="1">
        <f t="array" ref="I129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90" t="str">
        <f>IF(IFERROR(SEARCH("&gt;",PartList[[#This Row],[ID]]),0),"O",IF(IFERROR(SEARCH("&lt;",PartList[[#This Row],[ID]]),0),"I",""))</f>
        <v/>
      </c>
      <c r="K1290" t="str" cm="1">
        <f t="array" ref="K12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290" t="str" cm="1">
        <f t="array" ref="L129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290" t="str">
        <f>_xlfn.TEXTJOIN("#",TRUE,PartList[[#This Row],[ASSLY MARK]],PartList[[#This Row],[BOX NO]],PartList[[#This Row],[In/Out]],PartList[[#This Row],[O1-Grid]])</f>
        <v>C27#Box5#13_A'_A"</v>
      </c>
      <c r="N1290" t="str">
        <f>_xlfn.TEXTJOIN("#",TRUE,PartList[[#This Row],[ASSLY MARK]],PartList[[#This Row],[BOX NO]],PartList[[#This Row],[In/Out]],PartList[[#This Row],[O2-Grid]])</f>
        <v>C27#Box5#12_13_A"</v>
      </c>
      <c r="O1290">
        <f>IF(PartList[[#This Row],[Unique]]="Yes",_xlfn.XLOOKUP(PartList[[#This Row],[ASSLY MARK]],FilteredPL!A:A,FilteredPL!B:B,0,0),0)</f>
        <v>0</v>
      </c>
      <c r="P1290">
        <f>_xlfn.XLOOKUP(PartList[[#This Row],[ASSLY MARK]],MasterPL[SplitMarkNo],MasterPL[BILL WT.(KG)],0,0)</f>
        <v>0</v>
      </c>
      <c r="Q1290" cm="1">
        <f t="array" ref="Q129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91" spans="1:17" x14ac:dyDescent="0.25">
      <c r="A1291">
        <v>923</v>
      </c>
      <c r="B1291" t="s">
        <v>1079</v>
      </c>
      <c r="C1291" t="s">
        <v>1066</v>
      </c>
      <c r="D1291" t="s">
        <v>1080</v>
      </c>
      <c r="E1291" t="s">
        <v>7</v>
      </c>
      <c r="F1291" t="str" cm="1">
        <f t="array" ref="F1291">IF(SUM(IF(PartList[ASSLY MARK]=PartList[[#This Row],[ASSLY MARK]],1,0))&gt;1,"No","Yes")</f>
        <v>Yes</v>
      </c>
      <c r="G1291" t="str" cm="1">
        <f t="array" ref="G1291">_xlfn.TEXTJOIN("_",TRUE,TRIM(_xlfn.TEXTSPLIT(PartList[[#This Row],[GRID LOCATION]],{"PR01","/","-"})))</f>
        <v>13_A"</v>
      </c>
      <c r="H1291" t="str" cm="1">
        <f t="array" ref="H129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291" cm="1">
        <f t="array" ref="I129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91" t="str">
        <f>IF(IFERROR(SEARCH("&gt;",PartList[[#This Row],[ID]]),0),"O",IF(IFERROR(SEARCH("&lt;",PartList[[#This Row],[ID]]),0),"I",""))</f>
        <v/>
      </c>
      <c r="K1291" t="str" cm="1">
        <f t="array" ref="K12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291" t="str" cm="1">
        <f t="array" ref="L129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291" t="str">
        <f>_xlfn.TEXTJOIN("#",TRUE,PartList[[#This Row],[ASSLY MARK]],PartList[[#This Row],[BOX NO]],PartList[[#This Row],[In/Out]],PartList[[#This Row],[O1-Grid]])</f>
        <v>C34#Box5#13_A'_A"</v>
      </c>
      <c r="N1291" t="str">
        <f>_xlfn.TEXTJOIN("#",TRUE,PartList[[#This Row],[ASSLY MARK]],PartList[[#This Row],[BOX NO]],PartList[[#This Row],[In/Out]],PartList[[#This Row],[O2-Grid]])</f>
        <v>C34#Box5#12_13_A"</v>
      </c>
      <c r="O1291">
        <f>IF(PartList[[#This Row],[Unique]]="Yes",_xlfn.XLOOKUP(PartList[[#This Row],[ASSLY MARK]],FilteredPL!A:A,FilteredPL!B:B,0,0),0)</f>
        <v>0</v>
      </c>
      <c r="P1291">
        <f>_xlfn.XLOOKUP(PartList[[#This Row],[ASSLY MARK]],MasterPL[SplitMarkNo],MasterPL[BILL WT.(KG)],0,0)</f>
        <v>0</v>
      </c>
      <c r="Q1291" cm="1">
        <f t="array" ref="Q129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92" spans="1:17" x14ac:dyDescent="0.25">
      <c r="A1292">
        <v>1103</v>
      </c>
      <c r="B1292" t="s">
        <v>1099</v>
      </c>
      <c r="C1292" t="s">
        <v>1066</v>
      </c>
      <c r="D1292" t="s">
        <v>1101</v>
      </c>
      <c r="E1292" t="s">
        <v>1086</v>
      </c>
      <c r="F1292" t="str" cm="1">
        <f t="array" ref="F1292">IF(SUM(IF(PartList[ASSLY MARK]=PartList[[#This Row],[ASSLY MARK]],1,0))&gt;1,"No","Yes")</f>
        <v>No</v>
      </c>
      <c r="G1292" t="str" cm="1">
        <f t="array" ref="G1292">_xlfn.TEXTJOIN("_",TRUE,TRIM(_xlfn.TEXTSPLIT(PartList[[#This Row],[GRID LOCATION]],{"PR01","/","-"})))</f>
        <v>13_A"</v>
      </c>
      <c r="H1292" t="str" cm="1">
        <f t="array" ref="H129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292" cm="1">
        <f t="array" ref="I129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92" t="str">
        <f>IF(IFERROR(SEARCH("&gt;",PartList[[#This Row],[ID]]),0),"O",IF(IFERROR(SEARCH("&lt;",PartList[[#This Row],[ID]]),0),"I",""))</f>
        <v/>
      </c>
      <c r="K1292" t="str" cm="1">
        <f t="array" ref="K12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292" t="str" cm="1">
        <f t="array" ref="L129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292" t="str">
        <f>_xlfn.TEXTJOIN("#",TRUE,PartList[[#This Row],[ASSLY MARK]],PartList[[#This Row],[BOX NO]],PartList[[#This Row],[In/Out]],PartList[[#This Row],[O1-Grid]])</f>
        <v>SF09#Box5#13_A'_A"</v>
      </c>
      <c r="N1292" t="str">
        <f>_xlfn.TEXTJOIN("#",TRUE,PartList[[#This Row],[ASSLY MARK]],PartList[[#This Row],[BOX NO]],PartList[[#This Row],[In/Out]],PartList[[#This Row],[O2-Grid]])</f>
        <v>SF09#Box5#12_13_A"</v>
      </c>
      <c r="O1292">
        <f>IF(PartList[[#This Row],[Unique]]="Yes",_xlfn.XLOOKUP(PartList[[#This Row],[ASSLY MARK]],FilteredPL!A:A,FilteredPL!B:B,0,0),0)</f>
        <v>0</v>
      </c>
      <c r="P1292">
        <f>_xlfn.XLOOKUP(PartList[[#This Row],[ASSLY MARK]],MasterPL[SplitMarkNo],MasterPL[BILL WT.(KG)],0,0)</f>
        <v>0</v>
      </c>
      <c r="Q1292" cm="1">
        <f t="array" ref="Q129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93" spans="1:17" x14ac:dyDescent="0.25">
      <c r="A1293">
        <v>1105</v>
      </c>
      <c r="B1293" t="s">
        <v>1099</v>
      </c>
      <c r="C1293" t="s">
        <v>1066</v>
      </c>
      <c r="D1293" t="s">
        <v>1100</v>
      </c>
      <c r="E1293" t="s">
        <v>1086</v>
      </c>
      <c r="F1293" t="str" cm="1">
        <f t="array" ref="F1293">IF(SUM(IF(PartList[ASSLY MARK]=PartList[[#This Row],[ASSLY MARK]],1,0))&gt;1,"No","Yes")</f>
        <v>No</v>
      </c>
      <c r="G1293" t="str" cm="1">
        <f t="array" ref="G1293">_xlfn.TEXTJOIN("_",TRUE,TRIM(_xlfn.TEXTSPLIT(PartList[[#This Row],[GRID LOCATION]],{"PR01","/","-"})))</f>
        <v>13_A"</v>
      </c>
      <c r="H1293" t="str" cm="1">
        <f t="array" ref="H129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293" cm="1">
        <f t="array" ref="I129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93" t="str">
        <f>IF(IFERROR(SEARCH("&gt;",PartList[[#This Row],[ID]]),0),"O",IF(IFERROR(SEARCH("&lt;",PartList[[#This Row],[ID]]),0),"I",""))</f>
        <v/>
      </c>
      <c r="K1293" t="str" cm="1">
        <f t="array" ref="K12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293" t="str" cm="1">
        <f t="array" ref="L129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293" t="str">
        <f>_xlfn.TEXTJOIN("#",TRUE,PartList[[#This Row],[ASSLY MARK]],PartList[[#This Row],[BOX NO]],PartList[[#This Row],[In/Out]],PartList[[#This Row],[O1-Grid]])</f>
        <v>SF09#Box5#13_A'_A"</v>
      </c>
      <c r="N1293" t="str">
        <f>_xlfn.TEXTJOIN("#",TRUE,PartList[[#This Row],[ASSLY MARK]],PartList[[#This Row],[BOX NO]],PartList[[#This Row],[In/Out]],PartList[[#This Row],[O2-Grid]])</f>
        <v>SF09#Box5#12_13_A"</v>
      </c>
      <c r="O1293">
        <f>IF(PartList[[#This Row],[Unique]]="Yes",_xlfn.XLOOKUP(PartList[[#This Row],[ASSLY MARK]],FilteredPL!A:A,FilteredPL!B:B,0,0),0)</f>
        <v>0</v>
      </c>
      <c r="P1293">
        <f>_xlfn.XLOOKUP(PartList[[#This Row],[ASSLY MARK]],MasterPL[SplitMarkNo],MasterPL[BILL WT.(KG)],0,0)</f>
        <v>0</v>
      </c>
      <c r="Q1293" cm="1">
        <f t="array" ref="Q129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94" spans="1:17" x14ac:dyDescent="0.25">
      <c r="A1294">
        <v>1106</v>
      </c>
      <c r="B1294" t="s">
        <v>1099</v>
      </c>
      <c r="C1294" t="s">
        <v>1066</v>
      </c>
      <c r="D1294" t="s">
        <v>1101</v>
      </c>
      <c r="E1294" t="s">
        <v>1086</v>
      </c>
      <c r="F1294" t="str" cm="1">
        <f t="array" ref="F1294">IF(SUM(IF(PartList[ASSLY MARK]=PartList[[#This Row],[ASSLY MARK]],1,0))&gt;1,"No","Yes")</f>
        <v>No</v>
      </c>
      <c r="G1294" t="str" cm="1">
        <f t="array" ref="G1294">_xlfn.TEXTJOIN("_",TRUE,TRIM(_xlfn.TEXTSPLIT(PartList[[#This Row],[GRID LOCATION]],{"PR01","/","-"})))</f>
        <v>13_A"</v>
      </c>
      <c r="H1294" t="str" cm="1">
        <f t="array" ref="H129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294" cm="1">
        <f t="array" ref="I129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94" t="str">
        <f>IF(IFERROR(SEARCH("&gt;",PartList[[#This Row],[ID]]),0),"O",IF(IFERROR(SEARCH("&lt;",PartList[[#This Row],[ID]]),0),"I",""))</f>
        <v/>
      </c>
      <c r="K1294" t="str" cm="1">
        <f t="array" ref="K12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294" t="str" cm="1">
        <f t="array" ref="L129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294" t="str">
        <f>_xlfn.TEXTJOIN("#",TRUE,PartList[[#This Row],[ASSLY MARK]],PartList[[#This Row],[BOX NO]],PartList[[#This Row],[In/Out]],PartList[[#This Row],[O1-Grid]])</f>
        <v>SF09#Box5#13_A'_A"</v>
      </c>
      <c r="N1294" t="str">
        <f>_xlfn.TEXTJOIN("#",TRUE,PartList[[#This Row],[ASSLY MARK]],PartList[[#This Row],[BOX NO]],PartList[[#This Row],[In/Out]],PartList[[#This Row],[O2-Grid]])</f>
        <v>SF09#Box5#12_13_A"</v>
      </c>
      <c r="O1294">
        <f>IF(PartList[[#This Row],[Unique]]="Yes",_xlfn.XLOOKUP(PartList[[#This Row],[ASSLY MARK]],FilteredPL!A:A,FilteredPL!B:B,0,0),0)</f>
        <v>0</v>
      </c>
      <c r="P1294">
        <f>_xlfn.XLOOKUP(PartList[[#This Row],[ASSLY MARK]],MasterPL[SplitMarkNo],MasterPL[BILL WT.(KG)],0,0)</f>
        <v>0</v>
      </c>
      <c r="Q1294" cm="1">
        <f t="array" ref="Q129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95" spans="1:17" x14ac:dyDescent="0.25">
      <c r="A1295">
        <v>1109</v>
      </c>
      <c r="B1295" t="s">
        <v>1099</v>
      </c>
      <c r="C1295" t="s">
        <v>1066</v>
      </c>
      <c r="D1295" t="s">
        <v>1101</v>
      </c>
      <c r="E1295" t="s">
        <v>1086</v>
      </c>
      <c r="F1295" t="str" cm="1">
        <f t="array" ref="F1295">IF(SUM(IF(PartList[ASSLY MARK]=PartList[[#This Row],[ASSLY MARK]],1,0))&gt;1,"No","Yes")</f>
        <v>No</v>
      </c>
      <c r="G1295" t="str" cm="1">
        <f t="array" ref="G1295">_xlfn.TEXTJOIN("_",TRUE,TRIM(_xlfn.TEXTSPLIT(PartList[[#This Row],[GRID LOCATION]],{"PR01","/","-"})))</f>
        <v>13_A"</v>
      </c>
      <c r="H1295" t="str" cm="1">
        <f t="array" ref="H129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295" cm="1">
        <f t="array" ref="I129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95" t="str">
        <f>IF(IFERROR(SEARCH("&gt;",PartList[[#This Row],[ID]]),0),"O",IF(IFERROR(SEARCH("&lt;",PartList[[#This Row],[ID]]),0),"I",""))</f>
        <v/>
      </c>
      <c r="K1295" t="str" cm="1">
        <f t="array" ref="K12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295" t="str" cm="1">
        <f t="array" ref="L129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295" t="str">
        <f>_xlfn.TEXTJOIN("#",TRUE,PartList[[#This Row],[ASSLY MARK]],PartList[[#This Row],[BOX NO]],PartList[[#This Row],[In/Out]],PartList[[#This Row],[O1-Grid]])</f>
        <v>SF09#Box5#13_A'_A"</v>
      </c>
      <c r="N1295" t="str">
        <f>_xlfn.TEXTJOIN("#",TRUE,PartList[[#This Row],[ASSLY MARK]],PartList[[#This Row],[BOX NO]],PartList[[#This Row],[In/Out]],PartList[[#This Row],[O2-Grid]])</f>
        <v>SF09#Box5#12_13_A"</v>
      </c>
      <c r="O1295">
        <f>IF(PartList[[#This Row],[Unique]]="Yes",_xlfn.XLOOKUP(PartList[[#This Row],[ASSLY MARK]],FilteredPL!A:A,FilteredPL!B:B,0,0),0)</f>
        <v>0</v>
      </c>
      <c r="P1295">
        <f>_xlfn.XLOOKUP(PartList[[#This Row],[ASSLY MARK]],MasterPL[SplitMarkNo],MasterPL[BILL WT.(KG)],0,0)</f>
        <v>0</v>
      </c>
      <c r="Q1295" cm="1">
        <f t="array" ref="Q129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96" spans="1:17" x14ac:dyDescent="0.25">
      <c r="A1296">
        <v>1110</v>
      </c>
      <c r="B1296" t="s">
        <v>1099</v>
      </c>
      <c r="C1296" t="s">
        <v>1066</v>
      </c>
      <c r="D1296" t="s">
        <v>1100</v>
      </c>
      <c r="E1296" t="s">
        <v>1086</v>
      </c>
      <c r="F1296" t="str" cm="1">
        <f t="array" ref="F1296">IF(SUM(IF(PartList[ASSLY MARK]=PartList[[#This Row],[ASSLY MARK]],1,0))&gt;1,"No","Yes")</f>
        <v>No</v>
      </c>
      <c r="G1296" t="str" cm="1">
        <f t="array" ref="G1296">_xlfn.TEXTJOIN("_",TRUE,TRIM(_xlfn.TEXTSPLIT(PartList[[#This Row],[GRID LOCATION]],{"PR01","/","-"})))</f>
        <v>13_A"</v>
      </c>
      <c r="H1296" t="str" cm="1">
        <f t="array" ref="H129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296" cm="1">
        <f t="array" ref="I129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96" t="str">
        <f>IF(IFERROR(SEARCH("&gt;",PartList[[#This Row],[ID]]),0),"O",IF(IFERROR(SEARCH("&lt;",PartList[[#This Row],[ID]]),0),"I",""))</f>
        <v/>
      </c>
      <c r="K1296" t="str" cm="1">
        <f t="array" ref="K12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296" t="str" cm="1">
        <f t="array" ref="L129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296" t="str">
        <f>_xlfn.TEXTJOIN("#",TRUE,PartList[[#This Row],[ASSLY MARK]],PartList[[#This Row],[BOX NO]],PartList[[#This Row],[In/Out]],PartList[[#This Row],[O1-Grid]])</f>
        <v>SF09#Box5#13_A'_A"</v>
      </c>
      <c r="N1296" t="str">
        <f>_xlfn.TEXTJOIN("#",TRUE,PartList[[#This Row],[ASSLY MARK]],PartList[[#This Row],[BOX NO]],PartList[[#This Row],[In/Out]],PartList[[#This Row],[O2-Grid]])</f>
        <v>SF09#Box5#12_13_A"</v>
      </c>
      <c r="O1296">
        <f>IF(PartList[[#This Row],[Unique]]="Yes",_xlfn.XLOOKUP(PartList[[#This Row],[ASSLY MARK]],FilteredPL!A:A,FilteredPL!B:B,0,0),0)</f>
        <v>0</v>
      </c>
      <c r="P1296">
        <f>_xlfn.XLOOKUP(PartList[[#This Row],[ASSLY MARK]],MasterPL[SplitMarkNo],MasterPL[BILL WT.(KG)],0,0)</f>
        <v>0</v>
      </c>
      <c r="Q1296" cm="1">
        <f t="array" ref="Q129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97" spans="1:17" x14ac:dyDescent="0.25">
      <c r="A1297">
        <v>1112</v>
      </c>
      <c r="B1297" t="s">
        <v>1099</v>
      </c>
      <c r="C1297" t="s">
        <v>1066</v>
      </c>
      <c r="D1297" t="s">
        <v>1101</v>
      </c>
      <c r="E1297" t="s">
        <v>1086</v>
      </c>
      <c r="F1297" t="str" cm="1">
        <f t="array" ref="F1297">IF(SUM(IF(PartList[ASSLY MARK]=PartList[[#This Row],[ASSLY MARK]],1,0))&gt;1,"No","Yes")</f>
        <v>No</v>
      </c>
      <c r="G1297" t="str" cm="1">
        <f t="array" ref="G1297">_xlfn.TEXTJOIN("_",TRUE,TRIM(_xlfn.TEXTSPLIT(PartList[[#This Row],[GRID LOCATION]],{"PR01","/","-"})))</f>
        <v>13_A"</v>
      </c>
      <c r="H1297" t="str" cm="1">
        <f t="array" ref="H129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297" cm="1">
        <f t="array" ref="I129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97" t="str">
        <f>IF(IFERROR(SEARCH("&gt;",PartList[[#This Row],[ID]]),0),"O",IF(IFERROR(SEARCH("&lt;",PartList[[#This Row],[ID]]),0),"I",""))</f>
        <v/>
      </c>
      <c r="K1297" t="str" cm="1">
        <f t="array" ref="K12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297" t="str" cm="1">
        <f t="array" ref="L129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297" t="str">
        <f>_xlfn.TEXTJOIN("#",TRUE,PartList[[#This Row],[ASSLY MARK]],PartList[[#This Row],[BOX NO]],PartList[[#This Row],[In/Out]],PartList[[#This Row],[O1-Grid]])</f>
        <v>SF09#Box5#13_A'_A"</v>
      </c>
      <c r="N1297" t="str">
        <f>_xlfn.TEXTJOIN("#",TRUE,PartList[[#This Row],[ASSLY MARK]],PartList[[#This Row],[BOX NO]],PartList[[#This Row],[In/Out]],PartList[[#This Row],[O2-Grid]])</f>
        <v>SF09#Box5#12_13_A"</v>
      </c>
      <c r="O1297">
        <f>IF(PartList[[#This Row],[Unique]]="Yes",_xlfn.XLOOKUP(PartList[[#This Row],[ASSLY MARK]],FilteredPL!A:A,FilteredPL!B:B,0,0),0)</f>
        <v>0</v>
      </c>
      <c r="P1297">
        <f>_xlfn.XLOOKUP(PartList[[#This Row],[ASSLY MARK]],MasterPL[SplitMarkNo],MasterPL[BILL WT.(KG)],0,0)</f>
        <v>0</v>
      </c>
      <c r="Q1297" cm="1">
        <f t="array" ref="Q129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98" spans="1:17" x14ac:dyDescent="0.25">
      <c r="A1298">
        <v>1113</v>
      </c>
      <c r="B1298" t="s">
        <v>1099</v>
      </c>
      <c r="C1298" t="s">
        <v>1066</v>
      </c>
      <c r="D1298" t="s">
        <v>1100</v>
      </c>
      <c r="E1298" t="s">
        <v>1086</v>
      </c>
      <c r="F1298" t="str" cm="1">
        <f t="array" ref="F1298">IF(SUM(IF(PartList[ASSLY MARK]=PartList[[#This Row],[ASSLY MARK]],1,0))&gt;1,"No","Yes")</f>
        <v>No</v>
      </c>
      <c r="G1298" t="str" cm="1">
        <f t="array" ref="G1298">_xlfn.TEXTJOIN("_",TRUE,TRIM(_xlfn.TEXTSPLIT(PartList[[#This Row],[GRID LOCATION]],{"PR01","/","-"})))</f>
        <v>13_A"</v>
      </c>
      <c r="H1298" t="str" cm="1">
        <f t="array" ref="H129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298" cm="1">
        <f t="array" ref="I129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98" t="str">
        <f>IF(IFERROR(SEARCH("&gt;",PartList[[#This Row],[ID]]),0),"O",IF(IFERROR(SEARCH("&lt;",PartList[[#This Row],[ID]]),0),"I",""))</f>
        <v/>
      </c>
      <c r="K1298" t="str" cm="1">
        <f t="array" ref="K12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298" t="str" cm="1">
        <f t="array" ref="L129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298" t="str">
        <f>_xlfn.TEXTJOIN("#",TRUE,PartList[[#This Row],[ASSLY MARK]],PartList[[#This Row],[BOX NO]],PartList[[#This Row],[In/Out]],PartList[[#This Row],[O1-Grid]])</f>
        <v>SF09#Box5#13_A'_A"</v>
      </c>
      <c r="N1298" t="str">
        <f>_xlfn.TEXTJOIN("#",TRUE,PartList[[#This Row],[ASSLY MARK]],PartList[[#This Row],[BOX NO]],PartList[[#This Row],[In/Out]],PartList[[#This Row],[O2-Grid]])</f>
        <v>SF09#Box5#12_13_A"</v>
      </c>
      <c r="O1298">
        <f>IF(PartList[[#This Row],[Unique]]="Yes",_xlfn.XLOOKUP(PartList[[#This Row],[ASSLY MARK]],FilteredPL!A:A,FilteredPL!B:B,0,0),0)</f>
        <v>0</v>
      </c>
      <c r="P1298">
        <f>_xlfn.XLOOKUP(PartList[[#This Row],[ASSLY MARK]],MasterPL[SplitMarkNo],MasterPL[BILL WT.(KG)],0,0)</f>
        <v>0</v>
      </c>
      <c r="Q1298" cm="1">
        <f t="array" ref="Q129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299" spans="1:17" x14ac:dyDescent="0.25">
      <c r="A1299">
        <v>1116</v>
      </c>
      <c r="B1299" t="s">
        <v>1099</v>
      </c>
      <c r="C1299" t="s">
        <v>1066</v>
      </c>
      <c r="D1299" t="s">
        <v>1100</v>
      </c>
      <c r="E1299" t="s">
        <v>1086</v>
      </c>
      <c r="F1299" t="str" cm="1">
        <f t="array" ref="F1299">IF(SUM(IF(PartList[ASSLY MARK]=PartList[[#This Row],[ASSLY MARK]],1,0))&gt;1,"No","Yes")</f>
        <v>No</v>
      </c>
      <c r="G1299" t="str" cm="1">
        <f t="array" ref="G1299">_xlfn.TEXTJOIN("_",TRUE,TRIM(_xlfn.TEXTSPLIT(PartList[[#This Row],[GRID LOCATION]],{"PR01","/","-"})))</f>
        <v>13_A"</v>
      </c>
      <c r="H1299" t="str" cm="1">
        <f t="array" ref="H129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299" cm="1">
        <f t="array" ref="I129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299" t="str">
        <f>IF(IFERROR(SEARCH("&gt;",PartList[[#This Row],[ID]]),0),"O",IF(IFERROR(SEARCH("&lt;",PartList[[#This Row],[ID]]),0),"I",""))</f>
        <v/>
      </c>
      <c r="K1299" t="str" cm="1">
        <f t="array" ref="K12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299" t="str" cm="1">
        <f t="array" ref="L129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299" t="str">
        <f>_xlfn.TEXTJOIN("#",TRUE,PartList[[#This Row],[ASSLY MARK]],PartList[[#This Row],[BOX NO]],PartList[[#This Row],[In/Out]],PartList[[#This Row],[O1-Grid]])</f>
        <v>SF09#Box5#13_A'_A"</v>
      </c>
      <c r="N1299" t="str">
        <f>_xlfn.TEXTJOIN("#",TRUE,PartList[[#This Row],[ASSLY MARK]],PartList[[#This Row],[BOX NO]],PartList[[#This Row],[In/Out]],PartList[[#This Row],[O2-Grid]])</f>
        <v>SF09#Box5#12_13_A"</v>
      </c>
      <c r="O1299">
        <f>IF(PartList[[#This Row],[Unique]]="Yes",_xlfn.XLOOKUP(PartList[[#This Row],[ASSLY MARK]],FilteredPL!A:A,FilteredPL!B:B,0,0),0)</f>
        <v>0</v>
      </c>
      <c r="P1299">
        <f>_xlfn.XLOOKUP(PartList[[#This Row],[ASSLY MARK]],MasterPL[SplitMarkNo],MasterPL[BILL WT.(KG)],0,0)</f>
        <v>0</v>
      </c>
      <c r="Q1299" cm="1">
        <f t="array" ref="Q129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00" spans="1:17" x14ac:dyDescent="0.25">
      <c r="A1300">
        <v>1117</v>
      </c>
      <c r="B1300" t="s">
        <v>1102</v>
      </c>
      <c r="C1300" t="s">
        <v>1066</v>
      </c>
      <c r="D1300" t="s">
        <v>1101</v>
      </c>
      <c r="E1300" t="s">
        <v>1086</v>
      </c>
      <c r="F1300" t="str" cm="1">
        <f t="array" ref="F1300">IF(SUM(IF(PartList[ASSLY MARK]=PartList[[#This Row],[ASSLY MARK]],1,0))&gt;1,"No","Yes")</f>
        <v>No</v>
      </c>
      <c r="G1300" t="str" cm="1">
        <f t="array" ref="G1300">_xlfn.TEXTJOIN("_",TRUE,TRIM(_xlfn.TEXTSPLIT(PartList[[#This Row],[GRID LOCATION]],{"PR01","/","-"})))</f>
        <v>13_A"</v>
      </c>
      <c r="H1300" t="str" cm="1">
        <f t="array" ref="H130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300" cm="1">
        <f t="array" ref="I130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00" t="str">
        <f>IF(IFERROR(SEARCH("&gt;",PartList[[#This Row],[ID]]),0),"O",IF(IFERROR(SEARCH("&lt;",PartList[[#This Row],[ID]]),0),"I",""))</f>
        <v/>
      </c>
      <c r="K1300" t="str" cm="1">
        <f t="array" ref="K13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300" t="str" cm="1">
        <f t="array" ref="L130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300" t="str">
        <f>_xlfn.TEXTJOIN("#",TRUE,PartList[[#This Row],[ASSLY MARK]],PartList[[#This Row],[BOX NO]],PartList[[#This Row],[In/Out]],PartList[[#This Row],[O1-Grid]])</f>
        <v>SF10#Box5#13_A'_A"</v>
      </c>
      <c r="N1300" t="str">
        <f>_xlfn.TEXTJOIN("#",TRUE,PartList[[#This Row],[ASSLY MARK]],PartList[[#This Row],[BOX NO]],PartList[[#This Row],[In/Out]],PartList[[#This Row],[O2-Grid]])</f>
        <v>SF10#Box5#12_13_A"</v>
      </c>
      <c r="O1300">
        <f>IF(PartList[[#This Row],[Unique]]="Yes",_xlfn.XLOOKUP(PartList[[#This Row],[ASSLY MARK]],FilteredPL!A:A,FilteredPL!B:B,0,0),0)</f>
        <v>0</v>
      </c>
      <c r="P1300">
        <f>_xlfn.XLOOKUP(PartList[[#This Row],[ASSLY MARK]],MasterPL[SplitMarkNo],MasterPL[BILL WT.(KG)],0,0)</f>
        <v>0</v>
      </c>
      <c r="Q1300" cm="1">
        <f t="array" ref="Q130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01" spans="1:17" x14ac:dyDescent="0.25">
      <c r="A1301">
        <v>1119</v>
      </c>
      <c r="B1301" t="s">
        <v>1102</v>
      </c>
      <c r="C1301" t="s">
        <v>1066</v>
      </c>
      <c r="D1301" t="s">
        <v>1100</v>
      </c>
      <c r="E1301" t="s">
        <v>1086</v>
      </c>
      <c r="F1301" t="str" cm="1">
        <f t="array" ref="F1301">IF(SUM(IF(PartList[ASSLY MARK]=PartList[[#This Row],[ASSLY MARK]],1,0))&gt;1,"No","Yes")</f>
        <v>No</v>
      </c>
      <c r="G1301" t="str" cm="1">
        <f t="array" ref="G1301">_xlfn.TEXTJOIN("_",TRUE,TRIM(_xlfn.TEXTSPLIT(PartList[[#This Row],[GRID LOCATION]],{"PR01","/","-"})))</f>
        <v>13_A"</v>
      </c>
      <c r="H1301" t="str" cm="1">
        <f t="array" ref="H130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301" cm="1">
        <f t="array" ref="I130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01" t="str">
        <f>IF(IFERROR(SEARCH("&gt;",PartList[[#This Row],[ID]]),0),"O",IF(IFERROR(SEARCH("&lt;",PartList[[#This Row],[ID]]),0),"I",""))</f>
        <v/>
      </c>
      <c r="K1301" t="str" cm="1">
        <f t="array" ref="K13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301" t="str" cm="1">
        <f t="array" ref="L130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301" t="str">
        <f>_xlfn.TEXTJOIN("#",TRUE,PartList[[#This Row],[ASSLY MARK]],PartList[[#This Row],[BOX NO]],PartList[[#This Row],[In/Out]],PartList[[#This Row],[O1-Grid]])</f>
        <v>SF10#Box5#13_A'_A"</v>
      </c>
      <c r="N1301" t="str">
        <f>_xlfn.TEXTJOIN("#",TRUE,PartList[[#This Row],[ASSLY MARK]],PartList[[#This Row],[BOX NO]],PartList[[#This Row],[In/Out]],PartList[[#This Row],[O2-Grid]])</f>
        <v>SF10#Box5#12_13_A"</v>
      </c>
      <c r="O1301">
        <f>IF(PartList[[#This Row],[Unique]]="Yes",_xlfn.XLOOKUP(PartList[[#This Row],[ASSLY MARK]],FilteredPL!A:A,FilteredPL!B:B,0,0),0)</f>
        <v>0</v>
      </c>
      <c r="P1301">
        <f>_xlfn.XLOOKUP(PartList[[#This Row],[ASSLY MARK]],MasterPL[SplitMarkNo],MasterPL[BILL WT.(KG)],0,0)</f>
        <v>0</v>
      </c>
      <c r="Q1301" cm="1">
        <f t="array" ref="Q130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02" spans="1:17" x14ac:dyDescent="0.25">
      <c r="A1302">
        <v>1121</v>
      </c>
      <c r="B1302" t="s">
        <v>1102</v>
      </c>
      <c r="C1302" t="s">
        <v>1066</v>
      </c>
      <c r="D1302" t="s">
        <v>1101</v>
      </c>
      <c r="E1302" t="s">
        <v>1086</v>
      </c>
      <c r="F1302" t="str" cm="1">
        <f t="array" ref="F1302">IF(SUM(IF(PartList[ASSLY MARK]=PartList[[#This Row],[ASSLY MARK]],1,0))&gt;1,"No","Yes")</f>
        <v>No</v>
      </c>
      <c r="G1302" t="str" cm="1">
        <f t="array" ref="G1302">_xlfn.TEXTJOIN("_",TRUE,TRIM(_xlfn.TEXTSPLIT(PartList[[#This Row],[GRID LOCATION]],{"PR01","/","-"})))</f>
        <v>13_A"</v>
      </c>
      <c r="H1302" t="str" cm="1">
        <f t="array" ref="H130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302" cm="1">
        <f t="array" ref="I130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02" t="str">
        <f>IF(IFERROR(SEARCH("&gt;",PartList[[#This Row],[ID]]),0),"O",IF(IFERROR(SEARCH("&lt;",PartList[[#This Row],[ID]]),0),"I",""))</f>
        <v/>
      </c>
      <c r="K1302" t="str" cm="1">
        <f t="array" ref="K13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302" t="str" cm="1">
        <f t="array" ref="L130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302" t="str">
        <f>_xlfn.TEXTJOIN("#",TRUE,PartList[[#This Row],[ASSLY MARK]],PartList[[#This Row],[BOX NO]],PartList[[#This Row],[In/Out]],PartList[[#This Row],[O1-Grid]])</f>
        <v>SF10#Box5#13_A'_A"</v>
      </c>
      <c r="N1302" t="str">
        <f>_xlfn.TEXTJOIN("#",TRUE,PartList[[#This Row],[ASSLY MARK]],PartList[[#This Row],[BOX NO]],PartList[[#This Row],[In/Out]],PartList[[#This Row],[O2-Grid]])</f>
        <v>SF10#Box5#12_13_A"</v>
      </c>
      <c r="O1302">
        <f>IF(PartList[[#This Row],[Unique]]="Yes",_xlfn.XLOOKUP(PartList[[#This Row],[ASSLY MARK]],FilteredPL!A:A,FilteredPL!B:B,0,0),0)</f>
        <v>0</v>
      </c>
      <c r="P1302">
        <f>_xlfn.XLOOKUP(PartList[[#This Row],[ASSLY MARK]],MasterPL[SplitMarkNo],MasterPL[BILL WT.(KG)],0,0)</f>
        <v>0</v>
      </c>
      <c r="Q1302" cm="1">
        <f t="array" ref="Q130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03" spans="1:17" x14ac:dyDescent="0.25">
      <c r="A1303">
        <v>1124</v>
      </c>
      <c r="B1303" t="s">
        <v>1102</v>
      </c>
      <c r="C1303" t="s">
        <v>1066</v>
      </c>
      <c r="D1303" t="s">
        <v>1100</v>
      </c>
      <c r="E1303" t="s">
        <v>1086</v>
      </c>
      <c r="F1303" t="str" cm="1">
        <f t="array" ref="F1303">IF(SUM(IF(PartList[ASSLY MARK]=PartList[[#This Row],[ASSLY MARK]],1,0))&gt;1,"No","Yes")</f>
        <v>No</v>
      </c>
      <c r="G1303" t="str" cm="1">
        <f t="array" ref="G1303">_xlfn.TEXTJOIN("_",TRUE,TRIM(_xlfn.TEXTSPLIT(PartList[[#This Row],[GRID LOCATION]],{"PR01","/","-"})))</f>
        <v>13_A"</v>
      </c>
      <c r="H1303" t="str" cm="1">
        <f t="array" ref="H130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303" cm="1">
        <f t="array" ref="I130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03" t="str">
        <f>IF(IFERROR(SEARCH("&gt;",PartList[[#This Row],[ID]]),0),"O",IF(IFERROR(SEARCH("&lt;",PartList[[#This Row],[ID]]),0),"I",""))</f>
        <v/>
      </c>
      <c r="K1303" t="str" cm="1">
        <f t="array" ref="K13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303" t="str" cm="1">
        <f t="array" ref="L130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303" t="str">
        <f>_xlfn.TEXTJOIN("#",TRUE,PartList[[#This Row],[ASSLY MARK]],PartList[[#This Row],[BOX NO]],PartList[[#This Row],[In/Out]],PartList[[#This Row],[O1-Grid]])</f>
        <v>SF10#Box5#13_A'_A"</v>
      </c>
      <c r="N1303" t="str">
        <f>_xlfn.TEXTJOIN("#",TRUE,PartList[[#This Row],[ASSLY MARK]],PartList[[#This Row],[BOX NO]],PartList[[#This Row],[In/Out]],PartList[[#This Row],[O2-Grid]])</f>
        <v>SF10#Box5#12_13_A"</v>
      </c>
      <c r="O1303">
        <f>IF(PartList[[#This Row],[Unique]]="Yes",_xlfn.XLOOKUP(PartList[[#This Row],[ASSLY MARK]],FilteredPL!A:A,FilteredPL!B:B,0,0),0)</f>
        <v>0</v>
      </c>
      <c r="P1303">
        <f>_xlfn.XLOOKUP(PartList[[#This Row],[ASSLY MARK]],MasterPL[SplitMarkNo],MasterPL[BILL WT.(KG)],0,0)</f>
        <v>0</v>
      </c>
      <c r="Q1303" cm="1">
        <f t="array" ref="Q130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04" spans="1:17" x14ac:dyDescent="0.25">
      <c r="A1304">
        <v>1196</v>
      </c>
      <c r="B1304" t="s">
        <v>1117</v>
      </c>
      <c r="C1304" t="s">
        <v>1066</v>
      </c>
      <c r="D1304" t="s">
        <v>1118</v>
      </c>
      <c r="E1304" t="s">
        <v>1086</v>
      </c>
      <c r="F1304" t="str" cm="1">
        <f t="array" ref="F1304">IF(SUM(IF(PartList[ASSLY MARK]=PartList[[#This Row],[ASSLY MARK]],1,0))&gt;1,"No","Yes")</f>
        <v>No</v>
      </c>
      <c r="G1304" t="str" cm="1">
        <f t="array" ref="G1304">_xlfn.TEXTJOIN("_",TRUE,TRIM(_xlfn.TEXTSPLIT(PartList[[#This Row],[GRID LOCATION]],{"PR01","/","-"})))</f>
        <v>13_A"</v>
      </c>
      <c r="H1304" t="str" cm="1">
        <f t="array" ref="H130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304" cm="1">
        <f t="array" ref="I130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04" t="str">
        <f>IF(IFERROR(SEARCH("&gt;",PartList[[#This Row],[ID]]),0),"O",IF(IFERROR(SEARCH("&lt;",PartList[[#This Row],[ID]]),0),"I",""))</f>
        <v/>
      </c>
      <c r="K1304" t="str" cm="1">
        <f t="array" ref="K13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304" t="str" cm="1">
        <f t="array" ref="L130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304" t="str">
        <f>_xlfn.TEXTJOIN("#",TRUE,PartList[[#This Row],[ASSLY MARK]],PartList[[#This Row],[BOX NO]],PartList[[#This Row],[In/Out]],PartList[[#This Row],[O1-Grid]])</f>
        <v>SW04#Box5#13_A'_A"</v>
      </c>
      <c r="N1304" t="str">
        <f>_xlfn.TEXTJOIN("#",TRUE,PartList[[#This Row],[ASSLY MARK]],PartList[[#This Row],[BOX NO]],PartList[[#This Row],[In/Out]],PartList[[#This Row],[O2-Grid]])</f>
        <v>SW04#Box5#12_13_A"</v>
      </c>
      <c r="O1304">
        <f>IF(PartList[[#This Row],[Unique]]="Yes",_xlfn.XLOOKUP(PartList[[#This Row],[ASSLY MARK]],FilteredPL!A:A,FilteredPL!B:B,0,0),0)</f>
        <v>0</v>
      </c>
      <c r="P1304">
        <f>_xlfn.XLOOKUP(PartList[[#This Row],[ASSLY MARK]],MasterPL[SplitMarkNo],MasterPL[BILL WT.(KG)],0,0)</f>
        <v>0</v>
      </c>
      <c r="Q1304" cm="1">
        <f t="array" ref="Q130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05" spans="1:17" x14ac:dyDescent="0.25">
      <c r="A1305">
        <v>1198</v>
      </c>
      <c r="B1305" t="s">
        <v>1117</v>
      </c>
      <c r="C1305" t="s">
        <v>1066</v>
      </c>
      <c r="D1305" t="s">
        <v>1119</v>
      </c>
      <c r="E1305" t="s">
        <v>1086</v>
      </c>
      <c r="F1305" t="str" cm="1">
        <f t="array" ref="F1305">IF(SUM(IF(PartList[ASSLY MARK]=PartList[[#This Row],[ASSLY MARK]],1,0))&gt;1,"No","Yes")</f>
        <v>No</v>
      </c>
      <c r="G1305" t="str" cm="1">
        <f t="array" ref="G1305">_xlfn.TEXTJOIN("_",TRUE,TRIM(_xlfn.TEXTSPLIT(PartList[[#This Row],[GRID LOCATION]],{"PR01","/","-"})))</f>
        <v>13_A"</v>
      </c>
      <c r="H1305" t="str" cm="1">
        <f t="array" ref="H130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305" cm="1">
        <f t="array" ref="I130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05" t="str">
        <f>IF(IFERROR(SEARCH("&gt;",PartList[[#This Row],[ID]]),0),"O",IF(IFERROR(SEARCH("&lt;",PartList[[#This Row],[ID]]),0),"I",""))</f>
        <v/>
      </c>
      <c r="K1305" t="str" cm="1">
        <f t="array" ref="K13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305" t="str" cm="1">
        <f t="array" ref="L130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305" t="str">
        <f>_xlfn.TEXTJOIN("#",TRUE,PartList[[#This Row],[ASSLY MARK]],PartList[[#This Row],[BOX NO]],PartList[[#This Row],[In/Out]],PartList[[#This Row],[O1-Grid]])</f>
        <v>SW04#Box5#13_A'_A"</v>
      </c>
      <c r="N1305" t="str">
        <f>_xlfn.TEXTJOIN("#",TRUE,PartList[[#This Row],[ASSLY MARK]],PartList[[#This Row],[BOX NO]],PartList[[#This Row],[In/Out]],PartList[[#This Row],[O2-Grid]])</f>
        <v>SW04#Box5#12_13_A"</v>
      </c>
      <c r="O1305">
        <f>IF(PartList[[#This Row],[Unique]]="Yes",_xlfn.XLOOKUP(PartList[[#This Row],[ASSLY MARK]],FilteredPL!A:A,FilteredPL!B:B,0,0),0)</f>
        <v>0</v>
      </c>
      <c r="P1305">
        <f>_xlfn.XLOOKUP(PartList[[#This Row],[ASSLY MARK]],MasterPL[SplitMarkNo],MasterPL[BILL WT.(KG)],0,0)</f>
        <v>0</v>
      </c>
      <c r="Q1305" cm="1">
        <f t="array" ref="Q130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06" spans="1:17" x14ac:dyDescent="0.25">
      <c r="A1306">
        <v>1200</v>
      </c>
      <c r="B1306" t="s">
        <v>1117</v>
      </c>
      <c r="C1306" t="s">
        <v>1066</v>
      </c>
      <c r="D1306" t="s">
        <v>1118</v>
      </c>
      <c r="E1306" t="s">
        <v>1086</v>
      </c>
      <c r="F1306" t="str" cm="1">
        <f t="array" ref="F1306">IF(SUM(IF(PartList[ASSLY MARK]=PartList[[#This Row],[ASSLY MARK]],1,0))&gt;1,"No","Yes")</f>
        <v>No</v>
      </c>
      <c r="G1306" t="str" cm="1">
        <f t="array" ref="G1306">_xlfn.TEXTJOIN("_",TRUE,TRIM(_xlfn.TEXTSPLIT(PartList[[#This Row],[GRID LOCATION]],{"PR01","/","-"})))</f>
        <v>13_A"</v>
      </c>
      <c r="H1306" t="str" cm="1">
        <f t="array" ref="H130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306" cm="1">
        <f t="array" ref="I130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06" t="str">
        <f>IF(IFERROR(SEARCH("&gt;",PartList[[#This Row],[ID]]),0),"O",IF(IFERROR(SEARCH("&lt;",PartList[[#This Row],[ID]]),0),"I",""))</f>
        <v/>
      </c>
      <c r="K1306" t="str" cm="1">
        <f t="array" ref="K13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306" t="str" cm="1">
        <f t="array" ref="L130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306" t="str">
        <f>_xlfn.TEXTJOIN("#",TRUE,PartList[[#This Row],[ASSLY MARK]],PartList[[#This Row],[BOX NO]],PartList[[#This Row],[In/Out]],PartList[[#This Row],[O1-Grid]])</f>
        <v>SW04#Box5#13_A'_A"</v>
      </c>
      <c r="N1306" t="str">
        <f>_xlfn.TEXTJOIN("#",TRUE,PartList[[#This Row],[ASSLY MARK]],PartList[[#This Row],[BOX NO]],PartList[[#This Row],[In/Out]],PartList[[#This Row],[O2-Grid]])</f>
        <v>SW04#Box5#12_13_A"</v>
      </c>
      <c r="O1306">
        <f>IF(PartList[[#This Row],[Unique]]="Yes",_xlfn.XLOOKUP(PartList[[#This Row],[ASSLY MARK]],FilteredPL!A:A,FilteredPL!B:B,0,0),0)</f>
        <v>0</v>
      </c>
      <c r="P1306">
        <f>_xlfn.XLOOKUP(PartList[[#This Row],[ASSLY MARK]],MasterPL[SplitMarkNo],MasterPL[BILL WT.(KG)],0,0)</f>
        <v>0</v>
      </c>
      <c r="Q1306" cm="1">
        <f t="array" ref="Q130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07" spans="1:17" x14ac:dyDescent="0.25">
      <c r="A1307">
        <v>1203</v>
      </c>
      <c r="B1307" t="s">
        <v>1117</v>
      </c>
      <c r="C1307" t="s">
        <v>1066</v>
      </c>
      <c r="D1307" t="s">
        <v>1119</v>
      </c>
      <c r="E1307" t="s">
        <v>1086</v>
      </c>
      <c r="F1307" t="str" cm="1">
        <f t="array" ref="F1307">IF(SUM(IF(PartList[ASSLY MARK]=PartList[[#This Row],[ASSLY MARK]],1,0))&gt;1,"No","Yes")</f>
        <v>No</v>
      </c>
      <c r="G1307" t="str" cm="1">
        <f t="array" ref="G1307">_xlfn.TEXTJOIN("_",TRUE,TRIM(_xlfn.TEXTSPLIT(PartList[[#This Row],[GRID LOCATION]],{"PR01","/","-"})))</f>
        <v>13_A"</v>
      </c>
      <c r="H1307" t="str" cm="1">
        <f t="array" ref="H130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307" cm="1">
        <f t="array" ref="I130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07" t="str">
        <f>IF(IFERROR(SEARCH("&gt;",PartList[[#This Row],[ID]]),0),"O",IF(IFERROR(SEARCH("&lt;",PartList[[#This Row],[ID]]),0),"I",""))</f>
        <v/>
      </c>
      <c r="K1307" t="str" cm="1">
        <f t="array" ref="K13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13_A'_A"</v>
      </c>
      <c r="L1307" t="str" cm="1">
        <f t="array" ref="L130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307" t="str">
        <f>_xlfn.TEXTJOIN("#",TRUE,PartList[[#This Row],[ASSLY MARK]],PartList[[#This Row],[BOX NO]],PartList[[#This Row],[In/Out]],PartList[[#This Row],[O1-Grid]])</f>
        <v>SW04#Box5#13_A'_A"</v>
      </c>
      <c r="N1307" t="str">
        <f>_xlfn.TEXTJOIN("#",TRUE,PartList[[#This Row],[ASSLY MARK]],PartList[[#This Row],[BOX NO]],PartList[[#This Row],[In/Out]],PartList[[#This Row],[O2-Grid]])</f>
        <v>SW04#Box5#12_13_A"</v>
      </c>
      <c r="O1307">
        <f>IF(PartList[[#This Row],[Unique]]="Yes",_xlfn.XLOOKUP(PartList[[#This Row],[ASSLY MARK]],FilteredPL!A:A,FilteredPL!B:B,0,0),0)</f>
        <v>0</v>
      </c>
      <c r="P1307">
        <f>_xlfn.XLOOKUP(PartList[[#This Row],[ASSLY MARK]],MasterPL[SplitMarkNo],MasterPL[BILL WT.(KG)],0,0)</f>
        <v>0</v>
      </c>
      <c r="Q1307" cm="1">
        <f t="array" ref="Q130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08" spans="1:17" x14ac:dyDescent="0.25">
      <c r="A1308">
        <v>1294</v>
      </c>
      <c r="B1308" t="s">
        <v>494</v>
      </c>
      <c r="C1308" t="s">
        <v>591</v>
      </c>
      <c r="D1308" t="s">
        <v>1152</v>
      </c>
      <c r="E1308" t="s">
        <v>1122</v>
      </c>
      <c r="F1308" t="str" cm="1">
        <f t="array" ref="F1308">IF(SUM(IF(PartList[ASSLY MARK]=PartList[[#This Row],[ASSLY MARK]],1,0))&gt;1,"No","Yes")</f>
        <v>No</v>
      </c>
      <c r="G1308" t="str" cm="1">
        <f t="array" ref="G1308">_xlfn.TEXTJOIN("_",TRUE,TRIM(_xlfn.TEXTSPLIT(PartList[[#This Row],[GRID LOCATION]],{"PR01","/","-"})))</f>
        <v>12_13_A"</v>
      </c>
      <c r="H1308" t="str" cm="1">
        <f t="array" ref="H130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308" cm="1">
        <f t="array" ref="I130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08" t="str">
        <f>IF(IFERROR(SEARCH("&gt;",PartList[[#This Row],[ID]]),0),"O",IF(IFERROR(SEARCH("&lt;",PartList[[#This Row],[ID]]),0),"I",""))</f>
        <v/>
      </c>
      <c r="K1308" t="str" cm="1">
        <f t="array" ref="K13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308" t="str" cm="1">
        <f t="array" ref="L130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308" t="str">
        <f>_xlfn.TEXTJOIN("#",TRUE,PartList[[#This Row],[ASSLY MARK]],PartList[[#This Row],[BOX NO]],PartList[[#This Row],[In/Out]],PartList[[#This Row],[O1-Grid]])</f>
        <v>VB52#Box5#InB</v>
      </c>
      <c r="N1308" t="str">
        <f>_xlfn.TEXTJOIN("#",TRUE,PartList[[#This Row],[ASSLY MARK]],PartList[[#This Row],[BOX NO]],PartList[[#This Row],[In/Out]],PartList[[#This Row],[O2-Grid]])</f>
        <v>VB52#Box5#12_13_A"</v>
      </c>
      <c r="O1308">
        <f>IF(PartList[[#This Row],[Unique]]="Yes",_xlfn.XLOOKUP(PartList[[#This Row],[ASSLY MARK]],FilteredPL!A:A,FilteredPL!B:B,0,0),0)</f>
        <v>0</v>
      </c>
      <c r="P1308">
        <f>_xlfn.XLOOKUP(PartList[[#This Row],[ASSLY MARK]],MasterPL[SplitMarkNo],MasterPL[BILL WT.(KG)],0,0)</f>
        <v>0</v>
      </c>
      <c r="Q1308" cm="1">
        <f t="array" ref="Q130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09" spans="1:17" x14ac:dyDescent="0.25">
      <c r="A1309">
        <v>1295</v>
      </c>
      <c r="B1309" t="s">
        <v>494</v>
      </c>
      <c r="C1309" t="s">
        <v>591</v>
      </c>
      <c r="D1309" t="s">
        <v>1153</v>
      </c>
      <c r="E1309" t="s">
        <v>1122</v>
      </c>
      <c r="F1309" t="str" cm="1">
        <f t="array" ref="F1309">IF(SUM(IF(PartList[ASSLY MARK]=PartList[[#This Row],[ASSLY MARK]],1,0))&gt;1,"No","Yes")</f>
        <v>No</v>
      </c>
      <c r="G1309" t="str" cm="1">
        <f t="array" ref="G1309">_xlfn.TEXTJOIN("_",TRUE,TRIM(_xlfn.TEXTSPLIT(PartList[[#This Row],[GRID LOCATION]],{"PR01","/","-"})))</f>
        <v>12_13_A"</v>
      </c>
      <c r="H1309" t="str" cm="1">
        <f t="array" ref="H130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</v>
      </c>
      <c r="I1309" cm="1">
        <f t="array" ref="I130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09" t="str">
        <f>IF(IFERROR(SEARCH("&gt;",PartList[[#This Row],[ID]]),0),"O",IF(IFERROR(SEARCH("&lt;",PartList[[#This Row],[ID]]),0),"I",""))</f>
        <v/>
      </c>
      <c r="K1309" t="str" cm="1">
        <f t="array" ref="K13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309" t="str" cm="1">
        <f t="array" ref="L130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12_13_A"</v>
      </c>
      <c r="M1309" t="str">
        <f>_xlfn.TEXTJOIN("#",TRUE,PartList[[#This Row],[ASSLY MARK]],PartList[[#This Row],[BOX NO]],PartList[[#This Row],[In/Out]],PartList[[#This Row],[O1-Grid]])</f>
        <v>VB52#Box5#InB</v>
      </c>
      <c r="N1309" t="str">
        <f>_xlfn.TEXTJOIN("#",TRUE,PartList[[#This Row],[ASSLY MARK]],PartList[[#This Row],[BOX NO]],PartList[[#This Row],[In/Out]],PartList[[#This Row],[O2-Grid]])</f>
        <v>VB52#Box5#12_13_A"</v>
      </c>
      <c r="O1309">
        <f>IF(PartList[[#This Row],[Unique]]="Yes",_xlfn.XLOOKUP(PartList[[#This Row],[ASSLY MARK]],FilteredPL!A:A,FilteredPL!B:B,0,0),0)</f>
        <v>0</v>
      </c>
      <c r="P1309">
        <f>_xlfn.XLOOKUP(PartList[[#This Row],[ASSLY MARK]],MasterPL[SplitMarkNo],MasterPL[BILL WT.(KG)],0,0)</f>
        <v>0</v>
      </c>
      <c r="Q1309" cm="1">
        <f t="array" ref="Q130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10" spans="1:17" x14ac:dyDescent="0.25">
      <c r="A1310">
        <v>1304</v>
      </c>
      <c r="B1310" t="s">
        <v>1162</v>
      </c>
      <c r="C1310" t="s">
        <v>604</v>
      </c>
      <c r="D1310" t="s">
        <v>1163</v>
      </c>
      <c r="E1310" t="s">
        <v>1122</v>
      </c>
      <c r="F1310" t="str" cm="1">
        <f t="array" ref="F1310">IF(SUM(IF(PartList[ASSLY MARK]=PartList[[#This Row],[ASSLY MARK]],1,0))&gt;1,"No","Yes")</f>
        <v>Yes</v>
      </c>
      <c r="G1310" t="str" cm="1">
        <f t="array" ref="G1310">_xlfn.TEXTJOIN("_",TRUE,TRIM(_xlfn.TEXTSPLIT(PartList[[#This Row],[GRID LOCATION]],{"PR01","/","-"})))</f>
        <v>13_14_A"</v>
      </c>
      <c r="H1310" t="str" cm="1">
        <f t="array" ref="H131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10" cm="1">
        <f t="array" ref="I131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10" t="str">
        <f>IF(IFERROR(SEARCH("&gt;",PartList[[#This Row],[ID]]),0),"O",IF(IFERROR(SEARCH("&lt;",PartList[[#This Row],[ID]]),0),"I",""))</f>
        <v/>
      </c>
      <c r="K1310" t="str" cm="1">
        <f t="array" ref="K13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10" t="str" cm="1">
        <f t="array" ref="L131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10" t="str">
        <f>_xlfn.TEXTJOIN("#",TRUE,PartList[[#This Row],[ASSLY MARK]],PartList[[#This Row],[BOX NO]],PartList[[#This Row],[In/Out]],PartList[[#This Row],[O1-Grid]])</f>
        <v>VB60#Box5_Box6#InBB</v>
      </c>
      <c r="N1310" t="str">
        <f>_xlfn.TEXTJOIN("#",TRUE,PartList[[#This Row],[ASSLY MARK]],PartList[[#This Row],[BOX NO]],PartList[[#This Row],[In/Out]],PartList[[#This Row],[O2-Grid]])</f>
        <v>VB60#Box5_Box6#InBB</v>
      </c>
      <c r="O1310">
        <f>IF(PartList[[#This Row],[Unique]]="Yes",_xlfn.XLOOKUP(PartList[[#This Row],[ASSLY MARK]],FilteredPL!A:A,FilteredPL!B:B,0,0),0)</f>
        <v>0</v>
      </c>
      <c r="P1310">
        <f>_xlfn.XLOOKUP(PartList[[#This Row],[ASSLY MARK]],MasterPL[SplitMarkNo],MasterPL[BILL WT.(KG)],0,0)</f>
        <v>0</v>
      </c>
      <c r="Q1310" cm="1">
        <f t="array" ref="Q131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11" spans="1:17" x14ac:dyDescent="0.25">
      <c r="A1311">
        <v>1305</v>
      </c>
      <c r="B1311" t="s">
        <v>1164</v>
      </c>
      <c r="C1311" t="s">
        <v>604</v>
      </c>
      <c r="D1311" t="s">
        <v>1165</v>
      </c>
      <c r="E1311" t="s">
        <v>1122</v>
      </c>
      <c r="F1311" t="str" cm="1">
        <f t="array" ref="F1311">IF(SUM(IF(PartList[ASSLY MARK]=PartList[[#This Row],[ASSLY MARK]],1,0))&gt;1,"No","Yes")</f>
        <v>Yes</v>
      </c>
      <c r="G1311" t="str" cm="1">
        <f t="array" ref="G1311">_xlfn.TEXTJOIN("_",TRUE,TRIM(_xlfn.TEXTSPLIT(PartList[[#This Row],[GRID LOCATION]],{"PR01","/","-"})))</f>
        <v>13_14_A"</v>
      </c>
      <c r="H1311" t="str" cm="1">
        <f t="array" ref="H131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11" cm="1">
        <f t="array" ref="I131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11" t="str">
        <f>IF(IFERROR(SEARCH("&gt;",PartList[[#This Row],[ID]]),0),"O",IF(IFERROR(SEARCH("&lt;",PartList[[#This Row],[ID]]),0),"I",""))</f>
        <v/>
      </c>
      <c r="K1311" t="str" cm="1">
        <f t="array" ref="K13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11" t="str" cm="1">
        <f t="array" ref="L131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11" t="str">
        <f>_xlfn.TEXTJOIN("#",TRUE,PartList[[#This Row],[ASSLY MARK]],PartList[[#This Row],[BOX NO]],PartList[[#This Row],[In/Out]],PartList[[#This Row],[O1-Grid]])</f>
        <v>VB61#Box5_Box6#InBB</v>
      </c>
      <c r="N1311" t="str">
        <f>_xlfn.TEXTJOIN("#",TRUE,PartList[[#This Row],[ASSLY MARK]],PartList[[#This Row],[BOX NO]],PartList[[#This Row],[In/Out]],PartList[[#This Row],[O2-Grid]])</f>
        <v>VB61#Box5_Box6#InBB</v>
      </c>
      <c r="O1311">
        <f>IF(PartList[[#This Row],[Unique]]="Yes",_xlfn.XLOOKUP(PartList[[#This Row],[ASSLY MARK]],FilteredPL!A:A,FilteredPL!B:B,0,0),0)</f>
        <v>0</v>
      </c>
      <c r="P1311">
        <f>_xlfn.XLOOKUP(PartList[[#This Row],[ASSLY MARK]],MasterPL[SplitMarkNo],MasterPL[BILL WT.(KG)],0,0)</f>
        <v>0</v>
      </c>
      <c r="Q1311" cm="1">
        <f t="array" ref="Q131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12" spans="1:17" x14ac:dyDescent="0.25">
      <c r="A1312">
        <v>1306</v>
      </c>
      <c r="B1312" t="s">
        <v>1166</v>
      </c>
      <c r="C1312" t="s">
        <v>604</v>
      </c>
      <c r="D1312" t="s">
        <v>1167</v>
      </c>
      <c r="E1312" t="s">
        <v>1122</v>
      </c>
      <c r="F1312" t="str" cm="1">
        <f t="array" ref="F1312">IF(SUM(IF(PartList[ASSLY MARK]=PartList[[#This Row],[ASSLY MARK]],1,0))&gt;1,"No","Yes")</f>
        <v>Yes</v>
      </c>
      <c r="G1312" t="str" cm="1">
        <f t="array" ref="G1312">_xlfn.TEXTJOIN("_",TRUE,TRIM(_xlfn.TEXTSPLIT(PartList[[#This Row],[GRID LOCATION]],{"PR01","/","-"})))</f>
        <v>13_14_A"</v>
      </c>
      <c r="H1312" t="str" cm="1">
        <f t="array" ref="H131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12" cm="1">
        <f t="array" ref="I131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12" t="str">
        <f>IF(IFERROR(SEARCH("&gt;",PartList[[#This Row],[ID]]),0),"O",IF(IFERROR(SEARCH("&lt;",PartList[[#This Row],[ID]]),0),"I",""))</f>
        <v/>
      </c>
      <c r="K1312" t="str" cm="1">
        <f t="array" ref="K13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12" t="str" cm="1">
        <f t="array" ref="L131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12" t="str">
        <f>_xlfn.TEXTJOIN("#",TRUE,PartList[[#This Row],[ASSLY MARK]],PartList[[#This Row],[BOX NO]],PartList[[#This Row],[In/Out]],PartList[[#This Row],[O1-Grid]])</f>
        <v>VB62#Box5_Box6#InBB</v>
      </c>
      <c r="N1312" t="str">
        <f>_xlfn.TEXTJOIN("#",TRUE,PartList[[#This Row],[ASSLY MARK]],PartList[[#This Row],[BOX NO]],PartList[[#This Row],[In/Out]],PartList[[#This Row],[O2-Grid]])</f>
        <v>VB62#Box5_Box6#InBB</v>
      </c>
      <c r="O1312">
        <f>IF(PartList[[#This Row],[Unique]]="Yes",_xlfn.XLOOKUP(PartList[[#This Row],[ASSLY MARK]],FilteredPL!A:A,FilteredPL!B:B,0,0),0)</f>
        <v>0</v>
      </c>
      <c r="P1312">
        <f>_xlfn.XLOOKUP(PartList[[#This Row],[ASSLY MARK]],MasterPL[SplitMarkNo],MasterPL[BILL WT.(KG)],0,0)</f>
        <v>0</v>
      </c>
      <c r="Q1312" cm="1">
        <f t="array" ref="Q131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13" spans="1:17" x14ac:dyDescent="0.25">
      <c r="A1313">
        <v>1307</v>
      </c>
      <c r="B1313" t="s">
        <v>1168</v>
      </c>
      <c r="C1313" t="s">
        <v>604</v>
      </c>
      <c r="D1313" t="s">
        <v>1169</v>
      </c>
      <c r="E1313" t="s">
        <v>1122</v>
      </c>
      <c r="F1313" t="str" cm="1">
        <f t="array" ref="F1313">IF(SUM(IF(PartList[ASSLY MARK]=PartList[[#This Row],[ASSLY MARK]],1,0))&gt;1,"No","Yes")</f>
        <v>Yes</v>
      </c>
      <c r="G1313" t="str" cm="1">
        <f t="array" ref="G1313">_xlfn.TEXTJOIN("_",TRUE,TRIM(_xlfn.TEXTSPLIT(PartList[[#This Row],[GRID LOCATION]],{"PR01","/","-"})))</f>
        <v>13_14_A"</v>
      </c>
      <c r="H1313" t="str" cm="1">
        <f t="array" ref="H131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13" cm="1">
        <f t="array" ref="I131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13" t="str">
        <f>IF(IFERROR(SEARCH("&gt;",PartList[[#This Row],[ID]]),0),"O",IF(IFERROR(SEARCH("&lt;",PartList[[#This Row],[ID]]),0),"I",""))</f>
        <v/>
      </c>
      <c r="K1313" t="str" cm="1">
        <f t="array" ref="K13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13" t="str" cm="1">
        <f t="array" ref="L131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13" t="str">
        <f>_xlfn.TEXTJOIN("#",TRUE,PartList[[#This Row],[ASSLY MARK]],PartList[[#This Row],[BOX NO]],PartList[[#This Row],[In/Out]],PartList[[#This Row],[O1-Grid]])</f>
        <v>VB63#Box5_Box6#InBB</v>
      </c>
      <c r="N1313" t="str">
        <f>_xlfn.TEXTJOIN("#",TRUE,PartList[[#This Row],[ASSLY MARK]],PartList[[#This Row],[BOX NO]],PartList[[#This Row],[In/Out]],PartList[[#This Row],[O2-Grid]])</f>
        <v>VB63#Box5_Box6#InBB</v>
      </c>
      <c r="O1313">
        <f>IF(PartList[[#This Row],[Unique]]="Yes",_xlfn.XLOOKUP(PartList[[#This Row],[ASSLY MARK]],FilteredPL!A:A,FilteredPL!B:B,0,0),0)</f>
        <v>0</v>
      </c>
      <c r="P1313">
        <f>_xlfn.XLOOKUP(PartList[[#This Row],[ASSLY MARK]],MasterPL[SplitMarkNo],MasterPL[BILL WT.(KG)],0,0)</f>
        <v>0</v>
      </c>
      <c r="Q1313" cm="1">
        <f t="array" ref="Q131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14" spans="1:17" x14ac:dyDescent="0.25">
      <c r="A1314">
        <v>1308</v>
      </c>
      <c r="B1314" t="s">
        <v>1170</v>
      </c>
      <c r="C1314" t="s">
        <v>604</v>
      </c>
      <c r="D1314" t="s">
        <v>1171</v>
      </c>
      <c r="E1314" t="s">
        <v>1122</v>
      </c>
      <c r="F1314" t="str" cm="1">
        <f t="array" ref="F1314">IF(SUM(IF(PartList[ASSLY MARK]=PartList[[#This Row],[ASSLY MARK]],1,0))&gt;1,"No","Yes")</f>
        <v>Yes</v>
      </c>
      <c r="G1314" t="str" cm="1">
        <f t="array" ref="G1314">_xlfn.TEXTJOIN("_",TRUE,TRIM(_xlfn.TEXTSPLIT(PartList[[#This Row],[GRID LOCATION]],{"PR01","/","-"})))</f>
        <v>13_14_A"</v>
      </c>
      <c r="H1314" t="str" cm="1">
        <f t="array" ref="H131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14" cm="1">
        <f t="array" ref="I131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14" t="str">
        <f>IF(IFERROR(SEARCH("&gt;",PartList[[#This Row],[ID]]),0),"O",IF(IFERROR(SEARCH("&lt;",PartList[[#This Row],[ID]]),0),"I",""))</f>
        <v/>
      </c>
      <c r="K1314" t="str" cm="1">
        <f t="array" ref="K13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14" t="str" cm="1">
        <f t="array" ref="L131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14" t="str">
        <f>_xlfn.TEXTJOIN("#",TRUE,PartList[[#This Row],[ASSLY MARK]],PartList[[#This Row],[BOX NO]],PartList[[#This Row],[In/Out]],PartList[[#This Row],[O1-Grid]])</f>
        <v>VB64#Box5_Box6#InBB</v>
      </c>
      <c r="N1314" t="str">
        <f>_xlfn.TEXTJOIN("#",TRUE,PartList[[#This Row],[ASSLY MARK]],PartList[[#This Row],[BOX NO]],PartList[[#This Row],[In/Out]],PartList[[#This Row],[O2-Grid]])</f>
        <v>VB64#Box5_Box6#InBB</v>
      </c>
      <c r="O1314">
        <f>IF(PartList[[#This Row],[Unique]]="Yes",_xlfn.XLOOKUP(PartList[[#This Row],[ASSLY MARK]],FilteredPL!A:A,FilteredPL!B:B,0,0),0)</f>
        <v>0</v>
      </c>
      <c r="P1314">
        <f>_xlfn.XLOOKUP(PartList[[#This Row],[ASSLY MARK]],MasterPL[SplitMarkNo],MasterPL[BILL WT.(KG)],0,0)</f>
        <v>0</v>
      </c>
      <c r="Q1314" cm="1">
        <f t="array" ref="Q131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15" spans="1:17" x14ac:dyDescent="0.25">
      <c r="A1315">
        <v>1309</v>
      </c>
      <c r="B1315" t="s">
        <v>1172</v>
      </c>
      <c r="C1315" t="s">
        <v>604</v>
      </c>
      <c r="D1315" t="s">
        <v>1087</v>
      </c>
      <c r="E1315" t="s">
        <v>1122</v>
      </c>
      <c r="F1315" t="str" cm="1">
        <f t="array" ref="F1315">IF(SUM(IF(PartList[ASSLY MARK]=PartList[[#This Row],[ASSLY MARK]],1,0))&gt;1,"No","Yes")</f>
        <v>No</v>
      </c>
      <c r="G1315" t="str" cm="1">
        <f t="array" ref="G1315">_xlfn.TEXTJOIN("_",TRUE,TRIM(_xlfn.TEXTSPLIT(PartList[[#This Row],[GRID LOCATION]],{"PR01","/","-"})))</f>
        <v>13_14_A"</v>
      </c>
      <c r="H1315" t="str" cm="1">
        <f t="array" ref="H131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15" cm="1">
        <f t="array" ref="I131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15" t="str">
        <f>IF(IFERROR(SEARCH("&gt;",PartList[[#This Row],[ID]]),0),"O",IF(IFERROR(SEARCH("&lt;",PartList[[#This Row],[ID]]),0),"I",""))</f>
        <v/>
      </c>
      <c r="K1315" t="str" cm="1">
        <f t="array" ref="K13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15" t="str" cm="1">
        <f t="array" ref="L131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15" t="str">
        <f>_xlfn.TEXTJOIN("#",TRUE,PartList[[#This Row],[ASSLY MARK]],PartList[[#This Row],[BOX NO]],PartList[[#This Row],[In/Out]],PartList[[#This Row],[O1-Grid]])</f>
        <v>VB65#Box5_Box6#InBB</v>
      </c>
      <c r="N1315" t="str">
        <f>_xlfn.TEXTJOIN("#",TRUE,PartList[[#This Row],[ASSLY MARK]],PartList[[#This Row],[BOX NO]],PartList[[#This Row],[In/Out]],PartList[[#This Row],[O2-Grid]])</f>
        <v>VB65#Box5_Box6#InBB</v>
      </c>
      <c r="O1315">
        <f>IF(PartList[[#This Row],[Unique]]="Yes",_xlfn.XLOOKUP(PartList[[#This Row],[ASSLY MARK]],FilteredPL!A:A,FilteredPL!B:B,0,0),0)</f>
        <v>0</v>
      </c>
      <c r="P1315">
        <f>_xlfn.XLOOKUP(PartList[[#This Row],[ASSLY MARK]],MasterPL[SplitMarkNo],MasterPL[BILL WT.(KG)],0,0)</f>
        <v>0</v>
      </c>
      <c r="Q1315" cm="1">
        <f t="array" ref="Q131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16" spans="1:17" x14ac:dyDescent="0.25">
      <c r="A1316">
        <v>1310</v>
      </c>
      <c r="B1316" t="s">
        <v>1172</v>
      </c>
      <c r="C1316" t="s">
        <v>604</v>
      </c>
      <c r="D1316" t="s">
        <v>1133</v>
      </c>
      <c r="E1316" t="s">
        <v>1122</v>
      </c>
      <c r="F1316" t="str" cm="1">
        <f t="array" ref="F1316">IF(SUM(IF(PartList[ASSLY MARK]=PartList[[#This Row],[ASSLY MARK]],1,0))&gt;1,"No","Yes")</f>
        <v>No</v>
      </c>
      <c r="G1316" t="str" cm="1">
        <f t="array" ref="G1316">_xlfn.TEXTJOIN("_",TRUE,TRIM(_xlfn.TEXTSPLIT(PartList[[#This Row],[GRID LOCATION]],{"PR01","/","-"})))</f>
        <v>13_14_A"</v>
      </c>
      <c r="H1316" t="str" cm="1">
        <f t="array" ref="H131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16" cm="1">
        <f t="array" ref="I131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16" t="str">
        <f>IF(IFERROR(SEARCH("&gt;",PartList[[#This Row],[ID]]),0),"O",IF(IFERROR(SEARCH("&lt;",PartList[[#This Row],[ID]]),0),"I",""))</f>
        <v/>
      </c>
      <c r="K1316" t="str" cm="1">
        <f t="array" ref="K13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16" t="str" cm="1">
        <f t="array" ref="L131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16" t="str">
        <f>_xlfn.TEXTJOIN("#",TRUE,PartList[[#This Row],[ASSLY MARK]],PartList[[#This Row],[BOX NO]],PartList[[#This Row],[In/Out]],PartList[[#This Row],[O1-Grid]])</f>
        <v>VB65#Box5_Box6#InBB</v>
      </c>
      <c r="N1316" t="str">
        <f>_xlfn.TEXTJOIN("#",TRUE,PartList[[#This Row],[ASSLY MARK]],PartList[[#This Row],[BOX NO]],PartList[[#This Row],[In/Out]],PartList[[#This Row],[O2-Grid]])</f>
        <v>VB65#Box5_Box6#InBB</v>
      </c>
      <c r="O1316">
        <f>IF(PartList[[#This Row],[Unique]]="Yes",_xlfn.XLOOKUP(PartList[[#This Row],[ASSLY MARK]],FilteredPL!A:A,FilteredPL!B:B,0,0),0)</f>
        <v>0</v>
      </c>
      <c r="P1316">
        <f>_xlfn.XLOOKUP(PartList[[#This Row],[ASSLY MARK]],MasterPL[SplitMarkNo],MasterPL[BILL WT.(KG)],0,0)</f>
        <v>0</v>
      </c>
      <c r="Q1316" cm="1">
        <f t="array" ref="Q131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17" spans="1:17" x14ac:dyDescent="0.25">
      <c r="A1317">
        <v>1311</v>
      </c>
      <c r="B1317" t="s">
        <v>1172</v>
      </c>
      <c r="C1317" t="s">
        <v>604</v>
      </c>
      <c r="D1317" t="s">
        <v>1133</v>
      </c>
      <c r="E1317" t="s">
        <v>1122</v>
      </c>
      <c r="F1317" t="str" cm="1">
        <f t="array" ref="F1317">IF(SUM(IF(PartList[ASSLY MARK]=PartList[[#This Row],[ASSLY MARK]],1,0))&gt;1,"No","Yes")</f>
        <v>No</v>
      </c>
      <c r="G1317" t="str" cm="1">
        <f t="array" ref="G1317">_xlfn.TEXTJOIN("_",TRUE,TRIM(_xlfn.TEXTSPLIT(PartList[[#This Row],[GRID LOCATION]],{"PR01","/","-"})))</f>
        <v>13_14_A"</v>
      </c>
      <c r="H1317" t="str" cm="1">
        <f t="array" ref="H131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17" cm="1">
        <f t="array" ref="I131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17" t="str">
        <f>IF(IFERROR(SEARCH("&gt;",PartList[[#This Row],[ID]]),0),"O",IF(IFERROR(SEARCH("&lt;",PartList[[#This Row],[ID]]),0),"I",""))</f>
        <v/>
      </c>
      <c r="K1317" t="str" cm="1">
        <f t="array" ref="K13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17" t="str" cm="1">
        <f t="array" ref="L131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17" t="str">
        <f>_xlfn.TEXTJOIN("#",TRUE,PartList[[#This Row],[ASSLY MARK]],PartList[[#This Row],[BOX NO]],PartList[[#This Row],[In/Out]],PartList[[#This Row],[O1-Grid]])</f>
        <v>VB65#Box5_Box6#InBB</v>
      </c>
      <c r="N1317" t="str">
        <f>_xlfn.TEXTJOIN("#",TRUE,PartList[[#This Row],[ASSLY MARK]],PartList[[#This Row],[BOX NO]],PartList[[#This Row],[In/Out]],PartList[[#This Row],[O2-Grid]])</f>
        <v>VB65#Box5_Box6#InBB</v>
      </c>
      <c r="O1317">
        <f>IF(PartList[[#This Row],[Unique]]="Yes",_xlfn.XLOOKUP(PartList[[#This Row],[ASSLY MARK]],FilteredPL!A:A,FilteredPL!B:B,0,0),0)</f>
        <v>0</v>
      </c>
      <c r="P1317">
        <f>_xlfn.XLOOKUP(PartList[[#This Row],[ASSLY MARK]],MasterPL[SplitMarkNo],MasterPL[BILL WT.(KG)],0,0)</f>
        <v>0</v>
      </c>
      <c r="Q1317" cm="1">
        <f t="array" ref="Q131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18" spans="1:17" x14ac:dyDescent="0.25">
      <c r="A1318">
        <v>1312</v>
      </c>
      <c r="B1318" t="s">
        <v>1173</v>
      </c>
      <c r="C1318" t="s">
        <v>604</v>
      </c>
      <c r="D1318" t="s">
        <v>1174</v>
      </c>
      <c r="E1318" t="s">
        <v>1122</v>
      </c>
      <c r="F1318" t="str" cm="1">
        <f t="array" ref="F1318">IF(SUM(IF(PartList[ASSLY MARK]=PartList[[#This Row],[ASSLY MARK]],1,0))&gt;1,"No","Yes")</f>
        <v>No</v>
      </c>
      <c r="G1318" t="str" cm="1">
        <f t="array" ref="G1318">_xlfn.TEXTJOIN("_",TRUE,TRIM(_xlfn.TEXTSPLIT(PartList[[#This Row],[GRID LOCATION]],{"PR01","/","-"})))</f>
        <v>13_14_A"</v>
      </c>
      <c r="H1318" t="str" cm="1">
        <f t="array" ref="H131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18" cm="1">
        <f t="array" ref="I131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18" t="str">
        <f>IF(IFERROR(SEARCH("&gt;",PartList[[#This Row],[ID]]),0),"O",IF(IFERROR(SEARCH("&lt;",PartList[[#This Row],[ID]]),0),"I",""))</f>
        <v/>
      </c>
      <c r="K1318" t="str" cm="1">
        <f t="array" ref="K13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18" t="str" cm="1">
        <f t="array" ref="L131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18" t="str">
        <f>_xlfn.TEXTJOIN("#",TRUE,PartList[[#This Row],[ASSLY MARK]],PartList[[#This Row],[BOX NO]],PartList[[#This Row],[In/Out]],PartList[[#This Row],[O1-Grid]])</f>
        <v>VB66#Box5_Box6#InBB</v>
      </c>
      <c r="N1318" t="str">
        <f>_xlfn.TEXTJOIN("#",TRUE,PartList[[#This Row],[ASSLY MARK]],PartList[[#This Row],[BOX NO]],PartList[[#This Row],[In/Out]],PartList[[#This Row],[O2-Grid]])</f>
        <v>VB66#Box5_Box6#InBB</v>
      </c>
      <c r="O1318">
        <f>IF(PartList[[#This Row],[Unique]]="Yes",_xlfn.XLOOKUP(PartList[[#This Row],[ASSLY MARK]],FilteredPL!A:A,FilteredPL!B:B,0,0),0)</f>
        <v>0</v>
      </c>
      <c r="P1318">
        <f>_xlfn.XLOOKUP(PartList[[#This Row],[ASSLY MARK]],MasterPL[SplitMarkNo],MasterPL[BILL WT.(KG)],0,0)</f>
        <v>0</v>
      </c>
      <c r="Q1318" cm="1">
        <f t="array" ref="Q131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19" spans="1:17" x14ac:dyDescent="0.25">
      <c r="A1319">
        <v>1313</v>
      </c>
      <c r="B1319" t="s">
        <v>1173</v>
      </c>
      <c r="C1319" t="s">
        <v>604</v>
      </c>
      <c r="D1319" t="s">
        <v>1174</v>
      </c>
      <c r="E1319" t="s">
        <v>1122</v>
      </c>
      <c r="F1319" t="str" cm="1">
        <f t="array" ref="F1319">IF(SUM(IF(PartList[ASSLY MARK]=PartList[[#This Row],[ASSLY MARK]],1,0))&gt;1,"No","Yes")</f>
        <v>No</v>
      </c>
      <c r="G1319" t="str" cm="1">
        <f t="array" ref="G1319">_xlfn.TEXTJOIN("_",TRUE,TRIM(_xlfn.TEXTSPLIT(PartList[[#This Row],[GRID LOCATION]],{"PR01","/","-"})))</f>
        <v>13_14_A"</v>
      </c>
      <c r="H1319" t="str" cm="1">
        <f t="array" ref="H131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19" cm="1">
        <f t="array" ref="I131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19" t="str">
        <f>IF(IFERROR(SEARCH("&gt;",PartList[[#This Row],[ID]]),0),"O",IF(IFERROR(SEARCH("&lt;",PartList[[#This Row],[ID]]),0),"I",""))</f>
        <v/>
      </c>
      <c r="K1319" t="str" cm="1">
        <f t="array" ref="K13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19" t="str" cm="1">
        <f t="array" ref="L131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19" t="str">
        <f>_xlfn.TEXTJOIN("#",TRUE,PartList[[#This Row],[ASSLY MARK]],PartList[[#This Row],[BOX NO]],PartList[[#This Row],[In/Out]],PartList[[#This Row],[O1-Grid]])</f>
        <v>VB66#Box5_Box6#InBB</v>
      </c>
      <c r="N1319" t="str">
        <f>_xlfn.TEXTJOIN("#",TRUE,PartList[[#This Row],[ASSLY MARK]],PartList[[#This Row],[BOX NO]],PartList[[#This Row],[In/Out]],PartList[[#This Row],[O2-Grid]])</f>
        <v>VB66#Box5_Box6#InBB</v>
      </c>
      <c r="O1319">
        <f>IF(PartList[[#This Row],[Unique]]="Yes",_xlfn.XLOOKUP(PartList[[#This Row],[ASSLY MARK]],FilteredPL!A:A,FilteredPL!B:B,0,0),0)</f>
        <v>0</v>
      </c>
      <c r="P1319">
        <f>_xlfn.XLOOKUP(PartList[[#This Row],[ASSLY MARK]],MasterPL[SplitMarkNo],MasterPL[BILL WT.(KG)],0,0)</f>
        <v>0</v>
      </c>
      <c r="Q1319" cm="1">
        <f t="array" ref="Q131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20" spans="1:17" x14ac:dyDescent="0.25">
      <c r="A1320">
        <v>1314</v>
      </c>
      <c r="B1320" t="s">
        <v>1173</v>
      </c>
      <c r="C1320" t="s">
        <v>604</v>
      </c>
      <c r="D1320" t="s">
        <v>1175</v>
      </c>
      <c r="E1320" t="s">
        <v>1122</v>
      </c>
      <c r="F1320" t="str" cm="1">
        <f t="array" ref="F1320">IF(SUM(IF(PartList[ASSLY MARK]=PartList[[#This Row],[ASSLY MARK]],1,0))&gt;1,"No","Yes")</f>
        <v>No</v>
      </c>
      <c r="G1320" t="str" cm="1">
        <f t="array" ref="G1320">_xlfn.TEXTJOIN("_",TRUE,TRIM(_xlfn.TEXTSPLIT(PartList[[#This Row],[GRID LOCATION]],{"PR01","/","-"})))</f>
        <v>13_14_A"</v>
      </c>
      <c r="H1320" t="str" cm="1">
        <f t="array" ref="H132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20" cm="1">
        <f t="array" ref="I132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20" t="str">
        <f>IF(IFERROR(SEARCH("&gt;",PartList[[#This Row],[ID]]),0),"O",IF(IFERROR(SEARCH("&lt;",PartList[[#This Row],[ID]]),0),"I",""))</f>
        <v/>
      </c>
      <c r="K1320" t="str" cm="1">
        <f t="array" ref="K13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20" t="str" cm="1">
        <f t="array" ref="L132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20" t="str">
        <f>_xlfn.TEXTJOIN("#",TRUE,PartList[[#This Row],[ASSLY MARK]],PartList[[#This Row],[BOX NO]],PartList[[#This Row],[In/Out]],PartList[[#This Row],[O1-Grid]])</f>
        <v>VB66#Box5_Box6#InBB</v>
      </c>
      <c r="N1320" t="str">
        <f>_xlfn.TEXTJOIN("#",TRUE,PartList[[#This Row],[ASSLY MARK]],PartList[[#This Row],[BOX NO]],PartList[[#This Row],[In/Out]],PartList[[#This Row],[O2-Grid]])</f>
        <v>VB66#Box5_Box6#InBB</v>
      </c>
      <c r="O1320">
        <f>IF(PartList[[#This Row],[Unique]]="Yes",_xlfn.XLOOKUP(PartList[[#This Row],[ASSLY MARK]],FilteredPL!A:A,FilteredPL!B:B,0,0),0)</f>
        <v>0</v>
      </c>
      <c r="P1320">
        <f>_xlfn.XLOOKUP(PartList[[#This Row],[ASSLY MARK]],MasterPL[SplitMarkNo],MasterPL[BILL WT.(KG)],0,0)</f>
        <v>0</v>
      </c>
      <c r="Q1320" cm="1">
        <f t="array" ref="Q132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21" spans="1:17" x14ac:dyDescent="0.25">
      <c r="A1321">
        <v>1315</v>
      </c>
      <c r="B1321" t="s">
        <v>1176</v>
      </c>
      <c r="C1321" t="s">
        <v>604</v>
      </c>
      <c r="D1321" t="s">
        <v>1177</v>
      </c>
      <c r="E1321" t="s">
        <v>1122</v>
      </c>
      <c r="F1321" t="str" cm="1">
        <f t="array" ref="F1321">IF(SUM(IF(PartList[ASSLY MARK]=PartList[[#This Row],[ASSLY MARK]],1,0))&gt;1,"No","Yes")</f>
        <v>Yes</v>
      </c>
      <c r="G1321" t="str" cm="1">
        <f t="array" ref="G1321">_xlfn.TEXTJOIN("_",TRUE,TRIM(_xlfn.TEXTSPLIT(PartList[[#This Row],[GRID LOCATION]],{"PR01","/","-"})))</f>
        <v>13_14_A"</v>
      </c>
      <c r="H1321" t="str" cm="1">
        <f t="array" ref="H132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21" cm="1">
        <f t="array" ref="I132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21" t="str">
        <f>IF(IFERROR(SEARCH("&gt;",PartList[[#This Row],[ID]]),0),"O",IF(IFERROR(SEARCH("&lt;",PartList[[#This Row],[ID]]),0),"I",""))</f>
        <v/>
      </c>
      <c r="K1321" t="str" cm="1">
        <f t="array" ref="K13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21" t="str" cm="1">
        <f t="array" ref="L132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21" t="str">
        <f>_xlfn.TEXTJOIN("#",TRUE,PartList[[#This Row],[ASSLY MARK]],PartList[[#This Row],[BOX NO]],PartList[[#This Row],[In/Out]],PartList[[#This Row],[O1-Grid]])</f>
        <v>VB67#Box5_Box6#InBB</v>
      </c>
      <c r="N1321" t="str">
        <f>_xlfn.TEXTJOIN("#",TRUE,PartList[[#This Row],[ASSLY MARK]],PartList[[#This Row],[BOX NO]],PartList[[#This Row],[In/Out]],PartList[[#This Row],[O2-Grid]])</f>
        <v>VB67#Box5_Box6#InBB</v>
      </c>
      <c r="O1321">
        <f>IF(PartList[[#This Row],[Unique]]="Yes",_xlfn.XLOOKUP(PartList[[#This Row],[ASSLY MARK]],FilteredPL!A:A,FilteredPL!B:B,0,0),0)</f>
        <v>0</v>
      </c>
      <c r="P1321">
        <f>_xlfn.XLOOKUP(PartList[[#This Row],[ASSLY MARK]],MasterPL[SplitMarkNo],MasterPL[BILL WT.(KG)],0,0)</f>
        <v>0</v>
      </c>
      <c r="Q1321" cm="1">
        <f t="array" ref="Q132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22" spans="1:17" x14ac:dyDescent="0.25">
      <c r="A1322">
        <v>1317</v>
      </c>
      <c r="B1322" t="s">
        <v>1180</v>
      </c>
      <c r="C1322" t="s">
        <v>604</v>
      </c>
      <c r="D1322" t="s">
        <v>1181</v>
      </c>
      <c r="E1322" t="s">
        <v>1122</v>
      </c>
      <c r="F1322" t="str" cm="1">
        <f t="array" ref="F1322">IF(SUM(IF(PartList[ASSLY MARK]=PartList[[#This Row],[ASSLY MARK]],1,0))&gt;1,"No","Yes")</f>
        <v>No</v>
      </c>
      <c r="G1322" t="str" cm="1">
        <f t="array" ref="G1322">_xlfn.TEXTJOIN("_",TRUE,TRIM(_xlfn.TEXTSPLIT(PartList[[#This Row],[GRID LOCATION]],{"PR01","/","-"})))</f>
        <v>13_14_A"</v>
      </c>
      <c r="H1322" t="str" cm="1">
        <f t="array" ref="H132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22" cm="1">
        <f t="array" ref="I132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22" t="str">
        <f>IF(IFERROR(SEARCH("&gt;",PartList[[#This Row],[ID]]),0),"O",IF(IFERROR(SEARCH("&lt;",PartList[[#This Row],[ID]]),0),"I",""))</f>
        <v/>
      </c>
      <c r="K1322" t="str" cm="1">
        <f t="array" ref="K13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22" t="str" cm="1">
        <f t="array" ref="L132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22" t="str">
        <f>_xlfn.TEXTJOIN("#",TRUE,PartList[[#This Row],[ASSLY MARK]],PartList[[#This Row],[BOX NO]],PartList[[#This Row],[In/Out]],PartList[[#This Row],[O1-Grid]])</f>
        <v>VB69#Box5_Box6#InBB</v>
      </c>
      <c r="N1322" t="str">
        <f>_xlfn.TEXTJOIN("#",TRUE,PartList[[#This Row],[ASSLY MARK]],PartList[[#This Row],[BOX NO]],PartList[[#This Row],[In/Out]],PartList[[#This Row],[O2-Grid]])</f>
        <v>VB69#Box5_Box6#InBB</v>
      </c>
      <c r="O1322">
        <f>IF(PartList[[#This Row],[Unique]]="Yes",_xlfn.XLOOKUP(PartList[[#This Row],[ASSLY MARK]],FilteredPL!A:A,FilteredPL!B:B,0,0),0)</f>
        <v>0</v>
      </c>
      <c r="P1322">
        <f>_xlfn.XLOOKUP(PartList[[#This Row],[ASSLY MARK]],MasterPL[SplitMarkNo],MasterPL[BILL WT.(KG)],0,0)</f>
        <v>0</v>
      </c>
      <c r="Q1322" cm="1">
        <f t="array" ref="Q132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23" spans="1:17" x14ac:dyDescent="0.25">
      <c r="A1323">
        <v>1318</v>
      </c>
      <c r="B1323" t="s">
        <v>1180</v>
      </c>
      <c r="C1323" t="s">
        <v>604</v>
      </c>
      <c r="D1323" t="s">
        <v>1129</v>
      </c>
      <c r="E1323" t="s">
        <v>1122</v>
      </c>
      <c r="F1323" t="str" cm="1">
        <f t="array" ref="F1323">IF(SUM(IF(PartList[ASSLY MARK]=PartList[[#This Row],[ASSLY MARK]],1,0))&gt;1,"No","Yes")</f>
        <v>No</v>
      </c>
      <c r="G1323" t="str" cm="1">
        <f t="array" ref="G1323">_xlfn.TEXTJOIN("_",TRUE,TRIM(_xlfn.TEXTSPLIT(PartList[[#This Row],[GRID LOCATION]],{"PR01","/","-"})))</f>
        <v>13_14_A"</v>
      </c>
      <c r="H1323" t="str" cm="1">
        <f t="array" ref="H132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23" cm="1">
        <f t="array" ref="I132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23" t="str">
        <f>IF(IFERROR(SEARCH("&gt;",PartList[[#This Row],[ID]]),0),"O",IF(IFERROR(SEARCH("&lt;",PartList[[#This Row],[ID]]),0),"I",""))</f>
        <v/>
      </c>
      <c r="K1323" t="str" cm="1">
        <f t="array" ref="K13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23" t="str" cm="1">
        <f t="array" ref="L132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23" t="str">
        <f>_xlfn.TEXTJOIN("#",TRUE,PartList[[#This Row],[ASSLY MARK]],PartList[[#This Row],[BOX NO]],PartList[[#This Row],[In/Out]],PartList[[#This Row],[O1-Grid]])</f>
        <v>VB69#Box5_Box6#InBB</v>
      </c>
      <c r="N1323" t="str">
        <f>_xlfn.TEXTJOIN("#",TRUE,PartList[[#This Row],[ASSLY MARK]],PartList[[#This Row],[BOX NO]],PartList[[#This Row],[In/Out]],PartList[[#This Row],[O2-Grid]])</f>
        <v>VB69#Box5_Box6#InBB</v>
      </c>
      <c r="O1323">
        <f>IF(PartList[[#This Row],[Unique]]="Yes",_xlfn.XLOOKUP(PartList[[#This Row],[ASSLY MARK]],FilteredPL!A:A,FilteredPL!B:B,0,0),0)</f>
        <v>0</v>
      </c>
      <c r="P1323">
        <f>_xlfn.XLOOKUP(PartList[[#This Row],[ASSLY MARK]],MasterPL[SplitMarkNo],MasterPL[BILL WT.(KG)],0,0)</f>
        <v>0</v>
      </c>
      <c r="Q1323" cm="1">
        <f t="array" ref="Q132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24" spans="1:17" x14ac:dyDescent="0.25">
      <c r="A1324">
        <v>1319</v>
      </c>
      <c r="B1324" t="s">
        <v>1182</v>
      </c>
      <c r="C1324" t="s">
        <v>604</v>
      </c>
      <c r="D1324" t="s">
        <v>1183</v>
      </c>
      <c r="E1324" t="s">
        <v>1122</v>
      </c>
      <c r="F1324" t="str" cm="1">
        <f t="array" ref="F1324">IF(SUM(IF(PartList[ASSLY MARK]=PartList[[#This Row],[ASSLY MARK]],1,0))&gt;1,"No","Yes")</f>
        <v>Yes</v>
      </c>
      <c r="G1324" t="str" cm="1">
        <f t="array" ref="G1324">_xlfn.TEXTJOIN("_",TRUE,TRIM(_xlfn.TEXTSPLIT(PartList[[#This Row],[GRID LOCATION]],{"PR01","/","-"})))</f>
        <v>13_14_A"</v>
      </c>
      <c r="H1324" t="str" cm="1">
        <f t="array" ref="H132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24" cm="1">
        <f t="array" ref="I132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24" t="str">
        <f>IF(IFERROR(SEARCH("&gt;",PartList[[#This Row],[ID]]),0),"O",IF(IFERROR(SEARCH("&lt;",PartList[[#This Row],[ID]]),0),"I",""))</f>
        <v/>
      </c>
      <c r="K1324" t="str" cm="1">
        <f t="array" ref="K13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24" t="str" cm="1">
        <f t="array" ref="L132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24" t="str">
        <f>_xlfn.TEXTJOIN("#",TRUE,PartList[[#This Row],[ASSLY MARK]],PartList[[#This Row],[BOX NO]],PartList[[#This Row],[In/Out]],PartList[[#This Row],[O1-Grid]])</f>
        <v>VB70#Box5_Box6#InBB</v>
      </c>
      <c r="N1324" t="str">
        <f>_xlfn.TEXTJOIN("#",TRUE,PartList[[#This Row],[ASSLY MARK]],PartList[[#This Row],[BOX NO]],PartList[[#This Row],[In/Out]],PartList[[#This Row],[O2-Grid]])</f>
        <v>VB70#Box5_Box6#InBB</v>
      </c>
      <c r="O1324">
        <f>IF(PartList[[#This Row],[Unique]]="Yes",_xlfn.XLOOKUP(PartList[[#This Row],[ASSLY MARK]],FilteredPL!A:A,FilteredPL!B:B,0,0),0)</f>
        <v>0</v>
      </c>
      <c r="P1324">
        <f>_xlfn.XLOOKUP(PartList[[#This Row],[ASSLY MARK]],MasterPL[SplitMarkNo],MasterPL[BILL WT.(KG)],0,0)</f>
        <v>0</v>
      </c>
      <c r="Q1324" cm="1">
        <f t="array" ref="Q132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25" spans="1:17" x14ac:dyDescent="0.25">
      <c r="A1325">
        <v>1320</v>
      </c>
      <c r="B1325" t="s">
        <v>1184</v>
      </c>
      <c r="C1325" t="s">
        <v>604</v>
      </c>
      <c r="D1325" t="s">
        <v>1185</v>
      </c>
      <c r="E1325" t="s">
        <v>1122</v>
      </c>
      <c r="F1325" t="str" cm="1">
        <f t="array" ref="F1325">IF(SUM(IF(PartList[ASSLY MARK]=PartList[[#This Row],[ASSLY MARK]],1,0))&gt;1,"No","Yes")</f>
        <v>Yes</v>
      </c>
      <c r="G1325" t="str" cm="1">
        <f t="array" ref="G1325">_xlfn.TEXTJOIN("_",TRUE,TRIM(_xlfn.TEXTSPLIT(PartList[[#This Row],[GRID LOCATION]],{"PR01","/","-"})))</f>
        <v>13_14_A"</v>
      </c>
      <c r="H1325" t="str" cm="1">
        <f t="array" ref="H132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25" cm="1">
        <f t="array" ref="I132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25" t="str">
        <f>IF(IFERROR(SEARCH("&gt;",PartList[[#This Row],[ID]]),0),"O",IF(IFERROR(SEARCH("&lt;",PartList[[#This Row],[ID]]),0),"I",""))</f>
        <v/>
      </c>
      <c r="K1325" t="str" cm="1">
        <f t="array" ref="K13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25" t="str" cm="1">
        <f t="array" ref="L132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25" t="str">
        <f>_xlfn.TEXTJOIN("#",TRUE,PartList[[#This Row],[ASSLY MARK]],PartList[[#This Row],[BOX NO]],PartList[[#This Row],[In/Out]],PartList[[#This Row],[O1-Grid]])</f>
        <v>VB71#Box5_Box6#InBB</v>
      </c>
      <c r="N1325" t="str">
        <f>_xlfn.TEXTJOIN("#",TRUE,PartList[[#This Row],[ASSLY MARK]],PartList[[#This Row],[BOX NO]],PartList[[#This Row],[In/Out]],PartList[[#This Row],[O2-Grid]])</f>
        <v>VB71#Box5_Box6#InBB</v>
      </c>
      <c r="O1325">
        <f>IF(PartList[[#This Row],[Unique]]="Yes",_xlfn.XLOOKUP(PartList[[#This Row],[ASSLY MARK]],FilteredPL!A:A,FilteredPL!B:B,0,0),0)</f>
        <v>0</v>
      </c>
      <c r="P1325">
        <f>_xlfn.XLOOKUP(PartList[[#This Row],[ASSLY MARK]],MasterPL[SplitMarkNo],MasterPL[BILL WT.(KG)],0,0)</f>
        <v>0</v>
      </c>
      <c r="Q1325" cm="1">
        <f t="array" ref="Q132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26" spans="1:17" x14ac:dyDescent="0.25">
      <c r="A1326">
        <v>1321</v>
      </c>
      <c r="B1326" t="s">
        <v>1186</v>
      </c>
      <c r="C1326" t="s">
        <v>604</v>
      </c>
      <c r="D1326" t="s">
        <v>1167</v>
      </c>
      <c r="E1326" t="s">
        <v>1122</v>
      </c>
      <c r="F1326" t="str" cm="1">
        <f t="array" ref="F1326">IF(SUM(IF(PartList[ASSLY MARK]=PartList[[#This Row],[ASSLY MARK]],1,0))&gt;1,"No","Yes")</f>
        <v>Yes</v>
      </c>
      <c r="G1326" t="str" cm="1">
        <f t="array" ref="G1326">_xlfn.TEXTJOIN("_",TRUE,TRIM(_xlfn.TEXTSPLIT(PartList[[#This Row],[GRID LOCATION]],{"PR01","/","-"})))</f>
        <v>13_14_A"</v>
      </c>
      <c r="H1326" t="str" cm="1">
        <f t="array" ref="H132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26" cm="1">
        <f t="array" ref="I132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26" t="str">
        <f>IF(IFERROR(SEARCH("&gt;",PartList[[#This Row],[ID]]),0),"O",IF(IFERROR(SEARCH("&lt;",PartList[[#This Row],[ID]]),0),"I",""))</f>
        <v/>
      </c>
      <c r="K1326" t="str" cm="1">
        <f t="array" ref="K13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26" t="str" cm="1">
        <f t="array" ref="L132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26" t="str">
        <f>_xlfn.TEXTJOIN("#",TRUE,PartList[[#This Row],[ASSLY MARK]],PartList[[#This Row],[BOX NO]],PartList[[#This Row],[In/Out]],PartList[[#This Row],[O1-Grid]])</f>
        <v>VB72#Box5_Box6#InBB</v>
      </c>
      <c r="N1326" t="str">
        <f>_xlfn.TEXTJOIN("#",TRUE,PartList[[#This Row],[ASSLY MARK]],PartList[[#This Row],[BOX NO]],PartList[[#This Row],[In/Out]],PartList[[#This Row],[O2-Grid]])</f>
        <v>VB72#Box5_Box6#InBB</v>
      </c>
      <c r="O1326">
        <f>IF(PartList[[#This Row],[Unique]]="Yes",_xlfn.XLOOKUP(PartList[[#This Row],[ASSLY MARK]],FilteredPL!A:A,FilteredPL!B:B,0,0),0)</f>
        <v>0</v>
      </c>
      <c r="P1326">
        <f>_xlfn.XLOOKUP(PartList[[#This Row],[ASSLY MARK]],MasterPL[SplitMarkNo],MasterPL[BILL WT.(KG)],0,0)</f>
        <v>0</v>
      </c>
      <c r="Q1326" cm="1">
        <f t="array" ref="Q132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27" spans="1:17" x14ac:dyDescent="0.25">
      <c r="A1327">
        <v>1322</v>
      </c>
      <c r="B1327" t="s">
        <v>1187</v>
      </c>
      <c r="C1327" t="s">
        <v>604</v>
      </c>
      <c r="D1327" t="s">
        <v>463</v>
      </c>
      <c r="E1327" t="s">
        <v>1122</v>
      </c>
      <c r="F1327" t="str" cm="1">
        <f t="array" ref="F1327">IF(SUM(IF(PartList[ASSLY MARK]=PartList[[#This Row],[ASSLY MARK]],1,0))&gt;1,"No","Yes")</f>
        <v>Yes</v>
      </c>
      <c r="G1327" t="str" cm="1">
        <f t="array" ref="G1327">_xlfn.TEXTJOIN("_",TRUE,TRIM(_xlfn.TEXTSPLIT(PartList[[#This Row],[GRID LOCATION]],{"PR01","/","-"})))</f>
        <v>13_14_A"</v>
      </c>
      <c r="H1327" t="str" cm="1">
        <f t="array" ref="H132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27" cm="1">
        <f t="array" ref="I132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27" t="str">
        <f>IF(IFERROR(SEARCH("&gt;",PartList[[#This Row],[ID]]),0),"O",IF(IFERROR(SEARCH("&lt;",PartList[[#This Row],[ID]]),0),"I",""))</f>
        <v/>
      </c>
      <c r="K1327" t="str" cm="1">
        <f t="array" ref="K13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27" t="str" cm="1">
        <f t="array" ref="L132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27" t="str">
        <f>_xlfn.TEXTJOIN("#",TRUE,PartList[[#This Row],[ASSLY MARK]],PartList[[#This Row],[BOX NO]],PartList[[#This Row],[In/Out]],PartList[[#This Row],[O1-Grid]])</f>
        <v>VB73#Box5_Box6#InBB</v>
      </c>
      <c r="N1327" t="str">
        <f>_xlfn.TEXTJOIN("#",TRUE,PartList[[#This Row],[ASSLY MARK]],PartList[[#This Row],[BOX NO]],PartList[[#This Row],[In/Out]],PartList[[#This Row],[O2-Grid]])</f>
        <v>VB73#Box5_Box6#InBB</v>
      </c>
      <c r="O1327">
        <f>IF(PartList[[#This Row],[Unique]]="Yes",_xlfn.XLOOKUP(PartList[[#This Row],[ASSLY MARK]],FilteredPL!A:A,FilteredPL!B:B,0,0),0)</f>
        <v>0</v>
      </c>
      <c r="P1327">
        <f>_xlfn.XLOOKUP(PartList[[#This Row],[ASSLY MARK]],MasterPL[SplitMarkNo],MasterPL[BILL WT.(KG)],0,0)</f>
        <v>0</v>
      </c>
      <c r="Q1327" cm="1">
        <f t="array" ref="Q132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28" spans="1:17" x14ac:dyDescent="0.25">
      <c r="A1328">
        <v>1323</v>
      </c>
      <c r="B1328" t="s">
        <v>1188</v>
      </c>
      <c r="C1328" t="s">
        <v>604</v>
      </c>
      <c r="D1328" t="s">
        <v>1165</v>
      </c>
      <c r="E1328" t="s">
        <v>1122</v>
      </c>
      <c r="F1328" t="str" cm="1">
        <f t="array" ref="F1328">IF(SUM(IF(PartList[ASSLY MARK]=PartList[[#This Row],[ASSLY MARK]],1,0))&gt;1,"No","Yes")</f>
        <v>Yes</v>
      </c>
      <c r="G1328" t="str" cm="1">
        <f t="array" ref="G1328">_xlfn.TEXTJOIN("_",TRUE,TRIM(_xlfn.TEXTSPLIT(PartList[[#This Row],[GRID LOCATION]],{"PR01","/","-"})))</f>
        <v>13_14_A"</v>
      </c>
      <c r="H1328" t="str" cm="1">
        <f t="array" ref="H132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28" cm="1">
        <f t="array" ref="I132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28" t="str">
        <f>IF(IFERROR(SEARCH("&gt;",PartList[[#This Row],[ID]]),0),"O",IF(IFERROR(SEARCH("&lt;",PartList[[#This Row],[ID]]),0),"I",""))</f>
        <v/>
      </c>
      <c r="K1328" t="str" cm="1">
        <f t="array" ref="K13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28" t="str" cm="1">
        <f t="array" ref="L132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28" t="str">
        <f>_xlfn.TEXTJOIN("#",TRUE,PartList[[#This Row],[ASSLY MARK]],PartList[[#This Row],[BOX NO]],PartList[[#This Row],[In/Out]],PartList[[#This Row],[O1-Grid]])</f>
        <v>VB74#Box5_Box6#InBB</v>
      </c>
      <c r="N1328" t="str">
        <f>_xlfn.TEXTJOIN("#",TRUE,PartList[[#This Row],[ASSLY MARK]],PartList[[#This Row],[BOX NO]],PartList[[#This Row],[In/Out]],PartList[[#This Row],[O2-Grid]])</f>
        <v>VB74#Box5_Box6#InBB</v>
      </c>
      <c r="O1328">
        <f>IF(PartList[[#This Row],[Unique]]="Yes",_xlfn.XLOOKUP(PartList[[#This Row],[ASSLY MARK]],FilteredPL!A:A,FilteredPL!B:B,0,0),0)</f>
        <v>0</v>
      </c>
      <c r="P1328">
        <f>_xlfn.XLOOKUP(PartList[[#This Row],[ASSLY MARK]],MasterPL[SplitMarkNo],MasterPL[BILL WT.(KG)],0,0)</f>
        <v>0</v>
      </c>
      <c r="Q1328" cm="1">
        <f t="array" ref="Q132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29" spans="1:17" x14ac:dyDescent="0.25">
      <c r="A1329">
        <v>1324</v>
      </c>
      <c r="B1329" t="s">
        <v>1189</v>
      </c>
      <c r="C1329" t="s">
        <v>604</v>
      </c>
      <c r="D1329" t="s">
        <v>1163</v>
      </c>
      <c r="E1329" t="s">
        <v>1122</v>
      </c>
      <c r="F1329" t="str" cm="1">
        <f t="array" ref="F1329">IF(SUM(IF(PartList[ASSLY MARK]=PartList[[#This Row],[ASSLY MARK]],1,0))&gt;1,"No","Yes")</f>
        <v>Yes</v>
      </c>
      <c r="G1329" t="str" cm="1">
        <f t="array" ref="G1329">_xlfn.TEXTJOIN("_",TRUE,TRIM(_xlfn.TEXTSPLIT(PartList[[#This Row],[GRID LOCATION]],{"PR01","/","-"})))</f>
        <v>13_14_A"</v>
      </c>
      <c r="H1329" t="str" cm="1">
        <f t="array" ref="H132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Box5_Box6</v>
      </c>
      <c r="I1329" cm="1">
        <f t="array" ref="I132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5</v>
      </c>
      <c r="J1329" t="str">
        <f>IF(IFERROR(SEARCH("&gt;",PartList[[#This Row],[ID]]),0),"O",IF(IFERROR(SEARCH("&lt;",PartList[[#This Row],[ID]]),0),"I",""))</f>
        <v/>
      </c>
      <c r="K1329" t="str" cm="1">
        <f t="array" ref="K13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InBB</v>
      </c>
      <c r="L1329" t="str" cm="1">
        <f t="array" ref="L132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InBB</v>
      </c>
      <c r="M1329" t="str">
        <f>_xlfn.TEXTJOIN("#",TRUE,PartList[[#This Row],[ASSLY MARK]],PartList[[#This Row],[BOX NO]],PartList[[#This Row],[In/Out]],PartList[[#This Row],[O1-Grid]])</f>
        <v>VB75#Box5_Box6#InBB</v>
      </c>
      <c r="N1329" t="str">
        <f>_xlfn.TEXTJOIN("#",TRUE,PartList[[#This Row],[ASSLY MARK]],PartList[[#This Row],[BOX NO]],PartList[[#This Row],[In/Out]],PartList[[#This Row],[O2-Grid]])</f>
        <v>VB75#Box5_Box6#InBB</v>
      </c>
      <c r="O1329">
        <f>IF(PartList[[#This Row],[Unique]]="Yes",_xlfn.XLOOKUP(PartList[[#This Row],[ASSLY MARK]],FilteredPL!A:A,FilteredPL!B:B,0,0),0)</f>
        <v>0</v>
      </c>
      <c r="P1329">
        <f>_xlfn.XLOOKUP(PartList[[#This Row],[ASSLY MARK]],MasterPL[SplitMarkNo],MasterPL[BILL WT.(KG)],0,0)</f>
        <v>0</v>
      </c>
      <c r="Q1329" cm="1">
        <f t="array" ref="Q132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30" spans="1:17" x14ac:dyDescent="0.25">
      <c r="A1330">
        <v>139</v>
      </c>
      <c r="B1330" t="s">
        <v>614</v>
      </c>
      <c r="C1330" t="s">
        <v>615</v>
      </c>
      <c r="D1330" t="s">
        <v>606</v>
      </c>
      <c r="E1330" t="s">
        <v>5</v>
      </c>
      <c r="F1330" t="str" cm="1">
        <f t="array" ref="F1330">IF(SUM(IF(PartList[ASSLY MARK]=PartList[[#This Row],[ASSLY MARK]],1,0))&gt;1,"No","Yes")</f>
        <v>Yes</v>
      </c>
      <c r="G1330" t="str" cm="1">
        <f t="array" ref="G1330">_xlfn.TEXTJOIN("_",TRUE,TRIM(_xlfn.TEXTSPLIT(PartList[[#This Row],[GRID LOCATION]],{"PR01","/","-"})))</f>
        <v>14_A"_A</v>
      </c>
      <c r="H1330" t="str" cm="1">
        <f t="array" ref="H133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30" cm="1">
        <f t="array" ref="I133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30" t="str">
        <f>IF(IFERROR(SEARCH("&gt;",PartList[[#This Row],[ID]]),0),"O",IF(IFERROR(SEARCH("&lt;",PartList[[#This Row],[ID]]),0),"I",""))</f>
        <v/>
      </c>
      <c r="K1330" t="str" cm="1">
        <f t="array" ref="K13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14_A"_A</v>
      </c>
      <c r="L1330" t="str" cm="1">
        <f t="array" ref="L133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330" t="str">
        <f>_xlfn.TEXTJOIN("#",TRUE,PartList[[#This Row],[ASSLY MARK]],PartList[[#This Row],[BOX NO]],PartList[[#This Row],[In/Out]],PartList[[#This Row],[O1-Grid]])</f>
        <v>1BE98#Box6#14_A"_A</v>
      </c>
      <c r="N1330" t="str">
        <f>_xlfn.TEXTJOIN("#",TRUE,PartList[[#This Row],[ASSLY MARK]],PartList[[#This Row],[BOX NO]],PartList[[#This Row],[In/Out]],PartList[[#This Row],[O2-Grid]])</f>
        <v>1BE98#Box6#InB</v>
      </c>
      <c r="O1330">
        <f>IF(PartList[[#This Row],[Unique]]="Yes",_xlfn.XLOOKUP(PartList[[#This Row],[ASSLY MARK]],FilteredPL!A:A,FilteredPL!B:B,0,0),0)</f>
        <v>0</v>
      </c>
      <c r="P1330">
        <f>_xlfn.XLOOKUP(PartList[[#This Row],[ASSLY MARK]],MasterPL[SplitMarkNo],MasterPL[BILL WT.(KG)],0,0)</f>
        <v>0</v>
      </c>
      <c r="Q1330" cm="1">
        <f t="array" ref="Q133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31" spans="1:17" x14ac:dyDescent="0.25">
      <c r="A1331">
        <v>280</v>
      </c>
      <c r="B1331" t="s">
        <v>692</v>
      </c>
      <c r="C1331" t="s">
        <v>615</v>
      </c>
      <c r="D1331" t="s">
        <v>680</v>
      </c>
      <c r="E1331" t="s">
        <v>5</v>
      </c>
      <c r="F1331" t="str" cm="1">
        <f t="array" ref="F1331">IF(SUM(IF(PartList[ASSLY MARK]=PartList[[#This Row],[ASSLY MARK]],1,0))&gt;1,"No","Yes")</f>
        <v>Yes</v>
      </c>
      <c r="G1331" t="str" cm="1">
        <f t="array" ref="G1331">_xlfn.TEXTJOIN("_",TRUE,TRIM(_xlfn.TEXTSPLIT(PartList[[#This Row],[GRID LOCATION]],{"PR01","/","-"})))</f>
        <v>14_A"_A</v>
      </c>
      <c r="H1331" t="str" cm="1">
        <f t="array" ref="H133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31" cm="1">
        <f t="array" ref="I133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31" t="str">
        <f>IF(IFERROR(SEARCH("&gt;",PartList[[#This Row],[ID]]),0),"O",IF(IFERROR(SEARCH("&lt;",PartList[[#This Row],[ID]]),0),"I",""))</f>
        <v/>
      </c>
      <c r="K1331" t="str" cm="1">
        <f t="array" ref="K13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14_A"_A</v>
      </c>
      <c r="L1331" t="str" cm="1">
        <f t="array" ref="L133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331" t="str">
        <f>_xlfn.TEXTJOIN("#",TRUE,PartList[[#This Row],[ASSLY MARK]],PartList[[#This Row],[BOX NO]],PartList[[#This Row],[In/Out]],PartList[[#This Row],[O1-Grid]])</f>
        <v>2BE58#Box6#14_A"_A</v>
      </c>
      <c r="N1331" t="str">
        <f>_xlfn.TEXTJOIN("#",TRUE,PartList[[#This Row],[ASSLY MARK]],PartList[[#This Row],[BOX NO]],PartList[[#This Row],[In/Out]],PartList[[#This Row],[O2-Grid]])</f>
        <v>2BE58#Box6#InB</v>
      </c>
      <c r="O1331">
        <f>IF(PartList[[#This Row],[Unique]]="Yes",_xlfn.XLOOKUP(PartList[[#This Row],[ASSLY MARK]],FilteredPL!A:A,FilteredPL!B:B,0,0),0)</f>
        <v>0</v>
      </c>
      <c r="P1331">
        <f>_xlfn.XLOOKUP(PartList[[#This Row],[ASSLY MARK]],MasterPL[SplitMarkNo],MasterPL[BILL WT.(KG)],0,0)</f>
        <v>0</v>
      </c>
      <c r="Q1331" cm="1">
        <f t="array" ref="Q133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32" spans="1:17" x14ac:dyDescent="0.25">
      <c r="A1332">
        <v>417</v>
      </c>
      <c r="B1332" t="s">
        <v>269</v>
      </c>
      <c r="C1332" t="s">
        <v>615</v>
      </c>
      <c r="D1332" t="s">
        <v>728</v>
      </c>
      <c r="E1332" t="s">
        <v>5</v>
      </c>
      <c r="F1332" t="str" cm="1">
        <f t="array" ref="F1332">IF(SUM(IF(PartList[ASSLY MARK]=PartList[[#This Row],[ASSLY MARK]],1,0))&gt;1,"No","Yes")</f>
        <v>Yes</v>
      </c>
      <c r="G1332" t="str" cm="1">
        <f t="array" ref="G1332">_xlfn.TEXTJOIN("_",TRUE,TRIM(_xlfn.TEXTSPLIT(PartList[[#This Row],[GRID LOCATION]],{"PR01","/","-"})))</f>
        <v>14_A"_A</v>
      </c>
      <c r="H1332" t="str" cm="1">
        <f t="array" ref="H133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32" cm="1">
        <f t="array" ref="I133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32" t="str">
        <f>IF(IFERROR(SEARCH("&gt;",PartList[[#This Row],[ID]]),0),"O",IF(IFERROR(SEARCH("&lt;",PartList[[#This Row],[ID]]),0),"I",""))</f>
        <v/>
      </c>
      <c r="K1332" t="str" cm="1">
        <f t="array" ref="K13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14_A"_A</v>
      </c>
      <c r="L1332" t="str" cm="1">
        <f t="array" ref="L133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332" t="str">
        <f>_xlfn.TEXTJOIN("#",TRUE,PartList[[#This Row],[ASSLY MARK]],PartList[[#This Row],[BOX NO]],PartList[[#This Row],[In/Out]],PartList[[#This Row],[O1-Grid]])</f>
        <v>3BE59#Box6#14_A"_A</v>
      </c>
      <c r="N1332" t="str">
        <f>_xlfn.TEXTJOIN("#",TRUE,PartList[[#This Row],[ASSLY MARK]],PartList[[#This Row],[BOX NO]],PartList[[#This Row],[In/Out]],PartList[[#This Row],[O2-Grid]])</f>
        <v>3BE59#Box6#InB</v>
      </c>
      <c r="O1332">
        <f>IF(PartList[[#This Row],[Unique]]="Yes",_xlfn.XLOOKUP(PartList[[#This Row],[ASSLY MARK]],FilteredPL!A:A,FilteredPL!B:B,0,0),0)</f>
        <v>0</v>
      </c>
      <c r="P1332">
        <f>_xlfn.XLOOKUP(PartList[[#This Row],[ASSLY MARK]],MasterPL[SplitMarkNo],MasterPL[BILL WT.(KG)],0,0)</f>
        <v>0</v>
      </c>
      <c r="Q1332" cm="1">
        <f t="array" ref="Q133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33" spans="1:17" x14ac:dyDescent="0.25">
      <c r="A1333">
        <v>481</v>
      </c>
      <c r="B1333" t="s">
        <v>306</v>
      </c>
      <c r="C1333" t="s">
        <v>615</v>
      </c>
      <c r="D1333" t="s">
        <v>752</v>
      </c>
      <c r="E1333" t="s">
        <v>5</v>
      </c>
      <c r="F1333" t="str" cm="1">
        <f t="array" ref="F1333">IF(SUM(IF(PartList[ASSLY MARK]=PartList[[#This Row],[ASSLY MARK]],1,0))&gt;1,"No","Yes")</f>
        <v>Yes</v>
      </c>
      <c r="G1333" t="str" cm="1">
        <f t="array" ref="G1333">_xlfn.TEXTJOIN("_",TRUE,TRIM(_xlfn.TEXTSPLIT(PartList[[#This Row],[GRID LOCATION]],{"PR01","/","-"})))</f>
        <v>14_A"_A</v>
      </c>
      <c r="H1333" t="str" cm="1">
        <f t="array" ref="H133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33" cm="1">
        <f t="array" ref="I133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33" t="str">
        <f>IF(IFERROR(SEARCH("&gt;",PartList[[#This Row],[ID]]),0),"O",IF(IFERROR(SEARCH("&lt;",PartList[[#This Row],[ID]]),0),"I",""))</f>
        <v/>
      </c>
      <c r="K1333" t="str" cm="1">
        <f t="array" ref="K13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14_A"_A</v>
      </c>
      <c r="L1333" t="str" cm="1">
        <f t="array" ref="L133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333" t="str">
        <f>_xlfn.TEXTJOIN("#",TRUE,PartList[[#This Row],[ASSLY MARK]],PartList[[#This Row],[BOX NO]],PartList[[#This Row],[In/Out]],PartList[[#This Row],[O1-Grid]])</f>
        <v>4BE01#Box6#14_A"_A</v>
      </c>
      <c r="N1333" t="str">
        <f>_xlfn.TEXTJOIN("#",TRUE,PartList[[#This Row],[ASSLY MARK]],PartList[[#This Row],[BOX NO]],PartList[[#This Row],[In/Out]],PartList[[#This Row],[O2-Grid]])</f>
        <v>4BE01#Box6#InB</v>
      </c>
      <c r="O1333">
        <f>IF(PartList[[#This Row],[Unique]]="Yes",_xlfn.XLOOKUP(PartList[[#This Row],[ASSLY MARK]],FilteredPL!A:A,FilteredPL!B:B,0,0),0)</f>
        <v>0</v>
      </c>
      <c r="P1333">
        <f>_xlfn.XLOOKUP(PartList[[#This Row],[ASSLY MARK]],MasterPL[SplitMarkNo],MasterPL[BILL WT.(KG)],0,0)</f>
        <v>0</v>
      </c>
      <c r="Q1333" cm="1">
        <f t="array" ref="Q133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34" spans="1:17" x14ac:dyDescent="0.25">
      <c r="A1334">
        <v>535</v>
      </c>
      <c r="B1334" t="s">
        <v>788</v>
      </c>
      <c r="C1334" t="s">
        <v>615</v>
      </c>
      <c r="D1334" t="s">
        <v>307</v>
      </c>
      <c r="E1334" t="s">
        <v>5</v>
      </c>
      <c r="F1334" t="str" cm="1">
        <f t="array" ref="F1334">IF(SUM(IF(PartList[ASSLY MARK]=PartList[[#This Row],[ASSLY MARK]],1,0))&gt;1,"No","Yes")</f>
        <v>Yes</v>
      </c>
      <c r="G1334" t="str" cm="1">
        <f t="array" ref="G1334">_xlfn.TEXTJOIN("_",TRUE,TRIM(_xlfn.TEXTSPLIT(PartList[[#This Row],[GRID LOCATION]],{"PR01","/","-"})))</f>
        <v>14_A"_A</v>
      </c>
      <c r="H1334" t="str" cm="1">
        <f t="array" ref="H133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34" cm="1">
        <f t="array" ref="I133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34" t="str">
        <f>IF(IFERROR(SEARCH("&gt;",PartList[[#This Row],[ID]]),0),"O",IF(IFERROR(SEARCH("&lt;",PartList[[#This Row],[ID]]),0),"I",""))</f>
        <v/>
      </c>
      <c r="K1334" t="str" cm="1">
        <f t="array" ref="K13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14_A"_A</v>
      </c>
      <c r="L1334" t="str" cm="1">
        <f t="array" ref="L133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334" t="str">
        <f>_xlfn.TEXTJOIN("#",TRUE,PartList[[#This Row],[ASSLY MARK]],PartList[[#This Row],[BOX NO]],PartList[[#This Row],[In/Out]],PartList[[#This Row],[O1-Grid]])</f>
        <v>4BE53#Box6#14_A"_A</v>
      </c>
      <c r="N1334" t="str">
        <f>_xlfn.TEXTJOIN("#",TRUE,PartList[[#This Row],[ASSLY MARK]],PartList[[#This Row],[BOX NO]],PartList[[#This Row],[In/Out]],PartList[[#This Row],[O2-Grid]])</f>
        <v>4BE53#Box6#InB</v>
      </c>
      <c r="O1334">
        <f>IF(PartList[[#This Row],[Unique]]="Yes",_xlfn.XLOOKUP(PartList[[#This Row],[ASSLY MARK]],FilteredPL!A:A,FilteredPL!B:B,0,0),0)</f>
        <v>0</v>
      </c>
      <c r="P1334">
        <f>_xlfn.XLOOKUP(PartList[[#This Row],[ASSLY MARK]],MasterPL[SplitMarkNo],MasterPL[BILL WT.(KG)],0,0)</f>
        <v>0</v>
      </c>
      <c r="Q1334" cm="1">
        <f t="array" ref="Q133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35" spans="1:17" x14ac:dyDescent="0.25">
      <c r="A1335">
        <v>542</v>
      </c>
      <c r="B1335" t="s">
        <v>793</v>
      </c>
      <c r="C1335" t="s">
        <v>794</v>
      </c>
      <c r="D1335" t="s">
        <v>307</v>
      </c>
      <c r="E1335" t="s">
        <v>5</v>
      </c>
      <c r="F1335" t="str" cm="1">
        <f t="array" ref="F1335">IF(SUM(IF(PartList[ASSLY MARK]=PartList[[#This Row],[ASSLY MARK]],1,0))&gt;1,"No","Yes")</f>
        <v>Yes</v>
      </c>
      <c r="G1335" t="str" cm="1">
        <f t="array" ref="G1335">_xlfn.TEXTJOIN("_",TRUE,TRIM(_xlfn.TEXTSPLIT(PartList[[#This Row],[GRID LOCATION]],{"PR01","/","-"})))</f>
        <v>14_15_A'_A</v>
      </c>
      <c r="H1335" t="str" cm="1">
        <f t="array" ref="H133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35" cm="1">
        <f t="array" ref="I133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35" t="str">
        <f>IF(IFERROR(SEARCH("&gt;",PartList[[#This Row],[ID]]),0),"O",IF(IFERROR(SEARCH("&lt;",PartList[[#This Row],[ID]]),0),"I",""))</f>
        <v/>
      </c>
      <c r="K1335" t="str" cm="1">
        <f t="array" ref="K13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335" t="str" cm="1">
        <f t="array" ref="L133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335" t="str">
        <f>_xlfn.TEXTJOIN("#",TRUE,PartList[[#This Row],[ASSLY MARK]],PartList[[#This Row],[BOX NO]],PartList[[#This Row],[In/Out]],PartList[[#This Row],[O1-Grid]])</f>
        <v>4BE58#Box6#InB</v>
      </c>
      <c r="N1335" t="str">
        <f>_xlfn.TEXTJOIN("#",TRUE,PartList[[#This Row],[ASSLY MARK]],PartList[[#This Row],[BOX NO]],PartList[[#This Row],[In/Out]],PartList[[#This Row],[O2-Grid]])</f>
        <v>4BE58#Box6#InB</v>
      </c>
      <c r="O1335">
        <f>IF(PartList[[#This Row],[Unique]]="Yes",_xlfn.XLOOKUP(PartList[[#This Row],[ASSLY MARK]],FilteredPL!A:A,FilteredPL!B:B,0,0),0)</f>
        <v>0</v>
      </c>
      <c r="P1335">
        <f>_xlfn.XLOOKUP(PartList[[#This Row],[ASSLY MARK]],MasterPL[SplitMarkNo],MasterPL[BILL WT.(KG)],0,0)</f>
        <v>0</v>
      </c>
      <c r="Q1335" cm="1">
        <f t="array" ref="Q133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36" spans="1:17" x14ac:dyDescent="0.25">
      <c r="A1336">
        <v>556</v>
      </c>
      <c r="B1336" t="s">
        <v>806</v>
      </c>
      <c r="C1336" t="s">
        <v>794</v>
      </c>
      <c r="D1336" t="s">
        <v>736</v>
      </c>
      <c r="E1336" t="s">
        <v>5</v>
      </c>
      <c r="F1336" t="str" cm="1">
        <f t="array" ref="F1336">IF(SUM(IF(PartList[ASSLY MARK]=PartList[[#This Row],[ASSLY MARK]],1,0))&gt;1,"No","Yes")</f>
        <v>Yes</v>
      </c>
      <c r="G1336" t="str" cm="1">
        <f t="array" ref="G1336">_xlfn.TEXTJOIN("_",TRUE,TRIM(_xlfn.TEXTSPLIT(PartList[[#This Row],[GRID LOCATION]],{"PR01","/","-"})))</f>
        <v>14_15_A'_A</v>
      </c>
      <c r="H1336" t="str" cm="1">
        <f t="array" ref="H133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36" cm="1">
        <f t="array" ref="I133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36" t="str">
        <f>IF(IFERROR(SEARCH("&gt;",PartList[[#This Row],[ID]]),0),"O",IF(IFERROR(SEARCH("&lt;",PartList[[#This Row],[ID]]),0),"I",""))</f>
        <v/>
      </c>
      <c r="K1336" t="str" cm="1">
        <f t="array" ref="K13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336" t="str" cm="1">
        <f t="array" ref="L133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336" t="str">
        <f>_xlfn.TEXTJOIN("#",TRUE,PartList[[#This Row],[ASSLY MARK]],PartList[[#This Row],[BOX NO]],PartList[[#This Row],[In/Out]],PartList[[#This Row],[O1-Grid]])</f>
        <v>4BE70#Box6#InB</v>
      </c>
      <c r="N1336" t="str">
        <f>_xlfn.TEXTJOIN("#",TRUE,PartList[[#This Row],[ASSLY MARK]],PartList[[#This Row],[BOX NO]],PartList[[#This Row],[In/Out]],PartList[[#This Row],[O2-Grid]])</f>
        <v>4BE70#Box6#InB</v>
      </c>
      <c r="O1336">
        <f>IF(PartList[[#This Row],[Unique]]="Yes",_xlfn.XLOOKUP(PartList[[#This Row],[ASSLY MARK]],FilteredPL!A:A,FilteredPL!B:B,0,0),0)</f>
        <v>0</v>
      </c>
      <c r="P1336">
        <f>_xlfn.XLOOKUP(PartList[[#This Row],[ASSLY MARK]],MasterPL[SplitMarkNo],MasterPL[BILL WT.(KG)],0,0)</f>
        <v>0</v>
      </c>
      <c r="Q1336" cm="1">
        <f t="array" ref="Q133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37" spans="1:17" x14ac:dyDescent="0.25">
      <c r="A1337">
        <v>603</v>
      </c>
      <c r="B1337" t="s">
        <v>841</v>
      </c>
      <c r="C1337" t="s">
        <v>794</v>
      </c>
      <c r="D1337" t="s">
        <v>819</v>
      </c>
      <c r="E1337" t="s">
        <v>6</v>
      </c>
      <c r="F1337" t="str" cm="1">
        <f t="array" ref="F1337">IF(SUM(IF(PartList[ASSLY MARK]=PartList[[#This Row],[ASSLY MARK]],1,0))&gt;1,"No","Yes")</f>
        <v>Yes</v>
      </c>
      <c r="G1337" t="str" cm="1">
        <f t="array" ref="G1337">_xlfn.TEXTJOIN("_",TRUE,TRIM(_xlfn.TEXTSPLIT(PartList[[#This Row],[GRID LOCATION]],{"PR01","/","-"})))</f>
        <v>14_15_A'_A</v>
      </c>
      <c r="H1337" t="str" cm="1">
        <f t="array" ref="H133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37" cm="1">
        <f t="array" ref="I133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37" t="str">
        <f>IF(IFERROR(SEARCH("&gt;",PartList[[#This Row],[ID]]),0),"O",IF(IFERROR(SEARCH("&lt;",PartList[[#This Row],[ID]]),0),"I",""))</f>
        <v/>
      </c>
      <c r="K1337" t="str" cm="1">
        <f t="array" ref="K13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337" t="str" cm="1">
        <f t="array" ref="L133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337" t="str">
        <f>_xlfn.TEXTJOIN("#",TRUE,PartList[[#This Row],[ASSLY MARK]],PartList[[#This Row],[BOX NO]],PartList[[#This Row],[In/Out]],PartList[[#This Row],[O1-Grid]])</f>
        <v>4HB34#Box6#InB</v>
      </c>
      <c r="N1337" t="str">
        <f>_xlfn.TEXTJOIN("#",TRUE,PartList[[#This Row],[ASSLY MARK]],PartList[[#This Row],[BOX NO]],PartList[[#This Row],[In/Out]],PartList[[#This Row],[O2-Grid]])</f>
        <v>4HB34#Box6#InB</v>
      </c>
      <c r="O1337">
        <f>IF(PartList[[#This Row],[Unique]]="Yes",_xlfn.XLOOKUP(PartList[[#This Row],[ASSLY MARK]],FilteredPL!A:A,FilteredPL!B:B,0,0),0)</f>
        <v>0</v>
      </c>
      <c r="P1337">
        <f>_xlfn.XLOOKUP(PartList[[#This Row],[ASSLY MARK]],MasterPL[SplitMarkNo],MasterPL[BILL WT.(KG)],0,0)</f>
        <v>0</v>
      </c>
      <c r="Q1337" cm="1">
        <f t="array" ref="Q133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38" spans="1:17" x14ac:dyDescent="0.25">
      <c r="A1338">
        <v>607</v>
      </c>
      <c r="B1338" t="s">
        <v>845</v>
      </c>
      <c r="C1338" t="s">
        <v>794</v>
      </c>
      <c r="D1338" t="s">
        <v>818</v>
      </c>
      <c r="E1338" t="s">
        <v>6</v>
      </c>
      <c r="F1338" t="str" cm="1">
        <f t="array" ref="F1338">IF(SUM(IF(PartList[ASSLY MARK]=PartList[[#This Row],[ASSLY MARK]],1,0))&gt;1,"No","Yes")</f>
        <v>Yes</v>
      </c>
      <c r="G1338" t="str" cm="1">
        <f t="array" ref="G1338">_xlfn.TEXTJOIN("_",TRUE,TRIM(_xlfn.TEXTSPLIT(PartList[[#This Row],[GRID LOCATION]],{"PR01","/","-"})))</f>
        <v>14_15_A'_A</v>
      </c>
      <c r="H1338" t="str" cm="1">
        <f t="array" ref="H133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38" cm="1">
        <f t="array" ref="I133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38" t="str">
        <f>IF(IFERROR(SEARCH("&gt;",PartList[[#This Row],[ID]]),0),"O",IF(IFERROR(SEARCH("&lt;",PartList[[#This Row],[ID]]),0),"I",""))</f>
        <v/>
      </c>
      <c r="K1338" t="str" cm="1">
        <f t="array" ref="K13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338" t="str" cm="1">
        <f t="array" ref="L133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338" t="str">
        <f>_xlfn.TEXTJOIN("#",TRUE,PartList[[#This Row],[ASSLY MARK]],PartList[[#This Row],[BOX NO]],PartList[[#This Row],[In/Out]],PartList[[#This Row],[O1-Grid]])</f>
        <v>4HB38#Box6#InB</v>
      </c>
      <c r="N1338" t="str">
        <f>_xlfn.TEXTJOIN("#",TRUE,PartList[[#This Row],[ASSLY MARK]],PartList[[#This Row],[BOX NO]],PartList[[#This Row],[In/Out]],PartList[[#This Row],[O2-Grid]])</f>
        <v>4HB38#Box6#InB</v>
      </c>
      <c r="O1338">
        <f>IF(PartList[[#This Row],[Unique]]="Yes",_xlfn.XLOOKUP(PartList[[#This Row],[ASSLY MARK]],FilteredPL!A:A,FilteredPL!B:B,0,0),0)</f>
        <v>0</v>
      </c>
      <c r="P1338">
        <f>_xlfn.XLOOKUP(PartList[[#This Row],[ASSLY MARK]],MasterPL[SplitMarkNo],MasterPL[BILL WT.(KG)],0,0)</f>
        <v>0</v>
      </c>
      <c r="Q1338" cm="1">
        <f t="array" ref="Q133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39" spans="1:17" x14ac:dyDescent="0.25">
      <c r="A1339">
        <v>789</v>
      </c>
      <c r="B1339" t="s">
        <v>965</v>
      </c>
      <c r="C1339" t="s">
        <v>615</v>
      </c>
      <c r="D1339" t="s">
        <v>378</v>
      </c>
      <c r="E1339" t="s">
        <v>5</v>
      </c>
      <c r="F1339" t="str" cm="1">
        <f t="array" ref="F1339">IF(SUM(IF(PartList[ASSLY MARK]=PartList[[#This Row],[ASSLY MARK]],1,0))&gt;1,"No","Yes")</f>
        <v>Yes</v>
      </c>
      <c r="G1339" t="str" cm="1">
        <f t="array" ref="G1339">_xlfn.TEXTJOIN("_",TRUE,TRIM(_xlfn.TEXTSPLIT(PartList[[#This Row],[GRID LOCATION]],{"PR01","/","-"})))</f>
        <v>14_A"_A</v>
      </c>
      <c r="H1339" t="str" cm="1">
        <f t="array" ref="H133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39" cm="1">
        <f t="array" ref="I133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39" t="str">
        <f>IF(IFERROR(SEARCH("&gt;",PartList[[#This Row],[ID]]),0),"O",IF(IFERROR(SEARCH("&lt;",PartList[[#This Row],[ID]]),0),"I",""))</f>
        <v/>
      </c>
      <c r="K1339" t="str" cm="1">
        <f t="array" ref="K13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14_A"_A</v>
      </c>
      <c r="L1339" t="str" cm="1">
        <f t="array" ref="L133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339" t="str">
        <f>_xlfn.TEXTJOIN("#",TRUE,PartList[[#This Row],[ASSLY MARK]],PartList[[#This Row],[BOX NO]],PartList[[#This Row],[In/Out]],PartList[[#This Row],[O1-Grid]])</f>
        <v>6BE83#Box6#14_A"_A</v>
      </c>
      <c r="N1339" t="str">
        <f>_xlfn.TEXTJOIN("#",TRUE,PartList[[#This Row],[ASSLY MARK]],PartList[[#This Row],[BOX NO]],PartList[[#This Row],[In/Out]],PartList[[#This Row],[O2-Grid]])</f>
        <v>6BE83#Box6#InB</v>
      </c>
      <c r="O1339">
        <f>IF(PartList[[#This Row],[Unique]]="Yes",_xlfn.XLOOKUP(PartList[[#This Row],[ASSLY MARK]],FilteredPL!A:A,FilteredPL!B:B,0,0),0)</f>
        <v>0</v>
      </c>
      <c r="P1339">
        <f>_xlfn.XLOOKUP(PartList[[#This Row],[ASSLY MARK]],MasterPL[SplitMarkNo],MasterPL[BILL WT.(KG)],0,0)</f>
        <v>0</v>
      </c>
      <c r="Q1339" cm="1">
        <f t="array" ref="Q133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40" spans="1:17" x14ac:dyDescent="0.25">
      <c r="A1340">
        <v>799</v>
      </c>
      <c r="B1340" t="s">
        <v>974</v>
      </c>
      <c r="C1340" t="s">
        <v>794</v>
      </c>
      <c r="D1340" t="s">
        <v>378</v>
      </c>
      <c r="E1340" t="s">
        <v>5</v>
      </c>
      <c r="F1340" t="str" cm="1">
        <f t="array" ref="F1340">IF(SUM(IF(PartList[ASSLY MARK]=PartList[[#This Row],[ASSLY MARK]],1,0))&gt;1,"No","Yes")</f>
        <v>Yes</v>
      </c>
      <c r="G1340" t="str" cm="1">
        <f t="array" ref="G1340">_xlfn.TEXTJOIN("_",TRUE,TRIM(_xlfn.TEXTSPLIT(PartList[[#This Row],[GRID LOCATION]],{"PR01","/","-"})))</f>
        <v>14_15_A'_A</v>
      </c>
      <c r="H1340" t="str" cm="1">
        <f t="array" ref="H134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40" cm="1">
        <f t="array" ref="I134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40" t="str">
        <f>IF(IFERROR(SEARCH("&gt;",PartList[[#This Row],[ID]]),0),"O",IF(IFERROR(SEARCH("&lt;",PartList[[#This Row],[ID]]),0),"I",""))</f>
        <v/>
      </c>
      <c r="K1340" t="str" cm="1">
        <f t="array" ref="K13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340" t="str" cm="1">
        <f t="array" ref="L134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340" t="str">
        <f>_xlfn.TEXTJOIN("#",TRUE,PartList[[#This Row],[ASSLY MARK]],PartList[[#This Row],[BOX NO]],PartList[[#This Row],[In/Out]],PartList[[#This Row],[O1-Grid]])</f>
        <v>6BE92#Box6#InB</v>
      </c>
      <c r="N1340" t="str">
        <f>_xlfn.TEXTJOIN("#",TRUE,PartList[[#This Row],[ASSLY MARK]],PartList[[#This Row],[BOX NO]],PartList[[#This Row],[In/Out]],PartList[[#This Row],[O2-Grid]])</f>
        <v>6BE92#Box6#InB</v>
      </c>
      <c r="O1340">
        <f>IF(PartList[[#This Row],[Unique]]="Yes",_xlfn.XLOOKUP(PartList[[#This Row],[ASSLY MARK]],FilteredPL!A:A,FilteredPL!B:B,0,0),0)</f>
        <v>0</v>
      </c>
      <c r="P1340">
        <f>_xlfn.XLOOKUP(PartList[[#This Row],[ASSLY MARK]],MasterPL[SplitMarkNo],MasterPL[BILL WT.(KG)],0,0)</f>
        <v>0</v>
      </c>
      <c r="Q1340" cm="1">
        <f t="array" ref="Q134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41" spans="1:17" x14ac:dyDescent="0.25">
      <c r="A1341">
        <v>800</v>
      </c>
      <c r="B1341" t="s">
        <v>975</v>
      </c>
      <c r="C1341" t="s">
        <v>794</v>
      </c>
      <c r="D1341" t="s">
        <v>378</v>
      </c>
      <c r="E1341" t="s">
        <v>5</v>
      </c>
      <c r="F1341" t="str" cm="1">
        <f t="array" ref="F1341">IF(SUM(IF(PartList[ASSLY MARK]=PartList[[#This Row],[ASSLY MARK]],1,0))&gt;1,"No","Yes")</f>
        <v>Yes</v>
      </c>
      <c r="G1341" t="str" cm="1">
        <f t="array" ref="G1341">_xlfn.TEXTJOIN("_",TRUE,TRIM(_xlfn.TEXTSPLIT(PartList[[#This Row],[GRID LOCATION]],{"PR01","/","-"})))</f>
        <v>14_15_A'_A</v>
      </c>
      <c r="H1341" t="str" cm="1">
        <f t="array" ref="H134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41" cm="1">
        <f t="array" ref="I134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41" t="str">
        <f>IF(IFERROR(SEARCH("&gt;",PartList[[#This Row],[ID]]),0),"O",IF(IFERROR(SEARCH("&lt;",PartList[[#This Row],[ID]]),0),"I",""))</f>
        <v/>
      </c>
      <c r="K1341" t="str" cm="1">
        <f t="array" ref="K13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341" t="str" cm="1">
        <f t="array" ref="L134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341" t="str">
        <f>_xlfn.TEXTJOIN("#",TRUE,PartList[[#This Row],[ASSLY MARK]],PartList[[#This Row],[BOX NO]],PartList[[#This Row],[In/Out]],PartList[[#This Row],[O1-Grid]])</f>
        <v>6BE93#Box6#InB</v>
      </c>
      <c r="N1341" t="str">
        <f>_xlfn.TEXTJOIN("#",TRUE,PartList[[#This Row],[ASSLY MARK]],PartList[[#This Row],[BOX NO]],PartList[[#This Row],[In/Out]],PartList[[#This Row],[O2-Grid]])</f>
        <v>6BE93#Box6#InB</v>
      </c>
      <c r="O1341">
        <f>IF(PartList[[#This Row],[Unique]]="Yes",_xlfn.XLOOKUP(PartList[[#This Row],[ASSLY MARK]],FilteredPL!A:A,FilteredPL!B:B,0,0),0)</f>
        <v>0</v>
      </c>
      <c r="P1341">
        <f>_xlfn.XLOOKUP(PartList[[#This Row],[ASSLY MARK]],MasterPL[SplitMarkNo],MasterPL[BILL WT.(KG)],0,0)</f>
        <v>0</v>
      </c>
      <c r="Q1341" cm="1">
        <f t="array" ref="Q134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42" spans="1:17" x14ac:dyDescent="0.25">
      <c r="A1342">
        <v>813</v>
      </c>
      <c r="B1342" t="s">
        <v>987</v>
      </c>
      <c r="C1342" t="s">
        <v>794</v>
      </c>
      <c r="D1342" t="s">
        <v>378</v>
      </c>
      <c r="E1342" t="s">
        <v>5</v>
      </c>
      <c r="F1342" t="str" cm="1">
        <f t="array" ref="F1342">IF(SUM(IF(PartList[ASSLY MARK]=PartList[[#This Row],[ASSLY MARK]],1,0))&gt;1,"No","Yes")</f>
        <v>Yes</v>
      </c>
      <c r="G1342" t="str" cm="1">
        <f t="array" ref="G1342">_xlfn.TEXTJOIN("_",TRUE,TRIM(_xlfn.TEXTSPLIT(PartList[[#This Row],[GRID LOCATION]],{"PR01","/","-"})))</f>
        <v>14_15_A'_A</v>
      </c>
      <c r="H1342" t="str" cm="1">
        <f t="array" ref="H134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42" cm="1">
        <f t="array" ref="I134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42" t="str">
        <f>IF(IFERROR(SEARCH("&gt;",PartList[[#This Row],[ID]]),0),"O",IF(IFERROR(SEARCH("&lt;",PartList[[#This Row],[ID]]),0),"I",""))</f>
        <v/>
      </c>
      <c r="K1342" t="str" cm="1">
        <f t="array" ref="K13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342" t="str" cm="1">
        <f t="array" ref="L134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342" t="str">
        <f>_xlfn.TEXTJOIN("#",TRUE,PartList[[#This Row],[ASSLY MARK]],PartList[[#This Row],[BOX NO]],PartList[[#This Row],[In/Out]],PartList[[#This Row],[O1-Grid]])</f>
        <v>6BE105#Box6#InB</v>
      </c>
      <c r="N1342" t="str">
        <f>_xlfn.TEXTJOIN("#",TRUE,PartList[[#This Row],[ASSLY MARK]],PartList[[#This Row],[BOX NO]],PartList[[#This Row],[In/Out]],PartList[[#This Row],[O2-Grid]])</f>
        <v>6BE105#Box6#InB</v>
      </c>
      <c r="O1342">
        <f>IF(PartList[[#This Row],[Unique]]="Yes",_xlfn.XLOOKUP(PartList[[#This Row],[ASSLY MARK]],FilteredPL!A:A,FilteredPL!B:B,0,0),0)</f>
        <v>0</v>
      </c>
      <c r="P1342">
        <f>_xlfn.XLOOKUP(PartList[[#This Row],[ASSLY MARK]],MasterPL[SplitMarkNo],MasterPL[BILL WT.(KG)],0,0)</f>
        <v>0</v>
      </c>
      <c r="Q1342" cm="1">
        <f t="array" ref="Q134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43" spans="1:17" x14ac:dyDescent="0.25">
      <c r="A1343">
        <v>893</v>
      </c>
      <c r="B1343" t="s">
        <v>409</v>
      </c>
      <c r="C1343" t="s">
        <v>1042</v>
      </c>
      <c r="D1343" t="s">
        <v>1043</v>
      </c>
      <c r="E1343" t="s">
        <v>7</v>
      </c>
      <c r="F1343" t="str" cm="1">
        <f t="array" ref="F1343">IF(SUM(IF(PartList[ASSLY MARK]=PartList[[#This Row],[ASSLY MARK]],1,0))&gt;1,"No","Yes")</f>
        <v>Yes</v>
      </c>
      <c r="G1343" t="str" cm="1">
        <f t="array" ref="G1343">_xlfn.TEXTJOIN("_",TRUE,TRIM(_xlfn.TEXTSPLIT(PartList[[#This Row],[GRID LOCATION]],{"PR01","/","-"})))</f>
        <v>14_A"</v>
      </c>
      <c r="H1343" t="str" cm="1">
        <f t="array" ref="H134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43" cm="1">
        <f t="array" ref="I134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43" t="str">
        <f>IF(IFERROR(SEARCH("&gt;",PartList[[#This Row],[ID]]),0),"O",IF(IFERROR(SEARCH("&lt;",PartList[[#This Row],[ID]]),0),"I",""))</f>
        <v/>
      </c>
      <c r="K1343" t="str" cm="1">
        <f t="array" ref="K13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43" t="str" cm="1">
        <f t="array" ref="L134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43" t="str">
        <f>_xlfn.TEXTJOIN("#",TRUE,PartList[[#This Row],[ASSLY MARK]],PartList[[#This Row],[BOX NO]],PartList[[#This Row],[In/Out]],PartList[[#This Row],[O1-Grid]])</f>
        <v>C04#Box6#14_A'_A"</v>
      </c>
      <c r="N1343" t="str">
        <f>_xlfn.TEXTJOIN("#",TRUE,PartList[[#This Row],[ASSLY MARK]],PartList[[#This Row],[BOX NO]],PartList[[#This Row],[In/Out]],PartList[[#This Row],[O2-Grid]])</f>
        <v>C04#Box6#14_15_A"</v>
      </c>
      <c r="O1343">
        <f>IF(PartList[[#This Row],[Unique]]="Yes",_xlfn.XLOOKUP(PartList[[#This Row],[ASSLY MARK]],FilteredPL!A:A,FilteredPL!B:B,0,0),0)</f>
        <v>1</v>
      </c>
      <c r="P1343">
        <f>_xlfn.XLOOKUP(PartList[[#This Row],[ASSLY MARK]],MasterPL[SplitMarkNo],MasterPL[BILL WT.(KG)],0,0)</f>
        <v>733.28</v>
      </c>
      <c r="Q1343" cm="1">
        <f t="array" ref="Q134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44" spans="1:17" x14ac:dyDescent="0.25">
      <c r="A1344">
        <v>894</v>
      </c>
      <c r="B1344" t="s">
        <v>410</v>
      </c>
      <c r="C1344" t="s">
        <v>1042</v>
      </c>
      <c r="D1344" t="s">
        <v>1044</v>
      </c>
      <c r="E1344" t="s">
        <v>7</v>
      </c>
      <c r="F1344" t="str" cm="1">
        <f t="array" ref="F1344">IF(SUM(IF(PartList[ASSLY MARK]=PartList[[#This Row],[ASSLY MARK]],1,0))&gt;1,"No","Yes")</f>
        <v>Yes</v>
      </c>
      <c r="G1344" t="str" cm="1">
        <f t="array" ref="G1344">_xlfn.TEXTJOIN("_",TRUE,TRIM(_xlfn.TEXTSPLIT(PartList[[#This Row],[GRID LOCATION]],{"PR01","/","-"})))</f>
        <v>14_A"</v>
      </c>
      <c r="H1344" t="str" cm="1">
        <f t="array" ref="H134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44" cm="1">
        <f t="array" ref="I134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44" t="str">
        <f>IF(IFERROR(SEARCH("&gt;",PartList[[#This Row],[ID]]),0),"O",IF(IFERROR(SEARCH("&lt;",PartList[[#This Row],[ID]]),0),"I",""))</f>
        <v/>
      </c>
      <c r="K1344" t="str" cm="1">
        <f t="array" ref="K13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44" t="str" cm="1">
        <f t="array" ref="L134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44" t="str">
        <f>_xlfn.TEXTJOIN("#",TRUE,PartList[[#This Row],[ASSLY MARK]],PartList[[#This Row],[BOX NO]],PartList[[#This Row],[In/Out]],PartList[[#This Row],[O1-Grid]])</f>
        <v>C05#Box6#14_A'_A"</v>
      </c>
      <c r="N1344" t="str">
        <f>_xlfn.TEXTJOIN("#",TRUE,PartList[[#This Row],[ASSLY MARK]],PartList[[#This Row],[BOX NO]],PartList[[#This Row],[In/Out]],PartList[[#This Row],[O2-Grid]])</f>
        <v>C05#Box6#14_15_A"</v>
      </c>
      <c r="O1344">
        <f>IF(PartList[[#This Row],[Unique]]="Yes",_xlfn.XLOOKUP(PartList[[#This Row],[ASSLY MARK]],FilteredPL!A:A,FilteredPL!B:B,0,0),0)</f>
        <v>1</v>
      </c>
      <c r="P1344">
        <f>_xlfn.XLOOKUP(PartList[[#This Row],[ASSLY MARK]],MasterPL[SplitMarkNo],MasterPL[BILL WT.(KG)],0,0)</f>
        <v>451.68</v>
      </c>
      <c r="Q1344" cm="1">
        <f t="array" ref="Q134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45" spans="1:17" x14ac:dyDescent="0.25">
      <c r="A1345">
        <v>925</v>
      </c>
      <c r="B1345" t="s">
        <v>1082</v>
      </c>
      <c r="C1345" t="s">
        <v>1042</v>
      </c>
      <c r="D1345" t="s">
        <v>1080</v>
      </c>
      <c r="E1345" t="s">
        <v>7</v>
      </c>
      <c r="F1345" t="str" cm="1">
        <f t="array" ref="F1345">IF(SUM(IF(PartList[ASSLY MARK]=PartList[[#This Row],[ASSLY MARK]],1,0))&gt;1,"No","Yes")</f>
        <v>Yes</v>
      </c>
      <c r="G1345" t="str" cm="1">
        <f t="array" ref="G1345">_xlfn.TEXTJOIN("_",TRUE,TRIM(_xlfn.TEXTSPLIT(PartList[[#This Row],[GRID LOCATION]],{"PR01","/","-"})))</f>
        <v>14_A"</v>
      </c>
      <c r="H1345" t="str" cm="1">
        <f t="array" ref="H134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45" cm="1">
        <f t="array" ref="I134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45" t="str">
        <f>IF(IFERROR(SEARCH("&gt;",PartList[[#This Row],[ID]]),0),"O",IF(IFERROR(SEARCH("&lt;",PartList[[#This Row],[ID]]),0),"I",""))</f>
        <v/>
      </c>
      <c r="K1345" t="str" cm="1">
        <f t="array" ref="K13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45" t="str" cm="1">
        <f t="array" ref="L134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45" t="str">
        <f>_xlfn.TEXTJOIN("#",TRUE,PartList[[#This Row],[ASSLY MARK]],PartList[[#This Row],[BOX NO]],PartList[[#This Row],[In/Out]],PartList[[#This Row],[O1-Grid]])</f>
        <v>C36#Box6#14_A'_A"</v>
      </c>
      <c r="N1345" t="str">
        <f>_xlfn.TEXTJOIN("#",TRUE,PartList[[#This Row],[ASSLY MARK]],PartList[[#This Row],[BOX NO]],PartList[[#This Row],[In/Out]],PartList[[#This Row],[O2-Grid]])</f>
        <v>C36#Box6#14_15_A"</v>
      </c>
      <c r="O1345">
        <f>IF(PartList[[#This Row],[Unique]]="Yes",_xlfn.XLOOKUP(PartList[[#This Row],[ASSLY MARK]],FilteredPL!A:A,FilteredPL!B:B,0,0),0)</f>
        <v>0</v>
      </c>
      <c r="P1345">
        <f>_xlfn.XLOOKUP(PartList[[#This Row],[ASSLY MARK]],MasterPL[SplitMarkNo],MasterPL[BILL WT.(KG)],0,0)</f>
        <v>0</v>
      </c>
      <c r="Q1345" cm="1">
        <f t="array" ref="Q134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46" spans="1:17" x14ac:dyDescent="0.25">
      <c r="A1346">
        <v>1101</v>
      </c>
      <c r="B1346" t="s">
        <v>1099</v>
      </c>
      <c r="C1346" t="s">
        <v>1042</v>
      </c>
      <c r="D1346" t="s">
        <v>1100</v>
      </c>
      <c r="E1346" t="s">
        <v>1086</v>
      </c>
      <c r="F1346" t="str" cm="1">
        <f t="array" ref="F1346">IF(SUM(IF(PartList[ASSLY MARK]=PartList[[#This Row],[ASSLY MARK]],1,0))&gt;1,"No","Yes")</f>
        <v>No</v>
      </c>
      <c r="G1346" t="str" cm="1">
        <f t="array" ref="G1346">_xlfn.TEXTJOIN("_",TRUE,TRIM(_xlfn.TEXTSPLIT(PartList[[#This Row],[GRID LOCATION]],{"PR01","/","-"})))</f>
        <v>14_A"</v>
      </c>
      <c r="H1346" t="str" cm="1">
        <f t="array" ref="H134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46" cm="1">
        <f t="array" ref="I134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46" t="str">
        <f>IF(IFERROR(SEARCH("&gt;",PartList[[#This Row],[ID]]),0),"O",IF(IFERROR(SEARCH("&lt;",PartList[[#This Row],[ID]]),0),"I",""))</f>
        <v/>
      </c>
      <c r="K1346" t="str" cm="1">
        <f t="array" ref="K13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46" t="str" cm="1">
        <f t="array" ref="L134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46" t="str">
        <f>_xlfn.TEXTJOIN("#",TRUE,PartList[[#This Row],[ASSLY MARK]],PartList[[#This Row],[BOX NO]],PartList[[#This Row],[In/Out]],PartList[[#This Row],[O1-Grid]])</f>
        <v>SF09#Box6#14_A'_A"</v>
      </c>
      <c r="N1346" t="str">
        <f>_xlfn.TEXTJOIN("#",TRUE,PartList[[#This Row],[ASSLY MARK]],PartList[[#This Row],[BOX NO]],PartList[[#This Row],[In/Out]],PartList[[#This Row],[O2-Grid]])</f>
        <v>SF09#Box6#14_15_A"</v>
      </c>
      <c r="O1346">
        <f>IF(PartList[[#This Row],[Unique]]="Yes",_xlfn.XLOOKUP(PartList[[#This Row],[ASSLY MARK]],FilteredPL!A:A,FilteredPL!B:B,0,0),0)</f>
        <v>0</v>
      </c>
      <c r="P1346">
        <f>_xlfn.XLOOKUP(PartList[[#This Row],[ASSLY MARK]],MasterPL[SplitMarkNo],MasterPL[BILL WT.(KG)],0,0)</f>
        <v>0</v>
      </c>
      <c r="Q1346" cm="1">
        <f t="array" ref="Q134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47" spans="1:17" x14ac:dyDescent="0.25">
      <c r="A1347">
        <v>1102</v>
      </c>
      <c r="B1347" t="s">
        <v>1099</v>
      </c>
      <c r="C1347" t="s">
        <v>1042</v>
      </c>
      <c r="D1347" t="s">
        <v>1100</v>
      </c>
      <c r="E1347" t="s">
        <v>1086</v>
      </c>
      <c r="F1347" t="str" cm="1">
        <f t="array" ref="F1347">IF(SUM(IF(PartList[ASSLY MARK]=PartList[[#This Row],[ASSLY MARK]],1,0))&gt;1,"No","Yes")</f>
        <v>No</v>
      </c>
      <c r="G1347" t="str" cm="1">
        <f t="array" ref="G1347">_xlfn.TEXTJOIN("_",TRUE,TRIM(_xlfn.TEXTSPLIT(PartList[[#This Row],[GRID LOCATION]],{"PR01","/","-"})))</f>
        <v>14_A"</v>
      </c>
      <c r="H1347" t="str" cm="1">
        <f t="array" ref="H134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47" cm="1">
        <f t="array" ref="I134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47" t="str">
        <f>IF(IFERROR(SEARCH("&gt;",PartList[[#This Row],[ID]]),0),"O",IF(IFERROR(SEARCH("&lt;",PartList[[#This Row],[ID]]),0),"I",""))</f>
        <v/>
      </c>
      <c r="K1347" t="str" cm="1">
        <f t="array" ref="K13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47" t="str" cm="1">
        <f t="array" ref="L134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47" t="str">
        <f>_xlfn.TEXTJOIN("#",TRUE,PartList[[#This Row],[ASSLY MARK]],PartList[[#This Row],[BOX NO]],PartList[[#This Row],[In/Out]],PartList[[#This Row],[O1-Grid]])</f>
        <v>SF09#Box6#14_A'_A"</v>
      </c>
      <c r="N1347" t="str">
        <f>_xlfn.TEXTJOIN("#",TRUE,PartList[[#This Row],[ASSLY MARK]],PartList[[#This Row],[BOX NO]],PartList[[#This Row],[In/Out]],PartList[[#This Row],[O2-Grid]])</f>
        <v>SF09#Box6#14_15_A"</v>
      </c>
      <c r="O1347">
        <f>IF(PartList[[#This Row],[Unique]]="Yes",_xlfn.XLOOKUP(PartList[[#This Row],[ASSLY MARK]],FilteredPL!A:A,FilteredPL!B:B,0,0),0)</f>
        <v>0</v>
      </c>
      <c r="P1347">
        <f>_xlfn.XLOOKUP(PartList[[#This Row],[ASSLY MARK]],MasterPL[SplitMarkNo],MasterPL[BILL WT.(KG)],0,0)</f>
        <v>0</v>
      </c>
      <c r="Q1347" cm="1">
        <f t="array" ref="Q134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48" spans="1:17" x14ac:dyDescent="0.25">
      <c r="A1348">
        <v>1104</v>
      </c>
      <c r="B1348" t="s">
        <v>1099</v>
      </c>
      <c r="C1348" t="s">
        <v>1042</v>
      </c>
      <c r="D1348" t="s">
        <v>1101</v>
      </c>
      <c r="E1348" t="s">
        <v>1086</v>
      </c>
      <c r="F1348" t="str" cm="1">
        <f t="array" ref="F1348">IF(SUM(IF(PartList[ASSLY MARK]=PartList[[#This Row],[ASSLY MARK]],1,0))&gt;1,"No","Yes")</f>
        <v>No</v>
      </c>
      <c r="G1348" t="str" cm="1">
        <f t="array" ref="G1348">_xlfn.TEXTJOIN("_",TRUE,TRIM(_xlfn.TEXTSPLIT(PartList[[#This Row],[GRID LOCATION]],{"PR01","/","-"})))</f>
        <v>14_A"</v>
      </c>
      <c r="H1348" t="str" cm="1">
        <f t="array" ref="H134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48" cm="1">
        <f t="array" ref="I134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48" t="str">
        <f>IF(IFERROR(SEARCH("&gt;",PartList[[#This Row],[ID]]),0),"O",IF(IFERROR(SEARCH("&lt;",PartList[[#This Row],[ID]]),0),"I",""))</f>
        <v/>
      </c>
      <c r="K1348" t="str" cm="1">
        <f t="array" ref="K13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48" t="str" cm="1">
        <f t="array" ref="L134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48" t="str">
        <f>_xlfn.TEXTJOIN("#",TRUE,PartList[[#This Row],[ASSLY MARK]],PartList[[#This Row],[BOX NO]],PartList[[#This Row],[In/Out]],PartList[[#This Row],[O1-Grid]])</f>
        <v>SF09#Box6#14_A'_A"</v>
      </c>
      <c r="N1348" t="str">
        <f>_xlfn.TEXTJOIN("#",TRUE,PartList[[#This Row],[ASSLY MARK]],PartList[[#This Row],[BOX NO]],PartList[[#This Row],[In/Out]],PartList[[#This Row],[O2-Grid]])</f>
        <v>SF09#Box6#14_15_A"</v>
      </c>
      <c r="O1348">
        <f>IF(PartList[[#This Row],[Unique]]="Yes",_xlfn.XLOOKUP(PartList[[#This Row],[ASSLY MARK]],FilteredPL!A:A,FilteredPL!B:B,0,0),0)</f>
        <v>0</v>
      </c>
      <c r="P1348">
        <f>_xlfn.XLOOKUP(PartList[[#This Row],[ASSLY MARK]],MasterPL[SplitMarkNo],MasterPL[BILL WT.(KG)],0,0)</f>
        <v>0</v>
      </c>
      <c r="Q1348" cm="1">
        <f t="array" ref="Q134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49" spans="1:17" x14ac:dyDescent="0.25">
      <c r="A1349">
        <v>1107</v>
      </c>
      <c r="B1349" t="s">
        <v>1099</v>
      </c>
      <c r="C1349" t="s">
        <v>1042</v>
      </c>
      <c r="D1349" t="s">
        <v>1100</v>
      </c>
      <c r="E1349" t="s">
        <v>1086</v>
      </c>
      <c r="F1349" t="str" cm="1">
        <f t="array" ref="F1349">IF(SUM(IF(PartList[ASSLY MARK]=PartList[[#This Row],[ASSLY MARK]],1,0))&gt;1,"No","Yes")</f>
        <v>No</v>
      </c>
      <c r="G1349" t="str" cm="1">
        <f t="array" ref="G1349">_xlfn.TEXTJOIN("_",TRUE,TRIM(_xlfn.TEXTSPLIT(PartList[[#This Row],[GRID LOCATION]],{"PR01","/","-"})))</f>
        <v>14_A"</v>
      </c>
      <c r="H1349" t="str" cm="1">
        <f t="array" ref="H134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49" cm="1">
        <f t="array" ref="I134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49" t="str">
        <f>IF(IFERROR(SEARCH("&gt;",PartList[[#This Row],[ID]]),0),"O",IF(IFERROR(SEARCH("&lt;",PartList[[#This Row],[ID]]),0),"I",""))</f>
        <v/>
      </c>
      <c r="K1349" t="str" cm="1">
        <f t="array" ref="K13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49" t="str" cm="1">
        <f t="array" ref="L134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49" t="str">
        <f>_xlfn.TEXTJOIN("#",TRUE,PartList[[#This Row],[ASSLY MARK]],PartList[[#This Row],[BOX NO]],PartList[[#This Row],[In/Out]],PartList[[#This Row],[O1-Grid]])</f>
        <v>SF09#Box6#14_A'_A"</v>
      </c>
      <c r="N1349" t="str">
        <f>_xlfn.TEXTJOIN("#",TRUE,PartList[[#This Row],[ASSLY MARK]],PartList[[#This Row],[BOX NO]],PartList[[#This Row],[In/Out]],PartList[[#This Row],[O2-Grid]])</f>
        <v>SF09#Box6#14_15_A"</v>
      </c>
      <c r="O1349">
        <f>IF(PartList[[#This Row],[Unique]]="Yes",_xlfn.XLOOKUP(PartList[[#This Row],[ASSLY MARK]],FilteredPL!A:A,FilteredPL!B:B,0,0),0)</f>
        <v>0</v>
      </c>
      <c r="P1349">
        <f>_xlfn.XLOOKUP(PartList[[#This Row],[ASSLY MARK]],MasterPL[SplitMarkNo],MasterPL[BILL WT.(KG)],0,0)</f>
        <v>0</v>
      </c>
      <c r="Q1349" cm="1">
        <f t="array" ref="Q134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50" spans="1:17" x14ac:dyDescent="0.25">
      <c r="A1350">
        <v>1108</v>
      </c>
      <c r="B1350" t="s">
        <v>1099</v>
      </c>
      <c r="C1350" t="s">
        <v>1042</v>
      </c>
      <c r="D1350" t="s">
        <v>1100</v>
      </c>
      <c r="E1350" t="s">
        <v>1086</v>
      </c>
      <c r="F1350" t="str" cm="1">
        <f t="array" ref="F1350">IF(SUM(IF(PartList[ASSLY MARK]=PartList[[#This Row],[ASSLY MARK]],1,0))&gt;1,"No","Yes")</f>
        <v>No</v>
      </c>
      <c r="G1350" t="str" cm="1">
        <f t="array" ref="G1350">_xlfn.TEXTJOIN("_",TRUE,TRIM(_xlfn.TEXTSPLIT(PartList[[#This Row],[GRID LOCATION]],{"PR01","/","-"})))</f>
        <v>14_A"</v>
      </c>
      <c r="H1350" t="str" cm="1">
        <f t="array" ref="H135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50" cm="1">
        <f t="array" ref="I135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50" t="str">
        <f>IF(IFERROR(SEARCH("&gt;",PartList[[#This Row],[ID]]),0),"O",IF(IFERROR(SEARCH("&lt;",PartList[[#This Row],[ID]]),0),"I",""))</f>
        <v/>
      </c>
      <c r="K1350" t="str" cm="1">
        <f t="array" ref="K13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50" t="str" cm="1">
        <f t="array" ref="L135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50" t="str">
        <f>_xlfn.TEXTJOIN("#",TRUE,PartList[[#This Row],[ASSLY MARK]],PartList[[#This Row],[BOX NO]],PartList[[#This Row],[In/Out]],PartList[[#This Row],[O1-Grid]])</f>
        <v>SF09#Box6#14_A'_A"</v>
      </c>
      <c r="N1350" t="str">
        <f>_xlfn.TEXTJOIN("#",TRUE,PartList[[#This Row],[ASSLY MARK]],PartList[[#This Row],[BOX NO]],PartList[[#This Row],[In/Out]],PartList[[#This Row],[O2-Grid]])</f>
        <v>SF09#Box6#14_15_A"</v>
      </c>
      <c r="O1350">
        <f>IF(PartList[[#This Row],[Unique]]="Yes",_xlfn.XLOOKUP(PartList[[#This Row],[ASSLY MARK]],FilteredPL!A:A,FilteredPL!B:B,0,0),0)</f>
        <v>0</v>
      </c>
      <c r="P1350">
        <f>_xlfn.XLOOKUP(PartList[[#This Row],[ASSLY MARK]],MasterPL[SplitMarkNo],MasterPL[BILL WT.(KG)],0,0)</f>
        <v>0</v>
      </c>
      <c r="Q1350" cm="1">
        <f t="array" ref="Q135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51" spans="1:17" x14ac:dyDescent="0.25">
      <c r="A1351">
        <v>1111</v>
      </c>
      <c r="B1351" t="s">
        <v>1099</v>
      </c>
      <c r="C1351" t="s">
        <v>1042</v>
      </c>
      <c r="D1351" t="s">
        <v>1101</v>
      </c>
      <c r="E1351" t="s">
        <v>1086</v>
      </c>
      <c r="F1351" t="str" cm="1">
        <f t="array" ref="F1351">IF(SUM(IF(PartList[ASSLY MARK]=PartList[[#This Row],[ASSLY MARK]],1,0))&gt;1,"No","Yes")</f>
        <v>No</v>
      </c>
      <c r="G1351" t="str" cm="1">
        <f t="array" ref="G1351">_xlfn.TEXTJOIN("_",TRUE,TRIM(_xlfn.TEXTSPLIT(PartList[[#This Row],[GRID LOCATION]],{"PR01","/","-"})))</f>
        <v>14_A"</v>
      </c>
      <c r="H1351" t="str" cm="1">
        <f t="array" ref="H135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51" cm="1">
        <f t="array" ref="I135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51" t="str">
        <f>IF(IFERROR(SEARCH("&gt;",PartList[[#This Row],[ID]]),0),"O",IF(IFERROR(SEARCH("&lt;",PartList[[#This Row],[ID]]),0),"I",""))</f>
        <v/>
      </c>
      <c r="K1351" t="str" cm="1">
        <f t="array" ref="K13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51" t="str" cm="1">
        <f t="array" ref="L135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51" t="str">
        <f>_xlfn.TEXTJOIN("#",TRUE,PartList[[#This Row],[ASSLY MARK]],PartList[[#This Row],[BOX NO]],PartList[[#This Row],[In/Out]],PartList[[#This Row],[O1-Grid]])</f>
        <v>SF09#Box6#14_A'_A"</v>
      </c>
      <c r="N1351" t="str">
        <f>_xlfn.TEXTJOIN("#",TRUE,PartList[[#This Row],[ASSLY MARK]],PartList[[#This Row],[BOX NO]],PartList[[#This Row],[In/Out]],PartList[[#This Row],[O2-Grid]])</f>
        <v>SF09#Box6#14_15_A"</v>
      </c>
      <c r="O1351">
        <f>IF(PartList[[#This Row],[Unique]]="Yes",_xlfn.XLOOKUP(PartList[[#This Row],[ASSLY MARK]],FilteredPL!A:A,FilteredPL!B:B,0,0),0)</f>
        <v>0</v>
      </c>
      <c r="P1351">
        <f>_xlfn.XLOOKUP(PartList[[#This Row],[ASSLY MARK]],MasterPL[SplitMarkNo],MasterPL[BILL WT.(KG)],0,0)</f>
        <v>0</v>
      </c>
      <c r="Q1351" cm="1">
        <f t="array" ref="Q135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52" spans="1:17" x14ac:dyDescent="0.25">
      <c r="A1352">
        <v>1114</v>
      </c>
      <c r="B1352" t="s">
        <v>1099</v>
      </c>
      <c r="C1352" t="s">
        <v>1042</v>
      </c>
      <c r="D1352" t="s">
        <v>1101</v>
      </c>
      <c r="E1352" t="s">
        <v>1086</v>
      </c>
      <c r="F1352" t="str" cm="1">
        <f t="array" ref="F1352">IF(SUM(IF(PartList[ASSLY MARK]=PartList[[#This Row],[ASSLY MARK]],1,0))&gt;1,"No","Yes")</f>
        <v>No</v>
      </c>
      <c r="G1352" t="str" cm="1">
        <f t="array" ref="G1352">_xlfn.TEXTJOIN("_",TRUE,TRIM(_xlfn.TEXTSPLIT(PartList[[#This Row],[GRID LOCATION]],{"PR01","/","-"})))</f>
        <v>14_A"</v>
      </c>
      <c r="H1352" t="str" cm="1">
        <f t="array" ref="H135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52" cm="1">
        <f t="array" ref="I135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52" t="str">
        <f>IF(IFERROR(SEARCH("&gt;",PartList[[#This Row],[ID]]),0),"O",IF(IFERROR(SEARCH("&lt;",PartList[[#This Row],[ID]]),0),"I",""))</f>
        <v/>
      </c>
      <c r="K1352" t="str" cm="1">
        <f t="array" ref="K13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52" t="str" cm="1">
        <f t="array" ref="L135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52" t="str">
        <f>_xlfn.TEXTJOIN("#",TRUE,PartList[[#This Row],[ASSLY MARK]],PartList[[#This Row],[BOX NO]],PartList[[#This Row],[In/Out]],PartList[[#This Row],[O1-Grid]])</f>
        <v>SF09#Box6#14_A'_A"</v>
      </c>
      <c r="N1352" t="str">
        <f>_xlfn.TEXTJOIN("#",TRUE,PartList[[#This Row],[ASSLY MARK]],PartList[[#This Row],[BOX NO]],PartList[[#This Row],[In/Out]],PartList[[#This Row],[O2-Grid]])</f>
        <v>SF09#Box6#14_15_A"</v>
      </c>
      <c r="O1352">
        <f>IF(PartList[[#This Row],[Unique]]="Yes",_xlfn.XLOOKUP(PartList[[#This Row],[ASSLY MARK]],FilteredPL!A:A,FilteredPL!B:B,0,0),0)</f>
        <v>0</v>
      </c>
      <c r="P1352">
        <f>_xlfn.XLOOKUP(PartList[[#This Row],[ASSLY MARK]],MasterPL[SplitMarkNo],MasterPL[BILL WT.(KG)],0,0)</f>
        <v>0</v>
      </c>
      <c r="Q1352" cm="1">
        <f t="array" ref="Q135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53" spans="1:17" x14ac:dyDescent="0.25">
      <c r="A1353">
        <v>1115</v>
      </c>
      <c r="B1353" t="s">
        <v>1099</v>
      </c>
      <c r="C1353" t="s">
        <v>1042</v>
      </c>
      <c r="D1353" t="s">
        <v>1101</v>
      </c>
      <c r="E1353" t="s">
        <v>1086</v>
      </c>
      <c r="F1353" t="str" cm="1">
        <f t="array" ref="F1353">IF(SUM(IF(PartList[ASSLY MARK]=PartList[[#This Row],[ASSLY MARK]],1,0))&gt;1,"No","Yes")</f>
        <v>No</v>
      </c>
      <c r="G1353" t="str" cm="1">
        <f t="array" ref="G1353">_xlfn.TEXTJOIN("_",TRUE,TRIM(_xlfn.TEXTSPLIT(PartList[[#This Row],[GRID LOCATION]],{"PR01","/","-"})))</f>
        <v>14_A"</v>
      </c>
      <c r="H1353" t="str" cm="1">
        <f t="array" ref="H135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53" cm="1">
        <f t="array" ref="I135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53" t="str">
        <f>IF(IFERROR(SEARCH("&gt;",PartList[[#This Row],[ID]]),0),"O",IF(IFERROR(SEARCH("&lt;",PartList[[#This Row],[ID]]),0),"I",""))</f>
        <v/>
      </c>
      <c r="K1353" t="str" cm="1">
        <f t="array" ref="K13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53" t="str" cm="1">
        <f t="array" ref="L135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53" t="str">
        <f>_xlfn.TEXTJOIN("#",TRUE,PartList[[#This Row],[ASSLY MARK]],PartList[[#This Row],[BOX NO]],PartList[[#This Row],[In/Out]],PartList[[#This Row],[O1-Grid]])</f>
        <v>SF09#Box6#14_A'_A"</v>
      </c>
      <c r="N1353" t="str">
        <f>_xlfn.TEXTJOIN("#",TRUE,PartList[[#This Row],[ASSLY MARK]],PartList[[#This Row],[BOX NO]],PartList[[#This Row],[In/Out]],PartList[[#This Row],[O2-Grid]])</f>
        <v>SF09#Box6#14_15_A"</v>
      </c>
      <c r="O1353">
        <f>IF(PartList[[#This Row],[Unique]]="Yes",_xlfn.XLOOKUP(PartList[[#This Row],[ASSLY MARK]],FilteredPL!A:A,FilteredPL!B:B,0,0),0)</f>
        <v>0</v>
      </c>
      <c r="P1353">
        <f>_xlfn.XLOOKUP(PartList[[#This Row],[ASSLY MARK]],MasterPL[SplitMarkNo],MasterPL[BILL WT.(KG)],0,0)</f>
        <v>0</v>
      </c>
      <c r="Q1353" cm="1">
        <f t="array" ref="Q135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54" spans="1:17" x14ac:dyDescent="0.25">
      <c r="A1354">
        <v>1118</v>
      </c>
      <c r="B1354" t="s">
        <v>1102</v>
      </c>
      <c r="C1354" t="s">
        <v>1042</v>
      </c>
      <c r="D1354" t="s">
        <v>1101</v>
      </c>
      <c r="E1354" t="s">
        <v>1086</v>
      </c>
      <c r="F1354" t="str" cm="1">
        <f t="array" ref="F1354">IF(SUM(IF(PartList[ASSLY MARK]=PartList[[#This Row],[ASSLY MARK]],1,0))&gt;1,"No","Yes")</f>
        <v>No</v>
      </c>
      <c r="G1354" t="str" cm="1">
        <f t="array" ref="G1354">_xlfn.TEXTJOIN("_",TRUE,TRIM(_xlfn.TEXTSPLIT(PartList[[#This Row],[GRID LOCATION]],{"PR01","/","-"})))</f>
        <v>14_A"</v>
      </c>
      <c r="H1354" t="str" cm="1">
        <f t="array" ref="H1354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54" cm="1">
        <f t="array" ref="I1354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54" t="str">
        <f>IF(IFERROR(SEARCH("&gt;",PartList[[#This Row],[ID]]),0),"O",IF(IFERROR(SEARCH("&lt;",PartList[[#This Row],[ID]]),0),"I",""))</f>
        <v/>
      </c>
      <c r="K1354" t="str" cm="1">
        <f t="array" ref="K13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54" t="str" cm="1">
        <f t="array" ref="L1354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54" t="str">
        <f>_xlfn.TEXTJOIN("#",TRUE,PartList[[#This Row],[ASSLY MARK]],PartList[[#This Row],[BOX NO]],PartList[[#This Row],[In/Out]],PartList[[#This Row],[O1-Grid]])</f>
        <v>SF10#Box6#14_A'_A"</v>
      </c>
      <c r="N1354" t="str">
        <f>_xlfn.TEXTJOIN("#",TRUE,PartList[[#This Row],[ASSLY MARK]],PartList[[#This Row],[BOX NO]],PartList[[#This Row],[In/Out]],PartList[[#This Row],[O2-Grid]])</f>
        <v>SF10#Box6#14_15_A"</v>
      </c>
      <c r="O1354">
        <f>IF(PartList[[#This Row],[Unique]]="Yes",_xlfn.XLOOKUP(PartList[[#This Row],[ASSLY MARK]],FilteredPL!A:A,FilteredPL!B:B,0,0),0)</f>
        <v>0</v>
      </c>
      <c r="P1354">
        <f>_xlfn.XLOOKUP(PartList[[#This Row],[ASSLY MARK]],MasterPL[SplitMarkNo],MasterPL[BILL WT.(KG)],0,0)</f>
        <v>0</v>
      </c>
      <c r="Q1354" cm="1">
        <f t="array" ref="Q1354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55" spans="1:17" x14ac:dyDescent="0.25">
      <c r="A1355">
        <v>1120</v>
      </c>
      <c r="B1355" t="s">
        <v>1102</v>
      </c>
      <c r="C1355" t="s">
        <v>1042</v>
      </c>
      <c r="D1355" t="s">
        <v>1100</v>
      </c>
      <c r="E1355" t="s">
        <v>1086</v>
      </c>
      <c r="F1355" t="str" cm="1">
        <f t="array" ref="F1355">IF(SUM(IF(PartList[ASSLY MARK]=PartList[[#This Row],[ASSLY MARK]],1,0))&gt;1,"No","Yes")</f>
        <v>No</v>
      </c>
      <c r="G1355" t="str" cm="1">
        <f t="array" ref="G1355">_xlfn.TEXTJOIN("_",TRUE,TRIM(_xlfn.TEXTSPLIT(PartList[[#This Row],[GRID LOCATION]],{"PR01","/","-"})))</f>
        <v>14_A"</v>
      </c>
      <c r="H1355" t="str" cm="1">
        <f t="array" ref="H1355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55" cm="1">
        <f t="array" ref="I1355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55" t="str">
        <f>IF(IFERROR(SEARCH("&gt;",PartList[[#This Row],[ID]]),0),"O",IF(IFERROR(SEARCH("&lt;",PartList[[#This Row],[ID]]),0),"I",""))</f>
        <v/>
      </c>
      <c r="K1355" t="str" cm="1">
        <f t="array" ref="K13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55" t="str" cm="1">
        <f t="array" ref="L1355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55" t="str">
        <f>_xlfn.TEXTJOIN("#",TRUE,PartList[[#This Row],[ASSLY MARK]],PartList[[#This Row],[BOX NO]],PartList[[#This Row],[In/Out]],PartList[[#This Row],[O1-Grid]])</f>
        <v>SF10#Box6#14_A'_A"</v>
      </c>
      <c r="N1355" t="str">
        <f>_xlfn.TEXTJOIN("#",TRUE,PartList[[#This Row],[ASSLY MARK]],PartList[[#This Row],[BOX NO]],PartList[[#This Row],[In/Out]],PartList[[#This Row],[O2-Grid]])</f>
        <v>SF10#Box6#14_15_A"</v>
      </c>
      <c r="O1355">
        <f>IF(PartList[[#This Row],[Unique]]="Yes",_xlfn.XLOOKUP(PartList[[#This Row],[ASSLY MARK]],FilteredPL!A:A,FilteredPL!B:B,0,0),0)</f>
        <v>0</v>
      </c>
      <c r="P1355">
        <f>_xlfn.XLOOKUP(PartList[[#This Row],[ASSLY MARK]],MasterPL[SplitMarkNo],MasterPL[BILL WT.(KG)],0,0)</f>
        <v>0</v>
      </c>
      <c r="Q1355" cm="1">
        <f t="array" ref="Q1355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56" spans="1:17" x14ac:dyDescent="0.25">
      <c r="A1356">
        <v>1122</v>
      </c>
      <c r="B1356" t="s">
        <v>1102</v>
      </c>
      <c r="C1356" t="s">
        <v>1042</v>
      </c>
      <c r="D1356" t="s">
        <v>1101</v>
      </c>
      <c r="E1356" t="s">
        <v>1086</v>
      </c>
      <c r="F1356" t="str" cm="1">
        <f t="array" ref="F1356">IF(SUM(IF(PartList[ASSLY MARK]=PartList[[#This Row],[ASSLY MARK]],1,0))&gt;1,"No","Yes")</f>
        <v>No</v>
      </c>
      <c r="G1356" t="str" cm="1">
        <f t="array" ref="G1356">_xlfn.TEXTJOIN("_",TRUE,TRIM(_xlfn.TEXTSPLIT(PartList[[#This Row],[GRID LOCATION]],{"PR01","/","-"})))</f>
        <v>14_A"</v>
      </c>
      <c r="H1356" t="str" cm="1">
        <f t="array" ref="H1356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56" cm="1">
        <f t="array" ref="I1356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56" t="str">
        <f>IF(IFERROR(SEARCH("&gt;",PartList[[#This Row],[ID]]),0),"O",IF(IFERROR(SEARCH("&lt;",PartList[[#This Row],[ID]]),0),"I",""))</f>
        <v/>
      </c>
      <c r="K1356" t="str" cm="1">
        <f t="array" ref="K13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56" t="str" cm="1">
        <f t="array" ref="L1356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56" t="str">
        <f>_xlfn.TEXTJOIN("#",TRUE,PartList[[#This Row],[ASSLY MARK]],PartList[[#This Row],[BOX NO]],PartList[[#This Row],[In/Out]],PartList[[#This Row],[O1-Grid]])</f>
        <v>SF10#Box6#14_A'_A"</v>
      </c>
      <c r="N1356" t="str">
        <f>_xlfn.TEXTJOIN("#",TRUE,PartList[[#This Row],[ASSLY MARK]],PartList[[#This Row],[BOX NO]],PartList[[#This Row],[In/Out]],PartList[[#This Row],[O2-Grid]])</f>
        <v>SF10#Box6#14_15_A"</v>
      </c>
      <c r="O1356">
        <f>IF(PartList[[#This Row],[Unique]]="Yes",_xlfn.XLOOKUP(PartList[[#This Row],[ASSLY MARK]],FilteredPL!A:A,FilteredPL!B:B,0,0),0)</f>
        <v>0</v>
      </c>
      <c r="P1356">
        <f>_xlfn.XLOOKUP(PartList[[#This Row],[ASSLY MARK]],MasterPL[SplitMarkNo],MasterPL[BILL WT.(KG)],0,0)</f>
        <v>0</v>
      </c>
      <c r="Q1356" cm="1">
        <f t="array" ref="Q1356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57" spans="1:17" x14ac:dyDescent="0.25">
      <c r="A1357">
        <v>1123</v>
      </c>
      <c r="B1357" t="s">
        <v>1102</v>
      </c>
      <c r="C1357" t="s">
        <v>1042</v>
      </c>
      <c r="D1357" t="s">
        <v>1100</v>
      </c>
      <c r="E1357" t="s">
        <v>1086</v>
      </c>
      <c r="F1357" t="str" cm="1">
        <f t="array" ref="F1357">IF(SUM(IF(PartList[ASSLY MARK]=PartList[[#This Row],[ASSLY MARK]],1,0))&gt;1,"No","Yes")</f>
        <v>No</v>
      </c>
      <c r="G1357" t="str" cm="1">
        <f t="array" ref="G1357">_xlfn.TEXTJOIN("_",TRUE,TRIM(_xlfn.TEXTSPLIT(PartList[[#This Row],[GRID LOCATION]],{"PR01","/","-"})))</f>
        <v>14_A"</v>
      </c>
      <c r="H1357" t="str" cm="1">
        <f t="array" ref="H1357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57" cm="1">
        <f t="array" ref="I1357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57" t="str">
        <f>IF(IFERROR(SEARCH("&gt;",PartList[[#This Row],[ID]]),0),"O",IF(IFERROR(SEARCH("&lt;",PartList[[#This Row],[ID]]),0),"I",""))</f>
        <v/>
      </c>
      <c r="K1357" t="str" cm="1">
        <f t="array" ref="K13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57" t="str" cm="1">
        <f t="array" ref="L1357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57" t="str">
        <f>_xlfn.TEXTJOIN("#",TRUE,PartList[[#This Row],[ASSLY MARK]],PartList[[#This Row],[BOX NO]],PartList[[#This Row],[In/Out]],PartList[[#This Row],[O1-Grid]])</f>
        <v>SF10#Box6#14_A'_A"</v>
      </c>
      <c r="N1357" t="str">
        <f>_xlfn.TEXTJOIN("#",TRUE,PartList[[#This Row],[ASSLY MARK]],PartList[[#This Row],[BOX NO]],PartList[[#This Row],[In/Out]],PartList[[#This Row],[O2-Grid]])</f>
        <v>SF10#Box6#14_15_A"</v>
      </c>
      <c r="O1357">
        <f>IF(PartList[[#This Row],[Unique]]="Yes",_xlfn.XLOOKUP(PartList[[#This Row],[ASSLY MARK]],FilteredPL!A:A,FilteredPL!B:B,0,0),0)</f>
        <v>0</v>
      </c>
      <c r="P1357">
        <f>_xlfn.XLOOKUP(PartList[[#This Row],[ASSLY MARK]],MasterPL[SplitMarkNo],MasterPL[BILL WT.(KG)],0,0)</f>
        <v>0</v>
      </c>
      <c r="Q1357" cm="1">
        <f t="array" ref="Q1357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58" spans="1:17" x14ac:dyDescent="0.25">
      <c r="A1358">
        <v>1197</v>
      </c>
      <c r="B1358" t="s">
        <v>1117</v>
      </c>
      <c r="C1358" t="s">
        <v>1042</v>
      </c>
      <c r="D1358" t="s">
        <v>1118</v>
      </c>
      <c r="E1358" t="s">
        <v>1086</v>
      </c>
      <c r="F1358" t="str" cm="1">
        <f t="array" ref="F1358">IF(SUM(IF(PartList[ASSLY MARK]=PartList[[#This Row],[ASSLY MARK]],1,0))&gt;1,"No","Yes")</f>
        <v>No</v>
      </c>
      <c r="G1358" t="str" cm="1">
        <f t="array" ref="G1358">_xlfn.TEXTJOIN("_",TRUE,TRIM(_xlfn.TEXTSPLIT(PartList[[#This Row],[GRID LOCATION]],{"PR01","/","-"})))</f>
        <v>14_A"</v>
      </c>
      <c r="H1358" t="str" cm="1">
        <f t="array" ref="H1358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58" cm="1">
        <f t="array" ref="I1358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58" t="str">
        <f>IF(IFERROR(SEARCH("&gt;",PartList[[#This Row],[ID]]),0),"O",IF(IFERROR(SEARCH("&lt;",PartList[[#This Row],[ID]]),0),"I",""))</f>
        <v/>
      </c>
      <c r="K1358" t="str" cm="1">
        <f t="array" ref="K13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58" t="str" cm="1">
        <f t="array" ref="L1358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58" t="str">
        <f>_xlfn.TEXTJOIN("#",TRUE,PartList[[#This Row],[ASSLY MARK]],PartList[[#This Row],[BOX NO]],PartList[[#This Row],[In/Out]],PartList[[#This Row],[O1-Grid]])</f>
        <v>SW04#Box6#14_A'_A"</v>
      </c>
      <c r="N1358" t="str">
        <f>_xlfn.TEXTJOIN("#",TRUE,PartList[[#This Row],[ASSLY MARK]],PartList[[#This Row],[BOX NO]],PartList[[#This Row],[In/Out]],PartList[[#This Row],[O2-Grid]])</f>
        <v>SW04#Box6#14_15_A"</v>
      </c>
      <c r="O1358">
        <f>IF(PartList[[#This Row],[Unique]]="Yes",_xlfn.XLOOKUP(PartList[[#This Row],[ASSLY MARK]],FilteredPL!A:A,FilteredPL!B:B,0,0),0)</f>
        <v>0</v>
      </c>
      <c r="P1358">
        <f>_xlfn.XLOOKUP(PartList[[#This Row],[ASSLY MARK]],MasterPL[SplitMarkNo],MasterPL[BILL WT.(KG)],0,0)</f>
        <v>0</v>
      </c>
      <c r="Q1358" cm="1">
        <f t="array" ref="Q1358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59" spans="1:17" x14ac:dyDescent="0.25">
      <c r="A1359">
        <v>1199</v>
      </c>
      <c r="B1359" t="s">
        <v>1117</v>
      </c>
      <c r="C1359" t="s">
        <v>1042</v>
      </c>
      <c r="D1359" t="s">
        <v>1119</v>
      </c>
      <c r="E1359" t="s">
        <v>1086</v>
      </c>
      <c r="F1359" t="str" cm="1">
        <f t="array" ref="F1359">IF(SUM(IF(PartList[ASSLY MARK]=PartList[[#This Row],[ASSLY MARK]],1,0))&gt;1,"No","Yes")</f>
        <v>No</v>
      </c>
      <c r="G1359" t="str" cm="1">
        <f t="array" ref="G1359">_xlfn.TEXTJOIN("_",TRUE,TRIM(_xlfn.TEXTSPLIT(PartList[[#This Row],[GRID LOCATION]],{"PR01","/","-"})))</f>
        <v>14_A"</v>
      </c>
      <c r="H1359" t="str" cm="1">
        <f t="array" ref="H1359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59" cm="1">
        <f t="array" ref="I1359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59" t="str">
        <f>IF(IFERROR(SEARCH("&gt;",PartList[[#This Row],[ID]]),0),"O",IF(IFERROR(SEARCH("&lt;",PartList[[#This Row],[ID]]),0),"I",""))</f>
        <v/>
      </c>
      <c r="K1359" t="str" cm="1">
        <f t="array" ref="K13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59" t="str" cm="1">
        <f t="array" ref="L1359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59" t="str">
        <f>_xlfn.TEXTJOIN("#",TRUE,PartList[[#This Row],[ASSLY MARK]],PartList[[#This Row],[BOX NO]],PartList[[#This Row],[In/Out]],PartList[[#This Row],[O1-Grid]])</f>
        <v>SW04#Box6#14_A'_A"</v>
      </c>
      <c r="N1359" t="str">
        <f>_xlfn.TEXTJOIN("#",TRUE,PartList[[#This Row],[ASSLY MARK]],PartList[[#This Row],[BOX NO]],PartList[[#This Row],[In/Out]],PartList[[#This Row],[O2-Grid]])</f>
        <v>SW04#Box6#14_15_A"</v>
      </c>
      <c r="O1359">
        <f>IF(PartList[[#This Row],[Unique]]="Yes",_xlfn.XLOOKUP(PartList[[#This Row],[ASSLY MARK]],FilteredPL!A:A,FilteredPL!B:B,0,0),0)</f>
        <v>0</v>
      </c>
      <c r="P1359">
        <f>_xlfn.XLOOKUP(PartList[[#This Row],[ASSLY MARK]],MasterPL[SplitMarkNo],MasterPL[BILL WT.(KG)],0,0)</f>
        <v>0</v>
      </c>
      <c r="Q1359" cm="1">
        <f t="array" ref="Q1359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60" spans="1:17" x14ac:dyDescent="0.25">
      <c r="A1360">
        <v>1201</v>
      </c>
      <c r="B1360" t="s">
        <v>1117</v>
      </c>
      <c r="C1360" t="s">
        <v>1042</v>
      </c>
      <c r="D1360" t="s">
        <v>1118</v>
      </c>
      <c r="E1360" t="s">
        <v>1086</v>
      </c>
      <c r="F1360" t="str" cm="1">
        <f t="array" ref="F1360">IF(SUM(IF(PartList[ASSLY MARK]=PartList[[#This Row],[ASSLY MARK]],1,0))&gt;1,"No","Yes")</f>
        <v>No</v>
      </c>
      <c r="G1360" t="str" cm="1">
        <f t="array" ref="G1360">_xlfn.TEXTJOIN("_",TRUE,TRIM(_xlfn.TEXTSPLIT(PartList[[#This Row],[GRID LOCATION]],{"PR01","/","-"})))</f>
        <v>14_A"</v>
      </c>
      <c r="H1360" t="str" cm="1">
        <f t="array" ref="H1360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60" cm="1">
        <f t="array" ref="I1360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60" t="str">
        <f>IF(IFERROR(SEARCH("&gt;",PartList[[#This Row],[ID]]),0),"O",IF(IFERROR(SEARCH("&lt;",PartList[[#This Row],[ID]]),0),"I",""))</f>
        <v/>
      </c>
      <c r="K1360" t="str" cm="1">
        <f t="array" ref="K13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60" t="str" cm="1">
        <f t="array" ref="L1360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60" t="str">
        <f>_xlfn.TEXTJOIN("#",TRUE,PartList[[#This Row],[ASSLY MARK]],PartList[[#This Row],[BOX NO]],PartList[[#This Row],[In/Out]],PartList[[#This Row],[O1-Grid]])</f>
        <v>SW04#Box6#14_A'_A"</v>
      </c>
      <c r="N1360" t="str">
        <f>_xlfn.TEXTJOIN("#",TRUE,PartList[[#This Row],[ASSLY MARK]],PartList[[#This Row],[BOX NO]],PartList[[#This Row],[In/Out]],PartList[[#This Row],[O2-Grid]])</f>
        <v>SW04#Box6#14_15_A"</v>
      </c>
      <c r="O1360">
        <f>IF(PartList[[#This Row],[Unique]]="Yes",_xlfn.XLOOKUP(PartList[[#This Row],[ASSLY MARK]],FilteredPL!A:A,FilteredPL!B:B,0,0),0)</f>
        <v>0</v>
      </c>
      <c r="P1360">
        <f>_xlfn.XLOOKUP(PartList[[#This Row],[ASSLY MARK]],MasterPL[SplitMarkNo],MasterPL[BILL WT.(KG)],0,0)</f>
        <v>0</v>
      </c>
      <c r="Q1360" cm="1">
        <f t="array" ref="Q1360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61" spans="1:17" x14ac:dyDescent="0.25">
      <c r="A1361">
        <v>1202</v>
      </c>
      <c r="B1361" t="s">
        <v>1117</v>
      </c>
      <c r="C1361" t="s">
        <v>1042</v>
      </c>
      <c r="D1361" t="s">
        <v>1119</v>
      </c>
      <c r="E1361" t="s">
        <v>1086</v>
      </c>
      <c r="F1361" t="str" cm="1">
        <f t="array" ref="F1361">IF(SUM(IF(PartList[ASSLY MARK]=PartList[[#This Row],[ASSLY MARK]],1,0))&gt;1,"No","Yes")</f>
        <v>No</v>
      </c>
      <c r="G1361" t="str" cm="1">
        <f t="array" ref="G1361">_xlfn.TEXTJOIN("_",TRUE,TRIM(_xlfn.TEXTSPLIT(PartList[[#This Row],[GRID LOCATION]],{"PR01","/","-"})))</f>
        <v>14_A"</v>
      </c>
      <c r="H1361" t="str" cm="1">
        <f t="array" ref="H1361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61" cm="1">
        <f t="array" ref="I1361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61" t="str">
        <f>IF(IFERROR(SEARCH("&gt;",PartList[[#This Row],[ID]]),0),"O",IF(IFERROR(SEARCH("&lt;",PartList[[#This Row],[ID]]),0),"I",""))</f>
        <v/>
      </c>
      <c r="K1361" t="str" cm="1">
        <f t="array" ref="K13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14_A'_A"</v>
      </c>
      <c r="L1361" t="str" cm="1">
        <f t="array" ref="L1361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14_15_A"</v>
      </c>
      <c r="M1361" t="str">
        <f>_xlfn.TEXTJOIN("#",TRUE,PartList[[#This Row],[ASSLY MARK]],PartList[[#This Row],[BOX NO]],PartList[[#This Row],[In/Out]],PartList[[#This Row],[O1-Grid]])</f>
        <v>SW04#Box6#14_A'_A"</v>
      </c>
      <c r="N1361" t="str">
        <f>_xlfn.TEXTJOIN("#",TRUE,PartList[[#This Row],[ASSLY MARK]],PartList[[#This Row],[BOX NO]],PartList[[#This Row],[In/Out]],PartList[[#This Row],[O2-Grid]])</f>
        <v>SW04#Box6#14_15_A"</v>
      </c>
      <c r="O1361">
        <f>IF(PartList[[#This Row],[Unique]]="Yes",_xlfn.XLOOKUP(PartList[[#This Row],[ASSLY MARK]],FilteredPL!A:A,FilteredPL!B:B,0,0),0)</f>
        <v>0</v>
      </c>
      <c r="P1361">
        <f>_xlfn.XLOOKUP(PartList[[#This Row],[ASSLY MARK]],MasterPL[SplitMarkNo],MasterPL[BILL WT.(KG)],0,0)</f>
        <v>0</v>
      </c>
      <c r="Q1361" cm="1">
        <f t="array" ref="Q1361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62" spans="1:17" x14ac:dyDescent="0.25">
      <c r="A1362">
        <v>1331</v>
      </c>
      <c r="B1362" t="s">
        <v>1198</v>
      </c>
      <c r="C1362" t="s">
        <v>794</v>
      </c>
      <c r="D1362" t="s">
        <v>1152</v>
      </c>
      <c r="E1362" t="s">
        <v>1122</v>
      </c>
      <c r="F1362" t="str" cm="1">
        <f t="array" ref="F1362">IF(SUM(IF(PartList[ASSLY MARK]=PartList[[#This Row],[ASSLY MARK]],1,0))&gt;1,"No","Yes")</f>
        <v>Yes</v>
      </c>
      <c r="G1362" t="str" cm="1">
        <f t="array" ref="G1362">_xlfn.TEXTJOIN("_",TRUE,TRIM(_xlfn.TEXTSPLIT(PartList[[#This Row],[GRID LOCATION]],{"PR01","/","-"})))</f>
        <v>14_15_A'_A</v>
      </c>
      <c r="H1362" t="str" cm="1">
        <f t="array" ref="H1362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62" cm="1">
        <f t="array" ref="I1362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62" t="str">
        <f>IF(IFERROR(SEARCH("&gt;",PartList[[#This Row],[ID]]),0),"O",IF(IFERROR(SEARCH("&lt;",PartList[[#This Row],[ID]]),0),"I",""))</f>
        <v/>
      </c>
      <c r="K1362" t="str" cm="1">
        <f t="array" ref="K13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362" t="str" cm="1">
        <f t="array" ref="L1362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362" t="str">
        <f>_xlfn.TEXTJOIN("#",TRUE,PartList[[#This Row],[ASSLY MARK]],PartList[[#This Row],[BOX NO]],PartList[[#This Row],[In/Out]],PartList[[#This Row],[O1-Grid]])</f>
        <v>VB81#Box6#InB</v>
      </c>
      <c r="N1362" t="str">
        <f>_xlfn.TEXTJOIN("#",TRUE,PartList[[#This Row],[ASSLY MARK]],PartList[[#This Row],[BOX NO]],PartList[[#This Row],[In/Out]],PartList[[#This Row],[O2-Grid]])</f>
        <v>VB81#Box6#InB</v>
      </c>
      <c r="O1362">
        <f>IF(PartList[[#This Row],[Unique]]="Yes",_xlfn.XLOOKUP(PartList[[#This Row],[ASSLY MARK]],FilteredPL!A:A,FilteredPL!B:B,0,0),0)</f>
        <v>0</v>
      </c>
      <c r="P1362">
        <f>_xlfn.XLOOKUP(PartList[[#This Row],[ASSLY MARK]],MasterPL[SplitMarkNo],MasterPL[BILL WT.(KG)],0,0)</f>
        <v>0</v>
      </c>
      <c r="Q1362" cm="1">
        <f t="array" ref="Q1362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  <row r="1363" spans="1:17" x14ac:dyDescent="0.25">
      <c r="A1363">
        <v>1333</v>
      </c>
      <c r="B1363" t="s">
        <v>1200</v>
      </c>
      <c r="C1363" t="s">
        <v>794</v>
      </c>
      <c r="D1363" t="s">
        <v>1149</v>
      </c>
      <c r="E1363" t="s">
        <v>1122</v>
      </c>
      <c r="F1363" t="str" cm="1">
        <f t="array" ref="F1363">IF(SUM(IF(PartList[ASSLY MARK]=PartList[[#This Row],[ASSLY MARK]],1,0))&gt;1,"No","Yes")</f>
        <v>Yes</v>
      </c>
      <c r="G1363" t="str" cm="1">
        <f t="array" ref="G1363">_xlfn.TEXTJOIN("_",TRUE,TRIM(_xlfn.TEXTSPLIT(PartList[[#This Row],[GRID LOCATION]],{"PR01","/","-"})))</f>
        <v>14_15_A'_A</v>
      </c>
      <c r="H1363" t="str" cm="1">
        <f t="array" ref="H1363">_xlfn.TEXTJOIN("_",TRUE,_xlfn._xlws.FILTER(BoxTable[Column1],_xlfn.BYROW((IF(_xlfn.TEXTSPLIT(PartList[[#This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Row],[ID]],{"_","&gt;","&lt;"})=BoxTable[L2],1,0)),_xlfn.LAMBDA(_xlpm.row,SUM(_xlpm.row)))=MAX(_xlfn.BYROW((IF(_xlfn.TEXTSPLIT(PartList[[#This Row],[ID]],{"_","&gt;","&lt;"})=BoxTable[N1],1,0)+IF(_xlfn.TEXTSPLIT(PartList[[#This Row],[ID]],{"_","&gt;","&lt;"})=BoxTable[N2],1,0)+IF(_xlfn.TEXTSPLIT(PartList[[#This Row],[ID]],{"_","&gt;","&lt;"})=BoxTable[L1],1,0)+IF(_xlfn.TEXTSPLIT(PartList[[#This Row],[ID]],{"_","&gt;","&lt;"})=BoxTable[L2],1,0)),_xlfn.LAMBDA(_xlpm.row,SUM(_xlpm.row))))=TRUE))</f>
        <v>Box6</v>
      </c>
      <c r="I1363" cm="1">
        <f t="array" ref="I1363">IF(COUNTA(_xlfn.TEXTSPLIT(PartList[[#This Row],[BOX NO]],"_"))=1,_xlfn.XLOOKUP(PartList[[#This Row],[BOX NO]],BoxTable[Column1],BoxTable[P],100,0),MIN(_xlfn.XLOOKUP(INDEX(_xlfn.TEXTSPLIT(PartList[[#This Row],[BOX NO]],"_"),1),BoxTable[Column1],BoxTable[P],100,0),_xlfn.XLOOKUP(INDEX(_xlfn.TEXTSPLIT(PartList[[#This Row],[BOX NO]],"_"),2),BoxTable[Column1],BoxTable[P],100,0)))</f>
        <v>6</v>
      </c>
      <c r="J1363" t="str">
        <f>IF(IFERROR(SEARCH("&gt;",PartList[[#This Row],[ID]]),0),"O",IF(IFERROR(SEARCH("&lt;",PartList[[#This Row],[ID]]),0),"I",""))</f>
        <v/>
      </c>
      <c r="K1363" t="str" cm="1">
        <f t="array" ref="K13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Row],[ID]],"_"))&lt;3,_xlfn.TEXTJOIN("_",TRUE,INDEX(_xlfn.TEXTSPLIT(PartList[[#This Row],[ID]],"_"),1),_xlfn._xlws.FILTER(BoxTable[[L1]:[L2]],BoxTable[Column1]=PartList[[#This Row],[BOX NO]])),IF(SUM(_xlfn.BYROW(IF((_xlfn.TEXTSPLIT(PartList[[#This Row],[ID]],"_")=_xlfn.UNIQUE(_xlfn.VSTACK(BoxTable[N1],BoxTable[N2]))),1,0),_xlfn.LAMBDA(_xlpm.row,SUM(_xlpm.row))))&gt;1,"InB",PartList[[#This Row],[ID]])))))</f>
        <v>InB</v>
      </c>
      <c r="L1363" t="str" cm="1">
        <f t="array" ref="L1363">IF(PartList[[#This Row],[In/Out]]&lt;&gt;"","",IF(COUNTA(_xlfn.TEXTSPLIT(PartList[[#This Row],[BOX NO]],"_"))&gt;1,"InBB",IF(COUNTA(_xlfn.TEXTSPLIT(PartList[[#This Row],[ID]],"_"))&gt;3,"InB",IF(COUNTA(_xlfn.TEXTSPLIT(PartList[[#This Row],[ID]],"_"))&lt;3,_xlfn.TEXTJOIN("_",TRUE,_xlfn._xlws.FILTER(BoxTable[[N1]:[N2]],BoxTable[Column1]=PartList[[#This Row],[BOX NO]]),INDEX(_xlfn.TEXTSPLIT(PartList[[#This Row],[ID]],"_"),2)),IF(SUM(_xlfn.BYROW(IF((_xlfn.TEXTSPLIT(PartList[[#This Row],[ID]],"_")=_xlfn.UNIQUE(_xlfn.VSTACK(BoxTable[L1],BoxTable[L2]))),1,0),_xlfn.LAMBDA(_xlpm.row,SUM(_xlpm.row))))&gt;1,"InB",PartList[[#This Row],[ID]])))))</f>
        <v>InB</v>
      </c>
      <c r="M1363" t="str">
        <f>_xlfn.TEXTJOIN("#",TRUE,PartList[[#This Row],[ASSLY MARK]],PartList[[#This Row],[BOX NO]],PartList[[#This Row],[In/Out]],PartList[[#This Row],[O1-Grid]])</f>
        <v>VB83#Box6#InB</v>
      </c>
      <c r="N1363" t="str">
        <f>_xlfn.TEXTJOIN("#",TRUE,PartList[[#This Row],[ASSLY MARK]],PartList[[#This Row],[BOX NO]],PartList[[#This Row],[In/Out]],PartList[[#This Row],[O2-Grid]])</f>
        <v>VB83#Box6#InB</v>
      </c>
      <c r="O1363">
        <f>IF(PartList[[#This Row],[Unique]]="Yes",_xlfn.XLOOKUP(PartList[[#This Row],[ASSLY MARK]],FilteredPL!A:A,FilteredPL!B:B,0,0),0)</f>
        <v>0</v>
      </c>
      <c r="P1363">
        <f>_xlfn.XLOOKUP(PartList[[#This Row],[ASSLY MARK]],MasterPL[SplitMarkNo],MasterPL[BILL WT.(KG)],0,0)</f>
        <v>0</v>
      </c>
      <c r="Q1363" cm="1">
        <f t="array" ref="Q1363">PartList[[#This Row],[Avail. Qty]]*PartList[[#This Row],[Weight]]*(IF(IF(PartList[[#This Row],[O1-Grid]]=PartList[[#This Row],[O2-Grid]],IF(COUNTA(_xlfn.TEXTSPLIT(PartList[[#This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NO]],"_"),1),Status!B:B,Status!C:C,0,0)),IF(COUNTA(_xlfn.TEXTSPLIT(PartList[[#This Row],[O1-Grid]],"_"))&gt;1,_xlfn.XLOOKUP(PartList[[#This Row],[O1-Grid]],Status!F:F,Status!G:G,0,0),IF(COUNTA(_xlfn.TEXTSPLIT(PartList[[#This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NO]],"_"),1),Status!B:B,Status!C:C,0,0)))+IF(COUNTA(_xlfn.TEXTSPLIT(PartList[[#This Row],[O2-Grid]],"_"))&gt;1,_xlfn.XLOOKUP(PartList[[#This Row],[O2-Grid]],Status!J:J,Status!K:K,0,0),IF(COUNTA(_xlfn.TEXTSPLIT(PartList[[#This Row],[BOX NO]],"_"))=1,_xlfn.XLOOKUP(PartList[[#This Row],[BOX NO]],Status!B:B,Status!C:C,0,0),_xlfn.XLOOKUP(INDEX(_xlfn.TEXTSPLIT(PartList[[#This Row],[BOX NO]],"_"),1),Status!B:B,Status!C:C,0,0)*_xlfn.XLOOKUP(INDEX(_xlfn.TEXTSPLIT(PartList[[#This Row],[BOX NO]],"_"),1),Status!B:B,Status!C:C,0,0))))&gt;0,1,0))</f>
        <v>0</v>
      </c>
    </row>
  </sheetData>
  <mergeCells count="1">
    <mergeCell ref="T1:Y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onUniqueQty">
                <anchor moveWithCells="1" sizeWithCells="1">
                  <from>
                    <xdr:col>4</xdr:col>
                    <xdr:colOff>1095375</xdr:colOff>
                    <xdr:row>0</xdr:row>
                    <xdr:rowOff>180975</xdr:rowOff>
                  </from>
                  <to>
                    <xdr:col>5</xdr:col>
                    <xdr:colOff>1095375</xdr:colOff>
                    <xdr:row>1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10758-9113-4453-A76A-0CD6DA5631C1}">
  <sheetPr codeName="Sheet2"/>
  <dimension ref="A1:H31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2.140625" bestFit="1" customWidth="1"/>
    <col min="5" max="5" width="14.7109375" bestFit="1" customWidth="1"/>
    <col min="8" max="8" width="28.42578125" style="21" bestFit="1" customWidth="1"/>
  </cols>
  <sheetData>
    <row r="1" spans="1:8" x14ac:dyDescent="0.25">
      <c r="A1" s="1" t="s">
        <v>59</v>
      </c>
      <c r="B1" s="18" t="s">
        <v>60</v>
      </c>
      <c r="C1" s="18" t="s">
        <v>64</v>
      </c>
      <c r="D1" s="18" t="s">
        <v>65</v>
      </c>
      <c r="E1" s="18" t="s">
        <v>47</v>
      </c>
    </row>
    <row r="2" spans="1:8" x14ac:dyDescent="0.25">
      <c r="A2" t="str" cm="1">
        <f t="array" ref="A2:A31">_xlfn.UNIQUE(MasterPL[SplitMarkNo])</f>
        <v>C01</v>
      </c>
      <c r="B2">
        <f>SUMIF(MasterPL[SplitMarkNo],FilteredPL!A2,MasterPL[DRG PART QTY])</f>
        <v>1</v>
      </c>
      <c r="C2">
        <f>_xlfn.XLOOKUP(A2,Main!AA:AA,Main!AB:AB,0,0)</f>
        <v>1</v>
      </c>
      <c r="D2">
        <f>B2-C2</f>
        <v>0</v>
      </c>
      <c r="E2">
        <f>SUMIF(MasterPL[SplitMarkNo],FilteredPL!A2,MasterPL[BILL WT.(KG)])</f>
        <v>3187.51</v>
      </c>
    </row>
    <row r="3" spans="1:8" x14ac:dyDescent="0.25">
      <c r="A3" t="str">
        <v>C06</v>
      </c>
      <c r="B3">
        <f>SUMIF(MasterPL[SplitMarkNo],FilteredPL!A3,MasterPL[DRG PART QTY])</f>
        <v>1</v>
      </c>
      <c r="C3">
        <f>_xlfn.XLOOKUP(A3,Main!AA:AA,Main!AB:AB,0,0)</f>
        <v>1</v>
      </c>
      <c r="D3">
        <f t="shared" ref="D3:D31" si="0">B3-C3</f>
        <v>0</v>
      </c>
      <c r="E3">
        <f>SUMIF(MasterPL[SplitMarkNo],FilteredPL!A3,MasterPL[BILL WT.(KG)])</f>
        <v>3187.51</v>
      </c>
    </row>
    <row r="4" spans="1:8" ht="15.75" x14ac:dyDescent="0.25">
      <c r="A4" t="str">
        <v>C09</v>
      </c>
      <c r="B4">
        <f>SUMIF(MasterPL[SplitMarkNo],FilteredPL!A4,MasterPL[DRG PART QTY])</f>
        <v>1</v>
      </c>
      <c r="C4">
        <f>_xlfn.XLOOKUP(A4,Main!AA:AA,Main!AB:AB,0,0)</f>
        <v>1</v>
      </c>
      <c r="D4">
        <f t="shared" si="0"/>
        <v>0</v>
      </c>
      <c r="E4">
        <f>SUMIF(MasterPL[SplitMarkNo],FilteredPL!A4,MasterPL[BILL WT.(KG)])</f>
        <v>3183.49</v>
      </c>
    </row>
    <row r="5" spans="1:8" x14ac:dyDescent="0.25">
      <c r="A5" t="str">
        <v>C10</v>
      </c>
      <c r="B5">
        <f>SUMIF(MasterPL[SplitMarkNo],FilteredPL!A5,MasterPL[DRG PART QTY])</f>
        <v>1</v>
      </c>
      <c r="C5">
        <f>_xlfn.XLOOKUP(A5,Main!AA:AA,Main!AB:AB,0,0)</f>
        <v>1</v>
      </c>
      <c r="D5">
        <f t="shared" si="0"/>
        <v>0</v>
      </c>
      <c r="E5">
        <f>SUMIF(MasterPL[SplitMarkNo],FilteredPL!A5,MasterPL[BILL WT.(KG)])</f>
        <v>4158.7</v>
      </c>
      <c r="H5" s="22" t="s">
        <v>69</v>
      </c>
    </row>
    <row r="6" spans="1:8" ht="15.75" thickBot="1" x14ac:dyDescent="0.3">
      <c r="A6" t="str">
        <v>C11</v>
      </c>
      <c r="B6">
        <f>SUMIF(MasterPL[SplitMarkNo],FilteredPL!A6,MasterPL[DRG PART QTY])</f>
        <v>1</v>
      </c>
      <c r="C6">
        <f>_xlfn.XLOOKUP(A6,Main!AA:AA,Main!AB:AB,0,0)</f>
        <v>1</v>
      </c>
      <c r="D6">
        <f t="shared" si="0"/>
        <v>0</v>
      </c>
      <c r="E6">
        <f>SUMIF(MasterPL[SplitMarkNo],FilteredPL!A6,MasterPL[BILL WT.(KG)])</f>
        <v>2343.83</v>
      </c>
      <c r="H6" s="23" cm="1">
        <f t="array" ref="H6">SUM(IF(D:D&lt;0,1,0))</f>
        <v>0</v>
      </c>
    </row>
    <row r="7" spans="1:8" x14ac:dyDescent="0.25">
      <c r="A7" t="str">
        <v>C14</v>
      </c>
      <c r="B7">
        <f>SUMIF(MasterPL[SplitMarkNo],FilteredPL!A7,MasterPL[DRG PART QTY])</f>
        <v>1</v>
      </c>
      <c r="C7">
        <f>_xlfn.XLOOKUP(A7,Main!AA:AA,Main!AB:AB,0,0)</f>
        <v>1</v>
      </c>
      <c r="D7">
        <f t="shared" si="0"/>
        <v>0</v>
      </c>
      <c r="E7">
        <f>SUMIF(MasterPL[SplitMarkNo],FilteredPL!A7,MasterPL[BILL WT.(KG)])</f>
        <v>4202.7700000000004</v>
      </c>
    </row>
    <row r="8" spans="1:8" x14ac:dyDescent="0.25">
      <c r="A8" t="str">
        <v>SF01</v>
      </c>
      <c r="B8">
        <f>SUMIF(MasterPL[SplitMarkNo],FilteredPL!A8,MasterPL[DRG PART QTY])</f>
        <v>24</v>
      </c>
      <c r="C8">
        <f>_xlfn.XLOOKUP(A8,Main!AA:AA,Main!AB:AB,0,0)</f>
        <v>24</v>
      </c>
      <c r="D8">
        <f t="shared" si="0"/>
        <v>0</v>
      </c>
      <c r="E8">
        <f>SUMIF(MasterPL[SplitMarkNo],FilteredPL!A8,MasterPL[BILL WT.(KG)])</f>
        <v>877.94</v>
      </c>
      <c r="H8" s="24" t="s">
        <v>70</v>
      </c>
    </row>
    <row r="9" spans="1:8" x14ac:dyDescent="0.25">
      <c r="A9" t="str">
        <v>SF03</v>
      </c>
      <c r="B9">
        <f>SUMIF(MasterPL[SplitMarkNo],FilteredPL!A9,MasterPL[DRG PART QTY])</f>
        <v>12</v>
      </c>
      <c r="C9">
        <f>_xlfn.XLOOKUP(A9,Main!AA:AA,Main!AB:AB,0,0)</f>
        <v>12</v>
      </c>
      <c r="D9">
        <f t="shared" si="0"/>
        <v>0</v>
      </c>
      <c r="E9">
        <f>SUMIF(MasterPL[SplitMarkNo],FilteredPL!A9,MasterPL[BILL WT.(KG)])</f>
        <v>1316.92</v>
      </c>
      <c r="H9" s="24" cm="1">
        <f t="array" ref="H9">SUM(IF(D:D&gt;0,1,0))-1</f>
        <v>0</v>
      </c>
    </row>
    <row r="10" spans="1:8" x14ac:dyDescent="0.25">
      <c r="A10" t="str">
        <v>SF05</v>
      </c>
      <c r="B10">
        <f>SUMIF(MasterPL[SplitMarkNo],FilteredPL!A10,MasterPL[DRG PART QTY])</f>
        <v>8</v>
      </c>
      <c r="C10">
        <f>_xlfn.XLOOKUP(A10,Main!AA:AA,Main!AB:AB,0,0)</f>
        <v>8</v>
      </c>
      <c r="D10">
        <f t="shared" si="0"/>
        <v>0</v>
      </c>
      <c r="E10">
        <f>SUMIF(MasterPL[SplitMarkNo],FilteredPL!A10,MasterPL[BILL WT.(KG)])</f>
        <v>449.41</v>
      </c>
    </row>
    <row r="11" spans="1:8" x14ac:dyDescent="0.25">
      <c r="A11" t="str">
        <v>SF06</v>
      </c>
      <c r="B11">
        <f>SUMIF(MasterPL[SplitMarkNo],FilteredPL!A11,MasterPL[DRG PART QTY])</f>
        <v>4</v>
      </c>
      <c r="C11">
        <f>_xlfn.XLOOKUP(A11,Main!AA:AA,Main!AB:AB,0,0)</f>
        <v>4</v>
      </c>
      <c r="D11">
        <f t="shared" si="0"/>
        <v>0</v>
      </c>
      <c r="E11">
        <f>SUMIF(MasterPL[SplitMarkNo],FilteredPL!A11,MasterPL[BILL WT.(KG)])</f>
        <v>548.28</v>
      </c>
    </row>
    <row r="12" spans="1:8" x14ac:dyDescent="0.25">
      <c r="A12" t="str">
        <v>SF07</v>
      </c>
      <c r="B12">
        <f>SUMIF(MasterPL[SplitMarkNo],FilteredPL!A12,MasterPL[DRG PART QTY])</f>
        <v>8</v>
      </c>
      <c r="C12">
        <f>_xlfn.XLOOKUP(A12,Main!AA:AA,Main!AB:AB,0,0)</f>
        <v>8</v>
      </c>
      <c r="D12">
        <f t="shared" si="0"/>
        <v>0</v>
      </c>
      <c r="E12">
        <f>SUMIF(MasterPL[SplitMarkNo],FilteredPL!A12,MasterPL[BILL WT.(KG)])</f>
        <v>567.08000000000004</v>
      </c>
    </row>
    <row r="13" spans="1:8" x14ac:dyDescent="0.25">
      <c r="A13" t="str">
        <v>SF08</v>
      </c>
      <c r="B13">
        <f>SUMIF(MasterPL[SplitMarkNo],FilteredPL!A13,MasterPL[DRG PART QTY])</f>
        <v>4</v>
      </c>
      <c r="C13">
        <f>_xlfn.XLOOKUP(A13,Main!AA:AA,Main!AB:AB,0,0)</f>
        <v>4</v>
      </c>
      <c r="D13">
        <f t="shared" si="0"/>
        <v>0</v>
      </c>
      <c r="E13">
        <f>SUMIF(MasterPL[SplitMarkNo],FilteredPL!A13,MasterPL[BILL WT.(KG)])</f>
        <v>756.11</v>
      </c>
    </row>
    <row r="14" spans="1:8" x14ac:dyDescent="0.25">
      <c r="A14" t="str">
        <v>1BE02</v>
      </c>
      <c r="B14">
        <f>SUMIF(MasterPL[SplitMarkNo],FilteredPL!A14,MasterPL[DRG PART QTY])</f>
        <v>1</v>
      </c>
      <c r="C14">
        <f>_xlfn.XLOOKUP(A14,Main!AA:AA,Main!AB:AB,0,0)</f>
        <v>1</v>
      </c>
      <c r="D14">
        <f t="shared" si="0"/>
        <v>0</v>
      </c>
      <c r="E14">
        <f>SUMIF(MasterPL[SplitMarkNo],FilteredPL!A14,MasterPL[BILL WT.(KG)])</f>
        <v>1545.45</v>
      </c>
    </row>
    <row r="15" spans="1:8" x14ac:dyDescent="0.25">
      <c r="A15" t="str">
        <v>1BE05</v>
      </c>
      <c r="B15">
        <f>SUMIF(MasterPL[SplitMarkNo],FilteredPL!A15,MasterPL[DRG PART QTY])</f>
        <v>1</v>
      </c>
      <c r="C15">
        <f>_xlfn.XLOOKUP(A15,Main!AA:AA,Main!AB:AB,0,0)</f>
        <v>1</v>
      </c>
      <c r="D15">
        <f t="shared" si="0"/>
        <v>0</v>
      </c>
      <c r="E15">
        <f>SUMIF(MasterPL[SplitMarkNo],FilteredPL!A15,MasterPL[BILL WT.(KG)])</f>
        <v>346.7</v>
      </c>
    </row>
    <row r="16" spans="1:8" x14ac:dyDescent="0.25">
      <c r="A16" t="str">
        <v>1BE06</v>
      </c>
      <c r="B16">
        <f>SUMIF(MasterPL[SplitMarkNo],FilteredPL!A16,MasterPL[DRG PART QTY])</f>
        <v>1</v>
      </c>
      <c r="C16">
        <f>_xlfn.XLOOKUP(A16,Main!AA:AA,Main!AB:AB,0,0)</f>
        <v>1</v>
      </c>
      <c r="D16">
        <f t="shared" si="0"/>
        <v>0</v>
      </c>
      <c r="E16">
        <f>SUMIF(MasterPL[SplitMarkNo],FilteredPL!A16,MasterPL[BILL WT.(KG)])</f>
        <v>468.1</v>
      </c>
    </row>
    <row r="17" spans="1:5" x14ac:dyDescent="0.25">
      <c r="A17" t="str">
        <v>1BE07</v>
      </c>
      <c r="B17">
        <f>SUMIF(MasterPL[SplitMarkNo],FilteredPL!A17,MasterPL[DRG PART QTY])</f>
        <v>1</v>
      </c>
      <c r="C17">
        <f>_xlfn.XLOOKUP(A17,Main!AA:AA,Main!AB:AB,0,0)</f>
        <v>1</v>
      </c>
      <c r="D17">
        <f t="shared" si="0"/>
        <v>0</v>
      </c>
      <c r="E17">
        <f>SUMIF(MasterPL[SplitMarkNo],FilteredPL!A17,MasterPL[BILL WT.(KG)])</f>
        <v>571.71</v>
      </c>
    </row>
    <row r="18" spans="1:5" x14ac:dyDescent="0.25">
      <c r="A18" t="str">
        <v>1BE08</v>
      </c>
      <c r="B18">
        <f>SUMIF(MasterPL[SplitMarkNo],FilteredPL!A18,MasterPL[DRG PART QTY])</f>
        <v>1</v>
      </c>
      <c r="C18">
        <f>_xlfn.XLOOKUP(A18,Main!AA:AA,Main!AB:AB,0,0)</f>
        <v>1</v>
      </c>
      <c r="D18">
        <f t="shared" si="0"/>
        <v>0</v>
      </c>
      <c r="E18">
        <f>SUMIF(MasterPL[SplitMarkNo],FilteredPL!A18,MasterPL[BILL WT.(KG)])</f>
        <v>447.85</v>
      </c>
    </row>
    <row r="19" spans="1:5" x14ac:dyDescent="0.25">
      <c r="A19" t="str">
        <v>1BE10</v>
      </c>
      <c r="B19">
        <f>SUMIF(MasterPL[SplitMarkNo],FilteredPL!A19,MasterPL[DRG PART QTY])</f>
        <v>1</v>
      </c>
      <c r="C19">
        <f>_xlfn.XLOOKUP(A19,Main!AA:AA,Main!AB:AB,0,0)</f>
        <v>1</v>
      </c>
      <c r="D19">
        <f t="shared" si="0"/>
        <v>0</v>
      </c>
      <c r="E19">
        <f>SUMIF(MasterPL[SplitMarkNo],FilteredPL!A19,MasterPL[BILL WT.(KG)])</f>
        <v>327.97</v>
      </c>
    </row>
    <row r="20" spans="1:5" x14ac:dyDescent="0.25">
      <c r="A20" t="str">
        <v>1BE28</v>
      </c>
      <c r="B20">
        <f>SUMIF(MasterPL[SplitMarkNo],FilteredPL!A20,MasterPL[DRG PART QTY])</f>
        <v>1</v>
      </c>
      <c r="C20">
        <f>_xlfn.XLOOKUP(A20,Main!AA:AA,Main!AB:AB,0,0)</f>
        <v>1</v>
      </c>
      <c r="D20">
        <f t="shared" si="0"/>
        <v>0</v>
      </c>
      <c r="E20">
        <f>SUMIF(MasterPL[SplitMarkNo],FilteredPL!A20,MasterPL[BILL WT.(KG)])</f>
        <v>1605.12</v>
      </c>
    </row>
    <row r="21" spans="1:5" x14ac:dyDescent="0.25">
      <c r="A21" t="str">
        <v>6BE84</v>
      </c>
      <c r="B21">
        <f>SUMIF(MasterPL[SplitMarkNo],FilteredPL!A21,MasterPL[DRG PART QTY])</f>
        <v>1</v>
      </c>
      <c r="C21">
        <f>_xlfn.XLOOKUP(A21,Main!AA:AA,Main!AB:AB,0,0)</f>
        <v>1</v>
      </c>
      <c r="D21">
        <f t="shared" si="0"/>
        <v>0</v>
      </c>
      <c r="E21">
        <f>SUMIF(MasterPL[SplitMarkNo],FilteredPL!A21,MasterPL[BILL WT.(KG)])</f>
        <v>2026.83</v>
      </c>
    </row>
    <row r="22" spans="1:5" x14ac:dyDescent="0.25">
      <c r="A22" t="str">
        <v>C03</v>
      </c>
      <c r="B22">
        <f>SUMIF(MasterPL[SplitMarkNo],FilteredPL!A22,MasterPL[DRG PART QTY])</f>
        <v>1</v>
      </c>
      <c r="C22">
        <f>_xlfn.XLOOKUP(A22,Main!AA:AA,Main!AB:AB,0,0)</f>
        <v>1</v>
      </c>
      <c r="D22">
        <f t="shared" si="0"/>
        <v>0</v>
      </c>
      <c r="E22">
        <f>SUMIF(MasterPL[SplitMarkNo],FilteredPL!A22,MasterPL[BILL WT.(KG)])</f>
        <v>2052.5700000000002</v>
      </c>
    </row>
    <row r="23" spans="1:5" x14ac:dyDescent="0.25">
      <c r="A23" t="str">
        <v>C04</v>
      </c>
      <c r="B23">
        <f>SUMIF(MasterPL[SplitMarkNo],FilteredPL!A23,MasterPL[DRG PART QTY])</f>
        <v>1</v>
      </c>
      <c r="C23">
        <f>_xlfn.XLOOKUP(A23,Main!AA:AA,Main!AB:AB,0,0)</f>
        <v>1</v>
      </c>
      <c r="D23">
        <f t="shared" si="0"/>
        <v>0</v>
      </c>
      <c r="E23">
        <f>SUMIF(MasterPL[SplitMarkNo],FilteredPL!A23,MasterPL[BILL WT.(KG)])</f>
        <v>733.28</v>
      </c>
    </row>
    <row r="24" spans="1:5" x14ac:dyDescent="0.25">
      <c r="A24" t="str">
        <v>C05</v>
      </c>
      <c r="B24">
        <f>SUMIF(MasterPL[SplitMarkNo],FilteredPL!A24,MasterPL[DRG PART QTY])</f>
        <v>1</v>
      </c>
      <c r="C24">
        <f>_xlfn.XLOOKUP(A24,Main!AA:AA,Main!AB:AB,0,0)</f>
        <v>1</v>
      </c>
      <c r="D24">
        <f t="shared" si="0"/>
        <v>0</v>
      </c>
      <c r="E24">
        <f>SUMIF(MasterPL[SplitMarkNo],FilteredPL!A24,MasterPL[BILL WT.(KG)])</f>
        <v>451.68</v>
      </c>
    </row>
    <row r="25" spans="1:5" x14ac:dyDescent="0.25">
      <c r="A25" t="str">
        <v>C12</v>
      </c>
      <c r="B25">
        <f>SUMIF(MasterPL[SplitMarkNo],FilteredPL!A25,MasterPL[DRG PART QTY])</f>
        <v>1</v>
      </c>
      <c r="C25">
        <f>_xlfn.XLOOKUP(A25,Main!AA:AA,Main!AB:AB,0,0)</f>
        <v>1</v>
      </c>
      <c r="D25">
        <f t="shared" si="0"/>
        <v>0</v>
      </c>
      <c r="E25">
        <f>SUMIF(MasterPL[SplitMarkNo],FilteredPL!A25,MasterPL[BILL WT.(KG)])</f>
        <v>1951.65</v>
      </c>
    </row>
    <row r="26" spans="1:5" x14ac:dyDescent="0.25">
      <c r="A26" t="str">
        <v>C31</v>
      </c>
      <c r="B26">
        <f>SUMIF(MasterPL[SplitMarkNo],FilteredPL!A26,MasterPL[DRG PART QTY])</f>
        <v>1</v>
      </c>
      <c r="C26">
        <f>_xlfn.XLOOKUP(A26,Main!AA:AA,Main!AB:AB,0,0)</f>
        <v>1</v>
      </c>
      <c r="D26">
        <f t="shared" si="0"/>
        <v>0</v>
      </c>
      <c r="E26">
        <f>SUMIF(MasterPL[SplitMarkNo],FilteredPL!A26,MasterPL[BILL WT.(KG)])</f>
        <v>2122.09</v>
      </c>
    </row>
    <row r="27" spans="1:5" x14ac:dyDescent="0.25">
      <c r="A27" t="str">
        <v>C35</v>
      </c>
      <c r="B27">
        <f>SUMIF(MasterPL[SplitMarkNo],FilteredPL!A27,MasterPL[DRG PART QTY])</f>
        <v>1</v>
      </c>
      <c r="C27">
        <f>_xlfn.XLOOKUP(A27,Main!AA:AA,Main!AB:AB,0,0)</f>
        <v>1</v>
      </c>
      <c r="D27">
        <f t="shared" si="0"/>
        <v>0</v>
      </c>
      <c r="E27">
        <f>SUMIF(MasterPL[SplitMarkNo],FilteredPL!A27,MasterPL[BILL WT.(KG)])</f>
        <v>2423.25</v>
      </c>
    </row>
    <row r="28" spans="1:5" x14ac:dyDescent="0.25">
      <c r="A28" t="str">
        <v>C37</v>
      </c>
      <c r="B28">
        <f>SUMIF(MasterPL[SplitMarkNo],FilteredPL!A28,MasterPL[DRG PART QTY])</f>
        <v>1</v>
      </c>
      <c r="C28">
        <f>_xlfn.XLOOKUP(A28,Main!AA:AA,Main!AB:AB,0,0)</f>
        <v>1</v>
      </c>
      <c r="D28">
        <f t="shared" si="0"/>
        <v>0</v>
      </c>
      <c r="E28">
        <f>SUMIF(MasterPL[SplitMarkNo],FilteredPL!A28,MasterPL[BILL WT.(KG)])</f>
        <v>2625.03</v>
      </c>
    </row>
    <row r="29" spans="1:5" x14ac:dyDescent="0.25">
      <c r="A29" t="str">
        <v>C38</v>
      </c>
      <c r="B29">
        <f>SUMIF(MasterPL[SplitMarkNo],FilteredPL!A29,MasterPL[DRG PART QTY])</f>
        <v>1</v>
      </c>
      <c r="C29">
        <f>_xlfn.XLOOKUP(A29,Main!AA:AA,Main!AB:AB,0,0)</f>
        <v>1</v>
      </c>
      <c r="D29">
        <f t="shared" si="0"/>
        <v>0</v>
      </c>
      <c r="E29">
        <f>SUMIF(MasterPL[SplitMarkNo],FilteredPL!A29,MasterPL[BILL WT.(KG)])</f>
        <v>2613.58</v>
      </c>
    </row>
    <row r="30" spans="1:5" x14ac:dyDescent="0.25">
      <c r="A30" t="str">
        <v>SF02</v>
      </c>
      <c r="B30">
        <f>SUMIF(MasterPL[SplitMarkNo],FilteredPL!A30,MasterPL[DRG PART QTY])</f>
        <v>76</v>
      </c>
      <c r="C30">
        <f>_xlfn.XLOOKUP(A30,Main!AA:AA,Main!AB:AB,0,0)</f>
        <v>76</v>
      </c>
      <c r="D30">
        <f t="shared" si="0"/>
        <v>0</v>
      </c>
      <c r="E30">
        <f>SUMIF(MasterPL[SplitMarkNo],FilteredPL!A30,MasterPL[BILL WT.(KG)])</f>
        <v>1440.79</v>
      </c>
    </row>
    <row r="31" spans="1:5" x14ac:dyDescent="0.25">
      <c r="A31" t="str">
        <v>SF04</v>
      </c>
      <c r="B31">
        <f>SUMIF(MasterPL[SplitMarkNo],FilteredPL!A31,MasterPL[DRG PART QTY])</f>
        <v>37</v>
      </c>
      <c r="C31">
        <f>_xlfn.XLOOKUP(A31,Main!AA:AA,Main!AB:AB,0,0)</f>
        <v>37</v>
      </c>
      <c r="D31">
        <f t="shared" si="0"/>
        <v>0</v>
      </c>
      <c r="E31">
        <f>SUMIF(MasterPL[SplitMarkNo],FilteredPL!A31,MasterPL[BILL WT.(KG)])</f>
        <v>2104.31</v>
      </c>
    </row>
  </sheetData>
  <autoFilter ref="A1:E820" xr:uid="{4E710758-9113-4453-A76A-0CD6DA5631C1}"/>
  <conditionalFormatting sqref="H6">
    <cfRule type="cellIs" dxfId="7" priority="5" operator="equal">
      <formula>0</formula>
    </cfRule>
    <cfRule type="cellIs" dxfId="6" priority="6" operator="greaterThan">
      <formula>0</formula>
    </cfRule>
  </conditionalFormatting>
  <conditionalFormatting sqref="H9">
    <cfRule type="cellIs" dxfId="5" priority="1" operator="equal">
      <formula>0</formula>
    </cfRule>
    <cfRule type="cellIs" dxfId="4" priority="2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831CF-9DC7-4A2A-930A-F3631A6056BF}">
  <sheetPr codeName="Sheet3"/>
  <dimension ref="A1:S31"/>
  <sheetViews>
    <sheetView topLeftCell="F2" zoomScale="112" workbookViewId="0">
      <selection activeCell="D29" sqref="D29"/>
    </sheetView>
  </sheetViews>
  <sheetFormatPr defaultRowHeight="15" x14ac:dyDescent="0.25"/>
  <cols>
    <col min="1" max="1" width="10" bestFit="1" customWidth="1"/>
    <col min="2" max="2" width="20.140625" bestFit="1" customWidth="1"/>
    <col min="3" max="3" width="9.42578125" bestFit="1" customWidth="1"/>
    <col min="4" max="4" width="20.85546875" bestFit="1" customWidth="1"/>
    <col min="5" max="5" width="18.140625" bestFit="1" customWidth="1"/>
    <col min="6" max="6" width="39.42578125" bestFit="1" customWidth="1"/>
    <col min="7" max="7" width="6.7109375" bestFit="1" customWidth="1"/>
    <col min="8" max="8" width="17.85546875" bestFit="1" customWidth="1"/>
    <col min="9" max="9" width="16.28515625" bestFit="1" customWidth="1"/>
    <col min="10" max="10" width="18.42578125" bestFit="1" customWidth="1"/>
    <col min="11" max="11" width="14.7109375" bestFit="1" customWidth="1"/>
    <col min="12" max="12" width="16.42578125" bestFit="1" customWidth="1"/>
    <col min="13" max="13" width="9.7109375" bestFit="1" customWidth="1"/>
    <col min="14" max="14" width="25.42578125" bestFit="1" customWidth="1"/>
    <col min="15" max="15" width="10.85546875" bestFit="1" customWidth="1"/>
    <col min="16" max="16" width="19.28515625" bestFit="1" customWidth="1"/>
    <col min="17" max="17" width="15.42578125" bestFit="1" customWidth="1"/>
    <col min="18" max="18" width="15.42578125" customWidth="1"/>
    <col min="19" max="19" width="14.42578125" bestFit="1" customWidth="1"/>
    <col min="20" max="20" width="10.85546875" customWidth="1"/>
  </cols>
  <sheetData>
    <row r="1" spans="1:19" x14ac:dyDescent="0.25">
      <c r="A1" s="6" t="s">
        <v>37</v>
      </c>
      <c r="B1" s="6" t="s">
        <v>38</v>
      </c>
      <c r="C1" s="6" t="s">
        <v>39</v>
      </c>
      <c r="D1" s="6" t="s">
        <v>40</v>
      </c>
      <c r="E1" s="6" t="s">
        <v>41</v>
      </c>
      <c r="F1" s="6" t="s">
        <v>42</v>
      </c>
      <c r="G1" s="6" t="s">
        <v>43</v>
      </c>
      <c r="H1" s="6" t="s">
        <v>44</v>
      </c>
      <c r="I1" s="6" t="s">
        <v>45</v>
      </c>
      <c r="J1" s="6" t="s">
        <v>46</v>
      </c>
      <c r="K1" s="6" t="s">
        <v>47</v>
      </c>
      <c r="L1" s="6" t="s">
        <v>48</v>
      </c>
      <c r="M1" s="6" t="s">
        <v>49</v>
      </c>
      <c r="N1" s="6" t="s">
        <v>50</v>
      </c>
      <c r="O1" s="6" t="s">
        <v>51</v>
      </c>
      <c r="P1" s="6" t="s">
        <v>52</v>
      </c>
      <c r="Q1" s="6" t="s">
        <v>53</v>
      </c>
      <c r="R1" s="6" t="s">
        <v>54</v>
      </c>
      <c r="S1" s="41" t="s">
        <v>59</v>
      </c>
    </row>
    <row r="2" spans="1:19" x14ac:dyDescent="0.25">
      <c r="A2" s="13" t="s">
        <v>1231</v>
      </c>
      <c r="B2" s="13" t="s">
        <v>1232</v>
      </c>
      <c r="C2" s="13" t="s">
        <v>55</v>
      </c>
      <c r="D2" s="13" t="s">
        <v>56</v>
      </c>
      <c r="E2" s="13" t="s">
        <v>58</v>
      </c>
      <c r="F2" s="13" t="s">
        <v>1233</v>
      </c>
      <c r="G2" s="13" t="s">
        <v>1234</v>
      </c>
      <c r="H2" s="13" t="s">
        <v>1235</v>
      </c>
      <c r="I2" s="13">
        <v>1</v>
      </c>
      <c r="J2" s="13">
        <v>44927</v>
      </c>
      <c r="K2" s="13">
        <v>3187.51</v>
      </c>
      <c r="L2" s="13" t="s">
        <v>1231</v>
      </c>
      <c r="M2" s="13"/>
      <c r="N2" s="13"/>
      <c r="O2" s="13" t="s">
        <v>1236</v>
      </c>
      <c r="P2" s="13" t="s">
        <v>1237</v>
      </c>
      <c r="Q2" s="13" t="s">
        <v>1238</v>
      </c>
      <c r="R2" s="2"/>
      <c r="S2" s="2" t="str" cm="1">
        <f t="array" ref="S2">TRIM(INDEX(_xlfn.TEXTSPLIT(MasterPL[[#This Row],[MARK NO]],"-"),2))</f>
        <v>C01</v>
      </c>
    </row>
    <row r="3" spans="1:19" x14ac:dyDescent="0.25">
      <c r="A3" s="13" t="s">
        <v>1231</v>
      </c>
      <c r="B3" s="13" t="s">
        <v>1232</v>
      </c>
      <c r="C3" s="13" t="s">
        <v>55</v>
      </c>
      <c r="D3" s="13" t="s">
        <v>56</v>
      </c>
      <c r="E3" s="13" t="s">
        <v>58</v>
      </c>
      <c r="F3" s="13" t="s">
        <v>1239</v>
      </c>
      <c r="G3" s="13" t="s">
        <v>1234</v>
      </c>
      <c r="H3" s="13" t="s">
        <v>1240</v>
      </c>
      <c r="I3" s="13">
        <v>1</v>
      </c>
      <c r="J3" s="13">
        <v>44927</v>
      </c>
      <c r="K3" s="13">
        <v>3187.51</v>
      </c>
      <c r="L3" s="13" t="s">
        <v>1231</v>
      </c>
      <c r="M3" s="13"/>
      <c r="N3" s="13"/>
      <c r="O3" s="13" t="s">
        <v>1236</v>
      </c>
      <c r="P3" s="13" t="s">
        <v>1237</v>
      </c>
      <c r="Q3" s="13" t="s">
        <v>1238</v>
      </c>
      <c r="R3" s="2"/>
      <c r="S3" s="2" t="str" cm="1">
        <f t="array" ref="S3">TRIM(INDEX(_xlfn.TEXTSPLIT(MasterPL[[#This Row],[MARK NO]],"-"),2))</f>
        <v>C06</v>
      </c>
    </row>
    <row r="4" spans="1:19" x14ac:dyDescent="0.25">
      <c r="A4" s="13" t="s">
        <v>1231</v>
      </c>
      <c r="B4" s="13" t="s">
        <v>1241</v>
      </c>
      <c r="C4" s="13" t="s">
        <v>55</v>
      </c>
      <c r="D4" s="13" t="s">
        <v>56</v>
      </c>
      <c r="E4" s="13" t="s">
        <v>58</v>
      </c>
      <c r="F4" s="13" t="s">
        <v>1242</v>
      </c>
      <c r="G4" s="13" t="s">
        <v>1243</v>
      </c>
      <c r="H4" s="13" t="s">
        <v>1244</v>
      </c>
      <c r="I4" s="13">
        <v>1</v>
      </c>
      <c r="J4" s="13">
        <v>44927</v>
      </c>
      <c r="K4" s="13">
        <v>3183.49</v>
      </c>
      <c r="L4" s="13" t="s">
        <v>1231</v>
      </c>
      <c r="M4" s="13"/>
      <c r="N4" s="13"/>
      <c r="O4" s="13" t="s">
        <v>1236</v>
      </c>
      <c r="P4" s="13" t="s">
        <v>1237</v>
      </c>
      <c r="Q4" s="13" t="s">
        <v>1238</v>
      </c>
      <c r="R4" s="2"/>
      <c r="S4" s="2" t="str" cm="1">
        <f t="array" ref="S4">TRIM(INDEX(_xlfn.TEXTSPLIT(MasterPL[[#This Row],[MARK NO]],"-"),2))</f>
        <v>C09</v>
      </c>
    </row>
    <row r="5" spans="1:19" x14ac:dyDescent="0.25">
      <c r="A5" s="13" t="s">
        <v>1231</v>
      </c>
      <c r="B5" s="13" t="s">
        <v>1232</v>
      </c>
      <c r="C5" s="13" t="s">
        <v>55</v>
      </c>
      <c r="D5" s="13" t="s">
        <v>56</v>
      </c>
      <c r="E5" s="13" t="s">
        <v>58</v>
      </c>
      <c r="F5" s="13" t="s">
        <v>1245</v>
      </c>
      <c r="G5" s="13" t="s">
        <v>1234</v>
      </c>
      <c r="H5" s="13" t="s">
        <v>1246</v>
      </c>
      <c r="I5" s="13">
        <v>1</v>
      </c>
      <c r="J5" s="13">
        <v>44927</v>
      </c>
      <c r="K5" s="13">
        <v>4158.7</v>
      </c>
      <c r="L5" s="13" t="s">
        <v>1231</v>
      </c>
      <c r="M5" s="13"/>
      <c r="N5" s="13"/>
      <c r="O5" s="13" t="s">
        <v>1236</v>
      </c>
      <c r="P5" s="13" t="s">
        <v>1237</v>
      </c>
      <c r="Q5" s="13" t="s">
        <v>1238</v>
      </c>
      <c r="R5" s="2"/>
      <c r="S5" s="2" t="str" cm="1">
        <f t="array" ref="S5">TRIM(INDEX(_xlfn.TEXTSPLIT(MasterPL[[#This Row],[MARK NO]],"-"),2))</f>
        <v>C10</v>
      </c>
    </row>
    <row r="6" spans="1:19" x14ac:dyDescent="0.25">
      <c r="A6" s="13" t="s">
        <v>1231</v>
      </c>
      <c r="B6" s="13" t="s">
        <v>1232</v>
      </c>
      <c r="C6" s="13" t="s">
        <v>55</v>
      </c>
      <c r="D6" s="13" t="s">
        <v>56</v>
      </c>
      <c r="E6" s="13" t="s">
        <v>58</v>
      </c>
      <c r="F6" s="13" t="s">
        <v>1247</v>
      </c>
      <c r="G6" s="13" t="s">
        <v>1234</v>
      </c>
      <c r="H6" s="13" t="s">
        <v>1248</v>
      </c>
      <c r="I6" s="13">
        <v>1</v>
      </c>
      <c r="J6" s="13">
        <v>44927</v>
      </c>
      <c r="K6" s="13">
        <v>2343.83</v>
      </c>
      <c r="L6" s="13" t="s">
        <v>1231</v>
      </c>
      <c r="M6" s="13"/>
      <c r="N6" s="13"/>
      <c r="O6" s="13" t="s">
        <v>1236</v>
      </c>
      <c r="P6" s="13" t="s">
        <v>1237</v>
      </c>
      <c r="Q6" s="13" t="s">
        <v>1238</v>
      </c>
      <c r="R6" s="2"/>
      <c r="S6" s="2" t="str" cm="1">
        <f t="array" ref="S6">TRIM(INDEX(_xlfn.TEXTSPLIT(MasterPL[[#This Row],[MARK NO]],"-"),2))</f>
        <v>C11</v>
      </c>
    </row>
    <row r="7" spans="1:19" x14ac:dyDescent="0.25">
      <c r="A7" s="13" t="s">
        <v>1231</v>
      </c>
      <c r="B7" s="13" t="s">
        <v>1232</v>
      </c>
      <c r="C7" s="13" t="s">
        <v>55</v>
      </c>
      <c r="D7" s="13" t="s">
        <v>56</v>
      </c>
      <c r="E7" s="13" t="s">
        <v>58</v>
      </c>
      <c r="F7" s="13" t="s">
        <v>1249</v>
      </c>
      <c r="G7" s="13" t="s">
        <v>1234</v>
      </c>
      <c r="H7" s="13" t="s">
        <v>1250</v>
      </c>
      <c r="I7" s="13">
        <v>1</v>
      </c>
      <c r="J7" s="13">
        <v>44927</v>
      </c>
      <c r="K7" s="13">
        <v>4202.7700000000004</v>
      </c>
      <c r="L7" s="13" t="s">
        <v>1231</v>
      </c>
      <c r="M7" s="13"/>
      <c r="N7" s="13"/>
      <c r="O7" s="13" t="s">
        <v>1236</v>
      </c>
      <c r="P7" s="13" t="s">
        <v>1237</v>
      </c>
      <c r="Q7" s="13" t="s">
        <v>1238</v>
      </c>
      <c r="R7" s="2"/>
      <c r="S7" s="2" t="str" cm="1">
        <f t="array" ref="S7">TRIM(INDEX(_xlfn.TEXTSPLIT(MasterPL[[#This Row],[MARK NO]],"-"),2))</f>
        <v>C14</v>
      </c>
    </row>
    <row r="8" spans="1:19" x14ac:dyDescent="0.25">
      <c r="A8" s="13" t="s">
        <v>1231</v>
      </c>
      <c r="B8" s="13" t="s">
        <v>1241</v>
      </c>
      <c r="C8" s="13" t="s">
        <v>55</v>
      </c>
      <c r="D8" s="13" t="s">
        <v>56</v>
      </c>
      <c r="E8" s="13" t="s">
        <v>1251</v>
      </c>
      <c r="F8" s="13" t="s">
        <v>1252</v>
      </c>
      <c r="G8" s="13" t="s">
        <v>1234</v>
      </c>
      <c r="H8" s="13" t="s">
        <v>1253</v>
      </c>
      <c r="I8" s="13">
        <v>24</v>
      </c>
      <c r="J8" s="13" t="s">
        <v>1254</v>
      </c>
      <c r="K8" s="13">
        <v>877.94</v>
      </c>
      <c r="L8" s="13" t="s">
        <v>1231</v>
      </c>
      <c r="M8" s="13"/>
      <c r="N8" s="13"/>
      <c r="O8" s="13" t="s">
        <v>1236</v>
      </c>
      <c r="P8" s="13" t="s">
        <v>1237</v>
      </c>
      <c r="Q8" s="13" t="s">
        <v>1238</v>
      </c>
      <c r="R8" s="2"/>
      <c r="S8" s="2" t="str" cm="1">
        <f t="array" ref="S8">TRIM(INDEX(_xlfn.TEXTSPLIT(MasterPL[[#This Row],[MARK NO]],"-"),2))</f>
        <v>SF01</v>
      </c>
    </row>
    <row r="9" spans="1:19" x14ac:dyDescent="0.25">
      <c r="A9" s="13" t="s">
        <v>1231</v>
      </c>
      <c r="B9" s="13" t="s">
        <v>1241</v>
      </c>
      <c r="C9" s="13" t="s">
        <v>55</v>
      </c>
      <c r="D9" s="13" t="s">
        <v>56</v>
      </c>
      <c r="E9" s="13" t="s">
        <v>1251</v>
      </c>
      <c r="F9" s="13" t="s">
        <v>1255</v>
      </c>
      <c r="G9" s="13" t="s">
        <v>1234</v>
      </c>
      <c r="H9" s="13" t="s">
        <v>1256</v>
      </c>
      <c r="I9" s="13">
        <v>12</v>
      </c>
      <c r="J9" s="13" t="s">
        <v>1257</v>
      </c>
      <c r="K9" s="13">
        <v>1316.92</v>
      </c>
      <c r="L9" s="13" t="s">
        <v>1231</v>
      </c>
      <c r="M9" s="13"/>
      <c r="N9" s="13"/>
      <c r="O9" s="13" t="s">
        <v>1236</v>
      </c>
      <c r="P9" s="13" t="s">
        <v>1237</v>
      </c>
      <c r="Q9" s="13" t="s">
        <v>1238</v>
      </c>
      <c r="R9" s="2"/>
      <c r="S9" s="2" t="str" cm="1">
        <f t="array" ref="S9">TRIM(INDEX(_xlfn.TEXTSPLIT(MasterPL[[#This Row],[MARK NO]],"-"),2))</f>
        <v>SF03</v>
      </c>
    </row>
    <row r="10" spans="1:19" x14ac:dyDescent="0.25">
      <c r="A10" s="13" t="s">
        <v>1231</v>
      </c>
      <c r="B10" s="13" t="s">
        <v>1241</v>
      </c>
      <c r="C10" s="13" t="s">
        <v>55</v>
      </c>
      <c r="D10" s="13" t="s">
        <v>56</v>
      </c>
      <c r="E10" s="13" t="s">
        <v>1251</v>
      </c>
      <c r="F10" s="13" t="s">
        <v>1258</v>
      </c>
      <c r="G10" s="13" t="s">
        <v>1234</v>
      </c>
      <c r="H10" s="13" t="s">
        <v>1259</v>
      </c>
      <c r="I10" s="13">
        <v>8</v>
      </c>
      <c r="J10" s="13" t="s">
        <v>1260</v>
      </c>
      <c r="K10" s="13">
        <v>449.41</v>
      </c>
      <c r="L10" s="13" t="s">
        <v>1231</v>
      </c>
      <c r="M10" s="13"/>
      <c r="N10" s="13"/>
      <c r="O10" s="13" t="s">
        <v>1236</v>
      </c>
      <c r="P10" s="13" t="s">
        <v>1237</v>
      </c>
      <c r="Q10" s="13" t="s">
        <v>1238</v>
      </c>
      <c r="R10" s="2"/>
      <c r="S10" s="2" t="str" cm="1">
        <f t="array" ref="S10">TRIM(INDEX(_xlfn.TEXTSPLIT(MasterPL[[#This Row],[MARK NO]],"-"),2))</f>
        <v>SF05</v>
      </c>
    </row>
    <row r="11" spans="1:19" x14ac:dyDescent="0.25">
      <c r="A11" s="13" t="s">
        <v>1231</v>
      </c>
      <c r="B11" s="13" t="s">
        <v>1241</v>
      </c>
      <c r="C11" s="13" t="s">
        <v>55</v>
      </c>
      <c r="D11" s="13" t="s">
        <v>56</v>
      </c>
      <c r="E11" s="13" t="s">
        <v>1251</v>
      </c>
      <c r="F11" s="13" t="s">
        <v>1261</v>
      </c>
      <c r="G11" s="13" t="s">
        <v>1234</v>
      </c>
      <c r="H11" s="13" t="s">
        <v>1262</v>
      </c>
      <c r="I11" s="13">
        <v>4</v>
      </c>
      <c r="J11" s="13" t="s">
        <v>1263</v>
      </c>
      <c r="K11" s="13">
        <v>548.28</v>
      </c>
      <c r="L11" s="13" t="s">
        <v>1231</v>
      </c>
      <c r="M11" s="13"/>
      <c r="N11" s="13"/>
      <c r="O11" s="13" t="s">
        <v>1236</v>
      </c>
      <c r="P11" s="13" t="s">
        <v>1237</v>
      </c>
      <c r="Q11" s="13" t="s">
        <v>1238</v>
      </c>
      <c r="R11" s="2"/>
      <c r="S11" s="2" t="str" cm="1">
        <f t="array" ref="S11">TRIM(INDEX(_xlfn.TEXTSPLIT(MasterPL[[#This Row],[MARK NO]],"-"),2))</f>
        <v>SF06</v>
      </c>
    </row>
    <row r="12" spans="1:19" x14ac:dyDescent="0.25">
      <c r="A12" s="13" t="s">
        <v>1231</v>
      </c>
      <c r="B12" s="13" t="s">
        <v>1241</v>
      </c>
      <c r="C12" s="13" t="s">
        <v>55</v>
      </c>
      <c r="D12" s="13" t="s">
        <v>56</v>
      </c>
      <c r="E12" s="13" t="s">
        <v>1251</v>
      </c>
      <c r="F12" s="13" t="s">
        <v>1264</v>
      </c>
      <c r="G12" s="13" t="s">
        <v>1234</v>
      </c>
      <c r="H12" s="13" t="s">
        <v>1265</v>
      </c>
      <c r="I12" s="13">
        <v>8</v>
      </c>
      <c r="J12" s="13" t="s">
        <v>1260</v>
      </c>
      <c r="K12" s="13">
        <v>567.08000000000004</v>
      </c>
      <c r="L12" s="13" t="s">
        <v>1231</v>
      </c>
      <c r="M12" s="13"/>
      <c r="N12" s="13"/>
      <c r="O12" s="13" t="s">
        <v>1236</v>
      </c>
      <c r="P12" s="13" t="s">
        <v>1237</v>
      </c>
      <c r="Q12" s="13" t="s">
        <v>1238</v>
      </c>
      <c r="R12" s="2"/>
      <c r="S12" s="2" t="str" cm="1">
        <f t="array" ref="S12">TRIM(INDEX(_xlfn.TEXTSPLIT(MasterPL[[#This Row],[MARK NO]],"-"),2))</f>
        <v>SF07</v>
      </c>
    </row>
    <row r="13" spans="1:19" x14ac:dyDescent="0.25">
      <c r="A13" s="13" t="s">
        <v>1231</v>
      </c>
      <c r="B13" s="13" t="s">
        <v>1241</v>
      </c>
      <c r="C13" s="13" t="s">
        <v>55</v>
      </c>
      <c r="D13" s="13" t="s">
        <v>56</v>
      </c>
      <c r="E13" s="13" t="s">
        <v>1251</v>
      </c>
      <c r="F13" s="13" t="s">
        <v>1266</v>
      </c>
      <c r="G13" s="13" t="s">
        <v>1234</v>
      </c>
      <c r="H13" s="13" t="s">
        <v>1267</v>
      </c>
      <c r="I13" s="13">
        <v>4</v>
      </c>
      <c r="J13" s="13" t="s">
        <v>1263</v>
      </c>
      <c r="K13" s="13">
        <v>756.11</v>
      </c>
      <c r="L13" s="13" t="s">
        <v>1231</v>
      </c>
      <c r="M13" s="13"/>
      <c r="N13" s="13"/>
      <c r="O13" s="13" t="s">
        <v>1236</v>
      </c>
      <c r="P13" s="13" t="s">
        <v>1237</v>
      </c>
      <c r="Q13" s="13" t="s">
        <v>1238</v>
      </c>
      <c r="R13" s="2"/>
      <c r="S13" s="2" t="str" cm="1">
        <f t="array" ref="S13">TRIM(INDEX(_xlfn.TEXTSPLIT(MasterPL[[#This Row],[MARK NO]],"-"),2))</f>
        <v>SF08</v>
      </c>
    </row>
    <row r="14" spans="1:19" x14ac:dyDescent="0.25">
      <c r="A14" s="13" t="s">
        <v>1231</v>
      </c>
      <c r="B14" s="13" t="s">
        <v>1268</v>
      </c>
      <c r="C14" s="13" t="s">
        <v>55</v>
      </c>
      <c r="D14" s="13" t="s">
        <v>56</v>
      </c>
      <c r="E14" s="13" t="s">
        <v>57</v>
      </c>
      <c r="F14" s="13" t="s">
        <v>1269</v>
      </c>
      <c r="G14" s="13" t="s">
        <v>1234</v>
      </c>
      <c r="H14" s="13" t="s">
        <v>1270</v>
      </c>
      <c r="I14" s="13">
        <v>1</v>
      </c>
      <c r="J14" s="13">
        <v>44927</v>
      </c>
      <c r="K14" s="13">
        <v>1545.45</v>
      </c>
      <c r="L14" s="13" t="s">
        <v>501</v>
      </c>
      <c r="M14" s="13"/>
      <c r="N14" s="13"/>
      <c r="O14" s="13" t="s">
        <v>1271</v>
      </c>
      <c r="P14" s="13" t="s">
        <v>1272</v>
      </c>
      <c r="Q14" s="13" t="s">
        <v>1273</v>
      </c>
      <c r="R14" s="2"/>
      <c r="S14" s="2" t="str" cm="1">
        <f t="array" ref="S14">TRIM(INDEX(_xlfn.TEXTSPLIT(MasterPL[[#This Row],[MARK NO]],"-"),2))</f>
        <v>1BE02</v>
      </c>
    </row>
    <row r="15" spans="1:19" x14ac:dyDescent="0.25">
      <c r="A15" s="13" t="s">
        <v>1231</v>
      </c>
      <c r="B15" s="13" t="s">
        <v>1241</v>
      </c>
      <c r="C15" s="13" t="s">
        <v>55</v>
      </c>
      <c r="D15" s="13" t="s">
        <v>56</v>
      </c>
      <c r="E15" s="13" t="s">
        <v>57</v>
      </c>
      <c r="F15" s="13" t="s">
        <v>1274</v>
      </c>
      <c r="G15" s="13" t="s">
        <v>1234</v>
      </c>
      <c r="H15" s="13" t="s">
        <v>1275</v>
      </c>
      <c r="I15" s="13">
        <v>1</v>
      </c>
      <c r="J15" s="13">
        <v>44927</v>
      </c>
      <c r="K15" s="13">
        <v>346.7</v>
      </c>
      <c r="L15" s="13" t="s">
        <v>501</v>
      </c>
      <c r="M15" s="13"/>
      <c r="N15" s="13"/>
      <c r="O15" s="13" t="s">
        <v>1271</v>
      </c>
      <c r="P15" s="13" t="s">
        <v>1272</v>
      </c>
      <c r="Q15" s="13" t="s">
        <v>1273</v>
      </c>
      <c r="R15" s="2"/>
      <c r="S15" s="2" t="str" cm="1">
        <f t="array" ref="S15">TRIM(INDEX(_xlfn.TEXTSPLIT(MasterPL[[#This Row],[MARK NO]],"-"),2))</f>
        <v>1BE05</v>
      </c>
    </row>
    <row r="16" spans="1:19" x14ac:dyDescent="0.25">
      <c r="A16" s="13" t="s">
        <v>1231</v>
      </c>
      <c r="B16" s="13" t="s">
        <v>1268</v>
      </c>
      <c r="C16" s="13" t="s">
        <v>55</v>
      </c>
      <c r="D16" s="13" t="s">
        <v>56</v>
      </c>
      <c r="E16" s="13" t="s">
        <v>57</v>
      </c>
      <c r="F16" s="13" t="s">
        <v>1276</v>
      </c>
      <c r="G16" s="13" t="s">
        <v>1234</v>
      </c>
      <c r="H16" s="13" t="s">
        <v>1277</v>
      </c>
      <c r="I16" s="13">
        <v>1</v>
      </c>
      <c r="J16" s="13">
        <v>44927</v>
      </c>
      <c r="K16" s="13">
        <v>468.1</v>
      </c>
      <c r="L16" s="13" t="s">
        <v>501</v>
      </c>
      <c r="M16" s="13"/>
      <c r="N16" s="13"/>
      <c r="O16" s="13" t="s">
        <v>1271</v>
      </c>
      <c r="P16" s="13" t="s">
        <v>1272</v>
      </c>
      <c r="Q16" s="13" t="s">
        <v>1273</v>
      </c>
      <c r="R16" s="2"/>
      <c r="S16" s="2" t="str" cm="1">
        <f t="array" ref="S16">TRIM(INDEX(_xlfn.TEXTSPLIT(MasterPL[[#This Row],[MARK NO]],"-"),2))</f>
        <v>1BE06</v>
      </c>
    </row>
    <row r="17" spans="1:19" x14ac:dyDescent="0.25">
      <c r="A17" s="13" t="s">
        <v>1231</v>
      </c>
      <c r="B17" s="13" t="s">
        <v>1241</v>
      </c>
      <c r="C17" s="13" t="s">
        <v>55</v>
      </c>
      <c r="D17" s="13" t="s">
        <v>56</v>
      </c>
      <c r="E17" s="13" t="s">
        <v>57</v>
      </c>
      <c r="F17" s="13" t="s">
        <v>1278</v>
      </c>
      <c r="G17" s="13" t="s">
        <v>1234</v>
      </c>
      <c r="H17" s="13" t="s">
        <v>1279</v>
      </c>
      <c r="I17" s="13">
        <v>1</v>
      </c>
      <c r="J17" s="13">
        <v>44927</v>
      </c>
      <c r="K17" s="13">
        <v>571.71</v>
      </c>
      <c r="L17" s="13" t="s">
        <v>501</v>
      </c>
      <c r="M17" s="13"/>
      <c r="N17" s="13"/>
      <c r="O17" s="13" t="s">
        <v>1271</v>
      </c>
      <c r="P17" s="13" t="s">
        <v>1272</v>
      </c>
      <c r="Q17" s="13" t="s">
        <v>1273</v>
      </c>
      <c r="R17" s="2"/>
      <c r="S17" s="2" t="str" cm="1">
        <f t="array" ref="S17">TRIM(INDEX(_xlfn.TEXTSPLIT(MasterPL[[#This Row],[MARK NO]],"-"),2))</f>
        <v>1BE07</v>
      </c>
    </row>
    <row r="18" spans="1:19" x14ac:dyDescent="0.25">
      <c r="A18" s="13" t="s">
        <v>1231</v>
      </c>
      <c r="B18" s="13" t="s">
        <v>1268</v>
      </c>
      <c r="C18" s="13" t="s">
        <v>55</v>
      </c>
      <c r="D18" s="13" t="s">
        <v>56</v>
      </c>
      <c r="E18" s="13" t="s">
        <v>57</v>
      </c>
      <c r="F18" s="13" t="s">
        <v>1280</v>
      </c>
      <c r="G18" s="13" t="s">
        <v>1234</v>
      </c>
      <c r="H18" s="13" t="s">
        <v>1281</v>
      </c>
      <c r="I18" s="13">
        <v>1</v>
      </c>
      <c r="J18" s="13">
        <v>44927</v>
      </c>
      <c r="K18" s="13">
        <v>447.85</v>
      </c>
      <c r="L18" s="13" t="s">
        <v>501</v>
      </c>
      <c r="M18" s="13"/>
      <c r="N18" s="13"/>
      <c r="O18" s="13" t="s">
        <v>1271</v>
      </c>
      <c r="P18" s="13" t="s">
        <v>1272</v>
      </c>
      <c r="Q18" s="13" t="s">
        <v>1273</v>
      </c>
      <c r="R18" s="2"/>
      <c r="S18" s="2" t="str" cm="1">
        <f t="array" ref="S18">TRIM(INDEX(_xlfn.TEXTSPLIT(MasterPL[[#This Row],[MARK NO]],"-"),2))</f>
        <v>1BE08</v>
      </c>
    </row>
    <row r="19" spans="1:19" x14ac:dyDescent="0.25">
      <c r="A19" s="13" t="s">
        <v>1231</v>
      </c>
      <c r="B19" s="13" t="s">
        <v>1241</v>
      </c>
      <c r="C19" s="13" t="s">
        <v>55</v>
      </c>
      <c r="D19" s="13" t="s">
        <v>56</v>
      </c>
      <c r="E19" s="13" t="s">
        <v>57</v>
      </c>
      <c r="F19" s="13" t="s">
        <v>1282</v>
      </c>
      <c r="G19" s="13" t="s">
        <v>1234</v>
      </c>
      <c r="H19" s="13" t="s">
        <v>1283</v>
      </c>
      <c r="I19" s="13">
        <v>1</v>
      </c>
      <c r="J19" s="13">
        <v>44927</v>
      </c>
      <c r="K19" s="13">
        <v>327.97</v>
      </c>
      <c r="L19" s="13" t="s">
        <v>501</v>
      </c>
      <c r="M19" s="13"/>
      <c r="N19" s="13"/>
      <c r="O19" s="13" t="s">
        <v>1271</v>
      </c>
      <c r="P19" s="13" t="s">
        <v>1272</v>
      </c>
      <c r="Q19" s="13" t="s">
        <v>1273</v>
      </c>
      <c r="R19" s="2"/>
      <c r="S19" s="2" t="str" cm="1">
        <f t="array" ref="S19">TRIM(INDEX(_xlfn.TEXTSPLIT(MasterPL[[#This Row],[MARK NO]],"-"),2))</f>
        <v>1BE10</v>
      </c>
    </row>
    <row r="20" spans="1:19" x14ac:dyDescent="0.25">
      <c r="A20" s="13" t="s">
        <v>1231</v>
      </c>
      <c r="B20" s="13" t="s">
        <v>1268</v>
      </c>
      <c r="C20" s="13" t="s">
        <v>55</v>
      </c>
      <c r="D20" s="13" t="s">
        <v>56</v>
      </c>
      <c r="E20" s="13" t="s">
        <v>57</v>
      </c>
      <c r="F20" s="13" t="s">
        <v>1284</v>
      </c>
      <c r="G20" s="13" t="s">
        <v>1234</v>
      </c>
      <c r="H20" s="13" t="s">
        <v>1285</v>
      </c>
      <c r="I20" s="13">
        <v>1</v>
      </c>
      <c r="J20" s="13">
        <v>44927</v>
      </c>
      <c r="K20" s="13">
        <v>1605.12</v>
      </c>
      <c r="L20" s="13" t="s">
        <v>501</v>
      </c>
      <c r="M20" s="13"/>
      <c r="N20" s="13"/>
      <c r="O20" s="13" t="s">
        <v>1271</v>
      </c>
      <c r="P20" s="13" t="s">
        <v>1272</v>
      </c>
      <c r="Q20" s="13" t="s">
        <v>1273</v>
      </c>
      <c r="R20" s="2"/>
      <c r="S20" s="2" t="str" cm="1">
        <f t="array" ref="S20">TRIM(INDEX(_xlfn.TEXTSPLIT(MasterPL[[#This Row],[MARK NO]],"-"),2))</f>
        <v>1BE28</v>
      </c>
    </row>
    <row r="21" spans="1:19" x14ac:dyDescent="0.25">
      <c r="A21" s="13" t="s">
        <v>1231</v>
      </c>
      <c r="B21" s="13" t="s">
        <v>1241</v>
      </c>
      <c r="C21" s="13" t="s">
        <v>55</v>
      </c>
      <c r="D21" s="13" t="s">
        <v>56</v>
      </c>
      <c r="E21" s="13" t="s">
        <v>57</v>
      </c>
      <c r="F21" s="13" t="s">
        <v>1286</v>
      </c>
      <c r="G21" s="13" t="s">
        <v>1234</v>
      </c>
      <c r="H21" s="13" t="s">
        <v>1287</v>
      </c>
      <c r="I21" s="13">
        <v>1</v>
      </c>
      <c r="J21" s="13">
        <v>44927</v>
      </c>
      <c r="K21" s="13">
        <v>2026.83</v>
      </c>
      <c r="L21" s="13" t="s">
        <v>501</v>
      </c>
      <c r="M21" s="13"/>
      <c r="N21" s="13"/>
      <c r="O21" s="13" t="s">
        <v>1271</v>
      </c>
      <c r="P21" s="13" t="s">
        <v>1272</v>
      </c>
      <c r="Q21" s="13" t="s">
        <v>1273</v>
      </c>
      <c r="R21" s="2"/>
      <c r="S21" s="2" t="str" cm="1">
        <f t="array" ref="S21">TRIM(INDEX(_xlfn.TEXTSPLIT(MasterPL[[#This Row],[MARK NO]],"-"),2))</f>
        <v>6BE84</v>
      </c>
    </row>
    <row r="22" spans="1:19" x14ac:dyDescent="0.25">
      <c r="A22" s="13" t="s">
        <v>1231</v>
      </c>
      <c r="B22" s="13" t="s">
        <v>1241</v>
      </c>
      <c r="C22" s="13" t="s">
        <v>55</v>
      </c>
      <c r="D22" s="13" t="s">
        <v>56</v>
      </c>
      <c r="E22" s="13" t="s">
        <v>58</v>
      </c>
      <c r="F22" s="13" t="s">
        <v>1288</v>
      </c>
      <c r="G22" s="13" t="s">
        <v>1289</v>
      </c>
      <c r="H22" s="13" t="s">
        <v>1290</v>
      </c>
      <c r="I22" s="13">
        <v>1</v>
      </c>
      <c r="J22" s="13">
        <v>44927</v>
      </c>
      <c r="K22" s="13">
        <v>2052.5700000000002</v>
      </c>
      <c r="L22" s="13" t="s">
        <v>501</v>
      </c>
      <c r="M22" s="13"/>
      <c r="N22" s="13"/>
      <c r="O22" s="13" t="s">
        <v>1271</v>
      </c>
      <c r="P22" s="13" t="s">
        <v>1272</v>
      </c>
      <c r="Q22" s="13" t="s">
        <v>1273</v>
      </c>
      <c r="R22" s="2"/>
      <c r="S22" s="2" t="str" cm="1">
        <f t="array" ref="S22">TRIM(INDEX(_xlfn.TEXTSPLIT(MasterPL[[#This Row],[MARK NO]],"-"),2))</f>
        <v>C03</v>
      </c>
    </row>
    <row r="23" spans="1:19" x14ac:dyDescent="0.25">
      <c r="A23" s="13" t="s">
        <v>1231</v>
      </c>
      <c r="B23" s="13" t="s">
        <v>1241</v>
      </c>
      <c r="C23" s="13" t="s">
        <v>55</v>
      </c>
      <c r="D23" s="13" t="s">
        <v>56</v>
      </c>
      <c r="E23" s="13" t="s">
        <v>58</v>
      </c>
      <c r="F23" s="13" t="s">
        <v>1291</v>
      </c>
      <c r="G23" s="13" t="s">
        <v>1243</v>
      </c>
      <c r="H23" s="13" t="s">
        <v>1292</v>
      </c>
      <c r="I23" s="13">
        <v>1</v>
      </c>
      <c r="J23" s="13">
        <v>44927</v>
      </c>
      <c r="K23" s="13">
        <v>733.28</v>
      </c>
      <c r="L23" s="13" t="s">
        <v>501</v>
      </c>
      <c r="M23" s="13"/>
      <c r="N23" s="13"/>
      <c r="O23" s="13" t="s">
        <v>1271</v>
      </c>
      <c r="P23" s="13" t="s">
        <v>1272</v>
      </c>
      <c r="Q23" s="13" t="s">
        <v>1273</v>
      </c>
      <c r="R23" s="2"/>
      <c r="S23" s="2" t="str" cm="1">
        <f t="array" ref="S23">TRIM(INDEX(_xlfn.TEXTSPLIT(MasterPL[[#This Row],[MARK NO]],"-"),2))</f>
        <v>C04</v>
      </c>
    </row>
    <row r="24" spans="1:19" x14ac:dyDescent="0.25">
      <c r="A24" s="13" t="s">
        <v>1231</v>
      </c>
      <c r="B24" s="13" t="s">
        <v>1241</v>
      </c>
      <c r="C24" s="13" t="s">
        <v>55</v>
      </c>
      <c r="D24" s="13" t="s">
        <v>56</v>
      </c>
      <c r="E24" s="13" t="s">
        <v>58</v>
      </c>
      <c r="F24" s="13" t="s">
        <v>1293</v>
      </c>
      <c r="G24" s="13" t="s">
        <v>1243</v>
      </c>
      <c r="H24" s="13" t="s">
        <v>1294</v>
      </c>
      <c r="I24" s="13">
        <v>1</v>
      </c>
      <c r="J24" s="13">
        <v>44927</v>
      </c>
      <c r="K24" s="13">
        <v>451.68</v>
      </c>
      <c r="L24" s="13" t="s">
        <v>501</v>
      </c>
      <c r="M24" s="13"/>
      <c r="N24" s="13"/>
      <c r="O24" s="13" t="s">
        <v>1271</v>
      </c>
      <c r="P24" s="13" t="s">
        <v>1272</v>
      </c>
      <c r="Q24" s="13" t="s">
        <v>1273</v>
      </c>
      <c r="R24" s="2"/>
      <c r="S24" s="2" t="str" cm="1">
        <f t="array" ref="S24">TRIM(INDEX(_xlfn.TEXTSPLIT(MasterPL[[#This Row],[MARK NO]],"-"),2))</f>
        <v>C05</v>
      </c>
    </row>
    <row r="25" spans="1:19" x14ac:dyDescent="0.25">
      <c r="A25" s="13" t="s">
        <v>1231</v>
      </c>
      <c r="B25" s="13" t="s">
        <v>1241</v>
      </c>
      <c r="C25" s="13" t="s">
        <v>55</v>
      </c>
      <c r="D25" s="13" t="s">
        <v>56</v>
      </c>
      <c r="E25" s="13" t="s">
        <v>58</v>
      </c>
      <c r="F25" s="13" t="s">
        <v>1295</v>
      </c>
      <c r="G25" s="13" t="s">
        <v>1243</v>
      </c>
      <c r="H25" s="13" t="s">
        <v>1296</v>
      </c>
      <c r="I25" s="13">
        <v>1</v>
      </c>
      <c r="J25" s="13">
        <v>44927</v>
      </c>
      <c r="K25" s="13">
        <v>1951.65</v>
      </c>
      <c r="L25" s="13" t="s">
        <v>501</v>
      </c>
      <c r="M25" s="13"/>
      <c r="N25" s="13"/>
      <c r="O25" s="13" t="s">
        <v>1271</v>
      </c>
      <c r="P25" s="13" t="s">
        <v>1272</v>
      </c>
      <c r="Q25" s="13" t="s">
        <v>1273</v>
      </c>
      <c r="R25" s="2"/>
      <c r="S25" s="2" t="str" cm="1">
        <f t="array" ref="S25">TRIM(INDEX(_xlfn.TEXTSPLIT(MasterPL[[#This Row],[MARK NO]],"-"),2))</f>
        <v>C12</v>
      </c>
    </row>
    <row r="26" spans="1:19" x14ac:dyDescent="0.25">
      <c r="A26" s="13" t="s">
        <v>1231</v>
      </c>
      <c r="B26" s="13" t="s">
        <v>1241</v>
      </c>
      <c r="C26" s="13" t="s">
        <v>55</v>
      </c>
      <c r="D26" s="13" t="s">
        <v>56</v>
      </c>
      <c r="E26" s="13" t="s">
        <v>58</v>
      </c>
      <c r="F26" s="13" t="s">
        <v>1297</v>
      </c>
      <c r="G26" s="13" t="s">
        <v>1243</v>
      </c>
      <c r="H26" s="13" t="s">
        <v>1298</v>
      </c>
      <c r="I26" s="13">
        <v>1</v>
      </c>
      <c r="J26" s="13">
        <v>44927</v>
      </c>
      <c r="K26" s="13">
        <v>2122.09</v>
      </c>
      <c r="L26" s="13" t="s">
        <v>501</v>
      </c>
      <c r="M26" s="13"/>
      <c r="N26" s="13"/>
      <c r="O26" s="13" t="s">
        <v>1271</v>
      </c>
      <c r="P26" s="13" t="s">
        <v>1272</v>
      </c>
      <c r="Q26" s="13" t="s">
        <v>1273</v>
      </c>
      <c r="R26" s="2"/>
      <c r="S26" s="2" t="str" cm="1">
        <f t="array" ref="S26">TRIM(INDEX(_xlfn.TEXTSPLIT(MasterPL[[#This Row],[MARK NO]],"-"),2))</f>
        <v>C31</v>
      </c>
    </row>
    <row r="27" spans="1:19" x14ac:dyDescent="0.25">
      <c r="A27" s="13" t="s">
        <v>1231</v>
      </c>
      <c r="B27" s="13" t="s">
        <v>1241</v>
      </c>
      <c r="C27" s="13" t="s">
        <v>55</v>
      </c>
      <c r="D27" s="13" t="s">
        <v>56</v>
      </c>
      <c r="E27" s="13" t="s">
        <v>58</v>
      </c>
      <c r="F27" s="13" t="s">
        <v>1299</v>
      </c>
      <c r="G27" s="13" t="s">
        <v>1243</v>
      </c>
      <c r="H27" s="13" t="s">
        <v>1300</v>
      </c>
      <c r="I27" s="13">
        <v>1</v>
      </c>
      <c r="J27" s="13">
        <v>44927</v>
      </c>
      <c r="K27" s="13">
        <v>2423.25</v>
      </c>
      <c r="L27" s="13" t="s">
        <v>501</v>
      </c>
      <c r="M27" s="13"/>
      <c r="N27" s="13"/>
      <c r="O27" s="13" t="s">
        <v>1271</v>
      </c>
      <c r="P27" s="13" t="s">
        <v>1272</v>
      </c>
      <c r="Q27" s="13" t="s">
        <v>1273</v>
      </c>
      <c r="R27" s="2"/>
      <c r="S27" s="2" t="str" cm="1">
        <f t="array" ref="S27">TRIM(INDEX(_xlfn.TEXTSPLIT(MasterPL[[#This Row],[MARK NO]],"-"),2))</f>
        <v>C35</v>
      </c>
    </row>
    <row r="28" spans="1:19" x14ac:dyDescent="0.25">
      <c r="A28" s="13" t="s">
        <v>1231</v>
      </c>
      <c r="B28" s="13" t="s">
        <v>1241</v>
      </c>
      <c r="C28" s="13" t="s">
        <v>55</v>
      </c>
      <c r="D28" s="13" t="s">
        <v>56</v>
      </c>
      <c r="E28" s="13" t="s">
        <v>58</v>
      </c>
      <c r="F28" s="13" t="s">
        <v>1301</v>
      </c>
      <c r="G28" s="13" t="s">
        <v>1243</v>
      </c>
      <c r="H28" s="13" t="s">
        <v>1302</v>
      </c>
      <c r="I28" s="13">
        <v>1</v>
      </c>
      <c r="J28" s="13">
        <v>44927</v>
      </c>
      <c r="K28" s="13">
        <v>2625.03</v>
      </c>
      <c r="L28" s="13" t="s">
        <v>501</v>
      </c>
      <c r="M28" s="13"/>
      <c r="N28" s="13"/>
      <c r="O28" s="13" t="s">
        <v>1271</v>
      </c>
      <c r="P28" s="13" t="s">
        <v>1272</v>
      </c>
      <c r="Q28" s="13" t="s">
        <v>1273</v>
      </c>
      <c r="R28" s="2"/>
      <c r="S28" s="2" t="str" cm="1">
        <f t="array" ref="S28">TRIM(INDEX(_xlfn.TEXTSPLIT(MasterPL[[#This Row],[MARK NO]],"-"),2))</f>
        <v>C37</v>
      </c>
    </row>
    <row r="29" spans="1:19" x14ac:dyDescent="0.25">
      <c r="A29" s="13" t="s">
        <v>1231</v>
      </c>
      <c r="B29" s="13" t="s">
        <v>1241</v>
      </c>
      <c r="C29" s="13" t="s">
        <v>55</v>
      </c>
      <c r="D29" s="13" t="s">
        <v>56</v>
      </c>
      <c r="E29" s="13" t="s">
        <v>58</v>
      </c>
      <c r="F29" s="13" t="s">
        <v>1303</v>
      </c>
      <c r="G29" s="13" t="s">
        <v>1243</v>
      </c>
      <c r="H29" s="13" t="s">
        <v>1304</v>
      </c>
      <c r="I29" s="13">
        <v>1</v>
      </c>
      <c r="J29" s="13">
        <v>44927</v>
      </c>
      <c r="K29" s="13">
        <v>2613.58</v>
      </c>
      <c r="L29" s="13" t="s">
        <v>501</v>
      </c>
      <c r="M29" s="13"/>
      <c r="N29" s="13"/>
      <c r="O29" s="13" t="s">
        <v>1271</v>
      </c>
      <c r="P29" s="13" t="s">
        <v>1272</v>
      </c>
      <c r="Q29" s="13" t="s">
        <v>1273</v>
      </c>
      <c r="R29" s="2"/>
      <c r="S29" s="2" t="str" cm="1">
        <f t="array" ref="S29">TRIM(INDEX(_xlfn.TEXTSPLIT(MasterPL[[#This Row],[MARK NO]],"-"),2))</f>
        <v>C38</v>
      </c>
    </row>
    <row r="30" spans="1:19" x14ac:dyDescent="0.25">
      <c r="A30" s="13" t="s">
        <v>1231</v>
      </c>
      <c r="B30" s="13" t="s">
        <v>1241</v>
      </c>
      <c r="C30" s="13" t="s">
        <v>55</v>
      </c>
      <c r="D30" s="13" t="s">
        <v>56</v>
      </c>
      <c r="E30" s="13" t="s">
        <v>1251</v>
      </c>
      <c r="F30" s="13" t="s">
        <v>1305</v>
      </c>
      <c r="G30" s="13" t="s">
        <v>1234</v>
      </c>
      <c r="H30" s="13" t="s">
        <v>1306</v>
      </c>
      <c r="I30" s="13">
        <v>76</v>
      </c>
      <c r="J30" s="13" t="s">
        <v>1307</v>
      </c>
      <c r="K30" s="13">
        <v>1440.79</v>
      </c>
      <c r="L30" s="13" t="s">
        <v>501</v>
      </c>
      <c r="M30" s="13"/>
      <c r="N30" s="13"/>
      <c r="O30" s="13" t="s">
        <v>1271</v>
      </c>
      <c r="P30" s="13" t="s">
        <v>1272</v>
      </c>
      <c r="Q30" s="13" t="s">
        <v>1273</v>
      </c>
      <c r="R30" s="2"/>
      <c r="S30" s="2" t="str" cm="1">
        <f t="array" ref="S30">TRIM(INDEX(_xlfn.TEXTSPLIT(MasterPL[[#This Row],[MARK NO]],"-"),2))</f>
        <v>SF02</v>
      </c>
    </row>
    <row r="31" spans="1:19" x14ac:dyDescent="0.25">
      <c r="A31" s="13" t="s">
        <v>1231</v>
      </c>
      <c r="B31" s="13" t="s">
        <v>1241</v>
      </c>
      <c r="C31" s="13" t="s">
        <v>55</v>
      </c>
      <c r="D31" s="13" t="s">
        <v>56</v>
      </c>
      <c r="E31" s="13" t="s">
        <v>1251</v>
      </c>
      <c r="F31" s="13" t="s">
        <v>1308</v>
      </c>
      <c r="G31" s="13" t="s">
        <v>1234</v>
      </c>
      <c r="H31" s="13" t="s">
        <v>1309</v>
      </c>
      <c r="I31" s="13">
        <v>37</v>
      </c>
      <c r="J31" s="13" t="s">
        <v>1310</v>
      </c>
      <c r="K31" s="13">
        <v>2104.31</v>
      </c>
      <c r="L31" s="13" t="s">
        <v>501</v>
      </c>
      <c r="M31" s="13"/>
      <c r="N31" s="13"/>
      <c r="O31" s="13" t="s">
        <v>1271</v>
      </c>
      <c r="P31" s="13" t="s">
        <v>1272</v>
      </c>
      <c r="Q31" s="13" t="s">
        <v>1273</v>
      </c>
      <c r="R31" s="2"/>
      <c r="S31" s="2" t="str" cm="1">
        <f t="array" ref="S31">TRIM(INDEX(_xlfn.TEXTSPLIT(MasterPL[[#This Row],[MARK NO]],"-"),2))</f>
        <v>SF04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94222-994A-4CDA-8C55-C46D08C2B955}">
  <sheetPr codeName="Sheet6"/>
  <dimension ref="A2:B18"/>
  <sheetViews>
    <sheetView tabSelected="1" zoomScale="148" workbookViewId="0">
      <selection activeCell="F7" sqref="F7"/>
    </sheetView>
  </sheetViews>
  <sheetFormatPr defaultRowHeight="15" x14ac:dyDescent="0.25"/>
  <sheetData>
    <row r="2" spans="1:2" x14ac:dyDescent="0.25">
      <c r="A2" s="13">
        <v>1</v>
      </c>
      <c r="B2" s="13" t="s">
        <v>497</v>
      </c>
    </row>
    <row r="3" spans="1:2" x14ac:dyDescent="0.25">
      <c r="A3" s="13">
        <v>2</v>
      </c>
      <c r="B3" s="13" t="s">
        <v>496</v>
      </c>
    </row>
    <row r="4" spans="1:2" x14ac:dyDescent="0.25">
      <c r="A4" s="13">
        <v>3</v>
      </c>
      <c r="B4" s="13" t="s">
        <v>71</v>
      </c>
    </row>
    <row r="5" spans="1:2" x14ac:dyDescent="0.25">
      <c r="A5" s="13">
        <v>4</v>
      </c>
      <c r="B5" s="13" t="s">
        <v>77</v>
      </c>
    </row>
    <row r="6" spans="1:2" x14ac:dyDescent="0.25">
      <c r="A6" s="13">
        <v>5</v>
      </c>
      <c r="B6" s="13" t="s">
        <v>499</v>
      </c>
    </row>
    <row r="7" spans="1:2" x14ac:dyDescent="0.25">
      <c r="A7" s="13">
        <v>6</v>
      </c>
      <c r="B7" s="13" t="s">
        <v>73</v>
      </c>
    </row>
    <row r="8" spans="1:2" x14ac:dyDescent="0.25">
      <c r="A8" s="13">
        <v>7</v>
      </c>
      <c r="B8" s="13" t="s">
        <v>500</v>
      </c>
    </row>
    <row r="9" spans="1:2" x14ac:dyDescent="0.25">
      <c r="A9" s="13">
        <v>8</v>
      </c>
      <c r="B9" s="13" t="s">
        <v>75</v>
      </c>
    </row>
    <row r="10" spans="1:2" x14ac:dyDescent="0.25">
      <c r="A10" s="13">
        <v>9</v>
      </c>
      <c r="B10" s="13" t="s">
        <v>78</v>
      </c>
    </row>
    <row r="11" spans="1:2" x14ac:dyDescent="0.25">
      <c r="A11" s="13">
        <v>10</v>
      </c>
      <c r="B11" s="13" t="s">
        <v>74</v>
      </c>
    </row>
    <row r="12" spans="1:2" x14ac:dyDescent="0.25">
      <c r="A12" s="13">
        <v>11</v>
      </c>
      <c r="B12" s="13" t="s">
        <v>1311</v>
      </c>
    </row>
    <row r="13" spans="1:2" x14ac:dyDescent="0.25">
      <c r="A13" s="13">
        <v>12</v>
      </c>
      <c r="B13" s="13" t="s">
        <v>79</v>
      </c>
    </row>
    <row r="14" spans="1:2" x14ac:dyDescent="0.25">
      <c r="A14" s="13"/>
      <c r="B14" s="13"/>
    </row>
    <row r="15" spans="1:2" x14ac:dyDescent="0.25">
      <c r="A15" s="13"/>
      <c r="B15" s="13"/>
    </row>
    <row r="16" spans="1:2" x14ac:dyDescent="0.25">
      <c r="A16" s="13">
        <v>1</v>
      </c>
      <c r="B16" s="13" t="s">
        <v>1335</v>
      </c>
    </row>
    <row r="17" spans="1:2" x14ac:dyDescent="0.25">
      <c r="A17" s="13">
        <v>2</v>
      </c>
      <c r="B17" s="13" t="s">
        <v>78</v>
      </c>
    </row>
    <row r="18" spans="1:2" x14ac:dyDescent="0.25">
      <c r="A18" s="13">
        <v>3</v>
      </c>
      <c r="B18" s="13" t="s"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Status</vt:lpstr>
      <vt:lpstr>GridChecking</vt:lpstr>
      <vt:lpstr>Main</vt:lpstr>
      <vt:lpstr>FilteredPL</vt:lpstr>
      <vt:lpstr>MasterPL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Sunil Chandel</dc:creator>
  <cp:lastModifiedBy>Sunil Chandel</cp:lastModifiedBy>
  <dcterms:created xsi:type="dcterms:W3CDTF">2023-12-06T11:40:09Z</dcterms:created>
  <dcterms:modified xsi:type="dcterms:W3CDTF">2023-12-11T04:18:27Z</dcterms:modified>
</cp:coreProperties>
</file>